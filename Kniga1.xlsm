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Глеб\Desktop\"/>
    </mc:Choice>
  </mc:AlternateContent>
  <bookViews>
    <workbookView xWindow="390" yWindow="60" windowWidth="16260" windowHeight="5850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F31" i="1" l="1"/>
  <c r="G34" i="1" s="1"/>
  <c r="F37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J30" i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AB30" i="1" s="1"/>
  <c r="AC30" i="1" s="1"/>
  <c r="AD30" i="1" s="1"/>
  <c r="AE30" i="1" s="1"/>
  <c r="AF30" i="1" s="1"/>
  <c r="AG30" i="1" s="1"/>
  <c r="AH30" i="1" s="1"/>
  <c r="AI30" i="1" s="1"/>
  <c r="AJ30" i="1" s="1"/>
  <c r="I30" i="1"/>
  <c r="H30" i="1"/>
  <c r="G30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G1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F22" i="1"/>
  <c r="G24" i="1" s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33" i="1" l="1"/>
  <c r="G25" i="1"/>
  <c r="C5" i="1"/>
  <c r="H15" i="1" l="1"/>
  <c r="P15" i="1"/>
  <c r="X15" i="1"/>
  <c r="AF15" i="1"/>
  <c r="I15" i="1"/>
  <c r="Q15" i="1"/>
  <c r="Y15" i="1"/>
  <c r="AG15" i="1"/>
  <c r="R15" i="1"/>
  <c r="Z15" i="1"/>
  <c r="AH15" i="1"/>
  <c r="S15" i="1"/>
  <c r="AA15" i="1"/>
  <c r="AI15" i="1"/>
  <c r="T15" i="1"/>
  <c r="AB15" i="1"/>
  <c r="W15" i="1"/>
  <c r="AE15" i="1"/>
  <c r="J15" i="1"/>
  <c r="K15" i="1"/>
  <c r="L15" i="1"/>
  <c r="M15" i="1"/>
  <c r="U15" i="1"/>
  <c r="AC15" i="1"/>
  <c r="N15" i="1"/>
  <c r="V15" i="1"/>
  <c r="AD15" i="1"/>
  <c r="O15" i="1"/>
</calcChain>
</file>

<file path=xl/sharedStrings.xml><?xml version="1.0" encoding="utf-8"?>
<sst xmlns="http://schemas.openxmlformats.org/spreadsheetml/2006/main" count="26" uniqueCount="16">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</sst>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000"/>
    <numFmt numFmtId="166" formatCode="0.000_ ;\-0.0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5" fontId="0" fillId="0" borderId="0" xfId="0" applyNumberFormat="1"/>
    <xf numFmtId="0" fontId="0" fillId="0" borderId="1" xfId="0" applyBorder="1"/>
    <xf numFmtId="165" fontId="0" fillId="0" borderId="1" xfId="0" applyNumberFormat="1" applyBorder="1"/>
    <xf numFmtId="1" fontId="0" fillId="0" borderId="1" xfId="0" applyNumberFormat="1" applyBorder="1"/>
    <xf numFmtId="166" fontId="0" fillId="0" borderId="1" xfId="0" applyNumberFormat="1" applyBorder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Лист1!$F$12:$AJ$12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D-4241-9BD4-6ECA95466625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0_ ;\-0.0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7"/>
  <sheetViews>
    <sheetView tabSelected="1" zoomScale="80" zoomScaleNormal="80" workbookViewId="0">
      <selection activeCell="G31" sqref="G31:AI31"/>
    </sheetView>
  </sheetViews>
  <sheetFormatPr defaultRowHeight="15" x14ac:dyDescent="0.25"/>
  <cols>
    <col min="3" max="3" width="11.42578125" bestFit="1" customWidth="1"/>
    <col min="6" max="6" width="8.7109375" bestFit="1" customWidth="1"/>
    <col min="7" max="36" width="6.5703125" bestFit="1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(C9*C8*(C4^2))/(2*C10)</f>
        <v>0.4333333333333334</v>
      </c>
    </row>
    <row r="6" spans="2:36" x14ac:dyDescent="0.25">
      <c r="B6" s="2" t="s">
        <v>3</v>
      </c>
      <c r="C6" s="3">
        <v>5000</v>
      </c>
      <c r="D6">
        <v>5000.2333333333345</v>
      </c>
    </row>
    <row r="7" spans="2:36" x14ac:dyDescent="0.25">
      <c r="C7" s="1"/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280.50947535568343</v>
      </c>
      <c r="H13">
        <v>261.34019768006675</v>
      </c>
      <c r="I13">
        <v>242.17092000445004</v>
      </c>
      <c r="J13">
        <v>223.94348784691761</v>
      </c>
      <c r="K13">
        <v>205.71605568938512</v>
      </c>
      <c r="L13">
        <v>188.98798976713792</v>
      </c>
      <c r="M13">
        <v>172.25992384489069</v>
      </c>
      <c r="N13">
        <v>157.4917970899659</v>
      </c>
      <c r="O13">
        <v>142.72367033504111</v>
      </c>
      <c r="P13">
        <v>130.25585219566563</v>
      </c>
      <c r="Q13">
        <v>117.78803405629017</v>
      </c>
      <c r="R13">
        <v>107.82942130675656</v>
      </c>
      <c r="S13">
        <v>97.870808557222944</v>
      </c>
      <c r="T13">
        <v>90.498936030544343</v>
      </c>
      <c r="U13">
        <v>83.127063503865742</v>
      </c>
      <c r="V13">
        <v>78.297409442647279</v>
      </c>
      <c r="W13">
        <v>73.467755381428844</v>
      </c>
      <c r="X13">
        <v>71.029173463903746</v>
      </c>
      <c r="Y13">
        <v>68.590591546378676</v>
      </c>
      <c r="Z13">
        <v>68.30369074500706</v>
      </c>
      <c r="AA13">
        <v>68.016789943635459</v>
      </c>
      <c r="AB13">
        <v>69.572608509723267</v>
      </c>
      <c r="AC13">
        <v>71.128427075811075</v>
      </c>
      <c r="AD13">
        <v>74.165635391039984</v>
      </c>
      <c r="AE13">
        <v>77.202843706268908</v>
      </c>
      <c r="AF13">
        <v>81.322660058722235</v>
      </c>
      <c r="AG13">
        <v>85.442476411175562</v>
      </c>
      <c r="AH13">
        <v>90.221256942685855</v>
      </c>
      <c r="AI13">
        <v>95.000037474196134</v>
      </c>
      <c r="AJ13">
        <v>100</v>
      </c>
    </row>
    <row r="15" spans="2:36" x14ac:dyDescent="0.25">
      <c r="E15" t="s">
        <v>10</v>
      </c>
      <c r="G15">
        <f>G13+(($C$10*$C$5)/($C$9*$C$8))*((H13-2*G13+F13)/($C$4^2))</f>
        <v>280.67009884003335</v>
      </c>
      <c r="H15">
        <f t="shared" ref="H15:AI15" si="1">H13+(($C$10*$C$5)/($C$9*$C$8))*((I13-2*H13+G13)/($C$4^2))</f>
        <v>261.34019768006675</v>
      </c>
      <c r="I15">
        <f t="shared" si="1"/>
        <v>242.64184276349218</v>
      </c>
      <c r="J15">
        <f t="shared" si="1"/>
        <v>223.94348784691758</v>
      </c>
      <c r="K15">
        <f t="shared" si="1"/>
        <v>206.46573880702778</v>
      </c>
      <c r="L15">
        <f t="shared" si="1"/>
        <v>188.98798976713789</v>
      </c>
      <c r="M15">
        <f t="shared" si="1"/>
        <v>173.23989342855191</v>
      </c>
      <c r="N15">
        <f t="shared" si="1"/>
        <v>157.4917970899659</v>
      </c>
      <c r="O15">
        <f t="shared" si="1"/>
        <v>143.87382464281575</v>
      </c>
      <c r="P15">
        <f t="shared" si="1"/>
        <v>130.25585219566563</v>
      </c>
      <c r="Q15">
        <f t="shared" si="1"/>
        <v>119.04263675121109</v>
      </c>
      <c r="R15">
        <f t="shared" si="1"/>
        <v>107.82942130675656</v>
      </c>
      <c r="S15">
        <f t="shared" si="1"/>
        <v>99.16417866865045</v>
      </c>
      <c r="T15">
        <f t="shared" si="1"/>
        <v>90.498936030544343</v>
      </c>
      <c r="U15">
        <f t="shared" si="1"/>
        <v>84.398172736595811</v>
      </c>
      <c r="V15">
        <f t="shared" si="1"/>
        <v>78.297409442647293</v>
      </c>
      <c r="W15">
        <f t="shared" si="1"/>
        <v>74.663291453275519</v>
      </c>
      <c r="X15">
        <f t="shared" si="1"/>
        <v>71.02917346390376</v>
      </c>
      <c r="Y15">
        <f t="shared" si="1"/>
        <v>69.666432104455396</v>
      </c>
      <c r="Z15">
        <f t="shared" si="1"/>
        <v>68.30369074500706</v>
      </c>
      <c r="AA15">
        <f t="shared" si="1"/>
        <v>68.938149627365163</v>
      </c>
      <c r="AB15">
        <f t="shared" si="1"/>
        <v>69.572608509723267</v>
      </c>
      <c r="AC15">
        <f t="shared" si="1"/>
        <v>71.869121950381626</v>
      </c>
      <c r="AD15">
        <f t="shared" si="1"/>
        <v>74.165635391039984</v>
      </c>
      <c r="AE15">
        <f t="shared" si="1"/>
        <v>77.744147724881117</v>
      </c>
      <c r="AF15">
        <f t="shared" si="1"/>
        <v>81.322660058722235</v>
      </c>
      <c r="AG15">
        <f t="shared" si="1"/>
        <v>85.771958500704045</v>
      </c>
      <c r="AH15">
        <f t="shared" si="1"/>
        <v>90.221256942685841</v>
      </c>
      <c r="AI15">
        <f t="shared" si="1"/>
        <v>95.11062847134292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2">G21+$C$4</f>
        <v>6.6666666666666671E-3</v>
      </c>
      <c r="I21" s="5">
        <f t="shared" ref="I21" si="3">H21+$C$4</f>
        <v>0.01</v>
      </c>
      <c r="J21" s="5">
        <f t="shared" ref="J21" si="4">I21+$C$4</f>
        <v>1.3333333333333334E-2</v>
      </c>
      <c r="K21" s="5">
        <f t="shared" ref="K21" si="5">J21+$C$4</f>
        <v>1.6666666666666666E-2</v>
      </c>
      <c r="L21" s="5">
        <f t="shared" ref="L21" si="6">K21+$C$4</f>
        <v>0.02</v>
      </c>
      <c r="M21" s="5">
        <f t="shared" ref="M21" si="7">L21+$C$4</f>
        <v>2.3333333333333334E-2</v>
      </c>
      <c r="N21" s="5">
        <f t="shared" ref="N21" si="8">M21+$C$4</f>
        <v>2.6666666666666668E-2</v>
      </c>
      <c r="O21" s="5">
        <f t="shared" ref="O21" si="9">N21+$C$4</f>
        <v>3.0000000000000002E-2</v>
      </c>
      <c r="P21" s="5">
        <f t="shared" ref="P21" si="10">O21+$C$4</f>
        <v>3.3333333333333333E-2</v>
      </c>
      <c r="Q21" s="5">
        <f t="shared" ref="Q21" si="11">P21+$C$4</f>
        <v>3.6666666666666667E-2</v>
      </c>
      <c r="R21" s="5">
        <f t="shared" ref="R21" si="12">Q21+$C$4</f>
        <v>0.04</v>
      </c>
      <c r="S21" s="5">
        <f t="shared" ref="S21" si="13">R21+$C$4</f>
        <v>4.3333333333333335E-2</v>
      </c>
      <c r="T21" s="5">
        <f t="shared" ref="T21" si="14">S21+$C$4</f>
        <v>4.6666666666666669E-2</v>
      </c>
      <c r="U21" s="5">
        <f t="shared" ref="U21" si="15">T21+$C$4</f>
        <v>0.05</v>
      </c>
      <c r="V21" s="5">
        <f t="shared" ref="V21" si="16">U21+$C$4</f>
        <v>5.3333333333333337E-2</v>
      </c>
      <c r="W21" s="5">
        <f t="shared" ref="W21" si="17">V21+$C$4</f>
        <v>5.6666666666666671E-2</v>
      </c>
      <c r="X21" s="5">
        <f t="shared" ref="X21" si="18">W21+$C$4</f>
        <v>6.0000000000000005E-2</v>
      </c>
      <c r="Y21" s="5">
        <f t="shared" ref="Y21" si="19">X21+$C$4</f>
        <v>6.3333333333333339E-2</v>
      </c>
      <c r="Z21" s="5">
        <f t="shared" ref="Z21" si="20">Y21+$C$4</f>
        <v>6.6666666666666666E-2</v>
      </c>
      <c r="AA21" s="5">
        <f t="shared" ref="AA21" si="21">Z21+$C$4</f>
        <v>6.9999999999999993E-2</v>
      </c>
      <c r="AB21" s="5">
        <f t="shared" ref="AB21" si="22">AA21+$C$4</f>
        <v>7.333333333333332E-2</v>
      </c>
      <c r="AC21" s="5">
        <f t="shared" ref="AC21" si="23">AB21+$C$4</f>
        <v>7.6666666666666647E-2</v>
      </c>
      <c r="AD21" s="5">
        <f t="shared" ref="AD21" si="24">AC21+$C$4</f>
        <v>7.9999999999999974E-2</v>
      </c>
      <c r="AE21" s="5">
        <f t="shared" ref="AE21" si="25">AD21+$C$4</f>
        <v>8.3333333333333301E-2</v>
      </c>
      <c r="AF21" s="5">
        <f t="shared" ref="AF21" si="26">AE21+$C$4</f>
        <v>8.6666666666666628E-2</v>
      </c>
      <c r="AG21" s="5">
        <f t="shared" ref="AG21" si="27">AF21+$C$4</f>
        <v>8.9999999999999955E-2</v>
      </c>
      <c r="AH21" s="5">
        <f t="shared" ref="AH21" si="28">AG21+$C$4</f>
        <v>9.3333333333333282E-2</v>
      </c>
      <c r="AI21" s="5">
        <f t="shared" ref="AI21" si="29">AH21+$C$4</f>
        <v>9.6666666666666609E-2</v>
      </c>
      <c r="AJ21" s="5">
        <f t="shared" ref="AJ21" si="30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299.99997766279091</v>
      </c>
      <c r="G22">
        <v>293.33331099612423</v>
      </c>
      <c r="H22">
        <v>286.6666443927748</v>
      </c>
      <c r="I22">
        <v>279.99997785256312</v>
      </c>
      <c r="J22">
        <v>273.33331137513079</v>
      </c>
      <c r="K22">
        <v>266.66664495994132</v>
      </c>
      <c r="L22">
        <v>259.99997860628196</v>
      </c>
      <c r="M22">
        <v>253.3333123132654</v>
      </c>
      <c r="N22">
        <v>246.66664607983253</v>
      </c>
      <c r="O22">
        <v>239.99997990475524</v>
      </c>
      <c r="P22">
        <v>233.33331378664016</v>
      </c>
      <c r="Q22">
        <v>226.66664772393224</v>
      </c>
      <c r="R22">
        <v>219.99998171491964</v>
      </c>
      <c r="S22">
        <v>213.33331575773801</v>
      </c>
      <c r="T22">
        <v>206.66664985037639</v>
      </c>
      <c r="U22">
        <v>199.9999839906823</v>
      </c>
      <c r="V22">
        <v>193.33331817636844</v>
      </c>
      <c r="W22">
        <v>186.66665240501857</v>
      </c>
      <c r="X22">
        <v>179.99998667409494</v>
      </c>
      <c r="Y22">
        <v>173.33332098094502</v>
      </c>
      <c r="Z22">
        <v>166.66665532280928</v>
      </c>
      <c r="AA22">
        <v>159.99998969682895</v>
      </c>
      <c r="AB22">
        <v>153.33332410005409</v>
      </c>
      <c r="AC22">
        <v>146.66665852945192</v>
      </c>
      <c r="AD22">
        <v>139.99999298191563</v>
      </c>
      <c r="AE22">
        <v>133.33332745427279</v>
      </c>
      <c r="AF22">
        <v>126.66666194329484</v>
      </c>
      <c r="AG22">
        <v>119.99999644570579</v>
      </c>
      <c r="AH22">
        <v>113.33333095819177</v>
      </c>
      <c r="AI22">
        <v>106.66666547741035</v>
      </c>
      <c r="AJ22">
        <v>100</v>
      </c>
    </row>
    <row r="24" spans="2:36" x14ac:dyDescent="0.25">
      <c r="E24" t="s">
        <v>12</v>
      </c>
      <c r="G24">
        <f>G22+(($C$10*$C$5)/($C$9*$C$8))*((H22-2*G22+F22)/($C$4^2))</f>
        <v>293.33331102778288</v>
      </c>
      <c r="H24">
        <f t="shared" ref="H24:AI24" si="31">H22+(($C$10*$C$5)/($C$9*$C$8))*((I22-2*H22+G22)/($C$4^2))</f>
        <v>286.66664442434364</v>
      </c>
      <c r="I24">
        <f t="shared" si="31"/>
        <v>279.99997788395279</v>
      </c>
      <c r="J24">
        <f t="shared" si="31"/>
        <v>273.33331140625222</v>
      </c>
      <c r="K24">
        <f t="shared" si="31"/>
        <v>266.66664499070635</v>
      </c>
      <c r="L24">
        <f t="shared" si="31"/>
        <v>259.99997863660337</v>
      </c>
      <c r="M24">
        <f t="shared" si="31"/>
        <v>253.33331234305726</v>
      </c>
      <c r="N24">
        <f t="shared" si="31"/>
        <v>246.66664610901032</v>
      </c>
      <c r="O24">
        <f t="shared" si="31"/>
        <v>239.99997993323635</v>
      </c>
      <c r="P24">
        <f t="shared" si="31"/>
        <v>233.33331381434374</v>
      </c>
      <c r="Q24">
        <f t="shared" si="31"/>
        <v>226.6666477507799</v>
      </c>
      <c r="R24">
        <f t="shared" si="31"/>
        <v>219.99998174083512</v>
      </c>
      <c r="S24">
        <f t="shared" si="31"/>
        <v>213.33331578264801</v>
      </c>
      <c r="T24">
        <f t="shared" si="31"/>
        <v>206.66664987421015</v>
      </c>
      <c r="U24">
        <f t="shared" si="31"/>
        <v>199.9999840133724</v>
      </c>
      <c r="V24">
        <f t="shared" si="31"/>
        <v>193.33331819785042</v>
      </c>
      <c r="W24">
        <f t="shared" si="31"/>
        <v>186.66665242523169</v>
      </c>
      <c r="X24">
        <f t="shared" si="31"/>
        <v>179.99998669298179</v>
      </c>
      <c r="Y24">
        <f t="shared" si="31"/>
        <v>173.33332099845211</v>
      </c>
      <c r="Z24">
        <f t="shared" si="31"/>
        <v>166.66665533888698</v>
      </c>
      <c r="AA24">
        <f t="shared" si="31"/>
        <v>159.99998971143168</v>
      </c>
      <c r="AB24">
        <f t="shared" si="31"/>
        <v>153.33332411314043</v>
      </c>
      <c r="AC24">
        <f t="shared" si="31"/>
        <v>146.66665854098486</v>
      </c>
      <c r="AD24">
        <f t="shared" si="31"/>
        <v>139.99999299186237</v>
      </c>
      <c r="AE24">
        <f t="shared" si="31"/>
        <v>133.33332746260524</v>
      </c>
      <c r="AF24">
        <f t="shared" si="31"/>
        <v>126.66666194998929</v>
      </c>
      <c r="AG24">
        <f t="shared" si="31"/>
        <v>119.99999645074331</v>
      </c>
      <c r="AH24">
        <f t="shared" si="31"/>
        <v>113.33333096155806</v>
      </c>
      <c r="AI24">
        <f t="shared" si="31"/>
        <v>106.66666547909588</v>
      </c>
    </row>
    <row r="25" spans="2:36" x14ac:dyDescent="0.25">
      <c r="E25" t="s">
        <v>13</v>
      </c>
      <c r="F25">
        <v>92000</v>
      </c>
      <c r="G25" s="6">
        <f>-$C$10*(G22-F22)/$C$4</f>
        <v>92000.000000000262</v>
      </c>
      <c r="H25" s="6">
        <f t="shared" ref="H25:AI25" si="32">-$C$10*(H22-G22)/$C$4</f>
        <v>91999.999126222086</v>
      </c>
      <c r="I25" s="6">
        <f t="shared" si="32"/>
        <v>91999.998254921171</v>
      </c>
      <c r="J25" s="6">
        <f t="shared" si="32"/>
        <v>91999.997388566146</v>
      </c>
      <c r="K25" s="6">
        <f t="shared" si="32"/>
        <v>91999.996529614655</v>
      </c>
      <c r="L25" s="6">
        <f t="shared" si="32"/>
        <v>91999.99568049924</v>
      </c>
      <c r="M25" s="6">
        <f t="shared" si="32"/>
        <v>91999.994843628549</v>
      </c>
      <c r="N25" s="6">
        <f t="shared" si="32"/>
        <v>91999.99402137351</v>
      </c>
      <c r="O25" s="6">
        <f t="shared" si="32"/>
        <v>91999.993216066679</v>
      </c>
      <c r="P25" s="6">
        <f t="shared" si="32"/>
        <v>91999.992429988022</v>
      </c>
      <c r="Q25" s="6">
        <f t="shared" si="32"/>
        <v>91999.991665369264</v>
      </c>
      <c r="R25" s="6">
        <f t="shared" si="32"/>
        <v>91999.990924373895</v>
      </c>
      <c r="S25" s="6">
        <f t="shared" si="32"/>
        <v>91999.99020910656</v>
      </c>
      <c r="T25" s="6">
        <f t="shared" si="32"/>
        <v>91999.989521590338</v>
      </c>
      <c r="U25" s="6">
        <f t="shared" si="32"/>
        <v>91999.988863778461</v>
      </c>
      <c r="V25" s="6">
        <f t="shared" si="32"/>
        <v>91999.988237531245</v>
      </c>
      <c r="W25" s="6">
        <f t="shared" si="32"/>
        <v>91999.987644628185</v>
      </c>
      <c r="X25" s="6">
        <f t="shared" si="32"/>
        <v>91999.987086746027</v>
      </c>
      <c r="Y25" s="6">
        <f t="shared" si="32"/>
        <v>91999.986565468935</v>
      </c>
      <c r="Z25" s="6">
        <f t="shared" si="32"/>
        <v>91999.98608227323</v>
      </c>
      <c r="AA25" s="6">
        <f t="shared" si="32"/>
        <v>91999.985638528538</v>
      </c>
      <c r="AB25" s="6">
        <f t="shared" si="32"/>
        <v>91999.985235493092</v>
      </c>
      <c r="AC25" s="6">
        <f t="shared" si="32"/>
        <v>91999.984874309841</v>
      </c>
      <c r="AD25" s="6">
        <f t="shared" si="32"/>
        <v>91999.984556000898</v>
      </c>
      <c r="AE25" s="6">
        <f t="shared" si="32"/>
        <v>91999.984281471116</v>
      </c>
      <c r="AF25" s="6">
        <f t="shared" si="32"/>
        <v>91999.984051495689</v>
      </c>
      <c r="AG25" s="6">
        <f t="shared" si="32"/>
        <v>91999.983866728886</v>
      </c>
      <c r="AH25" s="6">
        <f t="shared" si="32"/>
        <v>91999.983727693529</v>
      </c>
      <c r="AI25" s="6">
        <f t="shared" si="32"/>
        <v>91999.983634783552</v>
      </c>
    </row>
    <row r="29" spans="2:36" x14ac:dyDescent="0.25">
      <c r="F29" s="2">
        <v>1</v>
      </c>
      <c r="G29" s="2">
        <v>2</v>
      </c>
      <c r="H29" s="2">
        <v>3</v>
      </c>
      <c r="I29" s="2">
        <v>4</v>
      </c>
      <c r="J29" s="2">
        <v>5</v>
      </c>
      <c r="K29" s="2">
        <v>6</v>
      </c>
      <c r="L29" s="2">
        <v>7</v>
      </c>
      <c r="M29" s="2">
        <v>8</v>
      </c>
      <c r="N29" s="2">
        <v>9</v>
      </c>
      <c r="O29" s="2">
        <v>10</v>
      </c>
      <c r="P29" s="2">
        <v>11</v>
      </c>
      <c r="Q29" s="2">
        <v>12</v>
      </c>
      <c r="R29" s="2">
        <v>13</v>
      </c>
      <c r="S29" s="2">
        <v>14</v>
      </c>
      <c r="T29" s="2">
        <v>15</v>
      </c>
      <c r="U29" s="2">
        <v>16</v>
      </c>
      <c r="V29" s="2">
        <v>17</v>
      </c>
      <c r="W29" s="2">
        <v>18</v>
      </c>
      <c r="X29" s="2">
        <v>19</v>
      </c>
      <c r="Y29" s="2">
        <v>20</v>
      </c>
      <c r="Z29" s="2">
        <v>21</v>
      </c>
      <c r="AA29" s="2">
        <v>22</v>
      </c>
      <c r="AB29" s="2">
        <v>23</v>
      </c>
      <c r="AC29" s="2">
        <v>24</v>
      </c>
      <c r="AD29" s="2">
        <v>25</v>
      </c>
      <c r="AE29" s="2">
        <v>26</v>
      </c>
      <c r="AF29" s="2">
        <v>27</v>
      </c>
      <c r="AG29" s="2">
        <v>28</v>
      </c>
      <c r="AH29" s="2">
        <v>29</v>
      </c>
      <c r="AI29" s="2">
        <v>30</v>
      </c>
      <c r="AJ29" s="2">
        <v>31</v>
      </c>
    </row>
    <row r="30" spans="2:36" x14ac:dyDescent="0.25">
      <c r="B30" s="2" t="s">
        <v>11</v>
      </c>
      <c r="C30" s="3">
        <v>92000</v>
      </c>
      <c r="E30" t="s">
        <v>0</v>
      </c>
      <c r="F30" s="5">
        <v>0</v>
      </c>
      <c r="G30" s="5">
        <f>F30+$C$4</f>
        <v>3.3333333333333335E-3</v>
      </c>
      <c r="H30" s="5">
        <f t="shared" ref="H30" si="33">G30+$C$4</f>
        <v>6.6666666666666671E-3</v>
      </c>
      <c r="I30" s="5">
        <f t="shared" ref="I30" si="34">H30+$C$4</f>
        <v>0.01</v>
      </c>
      <c r="J30" s="5">
        <f t="shared" ref="J30" si="35">I30+$C$4</f>
        <v>1.3333333333333334E-2</v>
      </c>
      <c r="K30" s="5">
        <f t="shared" ref="K30" si="36">J30+$C$4</f>
        <v>1.6666666666666666E-2</v>
      </c>
      <c r="L30" s="5">
        <f t="shared" ref="L30" si="37">K30+$C$4</f>
        <v>0.02</v>
      </c>
      <c r="M30" s="5">
        <f t="shared" ref="M30" si="38">L30+$C$4</f>
        <v>2.3333333333333334E-2</v>
      </c>
      <c r="N30" s="5">
        <f t="shared" ref="N30" si="39">M30+$C$4</f>
        <v>2.6666666666666668E-2</v>
      </c>
      <c r="O30" s="5">
        <f t="shared" ref="O30" si="40">N30+$C$4</f>
        <v>3.0000000000000002E-2</v>
      </c>
      <c r="P30" s="5">
        <f t="shared" ref="P30" si="41">O30+$C$4</f>
        <v>3.3333333333333333E-2</v>
      </c>
      <c r="Q30" s="5">
        <f t="shared" ref="Q30" si="42">P30+$C$4</f>
        <v>3.6666666666666667E-2</v>
      </c>
      <c r="R30" s="5">
        <f t="shared" ref="R30" si="43">Q30+$C$4</f>
        <v>0.04</v>
      </c>
      <c r="S30" s="5">
        <f t="shared" ref="S30" si="44">R30+$C$4</f>
        <v>4.3333333333333335E-2</v>
      </c>
      <c r="T30" s="5">
        <f t="shared" ref="T30" si="45">S30+$C$4</f>
        <v>4.6666666666666669E-2</v>
      </c>
      <c r="U30" s="5">
        <f t="shared" ref="U30" si="46">T30+$C$4</f>
        <v>0.05</v>
      </c>
      <c r="V30" s="5">
        <f t="shared" ref="V30" si="47">U30+$C$4</f>
        <v>5.3333333333333337E-2</v>
      </c>
      <c r="W30" s="5">
        <f t="shared" ref="W30" si="48">V30+$C$4</f>
        <v>5.6666666666666671E-2</v>
      </c>
      <c r="X30" s="5">
        <f t="shared" ref="X30" si="49">W30+$C$4</f>
        <v>6.0000000000000005E-2</v>
      </c>
      <c r="Y30" s="5">
        <f t="shared" ref="Y30" si="50">X30+$C$4</f>
        <v>6.3333333333333339E-2</v>
      </c>
      <c r="Z30" s="5">
        <f t="shared" ref="Z30" si="51">Y30+$C$4</f>
        <v>6.6666666666666666E-2</v>
      </c>
      <c r="AA30" s="5">
        <f t="shared" ref="AA30" si="52">Z30+$C$4</f>
        <v>6.9999999999999993E-2</v>
      </c>
      <c r="AB30" s="5">
        <f t="shared" ref="AB30" si="53">AA30+$C$4</f>
        <v>7.333333333333332E-2</v>
      </c>
      <c r="AC30" s="5">
        <f t="shared" ref="AC30" si="54">AB30+$C$4</f>
        <v>7.6666666666666647E-2</v>
      </c>
      <c r="AD30" s="5">
        <f t="shared" ref="AD30" si="55">AC30+$C$4</f>
        <v>7.9999999999999974E-2</v>
      </c>
      <c r="AE30" s="5">
        <f t="shared" ref="AE30" si="56">AD30+$C$4</f>
        <v>8.3333333333333301E-2</v>
      </c>
      <c r="AF30" s="5">
        <f t="shared" ref="AF30" si="57">AE30+$C$4</f>
        <v>8.6666666666666628E-2</v>
      </c>
      <c r="AG30" s="5">
        <f t="shared" ref="AG30" si="58">AF30+$C$4</f>
        <v>8.9999999999999955E-2</v>
      </c>
      <c r="AH30" s="5">
        <f t="shared" ref="AH30" si="59">AG30+$C$4</f>
        <v>9.3333333333333282E-2</v>
      </c>
      <c r="AI30" s="5">
        <f t="shared" ref="AI30" si="60">AH30+$C$4</f>
        <v>9.6666666666666609E-2</v>
      </c>
      <c r="AJ30" s="5">
        <f t="shared" ref="AJ30" si="61">AI30+$C$4</f>
        <v>9.9999999999999936E-2</v>
      </c>
    </row>
    <row r="31" spans="2:36" x14ac:dyDescent="0.25">
      <c r="B31" s="2" t="s">
        <v>9</v>
      </c>
      <c r="C31" s="3">
        <v>100</v>
      </c>
      <c r="E31" t="s">
        <v>7</v>
      </c>
      <c r="F31">
        <f>($C$4*$C$32-$C$10*C5)/($C$4*C33)</f>
        <v>-5.6900000000000013</v>
      </c>
      <c r="G31">
        <v>-2.167000000000046</v>
      </c>
      <c r="H31">
        <v>1.3559999999999093</v>
      </c>
      <c r="I31">
        <v>4.8789999999998646</v>
      </c>
      <c r="J31">
        <v>8.4019999999998198</v>
      </c>
      <c r="K31">
        <v>11.924999999999777</v>
      </c>
      <c r="L31">
        <v>15.447999999999734</v>
      </c>
      <c r="M31">
        <v>18.970999999999691</v>
      </c>
      <c r="N31">
        <v>22.493999999999652</v>
      </c>
      <c r="O31">
        <v>26.016999999999616</v>
      </c>
      <c r="P31">
        <v>29.53999999999958</v>
      </c>
      <c r="Q31">
        <v>33.062999999999548</v>
      </c>
      <c r="R31">
        <v>36.585999999999515</v>
      </c>
      <c r="S31">
        <v>40.10899999999949</v>
      </c>
      <c r="T31">
        <v>43.631999999999465</v>
      </c>
      <c r="U31">
        <v>47.154999999999447</v>
      </c>
      <c r="V31">
        <v>50.677999999999436</v>
      </c>
      <c r="W31">
        <v>54.200999999999425</v>
      </c>
      <c r="X31">
        <v>57.723999999999421</v>
      </c>
      <c r="Y31">
        <v>61.246999999999424</v>
      </c>
      <c r="Z31">
        <v>64.769999999999428</v>
      </c>
      <c r="AA31">
        <v>68.292999999999438</v>
      </c>
      <c r="AB31">
        <v>71.815999999999462</v>
      </c>
      <c r="AC31">
        <v>75.338999999999501</v>
      </c>
      <c r="AD31">
        <v>78.86199999999954</v>
      </c>
      <c r="AE31">
        <v>82.384999999999593</v>
      </c>
      <c r="AF31">
        <v>85.90799999999966</v>
      </c>
      <c r="AG31">
        <v>89.430999999999727</v>
      </c>
      <c r="AH31">
        <v>92.953999999999809</v>
      </c>
      <c r="AI31">
        <v>96.476999999999904</v>
      </c>
      <c r="AJ31">
        <v>100</v>
      </c>
    </row>
    <row r="32" spans="2:36" x14ac:dyDescent="0.25">
      <c r="B32" t="s">
        <v>14</v>
      </c>
      <c r="C32">
        <v>290</v>
      </c>
    </row>
    <row r="33" spans="2:35" x14ac:dyDescent="0.25">
      <c r="B33" t="s">
        <v>15</v>
      </c>
      <c r="C33">
        <v>1000</v>
      </c>
      <c r="E33" t="s">
        <v>12</v>
      </c>
      <c r="G33">
        <f>G31+(($C$10*$C$5)/($C$9*$C$8))*((H31-2*G31+F31)/($C$4^2))</f>
        <v>-2.167000000000046</v>
      </c>
      <c r="H33">
        <f t="shared" ref="H33:AI33" si="62">H31+(($C$10*$C$5)/($C$9*$C$8))*((I31-2*H31+G31)/($C$4^2))</f>
        <v>1.3559999999999093</v>
      </c>
      <c r="I33">
        <f t="shared" si="62"/>
        <v>4.8789999999998646</v>
      </c>
      <c r="J33">
        <f t="shared" si="62"/>
        <v>8.4019999999998198</v>
      </c>
      <c r="K33">
        <f t="shared" si="62"/>
        <v>11.924999999999777</v>
      </c>
      <c r="L33">
        <f t="shared" si="62"/>
        <v>15.447999999999734</v>
      </c>
      <c r="M33">
        <f t="shared" si="62"/>
        <v>18.970999999999691</v>
      </c>
      <c r="N33">
        <f t="shared" si="62"/>
        <v>22.493999999999652</v>
      </c>
      <c r="O33">
        <f t="shared" si="62"/>
        <v>26.016999999999616</v>
      </c>
      <c r="P33">
        <f t="shared" si="62"/>
        <v>29.53999999999958</v>
      </c>
      <c r="Q33">
        <f t="shared" si="62"/>
        <v>33.062999999999548</v>
      </c>
      <c r="R33">
        <f t="shared" si="62"/>
        <v>36.585999999999515</v>
      </c>
      <c r="S33">
        <f t="shared" si="62"/>
        <v>40.10899999999949</v>
      </c>
      <c r="T33">
        <f t="shared" si="62"/>
        <v>43.631999999999465</v>
      </c>
      <c r="U33">
        <f t="shared" si="62"/>
        <v>47.154999999999447</v>
      </c>
      <c r="V33">
        <f t="shared" si="62"/>
        <v>50.677999999999436</v>
      </c>
      <c r="W33">
        <f t="shared" si="62"/>
        <v>54.200999999999425</v>
      </c>
      <c r="X33">
        <f t="shared" si="62"/>
        <v>57.723999999999421</v>
      </c>
      <c r="Y33">
        <f t="shared" si="62"/>
        <v>61.246999999999424</v>
      </c>
      <c r="Z33">
        <f t="shared" si="62"/>
        <v>64.769999999999428</v>
      </c>
      <c r="AA33">
        <f t="shared" si="62"/>
        <v>68.292999999999438</v>
      </c>
      <c r="AB33">
        <f t="shared" si="62"/>
        <v>71.815999999999462</v>
      </c>
      <c r="AC33">
        <f t="shared" si="62"/>
        <v>75.338999999999501</v>
      </c>
      <c r="AD33">
        <f t="shared" si="62"/>
        <v>78.86199999999954</v>
      </c>
      <c r="AE33">
        <f t="shared" si="62"/>
        <v>82.384999999999593</v>
      </c>
      <c r="AF33">
        <f t="shared" si="62"/>
        <v>85.90799999999966</v>
      </c>
      <c r="AG33">
        <f t="shared" si="62"/>
        <v>89.430999999999727</v>
      </c>
      <c r="AH33">
        <f t="shared" si="62"/>
        <v>92.953999999999809</v>
      </c>
      <c r="AI33">
        <f t="shared" si="62"/>
        <v>96.476999999999904</v>
      </c>
    </row>
    <row r="34" spans="2:35" x14ac:dyDescent="0.25">
      <c r="E34" t="s">
        <v>13</v>
      </c>
      <c r="F34">
        <v>92000</v>
      </c>
      <c r="G34" s="6">
        <f>-$C$10*(G31-F31)/$C$4</f>
        <v>-48617.399999999383</v>
      </c>
      <c r="H34" s="6">
        <f t="shared" ref="H34:AI34" si="63">-$C$10*(H31-G31)/$C$4</f>
        <v>-48617.399999999383</v>
      </c>
      <c r="I34" s="6">
        <f t="shared" si="63"/>
        <v>-48617.399999999383</v>
      </c>
      <c r="J34" s="6">
        <f t="shared" si="63"/>
        <v>-48617.399999999383</v>
      </c>
      <c r="K34" s="6">
        <f t="shared" si="63"/>
        <v>-48617.399999999405</v>
      </c>
      <c r="L34" s="6">
        <f t="shared" si="63"/>
        <v>-48617.399999999405</v>
      </c>
      <c r="M34" s="6">
        <f t="shared" si="63"/>
        <v>-48617.399999999405</v>
      </c>
      <c r="N34" s="6">
        <f t="shared" si="63"/>
        <v>-48617.399999999448</v>
      </c>
      <c r="O34" s="6">
        <f t="shared" si="63"/>
        <v>-48617.399999999499</v>
      </c>
      <c r="P34" s="6">
        <f t="shared" si="63"/>
        <v>-48617.399999999499</v>
      </c>
      <c r="Q34" s="6">
        <f t="shared" si="63"/>
        <v>-48617.39999999955</v>
      </c>
      <c r="R34" s="6">
        <f t="shared" si="63"/>
        <v>-48617.39999999955</v>
      </c>
      <c r="S34" s="6">
        <f t="shared" si="63"/>
        <v>-48617.399999999652</v>
      </c>
      <c r="T34" s="6">
        <f t="shared" si="63"/>
        <v>-48617.399999999652</v>
      </c>
      <c r="U34" s="6">
        <f t="shared" si="63"/>
        <v>-48617.399999999747</v>
      </c>
      <c r="V34" s="6">
        <f t="shared" si="63"/>
        <v>-48617.399999999841</v>
      </c>
      <c r="W34" s="6">
        <f t="shared" si="63"/>
        <v>-48617.399999999841</v>
      </c>
      <c r="X34" s="6">
        <f t="shared" si="63"/>
        <v>-48617.399999999943</v>
      </c>
      <c r="Y34" s="6">
        <f t="shared" si="63"/>
        <v>-48617.400000000045</v>
      </c>
      <c r="Z34" s="6">
        <f t="shared" si="63"/>
        <v>-48617.400000000045</v>
      </c>
      <c r="AA34" s="6">
        <f t="shared" si="63"/>
        <v>-48617.40000000014</v>
      </c>
      <c r="AB34" s="6">
        <f t="shared" si="63"/>
        <v>-48617.400000000336</v>
      </c>
      <c r="AC34" s="6">
        <f t="shared" si="63"/>
        <v>-48617.400000000533</v>
      </c>
      <c r="AD34" s="6">
        <f t="shared" si="63"/>
        <v>-48617.400000000533</v>
      </c>
      <c r="AE34" s="6">
        <f t="shared" si="63"/>
        <v>-48617.400000000729</v>
      </c>
      <c r="AF34" s="6">
        <f t="shared" si="63"/>
        <v>-48617.400000000926</v>
      </c>
      <c r="AG34" s="6">
        <f t="shared" si="63"/>
        <v>-48617.400000000926</v>
      </c>
      <c r="AH34" s="6">
        <f t="shared" si="63"/>
        <v>-48617.400000001122</v>
      </c>
      <c r="AI34" s="6">
        <f t="shared" si="63"/>
        <v>-48617.400000001318</v>
      </c>
    </row>
    <row r="37" spans="2:35" x14ac:dyDescent="0.25">
      <c r="F37">
        <f>F34/C10*C4+G31</f>
        <v>4.499666666666621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RePack by Diakov</cp:lastModifiedBy>
  <dcterms:created xsi:type="dcterms:W3CDTF">2021-02-19T10:02:37Z</dcterms:created>
  <dcterms:modified xsi:type="dcterms:W3CDTF">2021-03-03T20:30:54Z</dcterms:modified>
</cp:coreProperties>
</file>