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Хозяин\Desktop\"/>
    </mc:Choice>
  </mc:AlternateContent>
  <bookViews>
    <workbookView xWindow="0" yWindow="0" windowWidth="19200" windowHeight="11460"/>
  </bookViews>
  <sheets>
    <sheet name="Потенциальное течение" sheetId="5" r:id="rId1"/>
    <sheet name="Лист1" sheetId="4" r:id="rId2"/>
    <sheet name="2Д Неявный" sheetId="3" r:id="rId3"/>
    <sheet name="Неявный" sheetId="1" r:id="rId4"/>
    <sheet name="Явный" sheetId="2" r:id="rId5"/>
  </sheets>
  <externalReferences>
    <externalReference r:id="rId6"/>
  </externalReferences>
  <calcPr calcId="162913"/>
</workbook>
</file>

<file path=xl/calcChain.xml><?xml version="1.0" encoding="utf-8"?>
<calcChain xmlns="http://schemas.openxmlformats.org/spreadsheetml/2006/main">
  <c r="Z20" i="5" l="1"/>
  <c r="AA20" i="5"/>
  <c r="AB20" i="5"/>
  <c r="AC20" i="5"/>
  <c r="AD20" i="5"/>
  <c r="AE20" i="5"/>
  <c r="AF20" i="5"/>
  <c r="AG20" i="5"/>
  <c r="AH20" i="5"/>
  <c r="AI20" i="5"/>
  <c r="AJ20" i="5"/>
  <c r="AK20" i="5"/>
  <c r="AL20" i="5"/>
  <c r="AM20" i="5"/>
  <c r="Y20" i="5"/>
  <c r="Y22" i="5"/>
  <c r="Z21" i="5"/>
  <c r="Y21" i="5"/>
  <c r="Y10" i="5"/>
  <c r="Z19" i="5"/>
  <c r="AA19" i="5"/>
  <c r="AB19" i="5"/>
  <c r="AC19" i="5"/>
  <c r="AD19" i="5"/>
  <c r="AE19" i="5"/>
  <c r="AF19" i="5"/>
  <c r="AG19" i="5"/>
  <c r="AH19" i="5"/>
  <c r="AI19" i="5"/>
  <c r="AJ19" i="5"/>
  <c r="AK19" i="5"/>
  <c r="AL19" i="5"/>
  <c r="AM19" i="5"/>
  <c r="Y19" i="5"/>
  <c r="AB18" i="5"/>
  <c r="Z18" i="5"/>
  <c r="AA18" i="5"/>
  <c r="AC18" i="5"/>
  <c r="AD18" i="5"/>
  <c r="AE18" i="5"/>
  <c r="AF18" i="5"/>
  <c r="AG18" i="5"/>
  <c r="AH18" i="5"/>
  <c r="AI18" i="5"/>
  <c r="AJ18" i="5"/>
  <c r="AK18" i="5"/>
  <c r="AL18" i="5"/>
  <c r="AM18" i="5"/>
  <c r="Y18" i="5"/>
  <c r="Z17" i="5"/>
  <c r="AA17" i="5"/>
  <c r="AB17" i="5"/>
  <c r="AC17" i="5"/>
  <c r="AD17" i="5"/>
  <c r="AE17" i="5"/>
  <c r="AF17" i="5"/>
  <c r="AG17" i="5"/>
  <c r="AH17" i="5"/>
  <c r="AI17" i="5"/>
  <c r="AJ17" i="5"/>
  <c r="AK17" i="5"/>
  <c r="AL17" i="5"/>
  <c r="AM17" i="5"/>
  <c r="Y17" i="5"/>
  <c r="AM15" i="5"/>
  <c r="AL15" i="5"/>
  <c r="AK15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Y11" i="5"/>
  <c r="AA11" i="5"/>
  <c r="AB11" i="5"/>
  <c r="AC11" i="5"/>
  <c r="AD11" i="5"/>
  <c r="AE11" i="5"/>
  <c r="AF11" i="5"/>
  <c r="AG11" i="5"/>
  <c r="AH11" i="5"/>
  <c r="AI11" i="5"/>
  <c r="AJ11" i="5"/>
  <c r="AK11" i="5"/>
  <c r="AL11" i="5"/>
  <c r="AM11" i="5"/>
  <c r="Z11" i="5"/>
  <c r="AA10" i="5"/>
  <c r="AB10" i="5"/>
  <c r="AC10" i="5" s="1"/>
  <c r="AD10" i="5" s="1"/>
  <c r="AE10" i="5" s="1"/>
  <c r="AF10" i="5" s="1"/>
  <c r="AG10" i="5" s="1"/>
  <c r="AH10" i="5" s="1"/>
  <c r="AI10" i="5" s="1"/>
  <c r="AJ10" i="5" s="1"/>
  <c r="AK10" i="5" s="1"/>
  <c r="AL10" i="5" s="1"/>
  <c r="AM10" i="5" s="1"/>
  <c r="Z10" i="5"/>
  <c r="AM9" i="5"/>
  <c r="AI9" i="5"/>
  <c r="AJ9" i="5"/>
  <c r="AK9" i="5"/>
  <c r="AL9" i="5"/>
  <c r="AH9" i="5"/>
  <c r="AG9" i="5"/>
  <c r="AF9" i="5"/>
  <c r="AE9" i="5"/>
  <c r="AD9" i="5"/>
  <c r="Z9" i="5"/>
  <c r="AA9" i="5"/>
  <c r="AB9" i="5"/>
  <c r="AC9" i="5"/>
  <c r="Y9" i="5"/>
  <c r="AI8" i="5"/>
  <c r="AJ8" i="5"/>
  <c r="AK8" i="5"/>
  <c r="AL8" i="5"/>
  <c r="AM8" i="5"/>
  <c r="AH8" i="5"/>
  <c r="AG8" i="5"/>
  <c r="AF8" i="5"/>
  <c r="AE8" i="5"/>
  <c r="AD8" i="5"/>
  <c r="Z8" i="5"/>
  <c r="AA8" i="5"/>
  <c r="AB8" i="5"/>
  <c r="AC8" i="5"/>
  <c r="Y8" i="5"/>
  <c r="AI7" i="5"/>
  <c r="AJ7" i="5"/>
  <c r="AK7" i="5"/>
  <c r="AL7" i="5"/>
  <c r="AM7" i="5"/>
  <c r="AH7" i="5"/>
  <c r="AG7" i="5"/>
  <c r="AF7" i="5"/>
  <c r="AE7" i="5"/>
  <c r="AD7" i="5"/>
  <c r="Z7" i="5"/>
  <c r="AA7" i="5"/>
  <c r="AB7" i="5"/>
  <c r="AC7" i="5"/>
  <c r="Y7" i="5"/>
  <c r="AI6" i="5"/>
  <c r="AJ6" i="5"/>
  <c r="AK6" i="5"/>
  <c r="AL6" i="5"/>
  <c r="AM6" i="5"/>
  <c r="AH6" i="5"/>
  <c r="AG6" i="5"/>
  <c r="AF6" i="5"/>
  <c r="AE6" i="5"/>
  <c r="AD6" i="5"/>
  <c r="Z6" i="5"/>
  <c r="AA6" i="5"/>
  <c r="AB6" i="5"/>
  <c r="AC6" i="5"/>
  <c r="Y6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T85" i="5"/>
  <c r="F80" i="5"/>
  <c r="T75" i="5"/>
  <c r="T68" i="5"/>
  <c r="T58" i="5"/>
  <c r="O68" i="5"/>
  <c r="P68" i="5"/>
  <c r="Q68" i="5"/>
  <c r="R68" i="5"/>
  <c r="S68" i="5"/>
  <c r="G63" i="5"/>
  <c r="H63" i="5"/>
  <c r="I63" i="5"/>
  <c r="H58" i="5"/>
  <c r="I58" i="5"/>
  <c r="J58" i="5"/>
  <c r="K58" i="5"/>
  <c r="L58" i="5"/>
  <c r="M58" i="5"/>
  <c r="N58" i="5"/>
  <c r="O58" i="5"/>
  <c r="P58" i="5"/>
  <c r="Q58" i="5"/>
  <c r="R58" i="5"/>
  <c r="S58" i="5"/>
  <c r="G58" i="5"/>
  <c r="F63" i="5"/>
  <c r="F58" i="5"/>
  <c r="T42" i="5"/>
  <c r="T43" i="5"/>
  <c r="T44" i="5"/>
  <c r="T45" i="5"/>
  <c r="T46" i="5"/>
  <c r="T47" i="5"/>
  <c r="T48" i="5"/>
  <c r="T49" i="5"/>
  <c r="T50" i="5"/>
  <c r="T41" i="5"/>
  <c r="T51" i="5"/>
  <c r="AA21" i="5" l="1"/>
  <c r="Z22" i="5"/>
  <c r="F46" i="5"/>
  <c r="F41" i="5"/>
  <c r="F75" i="5" s="1"/>
  <c r="F42" i="5"/>
  <c r="F43" i="5"/>
  <c r="F44" i="5"/>
  <c r="F45" i="5"/>
  <c r="T86" i="5"/>
  <c r="S86" i="5"/>
  <c r="R86" i="5"/>
  <c r="Q86" i="5"/>
  <c r="P86" i="5"/>
  <c r="O86" i="5"/>
  <c r="N86" i="5"/>
  <c r="M86" i="5"/>
  <c r="L86" i="5"/>
  <c r="K86" i="5"/>
  <c r="J86" i="5"/>
  <c r="I86" i="5"/>
  <c r="H86" i="5"/>
  <c r="G86" i="5"/>
  <c r="F86" i="5"/>
  <c r="U84" i="5"/>
  <c r="E84" i="5"/>
  <c r="U83" i="5"/>
  <c r="E83" i="5"/>
  <c r="U82" i="5"/>
  <c r="E82" i="5"/>
  <c r="U81" i="5"/>
  <c r="E81" i="5"/>
  <c r="U80" i="5"/>
  <c r="E80" i="5"/>
  <c r="U79" i="5"/>
  <c r="E79" i="5"/>
  <c r="U78" i="5"/>
  <c r="E78" i="5"/>
  <c r="U77" i="5"/>
  <c r="E77" i="5"/>
  <c r="U76" i="5"/>
  <c r="E76" i="5"/>
  <c r="U75" i="5"/>
  <c r="E75" i="5"/>
  <c r="T74" i="5"/>
  <c r="S74" i="5"/>
  <c r="R74" i="5"/>
  <c r="Q74" i="5"/>
  <c r="P74" i="5"/>
  <c r="O74" i="5"/>
  <c r="N74" i="5"/>
  <c r="M74" i="5"/>
  <c r="L74" i="5"/>
  <c r="K74" i="5"/>
  <c r="J74" i="5"/>
  <c r="I74" i="5"/>
  <c r="H74" i="5"/>
  <c r="G74" i="5"/>
  <c r="F74" i="5"/>
  <c r="T69" i="5"/>
  <c r="S69" i="5"/>
  <c r="R69" i="5"/>
  <c r="Q69" i="5"/>
  <c r="P69" i="5"/>
  <c r="O69" i="5"/>
  <c r="N69" i="5"/>
  <c r="M69" i="5"/>
  <c r="L69" i="5"/>
  <c r="K69" i="5"/>
  <c r="J69" i="5"/>
  <c r="I69" i="5"/>
  <c r="H69" i="5"/>
  <c r="G69" i="5"/>
  <c r="F69" i="5"/>
  <c r="U67" i="5"/>
  <c r="E67" i="5"/>
  <c r="U66" i="5"/>
  <c r="E66" i="5"/>
  <c r="U65" i="5"/>
  <c r="E65" i="5"/>
  <c r="U64" i="5"/>
  <c r="E64" i="5"/>
  <c r="U63" i="5"/>
  <c r="E63" i="5"/>
  <c r="U62" i="5"/>
  <c r="E62" i="5"/>
  <c r="U61" i="5"/>
  <c r="E61" i="5"/>
  <c r="U60" i="5"/>
  <c r="E60" i="5"/>
  <c r="U59" i="5"/>
  <c r="E59" i="5"/>
  <c r="U58" i="5"/>
  <c r="E58" i="5"/>
  <c r="T57" i="5"/>
  <c r="S57" i="5"/>
  <c r="R57" i="5"/>
  <c r="Q57" i="5"/>
  <c r="P57" i="5"/>
  <c r="O57" i="5"/>
  <c r="N57" i="5"/>
  <c r="M57" i="5"/>
  <c r="L57" i="5"/>
  <c r="K57" i="5"/>
  <c r="J57" i="5"/>
  <c r="I57" i="5"/>
  <c r="H57" i="5"/>
  <c r="G57" i="5"/>
  <c r="F57" i="5"/>
  <c r="T52" i="5"/>
  <c r="S52" i="5"/>
  <c r="R52" i="5"/>
  <c r="Q52" i="5"/>
  <c r="P52" i="5"/>
  <c r="O52" i="5"/>
  <c r="N52" i="5"/>
  <c r="M52" i="5"/>
  <c r="L52" i="5"/>
  <c r="K52" i="5"/>
  <c r="J52" i="5"/>
  <c r="I52" i="5"/>
  <c r="H52" i="5"/>
  <c r="G52" i="5"/>
  <c r="F52" i="5"/>
  <c r="U50" i="5"/>
  <c r="E50" i="5"/>
  <c r="U49" i="5"/>
  <c r="E49" i="5"/>
  <c r="U48" i="5"/>
  <c r="E48" i="5"/>
  <c r="U47" i="5"/>
  <c r="E47" i="5"/>
  <c r="U46" i="5"/>
  <c r="E46" i="5"/>
  <c r="U45" i="5"/>
  <c r="E45" i="5"/>
  <c r="U44" i="5"/>
  <c r="E44" i="5"/>
  <c r="U43" i="5"/>
  <c r="E43" i="5"/>
  <c r="U42" i="5"/>
  <c r="E42" i="5"/>
  <c r="U41" i="5"/>
  <c r="E41" i="5"/>
  <c r="T40" i="5"/>
  <c r="S40" i="5"/>
  <c r="R40" i="5"/>
  <c r="Q40" i="5"/>
  <c r="P40" i="5"/>
  <c r="O40" i="5"/>
  <c r="N40" i="5"/>
  <c r="M40" i="5"/>
  <c r="L40" i="5"/>
  <c r="K40" i="5"/>
  <c r="J40" i="5"/>
  <c r="I40" i="5"/>
  <c r="H40" i="5"/>
  <c r="G40" i="5"/>
  <c r="F40" i="5"/>
  <c r="P15" i="5"/>
  <c r="Q15" i="5"/>
  <c r="R15" i="5"/>
  <c r="S15" i="5"/>
  <c r="T15" i="5"/>
  <c r="O15" i="5"/>
  <c r="N14" i="5"/>
  <c r="M13" i="5"/>
  <c r="L12" i="5"/>
  <c r="K11" i="5"/>
  <c r="G10" i="5"/>
  <c r="H10" i="5"/>
  <c r="I10" i="5"/>
  <c r="J10" i="5"/>
  <c r="F10" i="5"/>
  <c r="F4" i="5"/>
  <c r="G4" i="5"/>
  <c r="E5" i="5"/>
  <c r="E6" i="5"/>
  <c r="G6" i="5"/>
  <c r="F59" i="5" s="1"/>
  <c r="F76" i="5" s="1"/>
  <c r="L11" i="5"/>
  <c r="K10" i="5"/>
  <c r="L10" i="5"/>
  <c r="M10" i="5"/>
  <c r="M11" i="5"/>
  <c r="M12" i="5"/>
  <c r="N10" i="5"/>
  <c r="N11" i="5"/>
  <c r="N12" i="5"/>
  <c r="N13" i="5"/>
  <c r="O10" i="5"/>
  <c r="P10" i="5"/>
  <c r="Q10" i="5"/>
  <c r="R10" i="5"/>
  <c r="S10" i="5"/>
  <c r="O11" i="5"/>
  <c r="P11" i="5"/>
  <c r="Q11" i="5"/>
  <c r="R11" i="5"/>
  <c r="S11" i="5"/>
  <c r="O12" i="5"/>
  <c r="P12" i="5"/>
  <c r="Q12" i="5"/>
  <c r="R12" i="5"/>
  <c r="S12" i="5"/>
  <c r="O13" i="5"/>
  <c r="P13" i="5"/>
  <c r="Q13" i="5"/>
  <c r="R13" i="5"/>
  <c r="S13" i="5"/>
  <c r="O14" i="5"/>
  <c r="P14" i="5"/>
  <c r="O67" i="5" s="1"/>
  <c r="Q14" i="5"/>
  <c r="R14" i="5"/>
  <c r="S14" i="5"/>
  <c r="G7" i="5"/>
  <c r="F60" i="5" s="1"/>
  <c r="F77" i="5" s="1"/>
  <c r="H7" i="5"/>
  <c r="G60" i="5" s="1"/>
  <c r="I7" i="5"/>
  <c r="J7" i="5"/>
  <c r="K7" i="5"/>
  <c r="L7" i="5"/>
  <c r="K60" i="5" s="1"/>
  <c r="M7" i="5"/>
  <c r="N7" i="5"/>
  <c r="M60" i="5" s="1"/>
  <c r="O7" i="5"/>
  <c r="N60" i="5" s="1"/>
  <c r="P7" i="5"/>
  <c r="O60" i="5" s="1"/>
  <c r="Q7" i="5"/>
  <c r="P60" i="5" s="1"/>
  <c r="R7" i="5"/>
  <c r="S7" i="5"/>
  <c r="G8" i="5"/>
  <c r="H8" i="5"/>
  <c r="I8" i="5"/>
  <c r="J8" i="5"/>
  <c r="K8" i="5"/>
  <c r="L8" i="5"/>
  <c r="M8" i="5"/>
  <c r="N8" i="5"/>
  <c r="O8" i="5"/>
  <c r="N61" i="5" s="1"/>
  <c r="P8" i="5"/>
  <c r="O61" i="5" s="1"/>
  <c r="Q8" i="5"/>
  <c r="P61" i="5" s="1"/>
  <c r="R8" i="5"/>
  <c r="S8" i="5"/>
  <c r="G9" i="5"/>
  <c r="F62" i="5" s="1"/>
  <c r="F79" i="5" s="1"/>
  <c r="H9" i="5"/>
  <c r="G62" i="5" s="1"/>
  <c r="I9" i="5"/>
  <c r="H62" i="5" s="1"/>
  <c r="J9" i="5"/>
  <c r="K9" i="5"/>
  <c r="L9" i="5"/>
  <c r="M9" i="5"/>
  <c r="N9" i="5"/>
  <c r="O9" i="5"/>
  <c r="P9" i="5"/>
  <c r="Q9" i="5"/>
  <c r="R9" i="5"/>
  <c r="S9" i="5"/>
  <c r="H6" i="5"/>
  <c r="I6" i="5"/>
  <c r="J6" i="5"/>
  <c r="K6" i="5"/>
  <c r="L6" i="5"/>
  <c r="M6" i="5"/>
  <c r="N6" i="5"/>
  <c r="O6" i="5"/>
  <c r="P6" i="5"/>
  <c r="Q6" i="5"/>
  <c r="R6" i="5"/>
  <c r="S6" i="5"/>
  <c r="T34" i="5"/>
  <c r="S34" i="5"/>
  <c r="R34" i="5"/>
  <c r="Q34" i="5"/>
  <c r="P34" i="5"/>
  <c r="O34" i="5"/>
  <c r="N34" i="5"/>
  <c r="M34" i="5"/>
  <c r="L34" i="5"/>
  <c r="K34" i="5"/>
  <c r="J34" i="5"/>
  <c r="I34" i="5"/>
  <c r="H34" i="5"/>
  <c r="G34" i="5"/>
  <c r="F34" i="5"/>
  <c r="U32" i="5"/>
  <c r="E32" i="5"/>
  <c r="U31" i="5"/>
  <c r="E31" i="5"/>
  <c r="U30" i="5"/>
  <c r="E30" i="5"/>
  <c r="U29" i="5"/>
  <c r="E29" i="5"/>
  <c r="U28" i="5"/>
  <c r="E28" i="5"/>
  <c r="U27" i="5"/>
  <c r="E27" i="5"/>
  <c r="U26" i="5"/>
  <c r="E26" i="5"/>
  <c r="U25" i="5"/>
  <c r="E25" i="5"/>
  <c r="U24" i="5"/>
  <c r="E24" i="5"/>
  <c r="U23" i="5"/>
  <c r="E23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B6" i="5"/>
  <c r="T14" i="5" s="1"/>
  <c r="T13" i="5" s="1"/>
  <c r="T12" i="5" s="1"/>
  <c r="T11" i="5" s="1"/>
  <c r="T10" i="5" s="1"/>
  <c r="T9" i="5" s="1"/>
  <c r="T8" i="5" s="1"/>
  <c r="T7" i="5" s="1"/>
  <c r="T6" i="5" s="1"/>
  <c r="T5" i="5" s="1"/>
  <c r="F9" i="5"/>
  <c r="F8" i="5" s="1"/>
  <c r="F7" i="5" s="1"/>
  <c r="F6" i="5" s="1"/>
  <c r="F5" i="5" s="1"/>
  <c r="G5" i="5" s="1"/>
  <c r="H5" i="5" s="1"/>
  <c r="I5" i="5" s="1"/>
  <c r="J5" i="5" s="1"/>
  <c r="K5" i="5" s="1"/>
  <c r="L5" i="5" s="1"/>
  <c r="M5" i="5" s="1"/>
  <c r="N5" i="5" s="1"/>
  <c r="O5" i="5" s="1"/>
  <c r="P5" i="5" s="1"/>
  <c r="Q5" i="5" s="1"/>
  <c r="R5" i="5" s="1"/>
  <c r="S5" i="5" s="1"/>
  <c r="U5" i="5"/>
  <c r="U6" i="5"/>
  <c r="U7" i="5"/>
  <c r="U8" i="5"/>
  <c r="U9" i="5"/>
  <c r="U10" i="5"/>
  <c r="U11" i="5"/>
  <c r="U12" i="5"/>
  <c r="U13" i="5"/>
  <c r="U14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F16" i="5"/>
  <c r="H4" i="5"/>
  <c r="I4" i="5"/>
  <c r="J4" i="5"/>
  <c r="K4" i="5"/>
  <c r="L4" i="5"/>
  <c r="M4" i="5"/>
  <c r="N4" i="5"/>
  <c r="O4" i="5"/>
  <c r="P4" i="5"/>
  <c r="Q4" i="5"/>
  <c r="R4" i="5"/>
  <c r="S4" i="5"/>
  <c r="T4" i="5"/>
  <c r="E7" i="5"/>
  <c r="E8" i="5"/>
  <c r="E9" i="5"/>
  <c r="E10" i="5"/>
  <c r="E11" i="5"/>
  <c r="E12" i="5"/>
  <c r="E13" i="5"/>
  <c r="E14" i="5"/>
  <c r="AA22" i="5" l="1"/>
  <c r="AB21" i="5"/>
  <c r="L61" i="5"/>
  <c r="M61" i="5"/>
  <c r="J60" i="5"/>
  <c r="M63" i="5"/>
  <c r="M62" i="5"/>
  <c r="I60" i="5"/>
  <c r="M64" i="5"/>
  <c r="O59" i="5"/>
  <c r="L62" i="5"/>
  <c r="P59" i="5"/>
  <c r="L63" i="5"/>
  <c r="N62" i="5"/>
  <c r="K61" i="5"/>
  <c r="J61" i="5"/>
  <c r="H60" i="5"/>
  <c r="N65" i="5"/>
  <c r="T60" i="5"/>
  <c r="T77" i="5" s="1"/>
  <c r="R60" i="5"/>
  <c r="M43" i="5"/>
  <c r="M77" i="5" s="1"/>
  <c r="L59" i="5"/>
  <c r="O51" i="5"/>
  <c r="O85" i="5" s="1"/>
  <c r="N67" i="5"/>
  <c r="Q50" i="5"/>
  <c r="P66" i="5"/>
  <c r="O47" i="5"/>
  <c r="N63" i="5"/>
  <c r="L60" i="5"/>
  <c r="O50" i="5"/>
  <c r="O84" i="5" s="1"/>
  <c r="N66" i="5"/>
  <c r="N50" i="5"/>
  <c r="M66" i="5"/>
  <c r="K43" i="5"/>
  <c r="K77" i="5" s="1"/>
  <c r="J59" i="5"/>
  <c r="Q47" i="5"/>
  <c r="P63" i="5"/>
  <c r="Q61" i="5"/>
  <c r="S61" i="5"/>
  <c r="R46" i="5"/>
  <c r="S62" i="5"/>
  <c r="Q62" i="5"/>
  <c r="S49" i="5"/>
  <c r="R65" i="5"/>
  <c r="T65" i="5"/>
  <c r="T82" i="5" s="1"/>
  <c r="N49" i="5"/>
  <c r="M65" i="5"/>
  <c r="O48" i="5"/>
  <c r="N64" i="5"/>
  <c r="S50" i="5"/>
  <c r="R66" i="5"/>
  <c r="T66" i="5"/>
  <c r="T83" i="5" s="1"/>
  <c r="I43" i="5"/>
  <c r="H59" i="5"/>
  <c r="H43" i="5"/>
  <c r="G59" i="5"/>
  <c r="Q49" i="5"/>
  <c r="P65" i="5"/>
  <c r="R47" i="5"/>
  <c r="S63" i="5"/>
  <c r="Q63" i="5"/>
  <c r="R50" i="5"/>
  <c r="Q66" i="5"/>
  <c r="S66" i="5"/>
  <c r="P50" i="5"/>
  <c r="O66" i="5"/>
  <c r="O65" i="5"/>
  <c r="M49" i="5"/>
  <c r="L65" i="5"/>
  <c r="Q60" i="5"/>
  <c r="S60" i="5"/>
  <c r="P46" i="5"/>
  <c r="O62" i="5"/>
  <c r="S59" i="5"/>
  <c r="Q59" i="5"/>
  <c r="M48" i="5"/>
  <c r="L64" i="5"/>
  <c r="S47" i="5"/>
  <c r="T63" i="5"/>
  <c r="T80" i="5" s="1"/>
  <c r="R63" i="5"/>
  <c r="P47" i="5"/>
  <c r="O63" i="5"/>
  <c r="S46" i="5"/>
  <c r="R62" i="5"/>
  <c r="T62" i="5"/>
  <c r="T79" i="5" s="1"/>
  <c r="Q46" i="5"/>
  <c r="P62" i="5"/>
  <c r="I45" i="5"/>
  <c r="H61" i="5"/>
  <c r="L47" i="5"/>
  <c r="K63" i="5"/>
  <c r="R61" i="5"/>
  <c r="T61" i="5"/>
  <c r="T78" i="5" s="1"/>
  <c r="J45" i="5"/>
  <c r="I61" i="5"/>
  <c r="L46" i="5"/>
  <c r="K62" i="5"/>
  <c r="Q64" i="5"/>
  <c r="S64" i="5"/>
  <c r="N59" i="5"/>
  <c r="K46" i="5"/>
  <c r="J62" i="5"/>
  <c r="H45" i="5"/>
  <c r="H79" i="5" s="1"/>
  <c r="G61" i="5"/>
  <c r="Q67" i="5"/>
  <c r="S67" i="5"/>
  <c r="P64" i="5"/>
  <c r="K47" i="5"/>
  <c r="J63" i="5"/>
  <c r="L43" i="5"/>
  <c r="K59" i="5"/>
  <c r="J43" i="5"/>
  <c r="J77" i="5" s="1"/>
  <c r="I59" i="5"/>
  <c r="S65" i="5"/>
  <c r="Q65" i="5"/>
  <c r="T59" i="5"/>
  <c r="T76" i="5" s="1"/>
  <c r="R59" i="5"/>
  <c r="T64" i="5"/>
  <c r="T81" i="5" s="1"/>
  <c r="R64" i="5"/>
  <c r="R67" i="5"/>
  <c r="T67" i="5"/>
  <c r="T84" i="5" s="1"/>
  <c r="M59" i="5"/>
  <c r="I62" i="5"/>
  <c r="G45" i="5"/>
  <c r="G79" i="5" s="1"/>
  <c r="F61" i="5"/>
  <c r="F78" i="5" s="1"/>
  <c r="P67" i="5"/>
  <c r="O64" i="5"/>
  <c r="L48" i="5"/>
  <c r="K64" i="5"/>
  <c r="L45" i="5"/>
  <c r="L79" i="5" s="1"/>
  <c r="R49" i="5"/>
  <c r="K45" i="5"/>
  <c r="N45" i="5"/>
  <c r="M45" i="5"/>
  <c r="M79" i="5" s="1"/>
  <c r="M46" i="5"/>
  <c r="S44" i="5"/>
  <c r="S42" i="5"/>
  <c r="P45" i="5"/>
  <c r="R44" i="5"/>
  <c r="R42" i="5"/>
  <c r="P44" i="5"/>
  <c r="P78" i="5" s="1"/>
  <c r="P42" i="5"/>
  <c r="P76" i="5" s="1"/>
  <c r="Q45" i="5"/>
  <c r="Q44" i="5"/>
  <c r="Q42" i="5"/>
  <c r="O42" i="5"/>
  <c r="O76" i="5" s="1"/>
  <c r="O44" i="5"/>
  <c r="O78" i="5" s="1"/>
  <c r="K42" i="5"/>
  <c r="K44" i="5"/>
  <c r="N47" i="5"/>
  <c r="I42" i="5"/>
  <c r="I44" i="5"/>
  <c r="P49" i="5"/>
  <c r="M44" i="5"/>
  <c r="M78" i="5" s="1"/>
  <c r="M42" i="5"/>
  <c r="N48" i="5"/>
  <c r="J44" i="5"/>
  <c r="J42" i="5"/>
  <c r="N46" i="5"/>
  <c r="H42" i="5"/>
  <c r="H44" i="5"/>
  <c r="O49" i="5"/>
  <c r="G41" i="5"/>
  <c r="G75" i="5" s="1"/>
  <c r="G43" i="5"/>
  <c r="G77" i="5" s="1"/>
  <c r="R45" i="5"/>
  <c r="N44" i="5"/>
  <c r="N78" i="5" s="1"/>
  <c r="N42" i="5"/>
  <c r="O45" i="5"/>
  <c r="O46" i="5"/>
  <c r="G42" i="5"/>
  <c r="G44" i="5"/>
  <c r="S48" i="5"/>
  <c r="M47" i="5"/>
  <c r="M81" i="5" s="1"/>
  <c r="R48" i="5"/>
  <c r="S45" i="5"/>
  <c r="R43" i="5"/>
  <c r="P43" i="5"/>
  <c r="P77" i="5" s="1"/>
  <c r="Q48" i="5"/>
  <c r="L42" i="5"/>
  <c r="L44" i="5"/>
  <c r="L78" i="5" s="1"/>
  <c r="S43" i="5"/>
  <c r="Q43" i="5"/>
  <c r="O43" i="5"/>
  <c r="O77" i="5" s="1"/>
  <c r="N43" i="5"/>
  <c r="N77" i="5" s="1"/>
  <c r="P48" i="5"/>
  <c r="R51" i="5"/>
  <c r="R85" i="5" s="1"/>
  <c r="S51" i="5"/>
  <c r="S85" i="5" s="1"/>
  <c r="Q51" i="5"/>
  <c r="Q85" i="5" s="1"/>
  <c r="P51" i="5"/>
  <c r="P85" i="5" s="1"/>
  <c r="I46" i="5"/>
  <c r="I80" i="5" s="1"/>
  <c r="J46" i="5"/>
  <c r="H46" i="5"/>
  <c r="H80" i="5" s="1"/>
  <c r="G46" i="5"/>
  <c r="G80" i="5" s="1"/>
  <c r="S41" i="5"/>
  <c r="S75" i="5" s="1"/>
  <c r="P41" i="5"/>
  <c r="P75" i="5" s="1"/>
  <c r="R41" i="5"/>
  <c r="R75" i="5" s="1"/>
  <c r="M41" i="5"/>
  <c r="M75" i="5" s="1"/>
  <c r="K41" i="5"/>
  <c r="K75" i="5" s="1"/>
  <c r="O41" i="5"/>
  <c r="O75" i="5" s="1"/>
  <c r="N41" i="5"/>
  <c r="N75" i="5" s="1"/>
  <c r="L41" i="5"/>
  <c r="L75" i="5" s="1"/>
  <c r="J41" i="5"/>
  <c r="J75" i="5" s="1"/>
  <c r="Q41" i="5"/>
  <c r="Q75" i="5" s="1"/>
  <c r="I41" i="5"/>
  <c r="I75" i="5" s="1"/>
  <c r="H41" i="5"/>
  <c r="H75" i="5" s="1"/>
  <c r="BC138" i="4"/>
  <c r="BD138" i="4"/>
  <c r="BE138" i="4"/>
  <c r="BF138" i="4"/>
  <c r="BG138" i="4"/>
  <c r="BH138" i="4"/>
  <c r="BI138" i="4"/>
  <c r="BJ138" i="4"/>
  <c r="BK138" i="4"/>
  <c r="BL138" i="4"/>
  <c r="BM138" i="4"/>
  <c r="BN138" i="4"/>
  <c r="BO138" i="4"/>
  <c r="DC186" i="4"/>
  <c r="CT178" i="4"/>
  <c r="CT179" i="4" s="1"/>
  <c r="CT180" i="4" s="1"/>
  <c r="CT181" i="4" s="1"/>
  <c r="CT182" i="4" s="1"/>
  <c r="CT183" i="4" s="1"/>
  <c r="CT184" i="4" s="1"/>
  <c r="CT185" i="4" s="1"/>
  <c r="CT186" i="4" s="1"/>
  <c r="CT187" i="4" s="1"/>
  <c r="CT188" i="4" s="1"/>
  <c r="CT189" i="4" s="1"/>
  <c r="CT190" i="4" s="1"/>
  <c r="CT191" i="4" s="1"/>
  <c r="CT192" i="4" s="1"/>
  <c r="CU177" i="4"/>
  <c r="CU178" i="4" s="1"/>
  <c r="CU179" i="4" s="1"/>
  <c r="CU180" i="4" s="1"/>
  <c r="CU181" i="4" s="1"/>
  <c r="CU182" i="4" s="1"/>
  <c r="CU183" i="4" s="1"/>
  <c r="CU184" i="4" s="1"/>
  <c r="CU185" i="4" s="1"/>
  <c r="CU186" i="4" s="1"/>
  <c r="CU187" i="4" s="1"/>
  <c r="CU188" i="4" s="1"/>
  <c r="CU189" i="4" s="1"/>
  <c r="CU190" i="4" s="1"/>
  <c r="CU191" i="4" s="1"/>
  <c r="CV177" i="4"/>
  <c r="CW177" i="4"/>
  <c r="CV178" i="4"/>
  <c r="CV179" i="4" s="1"/>
  <c r="CV180" i="4" s="1"/>
  <c r="CV181" i="4" s="1"/>
  <c r="CV182" i="4" s="1"/>
  <c r="CV183" i="4" s="1"/>
  <c r="CV184" i="4" s="1"/>
  <c r="CV185" i="4" s="1"/>
  <c r="CV186" i="4" s="1"/>
  <c r="CV187" i="4" s="1"/>
  <c r="CV188" i="4" s="1"/>
  <c r="CV189" i="4" s="1"/>
  <c r="CV190" i="4" s="1"/>
  <c r="CV191" i="4" s="1"/>
  <c r="CW178" i="4"/>
  <c r="CW179" i="4" s="1"/>
  <c r="CW180" i="4" s="1"/>
  <c r="CW181" i="4" s="1"/>
  <c r="CW182" i="4" s="1"/>
  <c r="CW183" i="4" s="1"/>
  <c r="CW184" i="4" s="1"/>
  <c r="CW185" i="4" s="1"/>
  <c r="CW186" i="4" s="1"/>
  <c r="CW187" i="4" s="1"/>
  <c r="CW188" i="4" s="1"/>
  <c r="CW189" i="4" s="1"/>
  <c r="CW190" i="4" s="1"/>
  <c r="CW191" i="4" s="1"/>
  <c r="CX178" i="4"/>
  <c r="CX179" i="4" s="1"/>
  <c r="CX180" i="4" s="1"/>
  <c r="CX181" i="4" s="1"/>
  <c r="CX182" i="4" s="1"/>
  <c r="CX183" i="4" s="1"/>
  <c r="CX184" i="4" s="1"/>
  <c r="CX185" i="4" s="1"/>
  <c r="CX186" i="4" s="1"/>
  <c r="CX187" i="4" s="1"/>
  <c r="CX188" i="4" s="1"/>
  <c r="CX189" i="4" s="1"/>
  <c r="CX190" i="4" s="1"/>
  <c r="CX191" i="4" s="1"/>
  <c r="CX192" i="4" s="1"/>
  <c r="CS181" i="4"/>
  <c r="CS182" i="4" s="1"/>
  <c r="CS183" i="4" s="1"/>
  <c r="CS184" i="4" s="1"/>
  <c r="CS185" i="4" s="1"/>
  <c r="CS186" i="4" s="1"/>
  <c r="CS187" i="4" s="1"/>
  <c r="CS188" i="4" s="1"/>
  <c r="CS189" i="4" s="1"/>
  <c r="CS190" i="4" s="1"/>
  <c r="CS191" i="4" s="1"/>
  <c r="CS192" i="4" s="1"/>
  <c r="CY181" i="4"/>
  <c r="CY182" i="4" s="1"/>
  <c r="CY183" i="4" s="1"/>
  <c r="CY184" i="4" s="1"/>
  <c r="CY185" i="4" s="1"/>
  <c r="CY186" i="4" s="1"/>
  <c r="CY187" i="4" s="1"/>
  <c r="CY188" i="4" s="1"/>
  <c r="CY189" i="4" s="1"/>
  <c r="CY190" i="4" s="1"/>
  <c r="CY191" i="4" s="1"/>
  <c r="CY192" i="4" s="1"/>
  <c r="CR183" i="4"/>
  <c r="CR184" i="4" s="1"/>
  <c r="CR185" i="4" s="1"/>
  <c r="CR186" i="4" s="1"/>
  <c r="CR187" i="4" s="1"/>
  <c r="CR188" i="4" s="1"/>
  <c r="CR189" i="4" s="1"/>
  <c r="CR190" i="4" s="1"/>
  <c r="CR191" i="4" s="1"/>
  <c r="CR192" i="4" s="1"/>
  <c r="CZ183" i="4"/>
  <c r="CZ184" i="4" s="1"/>
  <c r="CZ185" i="4" s="1"/>
  <c r="CZ186" i="4" s="1"/>
  <c r="CZ187" i="4" s="1"/>
  <c r="CZ188" i="4" s="1"/>
  <c r="CZ189" i="4" s="1"/>
  <c r="CZ190" i="4" s="1"/>
  <c r="CZ191" i="4" s="1"/>
  <c r="CZ192" i="4" s="1"/>
  <c r="CQ185" i="4"/>
  <c r="CQ186" i="4" s="1"/>
  <c r="CQ187" i="4" s="1"/>
  <c r="CQ188" i="4" s="1"/>
  <c r="CQ189" i="4" s="1"/>
  <c r="CQ190" i="4" s="1"/>
  <c r="CQ191" i="4" s="1"/>
  <c r="CQ192" i="4" s="1"/>
  <c r="DA185" i="4"/>
  <c r="DA186" i="4" s="1"/>
  <c r="DA187" i="4" s="1"/>
  <c r="DA188" i="4" s="1"/>
  <c r="DA189" i="4" s="1"/>
  <c r="DA190" i="4" s="1"/>
  <c r="DA191" i="4" s="1"/>
  <c r="DA192" i="4" s="1"/>
  <c r="CP186" i="4"/>
  <c r="DB186" i="4"/>
  <c r="DB187" i="4" s="1"/>
  <c r="DB188" i="4" s="1"/>
  <c r="DB189" i="4" s="1"/>
  <c r="DB190" i="4" s="1"/>
  <c r="DB191" i="4" s="1"/>
  <c r="DB192" i="4" s="1"/>
  <c r="CM188" i="4"/>
  <c r="CM189" i="4" s="1"/>
  <c r="CM190" i="4" s="1"/>
  <c r="CM191" i="4" s="1"/>
  <c r="CM192" i="4" s="1"/>
  <c r="CN188" i="4"/>
  <c r="CN189" i="4" s="1"/>
  <c r="CN190" i="4" s="1"/>
  <c r="CN191" i="4" s="1"/>
  <c r="CN192" i="4" s="1"/>
  <c r="CO187" i="4"/>
  <c r="CP187" i="4"/>
  <c r="CP188" i="4" s="1"/>
  <c r="CP189" i="4" s="1"/>
  <c r="CP190" i="4" s="1"/>
  <c r="CP191" i="4" s="1"/>
  <c r="CP192" i="4" s="1"/>
  <c r="DC187" i="4"/>
  <c r="DC188" i="4" s="1"/>
  <c r="DC189" i="4" s="1"/>
  <c r="DC190" i="4" s="1"/>
  <c r="DC191" i="4" s="1"/>
  <c r="DC192" i="4" s="1"/>
  <c r="DD188" i="4"/>
  <c r="DD189" i="4" s="1"/>
  <c r="DD190" i="4" s="1"/>
  <c r="DD191" i="4" s="1"/>
  <c r="DD192" i="4" s="1"/>
  <c r="CO188" i="4"/>
  <c r="CO189" i="4" s="1"/>
  <c r="CO190" i="4" s="1"/>
  <c r="CO191" i="4" s="1"/>
  <c r="CO192" i="4" s="1"/>
  <c r="DE188" i="4"/>
  <c r="DE189" i="4" s="1"/>
  <c r="DE190" i="4" s="1"/>
  <c r="DE191" i="4" s="1"/>
  <c r="DE192" i="4" s="1"/>
  <c r="CK189" i="4"/>
  <c r="CK190" i="4" s="1"/>
  <c r="CK191" i="4" s="1"/>
  <c r="CK192" i="4" s="1"/>
  <c r="CL189" i="4"/>
  <c r="CL190" i="4" s="1"/>
  <c r="CL191" i="4" s="1"/>
  <c r="CL192" i="4" s="1"/>
  <c r="DF189" i="4"/>
  <c r="DF190" i="4" s="1"/>
  <c r="DF191" i="4" s="1"/>
  <c r="DF192" i="4" s="1"/>
  <c r="DG189" i="4"/>
  <c r="DG190" i="4" s="1"/>
  <c r="DG191" i="4" s="1"/>
  <c r="DG192" i="4" s="1"/>
  <c r="CJ190" i="4"/>
  <c r="CJ191" i="4" s="1"/>
  <c r="CJ192" i="4" s="1"/>
  <c r="DH190" i="4"/>
  <c r="DH191" i="4"/>
  <c r="DH192" i="4" s="1"/>
  <c r="DI192" i="4"/>
  <c r="CI192" i="4"/>
  <c r="CU149" i="4"/>
  <c r="CU150" i="4" s="1"/>
  <c r="CU151" i="4" s="1"/>
  <c r="CU152" i="4" s="1"/>
  <c r="CU153" i="4" s="1"/>
  <c r="CU154" i="4" s="1"/>
  <c r="CU155" i="4" s="1"/>
  <c r="CU156" i="4" s="1"/>
  <c r="CU157" i="4" s="1"/>
  <c r="CU158" i="4" s="1"/>
  <c r="CU159" i="4" s="1"/>
  <c r="CU160" i="4" s="1"/>
  <c r="CU161" i="4" s="1"/>
  <c r="CU162" i="4" s="1"/>
  <c r="CU163" i="4" s="1"/>
  <c r="CU164" i="4" s="1"/>
  <c r="CU165" i="4" s="1"/>
  <c r="CU166" i="4" s="1"/>
  <c r="CU167" i="4" s="1"/>
  <c r="CU168" i="4" s="1"/>
  <c r="CU169" i="4" s="1"/>
  <c r="CU170" i="4" s="1"/>
  <c r="CU171" i="4" s="1"/>
  <c r="CU172" i="4" s="1"/>
  <c r="CU173" i="4" s="1"/>
  <c r="CU174" i="4" s="1"/>
  <c r="CU175" i="4" s="1"/>
  <c r="CU176" i="4" s="1"/>
  <c r="CV149" i="4"/>
  <c r="CW149" i="4"/>
  <c r="CV150" i="4"/>
  <c r="CW150" i="4"/>
  <c r="CW151" i="4" s="1"/>
  <c r="CW152" i="4" s="1"/>
  <c r="CW153" i="4" s="1"/>
  <c r="CW154" i="4" s="1"/>
  <c r="CW155" i="4" s="1"/>
  <c r="CW156" i="4" s="1"/>
  <c r="CW157" i="4" s="1"/>
  <c r="CW158" i="4" s="1"/>
  <c r="CW159" i="4" s="1"/>
  <c r="CW160" i="4" s="1"/>
  <c r="CW161" i="4" s="1"/>
  <c r="CW162" i="4" s="1"/>
  <c r="CW163" i="4" s="1"/>
  <c r="CW164" i="4" s="1"/>
  <c r="CW165" i="4" s="1"/>
  <c r="CW166" i="4" s="1"/>
  <c r="CW167" i="4" s="1"/>
  <c r="CW168" i="4" s="1"/>
  <c r="CW169" i="4" s="1"/>
  <c r="CW170" i="4" s="1"/>
  <c r="CW171" i="4" s="1"/>
  <c r="CW172" i="4" s="1"/>
  <c r="CW173" i="4" s="1"/>
  <c r="CW174" i="4" s="1"/>
  <c r="CW175" i="4" s="1"/>
  <c r="CW176" i="4" s="1"/>
  <c r="CV151" i="4"/>
  <c r="CV152" i="4" s="1"/>
  <c r="CV153" i="4" s="1"/>
  <c r="CV154" i="4" s="1"/>
  <c r="CV155" i="4" s="1"/>
  <c r="CV156" i="4" s="1"/>
  <c r="CV157" i="4" s="1"/>
  <c r="CV158" i="4" s="1"/>
  <c r="CV159" i="4" s="1"/>
  <c r="CV160" i="4" s="1"/>
  <c r="CV161" i="4" s="1"/>
  <c r="CV162" i="4" s="1"/>
  <c r="CV163" i="4" s="1"/>
  <c r="CV164" i="4" s="1"/>
  <c r="CV165" i="4" s="1"/>
  <c r="CV166" i="4" s="1"/>
  <c r="CV167" i="4" s="1"/>
  <c r="CV168" i="4" s="1"/>
  <c r="CV169" i="4" s="1"/>
  <c r="CV170" i="4" s="1"/>
  <c r="CV171" i="4" s="1"/>
  <c r="CV172" i="4" s="1"/>
  <c r="CV173" i="4" s="1"/>
  <c r="CV174" i="4" s="1"/>
  <c r="CV175" i="4" s="1"/>
  <c r="CV176" i="4" s="1"/>
  <c r="CT147" i="4"/>
  <c r="CT148" i="4" s="1"/>
  <c r="CU147" i="4"/>
  <c r="CU148" i="4" s="1"/>
  <c r="CV147" i="4"/>
  <c r="CW147" i="4"/>
  <c r="CX147" i="4"/>
  <c r="CX148" i="4" s="1"/>
  <c r="CV148" i="4"/>
  <c r="CW148" i="4"/>
  <c r="CS146" i="4"/>
  <c r="CT146" i="4"/>
  <c r="CU146" i="4"/>
  <c r="CV146" i="4"/>
  <c r="CW146" i="4"/>
  <c r="CX146" i="4"/>
  <c r="CY146" i="4"/>
  <c r="CR145" i="4"/>
  <c r="CS145" i="4"/>
  <c r="CT145" i="4"/>
  <c r="CU145" i="4"/>
  <c r="CV145" i="4"/>
  <c r="CW145" i="4"/>
  <c r="CX145" i="4"/>
  <c r="CY145" i="4"/>
  <c r="CZ145" i="4"/>
  <c r="CQ143" i="4"/>
  <c r="CQ144" i="4" s="1"/>
  <c r="CR143" i="4"/>
  <c r="CS143" i="4"/>
  <c r="CT143" i="4"/>
  <c r="CU143" i="4"/>
  <c r="CV143" i="4"/>
  <c r="CW143" i="4"/>
  <c r="CX143" i="4"/>
  <c r="CX144" i="4" s="1"/>
  <c r="CY143" i="4"/>
  <c r="CY144" i="4" s="1"/>
  <c r="CZ143" i="4"/>
  <c r="DA143" i="4"/>
  <c r="CR144" i="4"/>
  <c r="CS144" i="4"/>
  <c r="CT144" i="4"/>
  <c r="CU144" i="4"/>
  <c r="CV144" i="4"/>
  <c r="CW144" i="4"/>
  <c r="CZ144" i="4"/>
  <c r="DA144" i="4"/>
  <c r="CP140" i="4"/>
  <c r="CP141" i="4" s="1"/>
  <c r="CP142" i="4" s="1"/>
  <c r="CQ140" i="4"/>
  <c r="CQ141" i="4" s="1"/>
  <c r="CQ142" i="4" s="1"/>
  <c r="CR140" i="4"/>
  <c r="CS140" i="4"/>
  <c r="CT140" i="4"/>
  <c r="CU140" i="4"/>
  <c r="CU141" i="4" s="1"/>
  <c r="CU142" i="4" s="1"/>
  <c r="CV140" i="4"/>
  <c r="CW140" i="4"/>
  <c r="CW141" i="4" s="1"/>
  <c r="CW142" i="4" s="1"/>
  <c r="CX140" i="4"/>
  <c r="CX141" i="4" s="1"/>
  <c r="CX142" i="4" s="1"/>
  <c r="CY140" i="4"/>
  <c r="CY141" i="4" s="1"/>
  <c r="CY142" i="4" s="1"/>
  <c r="CZ140" i="4"/>
  <c r="DA140" i="4"/>
  <c r="DB140" i="4"/>
  <c r="CR141" i="4"/>
  <c r="CR142" i="4" s="1"/>
  <c r="CS141" i="4"/>
  <c r="CS142" i="4" s="1"/>
  <c r="CT141" i="4"/>
  <c r="CT142" i="4" s="1"/>
  <c r="CV141" i="4"/>
  <c r="CZ141" i="4"/>
  <c r="CZ142" i="4" s="1"/>
  <c r="DA141" i="4"/>
  <c r="DA142" i="4" s="1"/>
  <c r="DB141" i="4"/>
  <c r="DB142" i="4" s="1"/>
  <c r="CV142" i="4"/>
  <c r="CQ139" i="4"/>
  <c r="CR139" i="4"/>
  <c r="CS139" i="4"/>
  <c r="CT139" i="4"/>
  <c r="CU139" i="4"/>
  <c r="CV139" i="4"/>
  <c r="CW139" i="4"/>
  <c r="CX139" i="4"/>
  <c r="CY139" i="4"/>
  <c r="CZ139" i="4"/>
  <c r="DA139" i="4"/>
  <c r="DB139" i="4"/>
  <c r="CP139" i="4"/>
  <c r="DC122" i="4"/>
  <c r="DB121" i="4"/>
  <c r="DB122" i="4"/>
  <c r="DA120" i="4"/>
  <c r="DA121" i="4"/>
  <c r="DA122" i="4"/>
  <c r="CZ118" i="4"/>
  <c r="CZ119" i="4"/>
  <c r="CZ120" i="4"/>
  <c r="CZ121" i="4"/>
  <c r="CZ122" i="4"/>
  <c r="CY116" i="4"/>
  <c r="CY117" i="4"/>
  <c r="CY118" i="4"/>
  <c r="CY119" i="4"/>
  <c r="CY120" i="4"/>
  <c r="CY121" i="4"/>
  <c r="CY122" i="4"/>
  <c r="CX113" i="4"/>
  <c r="CX114" i="4"/>
  <c r="CX115" i="4"/>
  <c r="CX116" i="4"/>
  <c r="CX117" i="4"/>
  <c r="CX118" i="4"/>
  <c r="CX119" i="4"/>
  <c r="CX120" i="4"/>
  <c r="CX121" i="4"/>
  <c r="CX122" i="4"/>
  <c r="CR120" i="4"/>
  <c r="CS120" i="4" s="1"/>
  <c r="CT120" i="4" s="1"/>
  <c r="CU120" i="4" s="1"/>
  <c r="CV120" i="4" s="1"/>
  <c r="CW120" i="4" s="1"/>
  <c r="CQ121" i="4"/>
  <c r="CR121" i="4" s="1"/>
  <c r="CS121" i="4" s="1"/>
  <c r="CT121" i="4" s="1"/>
  <c r="CU121" i="4" s="1"/>
  <c r="CV121" i="4" s="1"/>
  <c r="CW121" i="4" s="1"/>
  <c r="CS118" i="4"/>
  <c r="CT118" i="4" s="1"/>
  <c r="CU118" i="4" s="1"/>
  <c r="CV118" i="4" s="1"/>
  <c r="CW118" i="4" s="1"/>
  <c r="CS119" i="4"/>
  <c r="CT119" i="4" s="1"/>
  <c r="CU119" i="4" s="1"/>
  <c r="CV119" i="4" s="1"/>
  <c r="CW119" i="4" s="1"/>
  <c r="CT116" i="4"/>
  <c r="CT117" i="4"/>
  <c r="CU117" i="4" s="1"/>
  <c r="CV117" i="4" s="1"/>
  <c r="CW117" i="4" s="1"/>
  <c r="CP122" i="4"/>
  <c r="CQ122" i="4" s="1"/>
  <c r="CR122" i="4" s="1"/>
  <c r="CS122" i="4" s="1"/>
  <c r="CT122" i="4" s="1"/>
  <c r="CU122" i="4" s="1"/>
  <c r="CV122" i="4" s="1"/>
  <c r="CW122" i="4" s="1"/>
  <c r="CN123" i="4"/>
  <c r="CO123" i="4" s="1"/>
  <c r="CP123" i="4" s="1"/>
  <c r="CQ123" i="4" s="1"/>
  <c r="CR123" i="4" s="1"/>
  <c r="CS123" i="4" s="1"/>
  <c r="CT123" i="4" s="1"/>
  <c r="CU123" i="4" s="1"/>
  <c r="CV123" i="4" s="1"/>
  <c r="CW123" i="4" s="1"/>
  <c r="CX123" i="4" s="1"/>
  <c r="CY123" i="4" s="1"/>
  <c r="CZ123" i="4" s="1"/>
  <c r="DA123" i="4" s="1"/>
  <c r="DB123" i="4" s="1"/>
  <c r="DC123" i="4" s="1"/>
  <c r="DD123" i="4" s="1"/>
  <c r="DE123" i="4" s="1"/>
  <c r="CL124" i="4"/>
  <c r="CM124" i="4" s="1"/>
  <c r="CN124" i="4" s="1"/>
  <c r="CO124" i="4" s="1"/>
  <c r="CP124" i="4" s="1"/>
  <c r="CQ124" i="4" s="1"/>
  <c r="CR124" i="4" s="1"/>
  <c r="CS124" i="4" s="1"/>
  <c r="CT124" i="4" s="1"/>
  <c r="CU124" i="4" s="1"/>
  <c r="CV124" i="4" s="1"/>
  <c r="CW124" i="4" s="1"/>
  <c r="CX124" i="4" s="1"/>
  <c r="CY124" i="4" s="1"/>
  <c r="CZ124" i="4" s="1"/>
  <c r="DA124" i="4" s="1"/>
  <c r="DB124" i="4" s="1"/>
  <c r="DC124" i="4" s="1"/>
  <c r="DD124" i="4" s="1"/>
  <c r="DE124" i="4" s="1"/>
  <c r="DF124" i="4" s="1"/>
  <c r="DG124" i="4" s="1"/>
  <c r="CK125" i="4"/>
  <c r="CL125" i="4" s="1"/>
  <c r="CM125" i="4" s="1"/>
  <c r="CN125" i="4" s="1"/>
  <c r="CO125" i="4" s="1"/>
  <c r="CP125" i="4" s="1"/>
  <c r="CQ125" i="4" s="1"/>
  <c r="CR125" i="4" s="1"/>
  <c r="CS125" i="4" s="1"/>
  <c r="CT125" i="4" s="1"/>
  <c r="CU125" i="4" s="1"/>
  <c r="CV125" i="4" s="1"/>
  <c r="CW125" i="4" s="1"/>
  <c r="CX125" i="4" s="1"/>
  <c r="CY125" i="4" s="1"/>
  <c r="CZ125" i="4" s="1"/>
  <c r="DA125" i="4" s="1"/>
  <c r="DB125" i="4" s="1"/>
  <c r="DC125" i="4" s="1"/>
  <c r="DD125" i="4" s="1"/>
  <c r="DE125" i="4" s="1"/>
  <c r="DF125" i="4" s="1"/>
  <c r="DG125" i="4" s="1"/>
  <c r="DH125" i="4" s="1"/>
  <c r="CK126" i="4"/>
  <c r="CL126" i="4" s="1"/>
  <c r="CM126" i="4" s="1"/>
  <c r="CN126" i="4" s="1"/>
  <c r="CO126" i="4" s="1"/>
  <c r="CP126" i="4" s="1"/>
  <c r="CQ126" i="4" s="1"/>
  <c r="CR126" i="4" s="1"/>
  <c r="CS126" i="4" s="1"/>
  <c r="CT126" i="4" s="1"/>
  <c r="CU126" i="4" s="1"/>
  <c r="CV126" i="4" s="1"/>
  <c r="CW126" i="4" s="1"/>
  <c r="CX126" i="4" s="1"/>
  <c r="CY126" i="4" s="1"/>
  <c r="CZ126" i="4" s="1"/>
  <c r="DA126" i="4" s="1"/>
  <c r="DB126" i="4" s="1"/>
  <c r="DC126" i="4" s="1"/>
  <c r="DD126" i="4" s="1"/>
  <c r="DE126" i="4" s="1"/>
  <c r="DF126" i="4" s="1"/>
  <c r="DG126" i="4" s="1"/>
  <c r="DH126" i="4" s="1"/>
  <c r="CJ127" i="4"/>
  <c r="CK127" i="4" s="1"/>
  <c r="CL127" i="4" s="1"/>
  <c r="CM127" i="4" s="1"/>
  <c r="CN127" i="4" s="1"/>
  <c r="CO127" i="4" s="1"/>
  <c r="CP127" i="4" s="1"/>
  <c r="CQ127" i="4" s="1"/>
  <c r="CR127" i="4" s="1"/>
  <c r="CS127" i="4" s="1"/>
  <c r="CT127" i="4" s="1"/>
  <c r="CU127" i="4" s="1"/>
  <c r="CV127" i="4" s="1"/>
  <c r="CW127" i="4" s="1"/>
  <c r="CX127" i="4" s="1"/>
  <c r="CY127" i="4" s="1"/>
  <c r="CZ127" i="4" s="1"/>
  <c r="DA127" i="4" s="1"/>
  <c r="DB127" i="4" s="1"/>
  <c r="DC127" i="4" s="1"/>
  <c r="DD127" i="4" s="1"/>
  <c r="DE127" i="4" s="1"/>
  <c r="DF127" i="4" s="1"/>
  <c r="DG127" i="4" s="1"/>
  <c r="DH127" i="4" s="1"/>
  <c r="DI127" i="4" s="1"/>
  <c r="CJ128" i="4"/>
  <c r="CK128" i="4" s="1"/>
  <c r="CL128" i="4" s="1"/>
  <c r="CM128" i="4" s="1"/>
  <c r="CN128" i="4" s="1"/>
  <c r="CO128" i="4" s="1"/>
  <c r="CP128" i="4" s="1"/>
  <c r="CQ128" i="4" s="1"/>
  <c r="CR128" i="4" s="1"/>
  <c r="CS128" i="4" s="1"/>
  <c r="CT128" i="4" s="1"/>
  <c r="CU128" i="4" s="1"/>
  <c r="CV128" i="4" s="1"/>
  <c r="CW128" i="4" s="1"/>
  <c r="CX128" i="4" s="1"/>
  <c r="CY128" i="4" s="1"/>
  <c r="CZ128" i="4" s="1"/>
  <c r="DA128" i="4" s="1"/>
  <c r="DB128" i="4" s="1"/>
  <c r="DC128" i="4" s="1"/>
  <c r="DD128" i="4" s="1"/>
  <c r="DE128" i="4" s="1"/>
  <c r="DF128" i="4" s="1"/>
  <c r="DG128" i="4" s="1"/>
  <c r="DH128" i="4" s="1"/>
  <c r="DI128" i="4" s="1"/>
  <c r="CU85" i="4"/>
  <c r="CV85" i="4" s="1"/>
  <c r="CW85" i="4" s="1"/>
  <c r="CU86" i="4"/>
  <c r="CV86" i="4" s="1"/>
  <c r="CW86" i="4" s="1"/>
  <c r="CU87" i="4"/>
  <c r="CV87" i="4"/>
  <c r="CW87" i="4" s="1"/>
  <c r="CU88" i="4"/>
  <c r="CV88" i="4" s="1"/>
  <c r="CW88" i="4" s="1"/>
  <c r="CU89" i="4"/>
  <c r="CV89" i="4"/>
  <c r="CW89" i="4"/>
  <c r="CU90" i="4"/>
  <c r="CV90" i="4" s="1"/>
  <c r="CW90" i="4" s="1"/>
  <c r="CU91" i="4"/>
  <c r="CV91" i="4" s="1"/>
  <c r="CW91" i="4" s="1"/>
  <c r="CU92" i="4"/>
  <c r="CV92" i="4"/>
  <c r="CW92" i="4"/>
  <c r="CU93" i="4"/>
  <c r="CV93" i="4" s="1"/>
  <c r="CW93" i="4" s="1"/>
  <c r="CU94" i="4"/>
  <c r="CV94" i="4" s="1"/>
  <c r="CW94" i="4" s="1"/>
  <c r="CU95" i="4"/>
  <c r="CV95" i="4"/>
  <c r="CW95" i="4" s="1"/>
  <c r="CU96" i="4"/>
  <c r="CV96" i="4" s="1"/>
  <c r="CW96" i="4" s="1"/>
  <c r="CU97" i="4"/>
  <c r="CV97" i="4"/>
  <c r="CW97" i="4"/>
  <c r="CU98" i="4"/>
  <c r="CV98" i="4" s="1"/>
  <c r="CW98" i="4" s="1"/>
  <c r="CU99" i="4"/>
  <c r="CV99" i="4" s="1"/>
  <c r="CW99" i="4" s="1"/>
  <c r="CU100" i="4"/>
  <c r="CV100" i="4"/>
  <c r="CW100" i="4"/>
  <c r="CU101" i="4"/>
  <c r="CV101" i="4" s="1"/>
  <c r="CW101" i="4" s="1"/>
  <c r="CU102" i="4"/>
  <c r="CV102" i="4" s="1"/>
  <c r="CW102" i="4" s="1"/>
  <c r="CU103" i="4"/>
  <c r="CV103" i="4"/>
  <c r="CW103" i="4" s="1"/>
  <c r="CU104" i="4"/>
  <c r="CV104" i="4"/>
  <c r="CW104" i="4" s="1"/>
  <c r="CU105" i="4"/>
  <c r="CV105" i="4"/>
  <c r="CW105" i="4"/>
  <c r="CU106" i="4"/>
  <c r="CV106" i="4" s="1"/>
  <c r="CW106" i="4" s="1"/>
  <c r="CU107" i="4"/>
  <c r="CV107" i="4" s="1"/>
  <c r="CW107" i="4" s="1"/>
  <c r="CU108" i="4"/>
  <c r="CV108" i="4"/>
  <c r="CW108" i="4"/>
  <c r="CU109" i="4"/>
  <c r="CV109" i="4" s="1"/>
  <c r="CW109" i="4" s="1"/>
  <c r="CU110" i="4"/>
  <c r="CV110" i="4" s="1"/>
  <c r="CW110" i="4" s="1"/>
  <c r="CU111" i="4"/>
  <c r="CV111" i="4"/>
  <c r="CW111" i="4" s="1"/>
  <c r="CU112" i="4"/>
  <c r="CV112" i="4"/>
  <c r="CW112" i="4" s="1"/>
  <c r="CU113" i="4"/>
  <c r="CV113" i="4"/>
  <c r="CW113" i="4" s="1"/>
  <c r="CU114" i="4"/>
  <c r="CV114" i="4" s="1"/>
  <c r="CW114" i="4" s="1"/>
  <c r="CU115" i="4"/>
  <c r="CV115" i="4" s="1"/>
  <c r="CW115" i="4" s="1"/>
  <c r="CU116" i="4"/>
  <c r="CV116" i="4" s="1"/>
  <c r="CW116" i="4" s="1"/>
  <c r="CU83" i="4"/>
  <c r="CV83" i="4" s="1"/>
  <c r="CW83" i="4" s="1"/>
  <c r="CX83" i="4" s="1"/>
  <c r="CU84" i="4"/>
  <c r="CV84" i="4"/>
  <c r="CW84" i="4" s="1"/>
  <c r="CX84" i="4" s="1"/>
  <c r="CT82" i="4"/>
  <c r="CU82" i="4" s="1"/>
  <c r="CV82" i="4" s="1"/>
  <c r="CW82" i="4" s="1"/>
  <c r="CX82" i="4" s="1"/>
  <c r="CY82" i="4" s="1"/>
  <c r="CU81" i="4"/>
  <c r="CV81" i="4"/>
  <c r="CW81" i="4" s="1"/>
  <c r="CX81" i="4" s="1"/>
  <c r="CY81" i="4" s="1"/>
  <c r="CS81" i="4"/>
  <c r="CT81" i="4"/>
  <c r="CR79" i="4"/>
  <c r="CS79" i="4"/>
  <c r="CT79" i="4" s="1"/>
  <c r="CU79" i="4" s="1"/>
  <c r="CV79" i="4" s="1"/>
  <c r="CW79" i="4" s="1"/>
  <c r="CX79" i="4" s="1"/>
  <c r="CY79" i="4" s="1"/>
  <c r="CZ79" i="4" s="1"/>
  <c r="DA79" i="4" s="1"/>
  <c r="CR80" i="4"/>
  <c r="CS80" i="4"/>
  <c r="CT80" i="4" s="1"/>
  <c r="CU80" i="4" s="1"/>
  <c r="CV80" i="4" s="1"/>
  <c r="CW80" i="4" s="1"/>
  <c r="CX80" i="4" s="1"/>
  <c r="CY80" i="4" s="1"/>
  <c r="CZ80" i="4" s="1"/>
  <c r="DA80" i="4" s="1"/>
  <c r="CR75" i="4"/>
  <c r="CS75" i="4" s="1"/>
  <c r="CT75" i="4" s="1"/>
  <c r="CU75" i="4" s="1"/>
  <c r="CV75" i="4" s="1"/>
  <c r="CW75" i="4" s="1"/>
  <c r="CX75" i="4" s="1"/>
  <c r="CY75" i="4" s="1"/>
  <c r="CZ75" i="4" s="1"/>
  <c r="DA75" i="4" s="1"/>
  <c r="DB75" i="4" s="1"/>
  <c r="CR76" i="4"/>
  <c r="CS76" i="4" s="1"/>
  <c r="CT76" i="4" s="1"/>
  <c r="CU76" i="4" s="1"/>
  <c r="CV76" i="4" s="1"/>
  <c r="CW76" i="4" s="1"/>
  <c r="CX76" i="4" s="1"/>
  <c r="CY76" i="4" s="1"/>
  <c r="CZ76" i="4" s="1"/>
  <c r="DA76" i="4" s="1"/>
  <c r="DB76" i="4" s="1"/>
  <c r="CR77" i="4"/>
  <c r="CS77" i="4"/>
  <c r="CT77" i="4"/>
  <c r="CU77" i="4" s="1"/>
  <c r="CV77" i="4" s="1"/>
  <c r="CW77" i="4" s="1"/>
  <c r="CX77" i="4" s="1"/>
  <c r="CY77" i="4" s="1"/>
  <c r="CZ77" i="4" s="1"/>
  <c r="DA77" i="4" s="1"/>
  <c r="DB77" i="4" s="1"/>
  <c r="CR78" i="4"/>
  <c r="CS78" i="4" s="1"/>
  <c r="CT78" i="4" s="1"/>
  <c r="CU78" i="4" s="1"/>
  <c r="CV78" i="4" s="1"/>
  <c r="CW78" i="4" s="1"/>
  <c r="CX78" i="4" s="1"/>
  <c r="CY78" i="4" s="1"/>
  <c r="CZ78" i="4" s="1"/>
  <c r="DA78" i="4" s="1"/>
  <c r="DB78" i="4" s="1"/>
  <c r="CQ76" i="4"/>
  <c r="CQ77" i="4"/>
  <c r="CQ78" i="4"/>
  <c r="CQ75" i="4"/>
  <c r="BH113" i="4"/>
  <c r="BI113" i="4"/>
  <c r="BJ113" i="4"/>
  <c r="BH114" i="4"/>
  <c r="BI114" i="4"/>
  <c r="BJ114" i="4"/>
  <c r="BH115" i="4"/>
  <c r="BI115" i="4"/>
  <c r="BJ115" i="4"/>
  <c r="BG116" i="4"/>
  <c r="BH116" i="4"/>
  <c r="BI116" i="4"/>
  <c r="BJ116" i="4"/>
  <c r="BK116" i="4"/>
  <c r="BG117" i="4"/>
  <c r="BH117" i="4"/>
  <c r="BI117" i="4"/>
  <c r="BJ117" i="4"/>
  <c r="BK117" i="4"/>
  <c r="BF118" i="4"/>
  <c r="BG118" i="4"/>
  <c r="BH118" i="4"/>
  <c r="BI118" i="4"/>
  <c r="BJ118" i="4"/>
  <c r="BK118" i="4"/>
  <c r="BL118" i="4"/>
  <c r="BF119" i="4"/>
  <c r="BG119" i="4"/>
  <c r="BH119" i="4"/>
  <c r="BI119" i="4"/>
  <c r="BJ119" i="4"/>
  <c r="BK119" i="4"/>
  <c r="BL119" i="4"/>
  <c r="BE120" i="4"/>
  <c r="BF120" i="4"/>
  <c r="BG120" i="4"/>
  <c r="BH120" i="4"/>
  <c r="BI120" i="4"/>
  <c r="BJ120" i="4"/>
  <c r="BK120" i="4"/>
  <c r="BL120" i="4"/>
  <c r="BM120" i="4"/>
  <c r="BD121" i="4"/>
  <c r="BE121" i="4"/>
  <c r="BF121" i="4"/>
  <c r="BG121" i="4"/>
  <c r="BH121" i="4"/>
  <c r="BI121" i="4"/>
  <c r="BJ121" i="4"/>
  <c r="BK121" i="4"/>
  <c r="BL121" i="4"/>
  <c r="BM121" i="4"/>
  <c r="BN121" i="4"/>
  <c r="BC122" i="4"/>
  <c r="BD122" i="4"/>
  <c r="BE122" i="4"/>
  <c r="BF122" i="4"/>
  <c r="BG122" i="4"/>
  <c r="BH122" i="4"/>
  <c r="BI122" i="4"/>
  <c r="BJ122" i="4"/>
  <c r="BK122" i="4"/>
  <c r="BL122" i="4"/>
  <c r="BM122" i="4"/>
  <c r="BN122" i="4"/>
  <c r="BO122" i="4"/>
  <c r="BA123" i="4"/>
  <c r="BB123" i="4"/>
  <c r="BC123" i="4"/>
  <c r="BD123" i="4"/>
  <c r="BE123" i="4"/>
  <c r="BF123" i="4"/>
  <c r="BG123" i="4"/>
  <c r="BH123" i="4"/>
  <c r="BI123" i="4"/>
  <c r="BJ123" i="4"/>
  <c r="BK123" i="4"/>
  <c r="BL123" i="4"/>
  <c r="BM123" i="4"/>
  <c r="BN123" i="4"/>
  <c r="BO123" i="4"/>
  <c r="BP123" i="4"/>
  <c r="BQ123" i="4"/>
  <c r="AY124" i="4"/>
  <c r="AZ124" i="4"/>
  <c r="BA124" i="4"/>
  <c r="BB124" i="4"/>
  <c r="BC124" i="4"/>
  <c r="BD124" i="4"/>
  <c r="BE124" i="4"/>
  <c r="BF124" i="4"/>
  <c r="BG124" i="4"/>
  <c r="BH124" i="4"/>
  <c r="BI124" i="4"/>
  <c r="BJ124" i="4"/>
  <c r="BK124" i="4"/>
  <c r="BL124" i="4"/>
  <c r="BM124" i="4"/>
  <c r="BN124" i="4"/>
  <c r="BO124" i="4"/>
  <c r="BP124" i="4"/>
  <c r="BQ124" i="4"/>
  <c r="BR124" i="4"/>
  <c r="BS124" i="4"/>
  <c r="AY125" i="4"/>
  <c r="AZ125" i="4"/>
  <c r="BA125" i="4"/>
  <c r="BB125" i="4"/>
  <c r="BC125" i="4"/>
  <c r="BD125" i="4"/>
  <c r="BE125" i="4"/>
  <c r="BF125" i="4"/>
  <c r="BG125" i="4"/>
  <c r="BH125" i="4"/>
  <c r="BI125" i="4"/>
  <c r="BJ125" i="4"/>
  <c r="BK125" i="4"/>
  <c r="BL125" i="4"/>
  <c r="BM125" i="4"/>
  <c r="BN125" i="4"/>
  <c r="BO125" i="4"/>
  <c r="BP125" i="4"/>
  <c r="BQ125" i="4"/>
  <c r="BR125" i="4"/>
  <c r="AX125" i="4"/>
  <c r="BS125" i="4"/>
  <c r="BT125" i="4"/>
  <c r="AX126" i="4"/>
  <c r="AY126" i="4"/>
  <c r="AZ126" i="4"/>
  <c r="BA126" i="4"/>
  <c r="BB126" i="4"/>
  <c r="BC126" i="4"/>
  <c r="BD126" i="4"/>
  <c r="BE126" i="4"/>
  <c r="BF126" i="4"/>
  <c r="BG126" i="4"/>
  <c r="BH126" i="4"/>
  <c r="BI126" i="4"/>
  <c r="BJ126" i="4"/>
  <c r="BK126" i="4"/>
  <c r="BL126" i="4"/>
  <c r="BM126" i="4"/>
  <c r="BN126" i="4"/>
  <c r="BO126" i="4"/>
  <c r="BP126" i="4"/>
  <c r="BQ126" i="4"/>
  <c r="BR126" i="4"/>
  <c r="BS126" i="4"/>
  <c r="BT126" i="4"/>
  <c r="AW127" i="4"/>
  <c r="AX127" i="4"/>
  <c r="AY127" i="4"/>
  <c r="AZ127" i="4"/>
  <c r="BA127" i="4"/>
  <c r="BB127" i="4"/>
  <c r="BC127" i="4"/>
  <c r="BD127" i="4"/>
  <c r="BE127" i="4"/>
  <c r="BF127" i="4"/>
  <c r="BG127" i="4"/>
  <c r="BH127" i="4"/>
  <c r="BI127" i="4"/>
  <c r="BJ127" i="4"/>
  <c r="BK127" i="4"/>
  <c r="BL127" i="4"/>
  <c r="BM127" i="4"/>
  <c r="BN127" i="4"/>
  <c r="BO127" i="4"/>
  <c r="BP127" i="4"/>
  <c r="BQ127" i="4"/>
  <c r="BR127" i="4"/>
  <c r="BS127" i="4"/>
  <c r="BT127" i="4"/>
  <c r="BU127" i="4"/>
  <c r="AW128" i="4"/>
  <c r="AX128" i="4"/>
  <c r="AY128" i="4"/>
  <c r="AZ128" i="4"/>
  <c r="BA128" i="4"/>
  <c r="BB128" i="4"/>
  <c r="BC128" i="4"/>
  <c r="BD128" i="4"/>
  <c r="BE128" i="4"/>
  <c r="BF128" i="4"/>
  <c r="BG128" i="4"/>
  <c r="BH128" i="4"/>
  <c r="BJ128" i="4"/>
  <c r="BK128" i="4"/>
  <c r="BL128" i="4"/>
  <c r="BM128" i="4"/>
  <c r="BN128" i="4"/>
  <c r="BO128" i="4"/>
  <c r="BP128" i="4"/>
  <c r="BQ128" i="4"/>
  <c r="BR128" i="4"/>
  <c r="BS128" i="4"/>
  <c r="BT128" i="4"/>
  <c r="BU128" i="4"/>
  <c r="BI85" i="4"/>
  <c r="BI86" i="4"/>
  <c r="BI87" i="4"/>
  <c r="BI88" i="4"/>
  <c r="BI89" i="4"/>
  <c r="BI90" i="4"/>
  <c r="BI91" i="4"/>
  <c r="BI92" i="4"/>
  <c r="BI93" i="4"/>
  <c r="BI94" i="4"/>
  <c r="BI95" i="4"/>
  <c r="BI96" i="4"/>
  <c r="BI97" i="4"/>
  <c r="BI98" i="4"/>
  <c r="BI99" i="4"/>
  <c r="BI100" i="4"/>
  <c r="BI101" i="4"/>
  <c r="BI102" i="4"/>
  <c r="BI103" i="4"/>
  <c r="BI104" i="4"/>
  <c r="BI105" i="4"/>
  <c r="BI106" i="4"/>
  <c r="BI107" i="4"/>
  <c r="BI108" i="4"/>
  <c r="BI109" i="4"/>
  <c r="BI110" i="4"/>
  <c r="BI111" i="4"/>
  <c r="BI112" i="4"/>
  <c r="BI128" i="4"/>
  <c r="BH83" i="4"/>
  <c r="BI83" i="4"/>
  <c r="BJ83" i="4"/>
  <c r="BH84" i="4"/>
  <c r="BI84" i="4"/>
  <c r="BJ84" i="4"/>
  <c r="BK82" i="4"/>
  <c r="BH82" i="4"/>
  <c r="BI82" i="4"/>
  <c r="BJ82" i="4"/>
  <c r="BG82" i="4"/>
  <c r="BF81" i="4"/>
  <c r="BG81" i="4"/>
  <c r="BH81" i="4"/>
  <c r="BI81" i="4"/>
  <c r="BJ81" i="4"/>
  <c r="BK81" i="4"/>
  <c r="BL81" i="4"/>
  <c r="BE79" i="4"/>
  <c r="BF79" i="4"/>
  <c r="BG79" i="4"/>
  <c r="BH79" i="4"/>
  <c r="BI79" i="4"/>
  <c r="BJ79" i="4"/>
  <c r="BK79" i="4"/>
  <c r="BL79" i="4"/>
  <c r="BM79" i="4"/>
  <c r="BE80" i="4"/>
  <c r="BF80" i="4"/>
  <c r="BG80" i="4"/>
  <c r="BH80" i="4"/>
  <c r="BI80" i="4"/>
  <c r="BJ80" i="4"/>
  <c r="BK80" i="4"/>
  <c r="BL80" i="4"/>
  <c r="BM80" i="4"/>
  <c r="BD76" i="4"/>
  <c r="BE76" i="4"/>
  <c r="BF76" i="4"/>
  <c r="BG76" i="4"/>
  <c r="BH76" i="4"/>
  <c r="BI76" i="4"/>
  <c r="BJ76" i="4"/>
  <c r="BK76" i="4"/>
  <c r="BL76" i="4"/>
  <c r="BM76" i="4"/>
  <c r="BN76" i="4"/>
  <c r="BD77" i="4"/>
  <c r="BE77" i="4"/>
  <c r="BF77" i="4"/>
  <c r="BG77" i="4"/>
  <c r="BH77" i="4"/>
  <c r="BI77" i="4"/>
  <c r="BJ77" i="4"/>
  <c r="BK77" i="4"/>
  <c r="BL77" i="4"/>
  <c r="BM77" i="4"/>
  <c r="BN77" i="4"/>
  <c r="BD78" i="4"/>
  <c r="BE78" i="4"/>
  <c r="BF78" i="4"/>
  <c r="BG78" i="4"/>
  <c r="BH78" i="4"/>
  <c r="BI78" i="4"/>
  <c r="BJ78" i="4"/>
  <c r="BK78" i="4"/>
  <c r="BL78" i="4"/>
  <c r="BM78" i="4"/>
  <c r="BN78" i="4"/>
  <c r="BE75" i="4"/>
  <c r="BF75" i="4"/>
  <c r="BG75" i="4"/>
  <c r="BH75" i="4"/>
  <c r="BI75" i="4"/>
  <c r="BJ75" i="4"/>
  <c r="BK75" i="4"/>
  <c r="BL75" i="4"/>
  <c r="BM75" i="4"/>
  <c r="BN75" i="4"/>
  <c r="BD75" i="4"/>
  <c r="Q56" i="4"/>
  <c r="F31" i="2"/>
  <c r="AI33" i="2"/>
  <c r="J33" i="2"/>
  <c r="G33" i="2"/>
  <c r="EY192" i="4"/>
  <c r="EX192" i="4"/>
  <c r="DV192" i="4"/>
  <c r="DU192" i="4"/>
  <c r="DK192" i="4"/>
  <c r="DJ192" i="4"/>
  <c r="CH192" i="4"/>
  <c r="CG192" i="4"/>
  <c r="BX192" i="4"/>
  <c r="BW192" i="4"/>
  <c r="AU192" i="4"/>
  <c r="AT192" i="4"/>
  <c r="AK192" i="4"/>
  <c r="AJ192" i="4"/>
  <c r="H192" i="4"/>
  <c r="G192" i="4"/>
  <c r="EY191" i="4"/>
  <c r="EX191" i="4"/>
  <c r="DV191" i="4"/>
  <c r="DU191" i="4"/>
  <c r="DK191" i="4"/>
  <c r="DJ191" i="4"/>
  <c r="CH191" i="4"/>
  <c r="CG191" i="4"/>
  <c r="BX191" i="4"/>
  <c r="BW191" i="4"/>
  <c r="AU191" i="4"/>
  <c r="AT191" i="4"/>
  <c r="AK191" i="4"/>
  <c r="AJ191" i="4"/>
  <c r="H191" i="4"/>
  <c r="G191" i="4"/>
  <c r="EY190" i="4"/>
  <c r="EX190" i="4"/>
  <c r="EW190" i="4"/>
  <c r="DW190" i="4"/>
  <c r="DV190" i="4"/>
  <c r="DU190" i="4"/>
  <c r="DK190" i="4"/>
  <c r="DJ190" i="4"/>
  <c r="DI190" i="4"/>
  <c r="CI190" i="4"/>
  <c r="CH190" i="4"/>
  <c r="CG190" i="4"/>
  <c r="BX190" i="4"/>
  <c r="BW190" i="4"/>
  <c r="BV190" i="4"/>
  <c r="AV190" i="4"/>
  <c r="AU190" i="4"/>
  <c r="AT190" i="4"/>
  <c r="AK190" i="4"/>
  <c r="AJ190" i="4"/>
  <c r="AI190" i="4"/>
  <c r="I190" i="4"/>
  <c r="H190" i="4"/>
  <c r="G190" i="4"/>
  <c r="EY189" i="4"/>
  <c r="EX189" i="4"/>
  <c r="EW189" i="4"/>
  <c r="DW189" i="4"/>
  <c r="DV189" i="4"/>
  <c r="DU189" i="4"/>
  <c r="DK189" i="4"/>
  <c r="DJ189" i="4"/>
  <c r="DI189" i="4"/>
  <c r="CI189" i="4"/>
  <c r="CH189" i="4"/>
  <c r="CG189" i="4"/>
  <c r="BX189" i="4"/>
  <c r="BW189" i="4"/>
  <c r="BV189" i="4"/>
  <c r="AV189" i="4"/>
  <c r="AU189" i="4"/>
  <c r="AT189" i="4"/>
  <c r="AK189" i="4"/>
  <c r="AJ189" i="4"/>
  <c r="AI189" i="4"/>
  <c r="I189" i="4"/>
  <c r="H189" i="4"/>
  <c r="G189" i="4"/>
  <c r="EY188" i="4"/>
  <c r="EX188" i="4"/>
  <c r="EW188" i="4"/>
  <c r="EV188" i="4"/>
  <c r="DX188" i="4"/>
  <c r="DW188" i="4"/>
  <c r="DV188" i="4"/>
  <c r="DU188" i="4"/>
  <c r="DK188" i="4"/>
  <c r="DJ188" i="4"/>
  <c r="DI188" i="4"/>
  <c r="DH188" i="4"/>
  <c r="CJ188" i="4"/>
  <c r="CI188" i="4"/>
  <c r="CH188" i="4"/>
  <c r="CG188" i="4"/>
  <c r="BX188" i="4"/>
  <c r="BW188" i="4"/>
  <c r="BV188" i="4"/>
  <c r="BU188" i="4"/>
  <c r="AW188" i="4"/>
  <c r="AV188" i="4"/>
  <c r="AU188" i="4"/>
  <c r="AT188" i="4"/>
  <c r="AK188" i="4"/>
  <c r="AJ188" i="4"/>
  <c r="AI188" i="4"/>
  <c r="AH188" i="4"/>
  <c r="J188" i="4"/>
  <c r="I188" i="4"/>
  <c r="H188" i="4"/>
  <c r="G188" i="4"/>
  <c r="EY187" i="4"/>
  <c r="EX187" i="4"/>
  <c r="EW187" i="4"/>
  <c r="EV187" i="4"/>
  <c r="EU187" i="4"/>
  <c r="ET187" i="4"/>
  <c r="DZ187" i="4"/>
  <c r="DY187" i="4"/>
  <c r="DX187" i="4"/>
  <c r="DW187" i="4"/>
  <c r="DV187" i="4"/>
  <c r="DU187" i="4"/>
  <c r="DK187" i="4"/>
  <c r="DJ187" i="4"/>
  <c r="DI187" i="4"/>
  <c r="DH187" i="4"/>
  <c r="DG187" i="4"/>
  <c r="DF187" i="4"/>
  <c r="CL187" i="4"/>
  <c r="CK187" i="4"/>
  <c r="CJ187" i="4"/>
  <c r="CI187" i="4"/>
  <c r="CH187" i="4"/>
  <c r="CG187" i="4"/>
  <c r="BX187" i="4"/>
  <c r="BW187" i="4"/>
  <c r="BV187" i="4"/>
  <c r="BU187" i="4"/>
  <c r="BT187" i="4"/>
  <c r="BS187" i="4"/>
  <c r="AY187" i="4"/>
  <c r="AX187" i="4"/>
  <c r="AW187" i="4"/>
  <c r="AV187" i="4"/>
  <c r="AU187" i="4"/>
  <c r="AT187" i="4"/>
  <c r="AK187" i="4"/>
  <c r="AJ187" i="4"/>
  <c r="AI187" i="4"/>
  <c r="AH187" i="4"/>
  <c r="AG187" i="4"/>
  <c r="AF187" i="4"/>
  <c r="L187" i="4"/>
  <c r="K187" i="4"/>
  <c r="J187" i="4"/>
  <c r="I187" i="4"/>
  <c r="H187" i="4"/>
  <c r="G187" i="4"/>
  <c r="EY186" i="4"/>
  <c r="EX186" i="4"/>
  <c r="EW186" i="4"/>
  <c r="EV186" i="4"/>
  <c r="EU186" i="4"/>
  <c r="ET186" i="4"/>
  <c r="ES186" i="4"/>
  <c r="ER186" i="4"/>
  <c r="EB186" i="4"/>
  <c r="EA186" i="4"/>
  <c r="DZ186" i="4"/>
  <c r="DY186" i="4"/>
  <c r="DX186" i="4"/>
  <c r="DW186" i="4"/>
  <c r="DV186" i="4"/>
  <c r="DU186" i="4"/>
  <c r="DK186" i="4"/>
  <c r="DJ186" i="4"/>
  <c r="DI186" i="4"/>
  <c r="DH186" i="4"/>
  <c r="DG186" i="4"/>
  <c r="DF186" i="4"/>
  <c r="DE186" i="4"/>
  <c r="DD186" i="4"/>
  <c r="CN186" i="4"/>
  <c r="CM186" i="4"/>
  <c r="CL186" i="4"/>
  <c r="CK186" i="4"/>
  <c r="CJ186" i="4"/>
  <c r="CI186" i="4"/>
  <c r="CH186" i="4"/>
  <c r="CG186" i="4"/>
  <c r="BX186" i="4"/>
  <c r="BW186" i="4"/>
  <c r="BV186" i="4"/>
  <c r="BU186" i="4"/>
  <c r="BT186" i="4"/>
  <c r="BS186" i="4"/>
  <c r="BR186" i="4"/>
  <c r="BQ186" i="4"/>
  <c r="BA186" i="4"/>
  <c r="AZ186" i="4"/>
  <c r="AY186" i="4"/>
  <c r="AX186" i="4"/>
  <c r="AW186" i="4"/>
  <c r="AV186" i="4"/>
  <c r="AU186" i="4"/>
  <c r="AT186" i="4"/>
  <c r="AK186" i="4"/>
  <c r="AJ186" i="4"/>
  <c r="AI186" i="4"/>
  <c r="AH186" i="4"/>
  <c r="AG186" i="4"/>
  <c r="AF186" i="4"/>
  <c r="AE186" i="4"/>
  <c r="AD186" i="4"/>
  <c r="N186" i="4"/>
  <c r="M186" i="4"/>
  <c r="L186" i="4"/>
  <c r="K186" i="4"/>
  <c r="J186" i="4"/>
  <c r="I186" i="4"/>
  <c r="H186" i="4"/>
  <c r="G186" i="4"/>
  <c r="EY185" i="4"/>
  <c r="EX185" i="4"/>
  <c r="EW185" i="4"/>
  <c r="EV185" i="4"/>
  <c r="EU185" i="4"/>
  <c r="ET185" i="4"/>
  <c r="ES185" i="4"/>
  <c r="ER185" i="4"/>
  <c r="EQ185" i="4"/>
  <c r="EC185" i="4"/>
  <c r="EB185" i="4"/>
  <c r="EA185" i="4"/>
  <c r="DZ185" i="4"/>
  <c r="DY185" i="4"/>
  <c r="DX185" i="4"/>
  <c r="DW185" i="4"/>
  <c r="DV185" i="4"/>
  <c r="DU185" i="4"/>
  <c r="DK185" i="4"/>
  <c r="DJ185" i="4"/>
  <c r="DI185" i="4"/>
  <c r="DH185" i="4"/>
  <c r="DG185" i="4"/>
  <c r="DF185" i="4"/>
  <c r="DE185" i="4"/>
  <c r="DD185" i="4"/>
  <c r="DC185" i="4"/>
  <c r="CO185" i="4"/>
  <c r="CN185" i="4"/>
  <c r="CM185" i="4"/>
  <c r="CL185" i="4"/>
  <c r="CK185" i="4"/>
  <c r="CJ185" i="4"/>
  <c r="CI185" i="4"/>
  <c r="CH185" i="4"/>
  <c r="CG185" i="4"/>
  <c r="BX185" i="4"/>
  <c r="BW185" i="4"/>
  <c r="BV185" i="4"/>
  <c r="BU185" i="4"/>
  <c r="BT185" i="4"/>
  <c r="BS185" i="4"/>
  <c r="BR185" i="4"/>
  <c r="BQ185" i="4"/>
  <c r="BP185" i="4"/>
  <c r="BB185" i="4"/>
  <c r="BA185" i="4"/>
  <c r="AZ185" i="4"/>
  <c r="AY185" i="4"/>
  <c r="AX185" i="4"/>
  <c r="AW185" i="4"/>
  <c r="AV185" i="4"/>
  <c r="AU185" i="4"/>
  <c r="AT185" i="4"/>
  <c r="AK185" i="4"/>
  <c r="AJ185" i="4"/>
  <c r="AI185" i="4"/>
  <c r="AH185" i="4"/>
  <c r="AG185" i="4"/>
  <c r="AF185" i="4"/>
  <c r="AE185" i="4"/>
  <c r="AD185" i="4"/>
  <c r="AC185" i="4"/>
  <c r="O185" i="4"/>
  <c r="N185" i="4"/>
  <c r="M185" i="4"/>
  <c r="L185" i="4"/>
  <c r="K185" i="4"/>
  <c r="J185" i="4"/>
  <c r="I185" i="4"/>
  <c r="H185" i="4"/>
  <c r="G185" i="4"/>
  <c r="EY184" i="4"/>
  <c r="EX184" i="4"/>
  <c r="EW184" i="4"/>
  <c r="EV184" i="4"/>
  <c r="EU184" i="4"/>
  <c r="ET184" i="4"/>
  <c r="ES184" i="4"/>
  <c r="ER184" i="4"/>
  <c r="EQ184" i="4"/>
  <c r="EP184" i="4"/>
  <c r="ED184" i="4"/>
  <c r="EC184" i="4"/>
  <c r="EB184" i="4"/>
  <c r="EA184" i="4"/>
  <c r="DZ184" i="4"/>
  <c r="DY184" i="4"/>
  <c r="DX184" i="4"/>
  <c r="DW184" i="4"/>
  <c r="DV184" i="4"/>
  <c r="DU184" i="4"/>
  <c r="DK184" i="4"/>
  <c r="DJ184" i="4"/>
  <c r="DI184" i="4"/>
  <c r="DH184" i="4"/>
  <c r="DG184" i="4"/>
  <c r="DF184" i="4"/>
  <c r="DE184" i="4"/>
  <c r="DD184" i="4"/>
  <c r="DC184" i="4"/>
  <c r="DB184" i="4"/>
  <c r="CP184" i="4"/>
  <c r="CO184" i="4"/>
  <c r="CN184" i="4"/>
  <c r="CM184" i="4"/>
  <c r="CL184" i="4"/>
  <c r="CK184" i="4"/>
  <c r="CJ184" i="4"/>
  <c r="CI184" i="4"/>
  <c r="CH184" i="4"/>
  <c r="CG184" i="4"/>
  <c r="BX184" i="4"/>
  <c r="BW184" i="4"/>
  <c r="BV184" i="4"/>
  <c r="BU184" i="4"/>
  <c r="BT184" i="4"/>
  <c r="BS184" i="4"/>
  <c r="BR184" i="4"/>
  <c r="BQ184" i="4"/>
  <c r="BP184" i="4"/>
  <c r="BO184" i="4"/>
  <c r="BC184" i="4"/>
  <c r="BB184" i="4"/>
  <c r="BA184" i="4"/>
  <c r="AZ184" i="4"/>
  <c r="AY184" i="4"/>
  <c r="AX184" i="4"/>
  <c r="AW184" i="4"/>
  <c r="AV184" i="4"/>
  <c r="AU184" i="4"/>
  <c r="AT184" i="4"/>
  <c r="AK184" i="4"/>
  <c r="AJ184" i="4"/>
  <c r="AI184" i="4"/>
  <c r="AH184" i="4"/>
  <c r="AG184" i="4"/>
  <c r="AF184" i="4"/>
  <c r="AE184" i="4"/>
  <c r="AD184" i="4"/>
  <c r="AC184" i="4"/>
  <c r="AB184" i="4"/>
  <c r="P184" i="4"/>
  <c r="O184" i="4"/>
  <c r="N184" i="4"/>
  <c r="M184" i="4"/>
  <c r="L184" i="4"/>
  <c r="K184" i="4"/>
  <c r="J184" i="4"/>
  <c r="I184" i="4"/>
  <c r="H184" i="4"/>
  <c r="G184" i="4"/>
  <c r="EY183" i="4"/>
  <c r="EX183" i="4"/>
  <c r="EW183" i="4"/>
  <c r="EV183" i="4"/>
  <c r="EU183" i="4"/>
  <c r="ET183" i="4"/>
  <c r="ES183" i="4"/>
  <c r="ER183" i="4"/>
  <c r="EQ183" i="4"/>
  <c r="EP183" i="4"/>
  <c r="EO183" i="4"/>
  <c r="EE183" i="4"/>
  <c r="ED183" i="4"/>
  <c r="EC183" i="4"/>
  <c r="EB183" i="4"/>
  <c r="EA183" i="4"/>
  <c r="DZ183" i="4"/>
  <c r="DY183" i="4"/>
  <c r="DX183" i="4"/>
  <c r="DW183" i="4"/>
  <c r="DV183" i="4"/>
  <c r="DU183" i="4"/>
  <c r="DK183" i="4"/>
  <c r="DJ183" i="4"/>
  <c r="DI183" i="4"/>
  <c r="DH183" i="4"/>
  <c r="DG183" i="4"/>
  <c r="DF183" i="4"/>
  <c r="DE183" i="4"/>
  <c r="DD183" i="4"/>
  <c r="DC183" i="4"/>
  <c r="DB183" i="4"/>
  <c r="DA183" i="4"/>
  <c r="CQ183" i="4"/>
  <c r="CP183" i="4"/>
  <c r="CO183" i="4"/>
  <c r="CN183" i="4"/>
  <c r="CM183" i="4"/>
  <c r="CL183" i="4"/>
  <c r="CK183" i="4"/>
  <c r="CJ183" i="4"/>
  <c r="CI183" i="4"/>
  <c r="CH183" i="4"/>
  <c r="CG183" i="4"/>
  <c r="BX183" i="4"/>
  <c r="BW183" i="4"/>
  <c r="BV183" i="4"/>
  <c r="BU183" i="4"/>
  <c r="BT183" i="4"/>
  <c r="BS183" i="4"/>
  <c r="BR183" i="4"/>
  <c r="BQ183" i="4"/>
  <c r="BP183" i="4"/>
  <c r="BO183" i="4"/>
  <c r="BN183" i="4"/>
  <c r="BD183" i="4"/>
  <c r="BC183" i="4"/>
  <c r="BB183" i="4"/>
  <c r="BA183" i="4"/>
  <c r="AZ183" i="4"/>
  <c r="AY183" i="4"/>
  <c r="AX183" i="4"/>
  <c r="AW183" i="4"/>
  <c r="AV183" i="4"/>
  <c r="AU183" i="4"/>
  <c r="AT183" i="4"/>
  <c r="AK183" i="4"/>
  <c r="AJ183" i="4"/>
  <c r="AI183" i="4"/>
  <c r="AH183" i="4"/>
  <c r="AG183" i="4"/>
  <c r="AF183" i="4"/>
  <c r="AE183" i="4"/>
  <c r="AD183" i="4"/>
  <c r="AC183" i="4"/>
  <c r="AB183" i="4"/>
  <c r="AA183" i="4"/>
  <c r="Q183" i="4"/>
  <c r="P183" i="4"/>
  <c r="O183" i="4"/>
  <c r="N183" i="4"/>
  <c r="M183" i="4"/>
  <c r="L183" i="4"/>
  <c r="K183" i="4"/>
  <c r="J183" i="4"/>
  <c r="I183" i="4"/>
  <c r="H183" i="4"/>
  <c r="G183" i="4"/>
  <c r="EY182" i="4"/>
  <c r="EX182" i="4"/>
  <c r="EW182" i="4"/>
  <c r="EV182" i="4"/>
  <c r="EU182" i="4"/>
  <c r="ET182" i="4"/>
  <c r="ES182" i="4"/>
  <c r="ER182" i="4"/>
  <c r="EQ182" i="4"/>
  <c r="EP182" i="4"/>
  <c r="EO182" i="4"/>
  <c r="EE182" i="4"/>
  <c r="ED182" i="4"/>
  <c r="EC182" i="4"/>
  <c r="EB182" i="4"/>
  <c r="EA182" i="4"/>
  <c r="DZ182" i="4"/>
  <c r="DY182" i="4"/>
  <c r="DX182" i="4"/>
  <c r="DW182" i="4"/>
  <c r="DV182" i="4"/>
  <c r="DU182" i="4"/>
  <c r="DK182" i="4"/>
  <c r="DJ182" i="4"/>
  <c r="DI182" i="4"/>
  <c r="DH182" i="4"/>
  <c r="DG182" i="4"/>
  <c r="DF182" i="4"/>
  <c r="DE182" i="4"/>
  <c r="DD182" i="4"/>
  <c r="DC182" i="4"/>
  <c r="DB182" i="4"/>
  <c r="DA182" i="4"/>
  <c r="CQ182" i="4"/>
  <c r="CP182" i="4"/>
  <c r="CO182" i="4"/>
  <c r="CN182" i="4"/>
  <c r="CM182" i="4"/>
  <c r="CL182" i="4"/>
  <c r="CK182" i="4"/>
  <c r="CJ182" i="4"/>
  <c r="CI182" i="4"/>
  <c r="CH182" i="4"/>
  <c r="CG182" i="4"/>
  <c r="BX182" i="4"/>
  <c r="BW182" i="4"/>
  <c r="BV182" i="4"/>
  <c r="BU182" i="4"/>
  <c r="BT182" i="4"/>
  <c r="BS182" i="4"/>
  <c r="BR182" i="4"/>
  <c r="BQ182" i="4"/>
  <c r="BP182" i="4"/>
  <c r="BO182" i="4"/>
  <c r="BN182" i="4"/>
  <c r="BD182" i="4"/>
  <c r="BC182" i="4"/>
  <c r="BB182" i="4"/>
  <c r="BA182" i="4"/>
  <c r="AZ182" i="4"/>
  <c r="AY182" i="4"/>
  <c r="AX182" i="4"/>
  <c r="AW182" i="4"/>
  <c r="AV182" i="4"/>
  <c r="AU182" i="4"/>
  <c r="AT182" i="4"/>
  <c r="AK182" i="4"/>
  <c r="AJ182" i="4"/>
  <c r="AI182" i="4"/>
  <c r="AH182" i="4"/>
  <c r="AG182" i="4"/>
  <c r="AF182" i="4"/>
  <c r="AE182" i="4"/>
  <c r="AD182" i="4"/>
  <c r="AC182" i="4"/>
  <c r="AB182" i="4"/>
  <c r="AA182" i="4"/>
  <c r="Q182" i="4"/>
  <c r="P182" i="4"/>
  <c r="O182" i="4"/>
  <c r="N182" i="4"/>
  <c r="M182" i="4"/>
  <c r="L182" i="4"/>
  <c r="K182" i="4"/>
  <c r="J182" i="4"/>
  <c r="I182" i="4"/>
  <c r="H182" i="4"/>
  <c r="G182" i="4"/>
  <c r="EY181" i="4"/>
  <c r="EX181" i="4"/>
  <c r="EW181" i="4"/>
  <c r="EV181" i="4"/>
  <c r="EU181" i="4"/>
  <c r="ET181" i="4"/>
  <c r="ES181" i="4"/>
  <c r="ER181" i="4"/>
  <c r="EQ181" i="4"/>
  <c r="EP181" i="4"/>
  <c r="EO181" i="4"/>
  <c r="EN181" i="4"/>
  <c r="EF181" i="4"/>
  <c r="EE181" i="4"/>
  <c r="ED181" i="4"/>
  <c r="EC181" i="4"/>
  <c r="EB181" i="4"/>
  <c r="EA181" i="4"/>
  <c r="DZ181" i="4"/>
  <c r="DY181" i="4"/>
  <c r="DX181" i="4"/>
  <c r="DW181" i="4"/>
  <c r="DV181" i="4"/>
  <c r="DU181" i="4"/>
  <c r="DK181" i="4"/>
  <c r="DJ181" i="4"/>
  <c r="DI181" i="4"/>
  <c r="DH181" i="4"/>
  <c r="DG181" i="4"/>
  <c r="DF181" i="4"/>
  <c r="DE181" i="4"/>
  <c r="DD181" i="4"/>
  <c r="DC181" i="4"/>
  <c r="DB181" i="4"/>
  <c r="DA181" i="4"/>
  <c r="CZ181" i="4"/>
  <c r="CR181" i="4"/>
  <c r="CQ181" i="4"/>
  <c r="CP181" i="4"/>
  <c r="CO181" i="4"/>
  <c r="CN181" i="4"/>
  <c r="CM181" i="4"/>
  <c r="CL181" i="4"/>
  <c r="CK181" i="4"/>
  <c r="CJ181" i="4"/>
  <c r="CI181" i="4"/>
  <c r="CH181" i="4"/>
  <c r="CG181" i="4"/>
  <c r="BX181" i="4"/>
  <c r="BW181" i="4"/>
  <c r="BV181" i="4"/>
  <c r="BU181" i="4"/>
  <c r="BT181" i="4"/>
  <c r="BS181" i="4"/>
  <c r="BR181" i="4"/>
  <c r="BQ181" i="4"/>
  <c r="BP181" i="4"/>
  <c r="BO181" i="4"/>
  <c r="BN181" i="4"/>
  <c r="BM181" i="4"/>
  <c r="BE181" i="4"/>
  <c r="BD181" i="4"/>
  <c r="BC181" i="4"/>
  <c r="BB181" i="4"/>
  <c r="BA181" i="4"/>
  <c r="AZ181" i="4"/>
  <c r="AY181" i="4"/>
  <c r="AX181" i="4"/>
  <c r="AW181" i="4"/>
  <c r="AV181" i="4"/>
  <c r="AU181" i="4"/>
  <c r="AT181" i="4"/>
  <c r="AK181" i="4"/>
  <c r="AJ181" i="4"/>
  <c r="AI181" i="4"/>
  <c r="AH181" i="4"/>
  <c r="AG181" i="4"/>
  <c r="AF181" i="4"/>
  <c r="AE181" i="4"/>
  <c r="AD181" i="4"/>
  <c r="AC181" i="4"/>
  <c r="AB181" i="4"/>
  <c r="AA181" i="4"/>
  <c r="Z181" i="4"/>
  <c r="R181" i="4"/>
  <c r="Q181" i="4"/>
  <c r="P181" i="4"/>
  <c r="O181" i="4"/>
  <c r="N181" i="4"/>
  <c r="M181" i="4"/>
  <c r="L181" i="4"/>
  <c r="K181" i="4"/>
  <c r="J181" i="4"/>
  <c r="I181" i="4"/>
  <c r="H181" i="4"/>
  <c r="G181" i="4"/>
  <c r="EY180" i="4"/>
  <c r="EX180" i="4"/>
  <c r="EW180" i="4"/>
  <c r="EV180" i="4"/>
  <c r="EU180" i="4"/>
  <c r="ET180" i="4"/>
  <c r="ES180" i="4"/>
  <c r="ER180" i="4"/>
  <c r="EQ180" i="4"/>
  <c r="EP180" i="4"/>
  <c r="EO180" i="4"/>
  <c r="EN180" i="4"/>
  <c r="EF180" i="4"/>
  <c r="EE180" i="4"/>
  <c r="ED180" i="4"/>
  <c r="EC180" i="4"/>
  <c r="EB180" i="4"/>
  <c r="EA180" i="4"/>
  <c r="DZ180" i="4"/>
  <c r="DY180" i="4"/>
  <c r="DX180" i="4"/>
  <c r="DW180" i="4"/>
  <c r="DV180" i="4"/>
  <c r="DU180" i="4"/>
  <c r="DK180" i="4"/>
  <c r="DJ180" i="4"/>
  <c r="DI180" i="4"/>
  <c r="DH180" i="4"/>
  <c r="DG180" i="4"/>
  <c r="DF180" i="4"/>
  <c r="DE180" i="4"/>
  <c r="DD180" i="4"/>
  <c r="DC180" i="4"/>
  <c r="DB180" i="4"/>
  <c r="DA180" i="4"/>
  <c r="CZ180" i="4"/>
  <c r="CR180" i="4"/>
  <c r="CQ180" i="4"/>
  <c r="CP180" i="4"/>
  <c r="CO180" i="4"/>
  <c r="CN180" i="4"/>
  <c r="CM180" i="4"/>
  <c r="CL180" i="4"/>
  <c r="CK180" i="4"/>
  <c r="CJ180" i="4"/>
  <c r="CI180" i="4"/>
  <c r="CH180" i="4"/>
  <c r="CG180" i="4"/>
  <c r="BX180" i="4"/>
  <c r="BW180" i="4"/>
  <c r="BV180" i="4"/>
  <c r="BU180" i="4"/>
  <c r="BT180" i="4"/>
  <c r="BS180" i="4"/>
  <c r="BR180" i="4"/>
  <c r="BQ180" i="4"/>
  <c r="BP180" i="4"/>
  <c r="BO180" i="4"/>
  <c r="BN180" i="4"/>
  <c r="BM180" i="4"/>
  <c r="BE180" i="4"/>
  <c r="BD180" i="4"/>
  <c r="BC180" i="4"/>
  <c r="BB180" i="4"/>
  <c r="BA180" i="4"/>
  <c r="AZ180" i="4"/>
  <c r="AY180" i="4"/>
  <c r="AX180" i="4"/>
  <c r="AW180" i="4"/>
  <c r="AV180" i="4"/>
  <c r="AU180" i="4"/>
  <c r="AT180" i="4"/>
  <c r="AK180" i="4"/>
  <c r="AJ180" i="4"/>
  <c r="AI180" i="4"/>
  <c r="AH180" i="4"/>
  <c r="AG180" i="4"/>
  <c r="AF180" i="4"/>
  <c r="AE180" i="4"/>
  <c r="AD180" i="4"/>
  <c r="AC180" i="4"/>
  <c r="AB180" i="4"/>
  <c r="AA180" i="4"/>
  <c r="Z180" i="4"/>
  <c r="R180" i="4"/>
  <c r="Q180" i="4"/>
  <c r="P180" i="4"/>
  <c r="O180" i="4"/>
  <c r="N180" i="4"/>
  <c r="M180" i="4"/>
  <c r="L180" i="4"/>
  <c r="K180" i="4"/>
  <c r="J180" i="4"/>
  <c r="I180" i="4"/>
  <c r="H180" i="4"/>
  <c r="G180" i="4"/>
  <c r="EY179" i="4"/>
  <c r="EX179" i="4"/>
  <c r="EW179" i="4"/>
  <c r="EV179" i="4"/>
  <c r="EU179" i="4"/>
  <c r="ET179" i="4"/>
  <c r="ES179" i="4"/>
  <c r="ER179" i="4"/>
  <c r="EQ179" i="4"/>
  <c r="EP179" i="4"/>
  <c r="EO179" i="4"/>
  <c r="EN179" i="4"/>
  <c r="EM179" i="4"/>
  <c r="EG179" i="4"/>
  <c r="EF179" i="4"/>
  <c r="EE179" i="4"/>
  <c r="ED179" i="4"/>
  <c r="EC179" i="4"/>
  <c r="EB179" i="4"/>
  <c r="EA179" i="4"/>
  <c r="DZ179" i="4"/>
  <c r="DY179" i="4"/>
  <c r="DX179" i="4"/>
  <c r="DW179" i="4"/>
  <c r="DV179" i="4"/>
  <c r="DU179" i="4"/>
  <c r="DK179" i="4"/>
  <c r="DJ179" i="4"/>
  <c r="DI179" i="4"/>
  <c r="DH179" i="4"/>
  <c r="DG179" i="4"/>
  <c r="DF179" i="4"/>
  <c r="DE179" i="4"/>
  <c r="DD179" i="4"/>
  <c r="DC179" i="4"/>
  <c r="DB179" i="4"/>
  <c r="DA179" i="4"/>
  <c r="CZ179" i="4"/>
  <c r="CY179" i="4"/>
  <c r="CS179" i="4"/>
  <c r="CR179" i="4"/>
  <c r="CQ179" i="4"/>
  <c r="CP179" i="4"/>
  <c r="CO179" i="4"/>
  <c r="CN179" i="4"/>
  <c r="CM179" i="4"/>
  <c r="CL179" i="4"/>
  <c r="CK179" i="4"/>
  <c r="CJ179" i="4"/>
  <c r="CI179" i="4"/>
  <c r="CH179" i="4"/>
  <c r="CG179" i="4"/>
  <c r="BX179" i="4"/>
  <c r="BW179" i="4"/>
  <c r="BV179" i="4"/>
  <c r="BU179" i="4"/>
  <c r="BT179" i="4"/>
  <c r="BS179" i="4"/>
  <c r="BR179" i="4"/>
  <c r="BQ179" i="4"/>
  <c r="BP179" i="4"/>
  <c r="BO179" i="4"/>
  <c r="BN179" i="4"/>
  <c r="BM179" i="4"/>
  <c r="BL179" i="4"/>
  <c r="BF179" i="4"/>
  <c r="BE179" i="4"/>
  <c r="BD179" i="4"/>
  <c r="BC179" i="4"/>
  <c r="BB179" i="4"/>
  <c r="BA179" i="4"/>
  <c r="AZ179" i="4"/>
  <c r="AY179" i="4"/>
  <c r="AX179" i="4"/>
  <c r="AW179" i="4"/>
  <c r="AV179" i="4"/>
  <c r="AU179" i="4"/>
  <c r="AT179" i="4"/>
  <c r="AK179" i="4"/>
  <c r="AJ179" i="4"/>
  <c r="AI179" i="4"/>
  <c r="AH179" i="4"/>
  <c r="AG179" i="4"/>
  <c r="AF179" i="4"/>
  <c r="AE179" i="4"/>
  <c r="AD179" i="4"/>
  <c r="AC179" i="4"/>
  <c r="AB179" i="4"/>
  <c r="AA179" i="4"/>
  <c r="Z179" i="4"/>
  <c r="Y179" i="4"/>
  <c r="S179" i="4"/>
  <c r="R179" i="4"/>
  <c r="Q179" i="4"/>
  <c r="P179" i="4"/>
  <c r="O179" i="4"/>
  <c r="N179" i="4"/>
  <c r="M179" i="4"/>
  <c r="L179" i="4"/>
  <c r="K179" i="4"/>
  <c r="J179" i="4"/>
  <c r="I179" i="4"/>
  <c r="H179" i="4"/>
  <c r="G179" i="4"/>
  <c r="EY178" i="4"/>
  <c r="EX178" i="4"/>
  <c r="EW178" i="4"/>
  <c r="EV178" i="4"/>
  <c r="EU178" i="4"/>
  <c r="ET178" i="4"/>
  <c r="ES178" i="4"/>
  <c r="ER178" i="4"/>
  <c r="EQ178" i="4"/>
  <c r="EP178" i="4"/>
  <c r="EO178" i="4"/>
  <c r="EN178" i="4"/>
  <c r="EM178" i="4"/>
  <c r="EG178" i="4"/>
  <c r="EF178" i="4"/>
  <c r="EE178" i="4"/>
  <c r="ED178" i="4"/>
  <c r="EC178" i="4"/>
  <c r="EB178" i="4"/>
  <c r="EA178" i="4"/>
  <c r="DZ178" i="4"/>
  <c r="DY178" i="4"/>
  <c r="DX178" i="4"/>
  <c r="DW178" i="4"/>
  <c r="DV178" i="4"/>
  <c r="DU178" i="4"/>
  <c r="DK178" i="4"/>
  <c r="DJ178" i="4"/>
  <c r="DI178" i="4"/>
  <c r="DH178" i="4"/>
  <c r="DG178" i="4"/>
  <c r="DF178" i="4"/>
  <c r="DE178" i="4"/>
  <c r="DD178" i="4"/>
  <c r="DC178" i="4"/>
  <c r="DB178" i="4"/>
  <c r="DA178" i="4"/>
  <c r="CZ178" i="4"/>
  <c r="CY178" i="4"/>
  <c r="CS178" i="4"/>
  <c r="CR178" i="4"/>
  <c r="CQ178" i="4"/>
  <c r="CP178" i="4"/>
  <c r="CO178" i="4"/>
  <c r="CN178" i="4"/>
  <c r="CM178" i="4"/>
  <c r="CL178" i="4"/>
  <c r="CK178" i="4"/>
  <c r="CJ178" i="4"/>
  <c r="CI178" i="4"/>
  <c r="CH178" i="4"/>
  <c r="CG178" i="4"/>
  <c r="BX178" i="4"/>
  <c r="BW178" i="4"/>
  <c r="BV178" i="4"/>
  <c r="BU178" i="4"/>
  <c r="BT178" i="4"/>
  <c r="BS178" i="4"/>
  <c r="BR178" i="4"/>
  <c r="BQ178" i="4"/>
  <c r="BP178" i="4"/>
  <c r="BO178" i="4"/>
  <c r="BN178" i="4"/>
  <c r="BM178" i="4"/>
  <c r="BL178" i="4"/>
  <c r="BF178" i="4"/>
  <c r="BE178" i="4"/>
  <c r="BD178" i="4"/>
  <c r="BC178" i="4"/>
  <c r="BB178" i="4"/>
  <c r="BA178" i="4"/>
  <c r="AZ178" i="4"/>
  <c r="AY178" i="4"/>
  <c r="AX178" i="4"/>
  <c r="AW178" i="4"/>
  <c r="AV178" i="4"/>
  <c r="AU178" i="4"/>
  <c r="AT178" i="4"/>
  <c r="AK178" i="4"/>
  <c r="AJ178" i="4"/>
  <c r="AI178" i="4"/>
  <c r="AH178" i="4"/>
  <c r="AG178" i="4"/>
  <c r="AF178" i="4"/>
  <c r="AE178" i="4"/>
  <c r="AD178" i="4"/>
  <c r="AC178" i="4"/>
  <c r="AB178" i="4"/>
  <c r="AA178" i="4"/>
  <c r="Z178" i="4"/>
  <c r="Y178" i="4"/>
  <c r="S178" i="4"/>
  <c r="R178" i="4"/>
  <c r="Q178" i="4"/>
  <c r="P178" i="4"/>
  <c r="O178" i="4"/>
  <c r="N178" i="4"/>
  <c r="M178" i="4"/>
  <c r="L178" i="4"/>
  <c r="K178" i="4"/>
  <c r="J178" i="4"/>
  <c r="I178" i="4"/>
  <c r="H178" i="4"/>
  <c r="G178" i="4"/>
  <c r="EY177" i="4"/>
  <c r="EX177" i="4"/>
  <c r="EW177" i="4"/>
  <c r="EV177" i="4"/>
  <c r="EU177" i="4"/>
  <c r="ET177" i="4"/>
  <c r="ES177" i="4"/>
  <c r="ER177" i="4"/>
  <c r="EQ177" i="4"/>
  <c r="EP177" i="4"/>
  <c r="EO177" i="4"/>
  <c r="EN177" i="4"/>
  <c r="EM177" i="4"/>
  <c r="EG177" i="4"/>
  <c r="EF177" i="4"/>
  <c r="EE177" i="4"/>
  <c r="ED177" i="4"/>
  <c r="EC177" i="4"/>
  <c r="EB177" i="4"/>
  <c r="EA177" i="4"/>
  <c r="DZ177" i="4"/>
  <c r="DY177" i="4"/>
  <c r="DX177" i="4"/>
  <c r="DW177" i="4"/>
  <c r="DV177" i="4"/>
  <c r="DU177" i="4"/>
  <c r="DK177" i="4"/>
  <c r="DJ177" i="4"/>
  <c r="DI177" i="4"/>
  <c r="DH177" i="4"/>
  <c r="DG177" i="4"/>
  <c r="DF177" i="4"/>
  <c r="DE177" i="4"/>
  <c r="DD177" i="4"/>
  <c r="DC177" i="4"/>
  <c r="DB177" i="4"/>
  <c r="DA177" i="4"/>
  <c r="CZ177" i="4"/>
  <c r="CY177" i="4"/>
  <c r="CS177" i="4"/>
  <c r="CR177" i="4"/>
  <c r="CQ177" i="4"/>
  <c r="CP177" i="4"/>
  <c r="CO177" i="4"/>
  <c r="CN177" i="4"/>
  <c r="CM177" i="4"/>
  <c r="CL177" i="4"/>
  <c r="CK177" i="4"/>
  <c r="CJ177" i="4"/>
  <c r="CI177" i="4"/>
  <c r="CH177" i="4"/>
  <c r="CG177" i="4"/>
  <c r="BX177" i="4"/>
  <c r="BW177" i="4"/>
  <c r="BV177" i="4"/>
  <c r="BU177" i="4"/>
  <c r="BT177" i="4"/>
  <c r="BS177" i="4"/>
  <c r="BR177" i="4"/>
  <c r="BQ177" i="4"/>
  <c r="BP177" i="4"/>
  <c r="BO177" i="4"/>
  <c r="BN177" i="4"/>
  <c r="BM177" i="4"/>
  <c r="BL177" i="4"/>
  <c r="BF177" i="4"/>
  <c r="BE177" i="4"/>
  <c r="BD177" i="4"/>
  <c r="BC177" i="4"/>
  <c r="BB177" i="4"/>
  <c r="BA177" i="4"/>
  <c r="AZ177" i="4"/>
  <c r="AY177" i="4"/>
  <c r="AX177" i="4"/>
  <c r="AW177" i="4"/>
  <c r="AV177" i="4"/>
  <c r="AU177" i="4"/>
  <c r="AT177" i="4"/>
  <c r="AK177" i="4"/>
  <c r="AJ177" i="4"/>
  <c r="AI177" i="4"/>
  <c r="AH177" i="4"/>
  <c r="AG177" i="4"/>
  <c r="AF177" i="4"/>
  <c r="AE177" i="4"/>
  <c r="AD177" i="4"/>
  <c r="AC177" i="4"/>
  <c r="AB177" i="4"/>
  <c r="AA177" i="4"/>
  <c r="Z177" i="4"/>
  <c r="Y177" i="4"/>
  <c r="S177" i="4"/>
  <c r="R177" i="4"/>
  <c r="Q177" i="4"/>
  <c r="P177" i="4"/>
  <c r="O177" i="4"/>
  <c r="N177" i="4"/>
  <c r="M177" i="4"/>
  <c r="L177" i="4"/>
  <c r="K177" i="4"/>
  <c r="J177" i="4"/>
  <c r="I177" i="4"/>
  <c r="H177" i="4"/>
  <c r="G177" i="4"/>
  <c r="EY176" i="4"/>
  <c r="EX176" i="4"/>
  <c r="EW176" i="4"/>
  <c r="EV176" i="4"/>
  <c r="EU176" i="4"/>
  <c r="ET176" i="4"/>
  <c r="ES176" i="4"/>
  <c r="ER176" i="4"/>
  <c r="EQ176" i="4"/>
  <c r="EP176" i="4"/>
  <c r="EO176" i="4"/>
  <c r="EN176" i="4"/>
  <c r="EM176" i="4"/>
  <c r="EL176" i="4"/>
  <c r="EH176" i="4"/>
  <c r="EG176" i="4"/>
  <c r="EF176" i="4"/>
  <c r="EE176" i="4"/>
  <c r="ED176" i="4"/>
  <c r="EC176" i="4"/>
  <c r="EB176" i="4"/>
  <c r="EA176" i="4"/>
  <c r="DZ176" i="4"/>
  <c r="DY176" i="4"/>
  <c r="DX176" i="4"/>
  <c r="DW176" i="4"/>
  <c r="DV176" i="4"/>
  <c r="DU176" i="4"/>
  <c r="DK176" i="4"/>
  <c r="DJ176" i="4"/>
  <c r="DI176" i="4"/>
  <c r="DH176" i="4"/>
  <c r="DG176" i="4"/>
  <c r="DF176" i="4"/>
  <c r="DE176" i="4"/>
  <c r="DD176" i="4"/>
  <c r="DC176" i="4"/>
  <c r="DB176" i="4"/>
  <c r="DA176" i="4"/>
  <c r="CZ176" i="4"/>
  <c r="CY176" i="4"/>
  <c r="CX176" i="4"/>
  <c r="CT176" i="4"/>
  <c r="CS176" i="4"/>
  <c r="CR176" i="4"/>
  <c r="CQ176" i="4"/>
  <c r="CP176" i="4"/>
  <c r="CO176" i="4"/>
  <c r="CN176" i="4"/>
  <c r="CM176" i="4"/>
  <c r="CL176" i="4"/>
  <c r="CK176" i="4"/>
  <c r="CJ176" i="4"/>
  <c r="CI176" i="4"/>
  <c r="CH176" i="4"/>
  <c r="CG176" i="4"/>
  <c r="BX176" i="4"/>
  <c r="BW176" i="4"/>
  <c r="BV176" i="4"/>
  <c r="BU176" i="4"/>
  <c r="BT176" i="4"/>
  <c r="BS176" i="4"/>
  <c r="BR176" i="4"/>
  <c r="BQ176" i="4"/>
  <c r="BP176" i="4"/>
  <c r="BO176" i="4"/>
  <c r="BN176" i="4"/>
  <c r="BM176" i="4"/>
  <c r="BL176" i="4"/>
  <c r="BK176" i="4"/>
  <c r="BG176" i="4"/>
  <c r="BF176" i="4"/>
  <c r="BE176" i="4"/>
  <c r="BD176" i="4"/>
  <c r="BC176" i="4"/>
  <c r="BB176" i="4"/>
  <c r="BA176" i="4"/>
  <c r="AZ176" i="4"/>
  <c r="AY176" i="4"/>
  <c r="AX176" i="4"/>
  <c r="AW176" i="4"/>
  <c r="AV176" i="4"/>
  <c r="AU176" i="4"/>
  <c r="AT176" i="4"/>
  <c r="AK176" i="4"/>
  <c r="AJ176" i="4"/>
  <c r="AI176" i="4"/>
  <c r="AH176" i="4"/>
  <c r="AG176" i="4"/>
  <c r="AF176" i="4"/>
  <c r="AE176" i="4"/>
  <c r="AD176" i="4"/>
  <c r="AC176" i="4"/>
  <c r="AB176" i="4"/>
  <c r="AA176" i="4"/>
  <c r="Z176" i="4"/>
  <c r="Y176" i="4"/>
  <c r="X176" i="4"/>
  <c r="T176" i="4"/>
  <c r="S176" i="4"/>
  <c r="R176" i="4"/>
  <c r="Q176" i="4"/>
  <c r="P176" i="4"/>
  <c r="O176" i="4"/>
  <c r="N176" i="4"/>
  <c r="M176" i="4"/>
  <c r="L176" i="4"/>
  <c r="K176" i="4"/>
  <c r="J176" i="4"/>
  <c r="I176" i="4"/>
  <c r="H176" i="4"/>
  <c r="G176" i="4"/>
  <c r="EY175" i="4"/>
  <c r="EX175" i="4"/>
  <c r="EW175" i="4"/>
  <c r="EV175" i="4"/>
  <c r="EU175" i="4"/>
  <c r="ET175" i="4"/>
  <c r="ES175" i="4"/>
  <c r="ER175" i="4"/>
  <c r="EQ175" i="4"/>
  <c r="EP175" i="4"/>
  <c r="EO175" i="4"/>
  <c r="EN175" i="4"/>
  <c r="EM175" i="4"/>
  <c r="EL175" i="4"/>
  <c r="EH175" i="4"/>
  <c r="EG175" i="4"/>
  <c r="EF175" i="4"/>
  <c r="EE175" i="4"/>
  <c r="ED175" i="4"/>
  <c r="EC175" i="4"/>
  <c r="EB175" i="4"/>
  <c r="EA175" i="4"/>
  <c r="DZ175" i="4"/>
  <c r="DY175" i="4"/>
  <c r="DX175" i="4"/>
  <c r="DW175" i="4"/>
  <c r="DV175" i="4"/>
  <c r="DU175" i="4"/>
  <c r="DK175" i="4"/>
  <c r="DJ175" i="4"/>
  <c r="DI175" i="4"/>
  <c r="DH175" i="4"/>
  <c r="DG175" i="4"/>
  <c r="DF175" i="4"/>
  <c r="DE175" i="4"/>
  <c r="DD175" i="4"/>
  <c r="DC175" i="4"/>
  <c r="DB175" i="4"/>
  <c r="DA175" i="4"/>
  <c r="CZ175" i="4"/>
  <c r="CY175" i="4"/>
  <c r="CX175" i="4"/>
  <c r="CT175" i="4"/>
  <c r="CS175" i="4"/>
  <c r="CR175" i="4"/>
  <c r="CQ175" i="4"/>
  <c r="CP175" i="4"/>
  <c r="CO175" i="4"/>
  <c r="CN175" i="4"/>
  <c r="CM175" i="4"/>
  <c r="CL175" i="4"/>
  <c r="CK175" i="4"/>
  <c r="CJ175" i="4"/>
  <c r="CI175" i="4"/>
  <c r="CH175" i="4"/>
  <c r="CG175" i="4"/>
  <c r="BX175" i="4"/>
  <c r="BW175" i="4"/>
  <c r="BV175" i="4"/>
  <c r="BU175" i="4"/>
  <c r="BT175" i="4"/>
  <c r="BS175" i="4"/>
  <c r="BR175" i="4"/>
  <c r="BQ175" i="4"/>
  <c r="BP175" i="4"/>
  <c r="BO175" i="4"/>
  <c r="BN175" i="4"/>
  <c r="BM175" i="4"/>
  <c r="BL175" i="4"/>
  <c r="BK175" i="4"/>
  <c r="BG175" i="4"/>
  <c r="BF175" i="4"/>
  <c r="BE175" i="4"/>
  <c r="BD175" i="4"/>
  <c r="BC175" i="4"/>
  <c r="BB175" i="4"/>
  <c r="BA175" i="4"/>
  <c r="AZ175" i="4"/>
  <c r="AY175" i="4"/>
  <c r="AX175" i="4"/>
  <c r="AW175" i="4"/>
  <c r="AV175" i="4"/>
  <c r="AU175" i="4"/>
  <c r="AT175" i="4"/>
  <c r="AK175" i="4"/>
  <c r="AJ175" i="4"/>
  <c r="AI175" i="4"/>
  <c r="AH175" i="4"/>
  <c r="AG175" i="4"/>
  <c r="AF175" i="4"/>
  <c r="AE175" i="4"/>
  <c r="AD175" i="4"/>
  <c r="AC175" i="4"/>
  <c r="AB175" i="4"/>
  <c r="AA175" i="4"/>
  <c r="Z175" i="4"/>
  <c r="Y175" i="4"/>
  <c r="X175" i="4"/>
  <c r="T175" i="4"/>
  <c r="S175" i="4"/>
  <c r="R175" i="4"/>
  <c r="Q175" i="4"/>
  <c r="P175" i="4"/>
  <c r="O175" i="4"/>
  <c r="N175" i="4"/>
  <c r="M175" i="4"/>
  <c r="L175" i="4"/>
  <c r="K175" i="4"/>
  <c r="J175" i="4"/>
  <c r="I175" i="4"/>
  <c r="H175" i="4"/>
  <c r="G175" i="4"/>
  <c r="EY174" i="4"/>
  <c r="EX174" i="4"/>
  <c r="EW174" i="4"/>
  <c r="EV174" i="4"/>
  <c r="EU174" i="4"/>
  <c r="ET174" i="4"/>
  <c r="ES174" i="4"/>
  <c r="ER174" i="4"/>
  <c r="EQ174" i="4"/>
  <c r="EP174" i="4"/>
  <c r="EO174" i="4"/>
  <c r="EN174" i="4"/>
  <c r="EM174" i="4"/>
  <c r="EL174" i="4"/>
  <c r="EH174" i="4"/>
  <c r="EG174" i="4"/>
  <c r="EF174" i="4"/>
  <c r="EE174" i="4"/>
  <c r="ED174" i="4"/>
  <c r="EC174" i="4"/>
  <c r="EB174" i="4"/>
  <c r="EA174" i="4"/>
  <c r="DZ174" i="4"/>
  <c r="DY174" i="4"/>
  <c r="DX174" i="4"/>
  <c r="DW174" i="4"/>
  <c r="DV174" i="4"/>
  <c r="DU174" i="4"/>
  <c r="DK174" i="4"/>
  <c r="DJ174" i="4"/>
  <c r="DI174" i="4"/>
  <c r="DH174" i="4"/>
  <c r="DG174" i="4"/>
  <c r="DF174" i="4"/>
  <c r="DE174" i="4"/>
  <c r="DD174" i="4"/>
  <c r="DC174" i="4"/>
  <c r="DB174" i="4"/>
  <c r="DA174" i="4"/>
  <c r="CZ174" i="4"/>
  <c r="CY174" i="4"/>
  <c r="CX174" i="4"/>
  <c r="CT174" i="4"/>
  <c r="CS174" i="4"/>
  <c r="CR174" i="4"/>
  <c r="CQ174" i="4"/>
  <c r="CP174" i="4"/>
  <c r="CO174" i="4"/>
  <c r="CN174" i="4"/>
  <c r="CM174" i="4"/>
  <c r="CL174" i="4"/>
  <c r="CK174" i="4"/>
  <c r="CJ174" i="4"/>
  <c r="CI174" i="4"/>
  <c r="CH174" i="4"/>
  <c r="CG174" i="4"/>
  <c r="BX174" i="4"/>
  <c r="BW174" i="4"/>
  <c r="BV174" i="4"/>
  <c r="BU174" i="4"/>
  <c r="BT174" i="4"/>
  <c r="BS174" i="4"/>
  <c r="BR174" i="4"/>
  <c r="BQ174" i="4"/>
  <c r="BP174" i="4"/>
  <c r="BO174" i="4"/>
  <c r="BN174" i="4"/>
  <c r="BM174" i="4"/>
  <c r="BL174" i="4"/>
  <c r="BK174" i="4"/>
  <c r="BG174" i="4"/>
  <c r="BF174" i="4"/>
  <c r="BE174" i="4"/>
  <c r="BD174" i="4"/>
  <c r="BC174" i="4"/>
  <c r="BB174" i="4"/>
  <c r="BA174" i="4"/>
  <c r="AZ174" i="4"/>
  <c r="AY174" i="4"/>
  <c r="AX174" i="4"/>
  <c r="AW174" i="4"/>
  <c r="AV174" i="4"/>
  <c r="AU174" i="4"/>
  <c r="AT174" i="4"/>
  <c r="AK174" i="4"/>
  <c r="AJ174" i="4"/>
  <c r="AI174" i="4"/>
  <c r="AH174" i="4"/>
  <c r="AG174" i="4"/>
  <c r="AF174" i="4"/>
  <c r="AE174" i="4"/>
  <c r="AD174" i="4"/>
  <c r="AC174" i="4"/>
  <c r="AB174" i="4"/>
  <c r="AA174" i="4"/>
  <c r="Z174" i="4"/>
  <c r="Y174" i="4"/>
  <c r="X174" i="4"/>
  <c r="T174" i="4"/>
  <c r="S174" i="4"/>
  <c r="R174" i="4"/>
  <c r="Q174" i="4"/>
  <c r="P174" i="4"/>
  <c r="O174" i="4"/>
  <c r="N174" i="4"/>
  <c r="M174" i="4"/>
  <c r="L174" i="4"/>
  <c r="K174" i="4"/>
  <c r="J174" i="4"/>
  <c r="I174" i="4"/>
  <c r="H174" i="4"/>
  <c r="G174" i="4"/>
  <c r="EY173" i="4"/>
  <c r="EX173" i="4"/>
  <c r="EW173" i="4"/>
  <c r="EV173" i="4"/>
  <c r="EU173" i="4"/>
  <c r="ET173" i="4"/>
  <c r="ES173" i="4"/>
  <c r="ER173" i="4"/>
  <c r="EQ173" i="4"/>
  <c r="EP173" i="4"/>
  <c r="EO173" i="4"/>
  <c r="EN173" i="4"/>
  <c r="EM173" i="4"/>
  <c r="EL173" i="4"/>
  <c r="EH173" i="4"/>
  <c r="EG173" i="4"/>
  <c r="EF173" i="4"/>
  <c r="EE173" i="4"/>
  <c r="ED173" i="4"/>
  <c r="EC173" i="4"/>
  <c r="EB173" i="4"/>
  <c r="EA173" i="4"/>
  <c r="DZ173" i="4"/>
  <c r="DY173" i="4"/>
  <c r="DX173" i="4"/>
  <c r="DW173" i="4"/>
  <c r="DV173" i="4"/>
  <c r="DU173" i="4"/>
  <c r="DK173" i="4"/>
  <c r="DJ173" i="4"/>
  <c r="DI173" i="4"/>
  <c r="DH173" i="4"/>
  <c r="DG173" i="4"/>
  <c r="DF173" i="4"/>
  <c r="DE173" i="4"/>
  <c r="DD173" i="4"/>
  <c r="DC173" i="4"/>
  <c r="DB173" i="4"/>
  <c r="DA173" i="4"/>
  <c r="CZ173" i="4"/>
  <c r="CY173" i="4"/>
  <c r="CX173" i="4"/>
  <c r="CT173" i="4"/>
  <c r="CS173" i="4"/>
  <c r="CR173" i="4"/>
  <c r="CQ173" i="4"/>
  <c r="CP173" i="4"/>
  <c r="CO173" i="4"/>
  <c r="CN173" i="4"/>
  <c r="CM173" i="4"/>
  <c r="CL173" i="4"/>
  <c r="CK173" i="4"/>
  <c r="CJ173" i="4"/>
  <c r="CI173" i="4"/>
  <c r="CH173" i="4"/>
  <c r="CG173" i="4"/>
  <c r="BX173" i="4"/>
  <c r="BW173" i="4"/>
  <c r="BV173" i="4"/>
  <c r="BU173" i="4"/>
  <c r="BT173" i="4"/>
  <c r="BS173" i="4"/>
  <c r="BR173" i="4"/>
  <c r="BQ173" i="4"/>
  <c r="BP173" i="4"/>
  <c r="BO173" i="4"/>
  <c r="BN173" i="4"/>
  <c r="BM173" i="4"/>
  <c r="BL173" i="4"/>
  <c r="BK173" i="4"/>
  <c r="BG173" i="4"/>
  <c r="BF173" i="4"/>
  <c r="BE173" i="4"/>
  <c r="BD173" i="4"/>
  <c r="BC173" i="4"/>
  <c r="BB173" i="4"/>
  <c r="BA173" i="4"/>
  <c r="AZ173" i="4"/>
  <c r="AY173" i="4"/>
  <c r="AX173" i="4"/>
  <c r="AW173" i="4"/>
  <c r="AV173" i="4"/>
  <c r="AU173" i="4"/>
  <c r="AT173" i="4"/>
  <c r="AK173" i="4"/>
  <c r="AJ173" i="4"/>
  <c r="AI173" i="4"/>
  <c r="AH173" i="4"/>
  <c r="AG173" i="4"/>
  <c r="AF173" i="4"/>
  <c r="AE173" i="4"/>
  <c r="AD173" i="4"/>
  <c r="AC173" i="4"/>
  <c r="AB173" i="4"/>
  <c r="AA173" i="4"/>
  <c r="Z173" i="4"/>
  <c r="Y173" i="4"/>
  <c r="X173" i="4"/>
  <c r="T173" i="4"/>
  <c r="S173" i="4"/>
  <c r="R173" i="4"/>
  <c r="Q173" i="4"/>
  <c r="P173" i="4"/>
  <c r="O173" i="4"/>
  <c r="N173" i="4"/>
  <c r="M173" i="4"/>
  <c r="L173" i="4"/>
  <c r="K173" i="4"/>
  <c r="J173" i="4"/>
  <c r="I173" i="4"/>
  <c r="H173" i="4"/>
  <c r="G173" i="4"/>
  <c r="EY172" i="4"/>
  <c r="EX172" i="4"/>
  <c r="EW172" i="4"/>
  <c r="EV172" i="4"/>
  <c r="EU172" i="4"/>
  <c r="ET172" i="4"/>
  <c r="ES172" i="4"/>
  <c r="ER172" i="4"/>
  <c r="EQ172" i="4"/>
  <c r="EP172" i="4"/>
  <c r="EO172" i="4"/>
  <c r="EN172" i="4"/>
  <c r="EM172" i="4"/>
  <c r="EL172" i="4"/>
  <c r="EH172" i="4"/>
  <c r="EG172" i="4"/>
  <c r="EF172" i="4"/>
  <c r="EE172" i="4"/>
  <c r="ED172" i="4"/>
  <c r="EC172" i="4"/>
  <c r="EB172" i="4"/>
  <c r="EA172" i="4"/>
  <c r="DZ172" i="4"/>
  <c r="DY172" i="4"/>
  <c r="DX172" i="4"/>
  <c r="DW172" i="4"/>
  <c r="DV172" i="4"/>
  <c r="DU172" i="4"/>
  <c r="DK172" i="4"/>
  <c r="DJ172" i="4"/>
  <c r="DI172" i="4"/>
  <c r="DH172" i="4"/>
  <c r="DG172" i="4"/>
  <c r="DF172" i="4"/>
  <c r="DE172" i="4"/>
  <c r="DD172" i="4"/>
  <c r="DC172" i="4"/>
  <c r="DB172" i="4"/>
  <c r="DA172" i="4"/>
  <c r="CZ172" i="4"/>
  <c r="CY172" i="4"/>
  <c r="CX172" i="4"/>
  <c r="CT172" i="4"/>
  <c r="CS172" i="4"/>
  <c r="CR172" i="4"/>
  <c r="CQ172" i="4"/>
  <c r="CP172" i="4"/>
  <c r="CO172" i="4"/>
  <c r="CN172" i="4"/>
  <c r="CM172" i="4"/>
  <c r="CL172" i="4"/>
  <c r="CK172" i="4"/>
  <c r="CJ172" i="4"/>
  <c r="CI172" i="4"/>
  <c r="CH172" i="4"/>
  <c r="CG172" i="4"/>
  <c r="BX172" i="4"/>
  <c r="BW172" i="4"/>
  <c r="BV172" i="4"/>
  <c r="BU172" i="4"/>
  <c r="BT172" i="4"/>
  <c r="BS172" i="4"/>
  <c r="BR172" i="4"/>
  <c r="BQ172" i="4"/>
  <c r="BP172" i="4"/>
  <c r="BO172" i="4"/>
  <c r="BN172" i="4"/>
  <c r="BM172" i="4"/>
  <c r="BL172" i="4"/>
  <c r="BK172" i="4"/>
  <c r="BG172" i="4"/>
  <c r="BF172" i="4"/>
  <c r="BE172" i="4"/>
  <c r="BD172" i="4"/>
  <c r="BC172" i="4"/>
  <c r="BB172" i="4"/>
  <c r="BA172" i="4"/>
  <c r="AZ172" i="4"/>
  <c r="AY172" i="4"/>
  <c r="AX172" i="4"/>
  <c r="AW172" i="4"/>
  <c r="AV172" i="4"/>
  <c r="AU172" i="4"/>
  <c r="AT172" i="4"/>
  <c r="AK172" i="4"/>
  <c r="AJ172" i="4"/>
  <c r="AI172" i="4"/>
  <c r="AH172" i="4"/>
  <c r="AG172" i="4"/>
  <c r="AF172" i="4"/>
  <c r="AE172" i="4"/>
  <c r="AD172" i="4"/>
  <c r="AC172" i="4"/>
  <c r="AB172" i="4"/>
  <c r="AA172" i="4"/>
  <c r="Z172" i="4"/>
  <c r="Y172" i="4"/>
  <c r="X172" i="4"/>
  <c r="T172" i="4"/>
  <c r="S172" i="4"/>
  <c r="R172" i="4"/>
  <c r="Q172" i="4"/>
  <c r="P172" i="4"/>
  <c r="O172" i="4"/>
  <c r="N172" i="4"/>
  <c r="M172" i="4"/>
  <c r="L172" i="4"/>
  <c r="K172" i="4"/>
  <c r="J172" i="4"/>
  <c r="I172" i="4"/>
  <c r="H172" i="4"/>
  <c r="G172" i="4"/>
  <c r="EY171" i="4"/>
  <c r="EX171" i="4"/>
  <c r="EW171" i="4"/>
  <c r="EV171" i="4"/>
  <c r="EU171" i="4"/>
  <c r="ET171" i="4"/>
  <c r="ES171" i="4"/>
  <c r="ER171" i="4"/>
  <c r="EQ171" i="4"/>
  <c r="EP171" i="4"/>
  <c r="EO171" i="4"/>
  <c r="EN171" i="4"/>
  <c r="EM171" i="4"/>
  <c r="EL171" i="4"/>
  <c r="EH171" i="4"/>
  <c r="EG171" i="4"/>
  <c r="EF171" i="4"/>
  <c r="EE171" i="4"/>
  <c r="ED171" i="4"/>
  <c r="EC171" i="4"/>
  <c r="EB171" i="4"/>
  <c r="EA171" i="4"/>
  <c r="DZ171" i="4"/>
  <c r="DY171" i="4"/>
  <c r="DX171" i="4"/>
  <c r="DW171" i="4"/>
  <c r="DV171" i="4"/>
  <c r="DU171" i="4"/>
  <c r="DK171" i="4"/>
  <c r="DJ171" i="4"/>
  <c r="DI171" i="4"/>
  <c r="DH171" i="4"/>
  <c r="DG171" i="4"/>
  <c r="DF171" i="4"/>
  <c r="DE171" i="4"/>
  <c r="DD171" i="4"/>
  <c r="DC171" i="4"/>
  <c r="DB171" i="4"/>
  <c r="DA171" i="4"/>
  <c r="CZ171" i="4"/>
  <c r="CY171" i="4"/>
  <c r="CX171" i="4"/>
  <c r="CT171" i="4"/>
  <c r="CS171" i="4"/>
  <c r="CR171" i="4"/>
  <c r="CQ171" i="4"/>
  <c r="CP171" i="4"/>
  <c r="CO171" i="4"/>
  <c r="CN171" i="4"/>
  <c r="CM171" i="4"/>
  <c r="CL171" i="4"/>
  <c r="CK171" i="4"/>
  <c r="CJ171" i="4"/>
  <c r="CI171" i="4"/>
  <c r="CH171" i="4"/>
  <c r="CG171" i="4"/>
  <c r="BX171" i="4"/>
  <c r="BW171" i="4"/>
  <c r="BV171" i="4"/>
  <c r="BU171" i="4"/>
  <c r="BT171" i="4"/>
  <c r="BS171" i="4"/>
  <c r="BR171" i="4"/>
  <c r="BQ171" i="4"/>
  <c r="BP171" i="4"/>
  <c r="BO171" i="4"/>
  <c r="BN171" i="4"/>
  <c r="BM171" i="4"/>
  <c r="BL171" i="4"/>
  <c r="BK171" i="4"/>
  <c r="BG171" i="4"/>
  <c r="BF171" i="4"/>
  <c r="BE171" i="4"/>
  <c r="BD171" i="4"/>
  <c r="BC171" i="4"/>
  <c r="BB171" i="4"/>
  <c r="BA171" i="4"/>
  <c r="AZ171" i="4"/>
  <c r="AY171" i="4"/>
  <c r="AX171" i="4"/>
  <c r="AW171" i="4"/>
  <c r="AV171" i="4"/>
  <c r="AU171" i="4"/>
  <c r="AT171" i="4"/>
  <c r="AK171" i="4"/>
  <c r="AJ171" i="4"/>
  <c r="AI171" i="4"/>
  <c r="AH171" i="4"/>
  <c r="AG171" i="4"/>
  <c r="AF171" i="4"/>
  <c r="AE171" i="4"/>
  <c r="AD171" i="4"/>
  <c r="AC171" i="4"/>
  <c r="AB171" i="4"/>
  <c r="AA171" i="4"/>
  <c r="Z171" i="4"/>
  <c r="Y171" i="4"/>
  <c r="X171" i="4"/>
  <c r="T171" i="4"/>
  <c r="S171" i="4"/>
  <c r="R171" i="4"/>
  <c r="Q171" i="4"/>
  <c r="P171" i="4"/>
  <c r="O171" i="4"/>
  <c r="N171" i="4"/>
  <c r="M171" i="4"/>
  <c r="L171" i="4"/>
  <c r="K171" i="4"/>
  <c r="J171" i="4"/>
  <c r="I171" i="4"/>
  <c r="H171" i="4"/>
  <c r="G171" i="4"/>
  <c r="EY170" i="4"/>
  <c r="EX170" i="4"/>
  <c r="EW170" i="4"/>
  <c r="EV170" i="4"/>
  <c r="EU170" i="4"/>
  <c r="ET170" i="4"/>
  <c r="ES170" i="4"/>
  <c r="ER170" i="4"/>
  <c r="EQ170" i="4"/>
  <c r="EP170" i="4"/>
  <c r="EO170" i="4"/>
  <c r="EN170" i="4"/>
  <c r="EM170" i="4"/>
  <c r="EL170" i="4"/>
  <c r="EH170" i="4"/>
  <c r="EG170" i="4"/>
  <c r="EF170" i="4"/>
  <c r="EE170" i="4"/>
  <c r="ED170" i="4"/>
  <c r="EC170" i="4"/>
  <c r="EB170" i="4"/>
  <c r="EA170" i="4"/>
  <c r="DZ170" i="4"/>
  <c r="DY170" i="4"/>
  <c r="DX170" i="4"/>
  <c r="DW170" i="4"/>
  <c r="DV170" i="4"/>
  <c r="DU170" i="4"/>
  <c r="DK170" i="4"/>
  <c r="DJ170" i="4"/>
  <c r="DI170" i="4"/>
  <c r="DH170" i="4"/>
  <c r="DG170" i="4"/>
  <c r="DF170" i="4"/>
  <c r="DE170" i="4"/>
  <c r="DD170" i="4"/>
  <c r="DC170" i="4"/>
  <c r="DB170" i="4"/>
  <c r="DA170" i="4"/>
  <c r="CZ170" i="4"/>
  <c r="CY170" i="4"/>
  <c r="CX170" i="4"/>
  <c r="CT170" i="4"/>
  <c r="CS170" i="4"/>
  <c r="CR170" i="4"/>
  <c r="CQ170" i="4"/>
  <c r="CP170" i="4"/>
  <c r="CO170" i="4"/>
  <c r="CN170" i="4"/>
  <c r="CM170" i="4"/>
  <c r="CL170" i="4"/>
  <c r="CK170" i="4"/>
  <c r="CJ170" i="4"/>
  <c r="CI170" i="4"/>
  <c r="CH170" i="4"/>
  <c r="CG170" i="4"/>
  <c r="BX170" i="4"/>
  <c r="BW170" i="4"/>
  <c r="BV170" i="4"/>
  <c r="BU170" i="4"/>
  <c r="BT170" i="4"/>
  <c r="BS170" i="4"/>
  <c r="BR170" i="4"/>
  <c r="BQ170" i="4"/>
  <c r="BP170" i="4"/>
  <c r="BO170" i="4"/>
  <c r="BN170" i="4"/>
  <c r="BM170" i="4"/>
  <c r="BL170" i="4"/>
  <c r="BK170" i="4"/>
  <c r="BG170" i="4"/>
  <c r="BF170" i="4"/>
  <c r="BE170" i="4"/>
  <c r="BD170" i="4"/>
  <c r="BC170" i="4"/>
  <c r="BB170" i="4"/>
  <c r="BA170" i="4"/>
  <c r="AZ170" i="4"/>
  <c r="AY170" i="4"/>
  <c r="AX170" i="4"/>
  <c r="AW170" i="4"/>
  <c r="AV170" i="4"/>
  <c r="AU170" i="4"/>
  <c r="AT170" i="4"/>
  <c r="AK170" i="4"/>
  <c r="AJ170" i="4"/>
  <c r="AI170" i="4"/>
  <c r="AH170" i="4"/>
  <c r="AG170" i="4"/>
  <c r="AF170" i="4"/>
  <c r="AE170" i="4"/>
  <c r="AD170" i="4"/>
  <c r="AC170" i="4"/>
  <c r="AB170" i="4"/>
  <c r="AA170" i="4"/>
  <c r="Z170" i="4"/>
  <c r="Y170" i="4"/>
  <c r="X170" i="4"/>
  <c r="T170" i="4"/>
  <c r="S170" i="4"/>
  <c r="R170" i="4"/>
  <c r="Q170" i="4"/>
  <c r="P170" i="4"/>
  <c r="O170" i="4"/>
  <c r="N170" i="4"/>
  <c r="M170" i="4"/>
  <c r="L170" i="4"/>
  <c r="K170" i="4"/>
  <c r="J170" i="4"/>
  <c r="I170" i="4"/>
  <c r="H170" i="4"/>
  <c r="G170" i="4"/>
  <c r="EY169" i="4"/>
  <c r="EX169" i="4"/>
  <c r="EW169" i="4"/>
  <c r="EV169" i="4"/>
  <c r="EU169" i="4"/>
  <c r="ET169" i="4"/>
  <c r="ES169" i="4"/>
  <c r="ER169" i="4"/>
  <c r="EQ169" i="4"/>
  <c r="EP169" i="4"/>
  <c r="EO169" i="4"/>
  <c r="EN169" i="4"/>
  <c r="EM169" i="4"/>
  <c r="EL169" i="4"/>
  <c r="EH169" i="4"/>
  <c r="EG169" i="4"/>
  <c r="EF169" i="4"/>
  <c r="EE169" i="4"/>
  <c r="ED169" i="4"/>
  <c r="EC169" i="4"/>
  <c r="EB169" i="4"/>
  <c r="EA169" i="4"/>
  <c r="DZ169" i="4"/>
  <c r="DY169" i="4"/>
  <c r="DX169" i="4"/>
  <c r="DW169" i="4"/>
  <c r="DV169" i="4"/>
  <c r="DU169" i="4"/>
  <c r="DK169" i="4"/>
  <c r="DJ169" i="4"/>
  <c r="DI169" i="4"/>
  <c r="DH169" i="4"/>
  <c r="DG169" i="4"/>
  <c r="DF169" i="4"/>
  <c r="DE169" i="4"/>
  <c r="DD169" i="4"/>
  <c r="DC169" i="4"/>
  <c r="DB169" i="4"/>
  <c r="DA169" i="4"/>
  <c r="CZ169" i="4"/>
  <c r="CY169" i="4"/>
  <c r="CX169" i="4"/>
  <c r="CT169" i="4"/>
  <c r="CS169" i="4"/>
  <c r="CR169" i="4"/>
  <c r="CQ169" i="4"/>
  <c r="CP169" i="4"/>
  <c r="CO169" i="4"/>
  <c r="CN169" i="4"/>
  <c r="CM169" i="4"/>
  <c r="CL169" i="4"/>
  <c r="CK169" i="4"/>
  <c r="CJ169" i="4"/>
  <c r="CI169" i="4"/>
  <c r="CH169" i="4"/>
  <c r="CG169" i="4"/>
  <c r="BX169" i="4"/>
  <c r="BW169" i="4"/>
  <c r="BV169" i="4"/>
  <c r="BU169" i="4"/>
  <c r="BT169" i="4"/>
  <c r="BS169" i="4"/>
  <c r="BR169" i="4"/>
  <c r="BQ169" i="4"/>
  <c r="BP169" i="4"/>
  <c r="BO169" i="4"/>
  <c r="BN169" i="4"/>
  <c r="BM169" i="4"/>
  <c r="BL169" i="4"/>
  <c r="BK169" i="4"/>
  <c r="BG169" i="4"/>
  <c r="BF169" i="4"/>
  <c r="BE169" i="4"/>
  <c r="BD169" i="4"/>
  <c r="BC169" i="4"/>
  <c r="BB169" i="4"/>
  <c r="BA169" i="4"/>
  <c r="AZ169" i="4"/>
  <c r="AY169" i="4"/>
  <c r="AX169" i="4"/>
  <c r="AW169" i="4"/>
  <c r="AV169" i="4"/>
  <c r="AU169" i="4"/>
  <c r="AT169" i="4"/>
  <c r="AK169" i="4"/>
  <c r="AJ169" i="4"/>
  <c r="AI169" i="4"/>
  <c r="AH169" i="4"/>
  <c r="AG169" i="4"/>
  <c r="AF169" i="4"/>
  <c r="AE169" i="4"/>
  <c r="AD169" i="4"/>
  <c r="AC169" i="4"/>
  <c r="AB169" i="4"/>
  <c r="AA169" i="4"/>
  <c r="Z169" i="4"/>
  <c r="Y169" i="4"/>
  <c r="X169" i="4"/>
  <c r="T169" i="4"/>
  <c r="S169" i="4"/>
  <c r="R169" i="4"/>
  <c r="Q169" i="4"/>
  <c r="P169" i="4"/>
  <c r="O169" i="4"/>
  <c r="N169" i="4"/>
  <c r="M169" i="4"/>
  <c r="L169" i="4"/>
  <c r="K169" i="4"/>
  <c r="J169" i="4"/>
  <c r="I169" i="4"/>
  <c r="H169" i="4"/>
  <c r="G169" i="4"/>
  <c r="EY168" i="4"/>
  <c r="EX168" i="4"/>
  <c r="EW168" i="4"/>
  <c r="EV168" i="4"/>
  <c r="EU168" i="4"/>
  <c r="ET168" i="4"/>
  <c r="ES168" i="4"/>
  <c r="ER168" i="4"/>
  <c r="EQ168" i="4"/>
  <c r="EP168" i="4"/>
  <c r="EO168" i="4"/>
  <c r="EN168" i="4"/>
  <c r="EM168" i="4"/>
  <c r="EL168" i="4"/>
  <c r="EH168" i="4"/>
  <c r="EG168" i="4"/>
  <c r="EF168" i="4"/>
  <c r="EE168" i="4"/>
  <c r="ED168" i="4"/>
  <c r="EC168" i="4"/>
  <c r="EB168" i="4"/>
  <c r="EA168" i="4"/>
  <c r="DZ168" i="4"/>
  <c r="DY168" i="4"/>
  <c r="DX168" i="4"/>
  <c r="DW168" i="4"/>
  <c r="DV168" i="4"/>
  <c r="DU168" i="4"/>
  <c r="DK168" i="4"/>
  <c r="DJ168" i="4"/>
  <c r="DI168" i="4"/>
  <c r="DH168" i="4"/>
  <c r="DG168" i="4"/>
  <c r="DF168" i="4"/>
  <c r="DE168" i="4"/>
  <c r="DD168" i="4"/>
  <c r="DC168" i="4"/>
  <c r="DB168" i="4"/>
  <c r="DA168" i="4"/>
  <c r="CZ168" i="4"/>
  <c r="CY168" i="4"/>
  <c r="CX168" i="4"/>
  <c r="CT168" i="4"/>
  <c r="CS168" i="4"/>
  <c r="CR168" i="4"/>
  <c r="CQ168" i="4"/>
  <c r="CP168" i="4"/>
  <c r="CO168" i="4"/>
  <c r="CN168" i="4"/>
  <c r="CM168" i="4"/>
  <c r="CL168" i="4"/>
  <c r="CK168" i="4"/>
  <c r="CJ168" i="4"/>
  <c r="CI168" i="4"/>
  <c r="CH168" i="4"/>
  <c r="CG168" i="4"/>
  <c r="BX168" i="4"/>
  <c r="BW168" i="4"/>
  <c r="BV168" i="4"/>
  <c r="BU168" i="4"/>
  <c r="BT168" i="4"/>
  <c r="BS168" i="4"/>
  <c r="BR168" i="4"/>
  <c r="BQ168" i="4"/>
  <c r="BP168" i="4"/>
  <c r="BO168" i="4"/>
  <c r="BN168" i="4"/>
  <c r="BM168" i="4"/>
  <c r="BL168" i="4"/>
  <c r="BK168" i="4"/>
  <c r="BG168" i="4"/>
  <c r="BF168" i="4"/>
  <c r="BE168" i="4"/>
  <c r="BD168" i="4"/>
  <c r="BC168" i="4"/>
  <c r="BB168" i="4"/>
  <c r="BA168" i="4"/>
  <c r="AZ168" i="4"/>
  <c r="AY168" i="4"/>
  <c r="AX168" i="4"/>
  <c r="AW168" i="4"/>
  <c r="AV168" i="4"/>
  <c r="AU168" i="4"/>
  <c r="AT168" i="4"/>
  <c r="AK168" i="4"/>
  <c r="AJ168" i="4"/>
  <c r="AI168" i="4"/>
  <c r="AH168" i="4"/>
  <c r="AG168" i="4"/>
  <c r="AF168" i="4"/>
  <c r="AE168" i="4"/>
  <c r="AD168" i="4"/>
  <c r="AC168" i="4"/>
  <c r="AB168" i="4"/>
  <c r="AA168" i="4"/>
  <c r="Z168" i="4"/>
  <c r="Y168" i="4"/>
  <c r="X168" i="4"/>
  <c r="T168" i="4"/>
  <c r="S168" i="4"/>
  <c r="R168" i="4"/>
  <c r="Q168" i="4"/>
  <c r="P168" i="4"/>
  <c r="O168" i="4"/>
  <c r="N168" i="4"/>
  <c r="M168" i="4"/>
  <c r="L168" i="4"/>
  <c r="K168" i="4"/>
  <c r="J168" i="4"/>
  <c r="I168" i="4"/>
  <c r="H168" i="4"/>
  <c r="G168" i="4"/>
  <c r="EY167" i="4"/>
  <c r="EX167" i="4"/>
  <c r="EW167" i="4"/>
  <c r="EV167" i="4"/>
  <c r="EU167" i="4"/>
  <c r="ET167" i="4"/>
  <c r="ES167" i="4"/>
  <c r="ER167" i="4"/>
  <c r="EQ167" i="4"/>
  <c r="EP167" i="4"/>
  <c r="EO167" i="4"/>
  <c r="EN167" i="4"/>
  <c r="EM167" i="4"/>
  <c r="EL167" i="4"/>
  <c r="EH167" i="4"/>
  <c r="EG167" i="4"/>
  <c r="EF167" i="4"/>
  <c r="EE167" i="4"/>
  <c r="ED167" i="4"/>
  <c r="EC167" i="4"/>
  <c r="EB167" i="4"/>
  <c r="EA167" i="4"/>
  <c r="DZ167" i="4"/>
  <c r="DY167" i="4"/>
  <c r="DX167" i="4"/>
  <c r="DW167" i="4"/>
  <c r="DV167" i="4"/>
  <c r="DU167" i="4"/>
  <c r="DK167" i="4"/>
  <c r="DJ167" i="4"/>
  <c r="DI167" i="4"/>
  <c r="DH167" i="4"/>
  <c r="DG167" i="4"/>
  <c r="DF167" i="4"/>
  <c r="DE167" i="4"/>
  <c r="DD167" i="4"/>
  <c r="DC167" i="4"/>
  <c r="DB167" i="4"/>
  <c r="DA167" i="4"/>
  <c r="CZ167" i="4"/>
  <c r="CY167" i="4"/>
  <c r="CX167" i="4"/>
  <c r="CT167" i="4"/>
  <c r="CS167" i="4"/>
  <c r="CR167" i="4"/>
  <c r="CQ167" i="4"/>
  <c r="CP167" i="4"/>
  <c r="CO167" i="4"/>
  <c r="CN167" i="4"/>
  <c r="CM167" i="4"/>
  <c r="CL167" i="4"/>
  <c r="CK167" i="4"/>
  <c r="CJ167" i="4"/>
  <c r="CI167" i="4"/>
  <c r="CH167" i="4"/>
  <c r="CG167" i="4"/>
  <c r="BX167" i="4"/>
  <c r="BW167" i="4"/>
  <c r="BV167" i="4"/>
  <c r="BU167" i="4"/>
  <c r="BT167" i="4"/>
  <c r="BS167" i="4"/>
  <c r="BR167" i="4"/>
  <c r="BQ167" i="4"/>
  <c r="BP167" i="4"/>
  <c r="BO167" i="4"/>
  <c r="BN167" i="4"/>
  <c r="BM167" i="4"/>
  <c r="BL167" i="4"/>
  <c r="BK167" i="4"/>
  <c r="BG167" i="4"/>
  <c r="BF167" i="4"/>
  <c r="BE167" i="4"/>
  <c r="BD167" i="4"/>
  <c r="BC167" i="4"/>
  <c r="BB167" i="4"/>
  <c r="BA167" i="4"/>
  <c r="AZ167" i="4"/>
  <c r="AY167" i="4"/>
  <c r="AX167" i="4"/>
  <c r="AW167" i="4"/>
  <c r="AV167" i="4"/>
  <c r="AU167" i="4"/>
  <c r="AT167" i="4"/>
  <c r="AK167" i="4"/>
  <c r="AJ167" i="4"/>
  <c r="AI167" i="4"/>
  <c r="AH167" i="4"/>
  <c r="AG167" i="4"/>
  <c r="AF167" i="4"/>
  <c r="AE167" i="4"/>
  <c r="AD167" i="4"/>
  <c r="AC167" i="4"/>
  <c r="AB167" i="4"/>
  <c r="AA167" i="4"/>
  <c r="Z167" i="4"/>
  <c r="Y167" i="4"/>
  <c r="X167" i="4"/>
  <c r="T167" i="4"/>
  <c r="S167" i="4"/>
  <c r="R167" i="4"/>
  <c r="Q167" i="4"/>
  <c r="P167" i="4"/>
  <c r="O167" i="4"/>
  <c r="N167" i="4"/>
  <c r="M167" i="4"/>
  <c r="L167" i="4"/>
  <c r="K167" i="4"/>
  <c r="J167" i="4"/>
  <c r="I167" i="4"/>
  <c r="H167" i="4"/>
  <c r="G167" i="4"/>
  <c r="EY166" i="4"/>
  <c r="EX166" i="4"/>
  <c r="EW166" i="4"/>
  <c r="EV166" i="4"/>
  <c r="EU166" i="4"/>
  <c r="ET166" i="4"/>
  <c r="ES166" i="4"/>
  <c r="ER166" i="4"/>
  <c r="EQ166" i="4"/>
  <c r="EP166" i="4"/>
  <c r="EO166" i="4"/>
  <c r="EN166" i="4"/>
  <c r="EM166" i="4"/>
  <c r="EL166" i="4"/>
  <c r="EH166" i="4"/>
  <c r="EG166" i="4"/>
  <c r="EF166" i="4"/>
  <c r="EE166" i="4"/>
  <c r="ED166" i="4"/>
  <c r="EC166" i="4"/>
  <c r="EB166" i="4"/>
  <c r="EA166" i="4"/>
  <c r="DZ166" i="4"/>
  <c r="DY166" i="4"/>
  <c r="DX166" i="4"/>
  <c r="DW166" i="4"/>
  <c r="DV166" i="4"/>
  <c r="DU166" i="4"/>
  <c r="DK166" i="4"/>
  <c r="DJ166" i="4"/>
  <c r="DI166" i="4"/>
  <c r="DH166" i="4"/>
  <c r="DG166" i="4"/>
  <c r="DF166" i="4"/>
  <c r="DE166" i="4"/>
  <c r="DD166" i="4"/>
  <c r="DC166" i="4"/>
  <c r="DB166" i="4"/>
  <c r="DA166" i="4"/>
  <c r="CZ166" i="4"/>
  <c r="CY166" i="4"/>
  <c r="CX166" i="4"/>
  <c r="CT166" i="4"/>
  <c r="CS166" i="4"/>
  <c r="CR166" i="4"/>
  <c r="CQ166" i="4"/>
  <c r="CP166" i="4"/>
  <c r="CO166" i="4"/>
  <c r="CN166" i="4"/>
  <c r="CM166" i="4"/>
  <c r="CL166" i="4"/>
  <c r="CK166" i="4"/>
  <c r="CJ166" i="4"/>
  <c r="CI166" i="4"/>
  <c r="CH166" i="4"/>
  <c r="CG166" i="4"/>
  <c r="BX166" i="4"/>
  <c r="BW166" i="4"/>
  <c r="BV166" i="4"/>
  <c r="BU166" i="4"/>
  <c r="BT166" i="4"/>
  <c r="BS166" i="4"/>
  <c r="BR166" i="4"/>
  <c r="BQ166" i="4"/>
  <c r="BP166" i="4"/>
  <c r="BO166" i="4"/>
  <c r="BN166" i="4"/>
  <c r="BM166" i="4"/>
  <c r="BL166" i="4"/>
  <c r="BK166" i="4"/>
  <c r="BG166" i="4"/>
  <c r="BF166" i="4"/>
  <c r="BE166" i="4"/>
  <c r="BD166" i="4"/>
  <c r="BC166" i="4"/>
  <c r="BB166" i="4"/>
  <c r="BA166" i="4"/>
  <c r="AZ166" i="4"/>
  <c r="AY166" i="4"/>
  <c r="AX166" i="4"/>
  <c r="AW166" i="4"/>
  <c r="AV166" i="4"/>
  <c r="AU166" i="4"/>
  <c r="AT166" i="4"/>
  <c r="AK166" i="4"/>
  <c r="AJ166" i="4"/>
  <c r="AI166" i="4"/>
  <c r="AH166" i="4"/>
  <c r="AG166" i="4"/>
  <c r="AF166" i="4"/>
  <c r="AE166" i="4"/>
  <c r="AD166" i="4"/>
  <c r="AC166" i="4"/>
  <c r="AB166" i="4"/>
  <c r="AA166" i="4"/>
  <c r="Z166" i="4"/>
  <c r="Y166" i="4"/>
  <c r="X166" i="4"/>
  <c r="T166" i="4"/>
  <c r="S166" i="4"/>
  <c r="R166" i="4"/>
  <c r="Q166" i="4"/>
  <c r="P166" i="4"/>
  <c r="O166" i="4"/>
  <c r="N166" i="4"/>
  <c r="M166" i="4"/>
  <c r="L166" i="4"/>
  <c r="K166" i="4"/>
  <c r="J166" i="4"/>
  <c r="I166" i="4"/>
  <c r="H166" i="4"/>
  <c r="G166" i="4"/>
  <c r="EY165" i="4"/>
  <c r="EX165" i="4"/>
  <c r="EW165" i="4"/>
  <c r="EV165" i="4"/>
  <c r="EU165" i="4"/>
  <c r="ET165" i="4"/>
  <c r="ES165" i="4"/>
  <c r="ER165" i="4"/>
  <c r="EQ165" i="4"/>
  <c r="EP165" i="4"/>
  <c r="EO165" i="4"/>
  <c r="EN165" i="4"/>
  <c r="EM165" i="4"/>
  <c r="EL165" i="4"/>
  <c r="EH165" i="4"/>
  <c r="EG165" i="4"/>
  <c r="EF165" i="4"/>
  <c r="EE165" i="4"/>
  <c r="ED165" i="4"/>
  <c r="EC165" i="4"/>
  <c r="EB165" i="4"/>
  <c r="EA165" i="4"/>
  <c r="DZ165" i="4"/>
  <c r="DY165" i="4"/>
  <c r="DX165" i="4"/>
  <c r="DW165" i="4"/>
  <c r="DV165" i="4"/>
  <c r="DU165" i="4"/>
  <c r="DK165" i="4"/>
  <c r="DJ165" i="4"/>
  <c r="DI165" i="4"/>
  <c r="DH165" i="4"/>
  <c r="DG165" i="4"/>
  <c r="DF165" i="4"/>
  <c r="DE165" i="4"/>
  <c r="DD165" i="4"/>
  <c r="DC165" i="4"/>
  <c r="DB165" i="4"/>
  <c r="DA165" i="4"/>
  <c r="CZ165" i="4"/>
  <c r="CY165" i="4"/>
  <c r="CX165" i="4"/>
  <c r="CT165" i="4"/>
  <c r="CS165" i="4"/>
  <c r="CR165" i="4"/>
  <c r="CQ165" i="4"/>
  <c r="CP165" i="4"/>
  <c r="CO165" i="4"/>
  <c r="CN165" i="4"/>
  <c r="CM165" i="4"/>
  <c r="CL165" i="4"/>
  <c r="CK165" i="4"/>
  <c r="CJ165" i="4"/>
  <c r="CI165" i="4"/>
  <c r="CH165" i="4"/>
  <c r="CG165" i="4"/>
  <c r="BX165" i="4"/>
  <c r="BW165" i="4"/>
  <c r="BV165" i="4"/>
  <c r="BU165" i="4"/>
  <c r="BT165" i="4"/>
  <c r="BS165" i="4"/>
  <c r="BR165" i="4"/>
  <c r="BQ165" i="4"/>
  <c r="BP165" i="4"/>
  <c r="BO165" i="4"/>
  <c r="BN165" i="4"/>
  <c r="BM165" i="4"/>
  <c r="BL165" i="4"/>
  <c r="BK165" i="4"/>
  <c r="BG165" i="4"/>
  <c r="BF165" i="4"/>
  <c r="BE165" i="4"/>
  <c r="BD165" i="4"/>
  <c r="BC165" i="4"/>
  <c r="BB165" i="4"/>
  <c r="BA165" i="4"/>
  <c r="AZ165" i="4"/>
  <c r="AY165" i="4"/>
  <c r="AX165" i="4"/>
  <c r="AW165" i="4"/>
  <c r="AV165" i="4"/>
  <c r="AU165" i="4"/>
  <c r="AT165" i="4"/>
  <c r="AK165" i="4"/>
  <c r="AJ165" i="4"/>
  <c r="AI165" i="4"/>
  <c r="AH165" i="4"/>
  <c r="AG165" i="4"/>
  <c r="AF165" i="4"/>
  <c r="AE165" i="4"/>
  <c r="AD165" i="4"/>
  <c r="AC165" i="4"/>
  <c r="AB165" i="4"/>
  <c r="AA165" i="4"/>
  <c r="Z165" i="4"/>
  <c r="Y165" i="4"/>
  <c r="X165" i="4"/>
  <c r="T165" i="4"/>
  <c r="S165" i="4"/>
  <c r="R165" i="4"/>
  <c r="Q165" i="4"/>
  <c r="P165" i="4"/>
  <c r="O165" i="4"/>
  <c r="N165" i="4"/>
  <c r="M165" i="4"/>
  <c r="L165" i="4"/>
  <c r="K165" i="4"/>
  <c r="J165" i="4"/>
  <c r="I165" i="4"/>
  <c r="H165" i="4"/>
  <c r="G165" i="4"/>
  <c r="EY164" i="4"/>
  <c r="EX164" i="4"/>
  <c r="EW164" i="4"/>
  <c r="EV164" i="4"/>
  <c r="EU164" i="4"/>
  <c r="ET164" i="4"/>
  <c r="ES164" i="4"/>
  <c r="ER164" i="4"/>
  <c r="EQ164" i="4"/>
  <c r="EP164" i="4"/>
  <c r="EO164" i="4"/>
  <c r="EN164" i="4"/>
  <c r="EM164" i="4"/>
  <c r="EL164" i="4"/>
  <c r="EH164" i="4"/>
  <c r="EG164" i="4"/>
  <c r="EF164" i="4"/>
  <c r="EE164" i="4"/>
  <c r="ED164" i="4"/>
  <c r="EC164" i="4"/>
  <c r="EB164" i="4"/>
  <c r="EA164" i="4"/>
  <c r="DZ164" i="4"/>
  <c r="DY164" i="4"/>
  <c r="DX164" i="4"/>
  <c r="DW164" i="4"/>
  <c r="DV164" i="4"/>
  <c r="DU164" i="4"/>
  <c r="DK164" i="4"/>
  <c r="DJ164" i="4"/>
  <c r="DI164" i="4"/>
  <c r="DH164" i="4"/>
  <c r="DG164" i="4"/>
  <c r="DF164" i="4"/>
  <c r="DE164" i="4"/>
  <c r="DD164" i="4"/>
  <c r="DC164" i="4"/>
  <c r="DB164" i="4"/>
  <c r="DA164" i="4"/>
  <c r="CZ164" i="4"/>
  <c r="CY164" i="4"/>
  <c r="CX164" i="4"/>
  <c r="CT164" i="4"/>
  <c r="CS164" i="4"/>
  <c r="CR164" i="4"/>
  <c r="CQ164" i="4"/>
  <c r="CP164" i="4"/>
  <c r="CO164" i="4"/>
  <c r="CN164" i="4"/>
  <c r="CM164" i="4"/>
  <c r="CL164" i="4"/>
  <c r="CK164" i="4"/>
  <c r="CJ164" i="4"/>
  <c r="CI164" i="4"/>
  <c r="CH164" i="4"/>
  <c r="CG164" i="4"/>
  <c r="BX164" i="4"/>
  <c r="BW164" i="4"/>
  <c r="BV164" i="4"/>
  <c r="BU164" i="4"/>
  <c r="BT164" i="4"/>
  <c r="BS164" i="4"/>
  <c r="BR164" i="4"/>
  <c r="BQ164" i="4"/>
  <c r="BP164" i="4"/>
  <c r="BO164" i="4"/>
  <c r="BN164" i="4"/>
  <c r="BM164" i="4"/>
  <c r="BL164" i="4"/>
  <c r="BK164" i="4"/>
  <c r="BG164" i="4"/>
  <c r="BF164" i="4"/>
  <c r="BE164" i="4"/>
  <c r="BD164" i="4"/>
  <c r="BC164" i="4"/>
  <c r="BB164" i="4"/>
  <c r="BA164" i="4"/>
  <c r="AZ164" i="4"/>
  <c r="AY164" i="4"/>
  <c r="AX164" i="4"/>
  <c r="AW164" i="4"/>
  <c r="AV164" i="4"/>
  <c r="AU164" i="4"/>
  <c r="AT164" i="4"/>
  <c r="AK164" i="4"/>
  <c r="AJ164" i="4"/>
  <c r="AI164" i="4"/>
  <c r="AH164" i="4"/>
  <c r="AG164" i="4"/>
  <c r="AF164" i="4"/>
  <c r="AE164" i="4"/>
  <c r="AD164" i="4"/>
  <c r="AC164" i="4"/>
  <c r="AB164" i="4"/>
  <c r="AA164" i="4"/>
  <c r="Z164" i="4"/>
  <c r="Y164" i="4"/>
  <c r="X164" i="4"/>
  <c r="T164" i="4"/>
  <c r="S164" i="4"/>
  <c r="R164" i="4"/>
  <c r="Q164" i="4"/>
  <c r="P164" i="4"/>
  <c r="O164" i="4"/>
  <c r="N164" i="4"/>
  <c r="M164" i="4"/>
  <c r="L164" i="4"/>
  <c r="K164" i="4"/>
  <c r="J164" i="4"/>
  <c r="I164" i="4"/>
  <c r="H164" i="4"/>
  <c r="G164" i="4"/>
  <c r="EY163" i="4"/>
  <c r="EX163" i="4"/>
  <c r="EW163" i="4"/>
  <c r="EV163" i="4"/>
  <c r="EU163" i="4"/>
  <c r="ET163" i="4"/>
  <c r="ES163" i="4"/>
  <c r="ER163" i="4"/>
  <c r="EQ163" i="4"/>
  <c r="EP163" i="4"/>
  <c r="EO163" i="4"/>
  <c r="EN163" i="4"/>
  <c r="EM163" i="4"/>
  <c r="EL163" i="4"/>
  <c r="EH163" i="4"/>
  <c r="EG163" i="4"/>
  <c r="EF163" i="4"/>
  <c r="EE163" i="4"/>
  <c r="ED163" i="4"/>
  <c r="EC163" i="4"/>
  <c r="EB163" i="4"/>
  <c r="EA163" i="4"/>
  <c r="DZ163" i="4"/>
  <c r="DY163" i="4"/>
  <c r="DX163" i="4"/>
  <c r="DW163" i="4"/>
  <c r="DV163" i="4"/>
  <c r="DU163" i="4"/>
  <c r="DK163" i="4"/>
  <c r="DJ163" i="4"/>
  <c r="DI163" i="4"/>
  <c r="DH163" i="4"/>
  <c r="DG163" i="4"/>
  <c r="DF163" i="4"/>
  <c r="DE163" i="4"/>
  <c r="DD163" i="4"/>
  <c r="DC163" i="4"/>
  <c r="DB163" i="4"/>
  <c r="DA163" i="4"/>
  <c r="CZ163" i="4"/>
  <c r="CY163" i="4"/>
  <c r="CX163" i="4"/>
  <c r="CT163" i="4"/>
  <c r="CS163" i="4"/>
  <c r="CR163" i="4"/>
  <c r="CQ163" i="4"/>
  <c r="CP163" i="4"/>
  <c r="CO163" i="4"/>
  <c r="CN163" i="4"/>
  <c r="CM163" i="4"/>
  <c r="CL163" i="4"/>
  <c r="CK163" i="4"/>
  <c r="CJ163" i="4"/>
  <c r="CI163" i="4"/>
  <c r="CH163" i="4"/>
  <c r="CG163" i="4"/>
  <c r="BX163" i="4"/>
  <c r="BW163" i="4"/>
  <c r="BV163" i="4"/>
  <c r="BU163" i="4"/>
  <c r="BT163" i="4"/>
  <c r="BS163" i="4"/>
  <c r="BR163" i="4"/>
  <c r="BQ163" i="4"/>
  <c r="BP163" i="4"/>
  <c r="BO163" i="4"/>
  <c r="BN163" i="4"/>
  <c r="BM163" i="4"/>
  <c r="BL163" i="4"/>
  <c r="BK163" i="4"/>
  <c r="BG163" i="4"/>
  <c r="BF163" i="4"/>
  <c r="BE163" i="4"/>
  <c r="BD163" i="4"/>
  <c r="BC163" i="4"/>
  <c r="BB163" i="4"/>
  <c r="BA163" i="4"/>
  <c r="AZ163" i="4"/>
  <c r="AY163" i="4"/>
  <c r="AX163" i="4"/>
  <c r="AW163" i="4"/>
  <c r="AV163" i="4"/>
  <c r="AU163" i="4"/>
  <c r="AT163" i="4"/>
  <c r="AK163" i="4"/>
  <c r="AJ163" i="4"/>
  <c r="AI163" i="4"/>
  <c r="AH163" i="4"/>
  <c r="AG163" i="4"/>
  <c r="AF163" i="4"/>
  <c r="AE163" i="4"/>
  <c r="AD163" i="4"/>
  <c r="AC163" i="4"/>
  <c r="AB163" i="4"/>
  <c r="AA163" i="4"/>
  <c r="Z163" i="4"/>
  <c r="Y163" i="4"/>
  <c r="X163" i="4"/>
  <c r="T163" i="4"/>
  <c r="S163" i="4"/>
  <c r="R163" i="4"/>
  <c r="Q163" i="4"/>
  <c r="P163" i="4"/>
  <c r="O163" i="4"/>
  <c r="N163" i="4"/>
  <c r="M163" i="4"/>
  <c r="L163" i="4"/>
  <c r="K163" i="4"/>
  <c r="J163" i="4"/>
  <c r="I163" i="4"/>
  <c r="H163" i="4"/>
  <c r="G163" i="4"/>
  <c r="EY162" i="4"/>
  <c r="EX162" i="4"/>
  <c r="EW162" i="4"/>
  <c r="EV162" i="4"/>
  <c r="EU162" i="4"/>
  <c r="ET162" i="4"/>
  <c r="ES162" i="4"/>
  <c r="ER162" i="4"/>
  <c r="EQ162" i="4"/>
  <c r="EP162" i="4"/>
  <c r="EO162" i="4"/>
  <c r="EN162" i="4"/>
  <c r="EM162" i="4"/>
  <c r="EL162" i="4"/>
  <c r="EH162" i="4"/>
  <c r="EG162" i="4"/>
  <c r="EF162" i="4"/>
  <c r="EE162" i="4"/>
  <c r="ED162" i="4"/>
  <c r="EC162" i="4"/>
  <c r="EB162" i="4"/>
  <c r="EA162" i="4"/>
  <c r="DZ162" i="4"/>
  <c r="DY162" i="4"/>
  <c r="DX162" i="4"/>
  <c r="DW162" i="4"/>
  <c r="DV162" i="4"/>
  <c r="DU162" i="4"/>
  <c r="DK162" i="4"/>
  <c r="DJ162" i="4"/>
  <c r="DI162" i="4"/>
  <c r="DH162" i="4"/>
  <c r="DG162" i="4"/>
  <c r="DF162" i="4"/>
  <c r="DE162" i="4"/>
  <c r="DD162" i="4"/>
  <c r="DC162" i="4"/>
  <c r="DB162" i="4"/>
  <c r="DA162" i="4"/>
  <c r="CZ162" i="4"/>
  <c r="CY162" i="4"/>
  <c r="CX162" i="4"/>
  <c r="CT162" i="4"/>
  <c r="CS162" i="4"/>
  <c r="CR162" i="4"/>
  <c r="CQ162" i="4"/>
  <c r="CP162" i="4"/>
  <c r="CO162" i="4"/>
  <c r="CN162" i="4"/>
  <c r="CM162" i="4"/>
  <c r="CL162" i="4"/>
  <c r="CK162" i="4"/>
  <c r="CJ162" i="4"/>
  <c r="CI162" i="4"/>
  <c r="CH162" i="4"/>
  <c r="CG162" i="4"/>
  <c r="BX162" i="4"/>
  <c r="BW162" i="4"/>
  <c r="BV162" i="4"/>
  <c r="BU162" i="4"/>
  <c r="BT162" i="4"/>
  <c r="BS162" i="4"/>
  <c r="BR162" i="4"/>
  <c r="BQ162" i="4"/>
  <c r="BP162" i="4"/>
  <c r="BO162" i="4"/>
  <c r="BN162" i="4"/>
  <c r="BM162" i="4"/>
  <c r="BL162" i="4"/>
  <c r="BK162" i="4"/>
  <c r="BG162" i="4"/>
  <c r="BF162" i="4"/>
  <c r="BE162" i="4"/>
  <c r="BD162" i="4"/>
  <c r="BC162" i="4"/>
  <c r="BB162" i="4"/>
  <c r="BA162" i="4"/>
  <c r="AZ162" i="4"/>
  <c r="AY162" i="4"/>
  <c r="AX162" i="4"/>
  <c r="AW162" i="4"/>
  <c r="AV162" i="4"/>
  <c r="AU162" i="4"/>
  <c r="AT162" i="4"/>
  <c r="AK162" i="4"/>
  <c r="AJ162" i="4"/>
  <c r="AI162" i="4"/>
  <c r="AH162" i="4"/>
  <c r="AG162" i="4"/>
  <c r="AF162" i="4"/>
  <c r="AE162" i="4"/>
  <c r="AD162" i="4"/>
  <c r="AC162" i="4"/>
  <c r="AB162" i="4"/>
  <c r="AA162" i="4"/>
  <c r="Z162" i="4"/>
  <c r="Y162" i="4"/>
  <c r="X162" i="4"/>
  <c r="T162" i="4"/>
  <c r="S162" i="4"/>
  <c r="R162" i="4"/>
  <c r="Q162" i="4"/>
  <c r="P162" i="4"/>
  <c r="O162" i="4"/>
  <c r="N162" i="4"/>
  <c r="M162" i="4"/>
  <c r="L162" i="4"/>
  <c r="K162" i="4"/>
  <c r="J162" i="4"/>
  <c r="I162" i="4"/>
  <c r="H162" i="4"/>
  <c r="G162" i="4"/>
  <c r="EY161" i="4"/>
  <c r="EX161" i="4"/>
  <c r="EW161" i="4"/>
  <c r="EV161" i="4"/>
  <c r="EU161" i="4"/>
  <c r="ET161" i="4"/>
  <c r="ES161" i="4"/>
  <c r="ER161" i="4"/>
  <c r="EQ161" i="4"/>
  <c r="EP161" i="4"/>
  <c r="EO161" i="4"/>
  <c r="EN161" i="4"/>
  <c r="EM161" i="4"/>
  <c r="EL161" i="4"/>
  <c r="EH161" i="4"/>
  <c r="EG161" i="4"/>
  <c r="EF161" i="4"/>
  <c r="EE161" i="4"/>
  <c r="ED161" i="4"/>
  <c r="EC161" i="4"/>
  <c r="EB161" i="4"/>
  <c r="EA161" i="4"/>
  <c r="DZ161" i="4"/>
  <c r="DY161" i="4"/>
  <c r="DX161" i="4"/>
  <c r="DW161" i="4"/>
  <c r="DV161" i="4"/>
  <c r="DU161" i="4"/>
  <c r="DK161" i="4"/>
  <c r="DJ161" i="4"/>
  <c r="DI161" i="4"/>
  <c r="DH161" i="4"/>
  <c r="DG161" i="4"/>
  <c r="DF161" i="4"/>
  <c r="DE161" i="4"/>
  <c r="DD161" i="4"/>
  <c r="DC161" i="4"/>
  <c r="DB161" i="4"/>
  <c r="DA161" i="4"/>
  <c r="CZ161" i="4"/>
  <c r="CY161" i="4"/>
  <c r="CX161" i="4"/>
  <c r="CT161" i="4"/>
  <c r="CS161" i="4"/>
  <c r="CR161" i="4"/>
  <c r="CQ161" i="4"/>
  <c r="CP161" i="4"/>
  <c r="CO161" i="4"/>
  <c r="CN161" i="4"/>
  <c r="CM161" i="4"/>
  <c r="CL161" i="4"/>
  <c r="CK161" i="4"/>
  <c r="CJ161" i="4"/>
  <c r="CI161" i="4"/>
  <c r="CH161" i="4"/>
  <c r="CG161" i="4"/>
  <c r="BX161" i="4"/>
  <c r="BW161" i="4"/>
  <c r="BV161" i="4"/>
  <c r="BU161" i="4"/>
  <c r="BT161" i="4"/>
  <c r="BS161" i="4"/>
  <c r="BR161" i="4"/>
  <c r="BQ161" i="4"/>
  <c r="BP161" i="4"/>
  <c r="BO161" i="4"/>
  <c r="BN161" i="4"/>
  <c r="BM161" i="4"/>
  <c r="BL161" i="4"/>
  <c r="BK161" i="4"/>
  <c r="BG161" i="4"/>
  <c r="BF161" i="4"/>
  <c r="BE161" i="4"/>
  <c r="BD161" i="4"/>
  <c r="BC161" i="4"/>
  <c r="BB161" i="4"/>
  <c r="BA161" i="4"/>
  <c r="AZ161" i="4"/>
  <c r="AY161" i="4"/>
  <c r="AX161" i="4"/>
  <c r="AW161" i="4"/>
  <c r="AV161" i="4"/>
  <c r="AU161" i="4"/>
  <c r="AT161" i="4"/>
  <c r="AK161" i="4"/>
  <c r="AJ161" i="4"/>
  <c r="AI161" i="4"/>
  <c r="AH161" i="4"/>
  <c r="AG161" i="4"/>
  <c r="AF161" i="4"/>
  <c r="AE161" i="4"/>
  <c r="AD161" i="4"/>
  <c r="AC161" i="4"/>
  <c r="AB161" i="4"/>
  <c r="AA161" i="4"/>
  <c r="Z161" i="4"/>
  <c r="Y161" i="4"/>
  <c r="X161" i="4"/>
  <c r="T161" i="4"/>
  <c r="S161" i="4"/>
  <c r="R161" i="4"/>
  <c r="Q161" i="4"/>
  <c r="P161" i="4"/>
  <c r="O161" i="4"/>
  <c r="N161" i="4"/>
  <c r="M161" i="4"/>
  <c r="L161" i="4"/>
  <c r="K161" i="4"/>
  <c r="J161" i="4"/>
  <c r="I161" i="4"/>
  <c r="H161" i="4"/>
  <c r="G161" i="4"/>
  <c r="EY160" i="4"/>
  <c r="EX160" i="4"/>
  <c r="EW160" i="4"/>
  <c r="EV160" i="4"/>
  <c r="EU160" i="4"/>
  <c r="ET160" i="4"/>
  <c r="ES160" i="4"/>
  <c r="ER160" i="4"/>
  <c r="EQ160" i="4"/>
  <c r="EP160" i="4"/>
  <c r="EO160" i="4"/>
  <c r="EN160" i="4"/>
  <c r="EM160" i="4"/>
  <c r="EL160" i="4"/>
  <c r="EH160" i="4"/>
  <c r="EG160" i="4"/>
  <c r="EF160" i="4"/>
  <c r="EE160" i="4"/>
  <c r="ED160" i="4"/>
  <c r="EC160" i="4"/>
  <c r="EB160" i="4"/>
  <c r="EA160" i="4"/>
  <c r="DZ160" i="4"/>
  <c r="DY160" i="4"/>
  <c r="DX160" i="4"/>
  <c r="DW160" i="4"/>
  <c r="DV160" i="4"/>
  <c r="DU160" i="4"/>
  <c r="DK160" i="4"/>
  <c r="DJ160" i="4"/>
  <c r="DI160" i="4"/>
  <c r="DH160" i="4"/>
  <c r="DG160" i="4"/>
  <c r="DF160" i="4"/>
  <c r="DE160" i="4"/>
  <c r="DD160" i="4"/>
  <c r="DC160" i="4"/>
  <c r="DB160" i="4"/>
  <c r="DA160" i="4"/>
  <c r="CZ160" i="4"/>
  <c r="CY160" i="4"/>
  <c r="CX160" i="4"/>
  <c r="CT160" i="4"/>
  <c r="CS160" i="4"/>
  <c r="CR160" i="4"/>
  <c r="CQ160" i="4"/>
  <c r="CP160" i="4"/>
  <c r="CO160" i="4"/>
  <c r="CN160" i="4"/>
  <c r="CM160" i="4"/>
  <c r="CL160" i="4"/>
  <c r="CK160" i="4"/>
  <c r="CJ160" i="4"/>
  <c r="CI160" i="4"/>
  <c r="CH160" i="4"/>
  <c r="CG160" i="4"/>
  <c r="BX160" i="4"/>
  <c r="BW160" i="4"/>
  <c r="BV160" i="4"/>
  <c r="BU160" i="4"/>
  <c r="BT160" i="4"/>
  <c r="BS160" i="4"/>
  <c r="BR160" i="4"/>
  <c r="BQ160" i="4"/>
  <c r="BP160" i="4"/>
  <c r="BO160" i="4"/>
  <c r="BN160" i="4"/>
  <c r="BM160" i="4"/>
  <c r="BL160" i="4"/>
  <c r="BK160" i="4"/>
  <c r="BG160" i="4"/>
  <c r="BF160" i="4"/>
  <c r="BE160" i="4"/>
  <c r="BD160" i="4"/>
  <c r="BC160" i="4"/>
  <c r="BB160" i="4"/>
  <c r="BA160" i="4"/>
  <c r="AZ160" i="4"/>
  <c r="AY160" i="4"/>
  <c r="AX160" i="4"/>
  <c r="AW160" i="4"/>
  <c r="AV160" i="4"/>
  <c r="AU160" i="4"/>
  <c r="AT160" i="4"/>
  <c r="AK160" i="4"/>
  <c r="AJ160" i="4"/>
  <c r="AI160" i="4"/>
  <c r="AH160" i="4"/>
  <c r="AG160" i="4"/>
  <c r="AF160" i="4"/>
  <c r="AE160" i="4"/>
  <c r="AD160" i="4"/>
  <c r="AC160" i="4"/>
  <c r="AB160" i="4"/>
  <c r="AA160" i="4"/>
  <c r="Z160" i="4"/>
  <c r="Y160" i="4"/>
  <c r="X160" i="4"/>
  <c r="T160" i="4"/>
  <c r="S160" i="4"/>
  <c r="R160" i="4"/>
  <c r="Q160" i="4"/>
  <c r="P160" i="4"/>
  <c r="O160" i="4"/>
  <c r="N160" i="4"/>
  <c r="M160" i="4"/>
  <c r="L160" i="4"/>
  <c r="K160" i="4"/>
  <c r="J160" i="4"/>
  <c r="I160" i="4"/>
  <c r="H160" i="4"/>
  <c r="G160" i="4"/>
  <c r="EY159" i="4"/>
  <c r="EX159" i="4"/>
  <c r="EW159" i="4"/>
  <c r="EV159" i="4"/>
  <c r="EU159" i="4"/>
  <c r="ET159" i="4"/>
  <c r="ES159" i="4"/>
  <c r="ER159" i="4"/>
  <c r="EQ159" i="4"/>
  <c r="EP159" i="4"/>
  <c r="EO159" i="4"/>
  <c r="EN159" i="4"/>
  <c r="EM159" i="4"/>
  <c r="EL159" i="4"/>
  <c r="EH159" i="4"/>
  <c r="EG159" i="4"/>
  <c r="EF159" i="4"/>
  <c r="EE159" i="4"/>
  <c r="ED159" i="4"/>
  <c r="EC159" i="4"/>
  <c r="EB159" i="4"/>
  <c r="EA159" i="4"/>
  <c r="DZ159" i="4"/>
  <c r="DY159" i="4"/>
  <c r="DX159" i="4"/>
  <c r="DW159" i="4"/>
  <c r="DV159" i="4"/>
  <c r="DU159" i="4"/>
  <c r="DK159" i="4"/>
  <c r="DJ159" i="4"/>
  <c r="DI159" i="4"/>
  <c r="DH159" i="4"/>
  <c r="DG159" i="4"/>
  <c r="DF159" i="4"/>
  <c r="DE159" i="4"/>
  <c r="DD159" i="4"/>
  <c r="DC159" i="4"/>
  <c r="DB159" i="4"/>
  <c r="DA159" i="4"/>
  <c r="CZ159" i="4"/>
  <c r="CY159" i="4"/>
  <c r="CX159" i="4"/>
  <c r="CT159" i="4"/>
  <c r="CS159" i="4"/>
  <c r="CR159" i="4"/>
  <c r="CQ159" i="4"/>
  <c r="CP159" i="4"/>
  <c r="CO159" i="4"/>
  <c r="CN159" i="4"/>
  <c r="CM159" i="4"/>
  <c r="CL159" i="4"/>
  <c r="CK159" i="4"/>
  <c r="CJ159" i="4"/>
  <c r="CI159" i="4"/>
  <c r="CH159" i="4"/>
  <c r="CG159" i="4"/>
  <c r="BX159" i="4"/>
  <c r="BW159" i="4"/>
  <c r="BV159" i="4"/>
  <c r="BU159" i="4"/>
  <c r="BT159" i="4"/>
  <c r="BS159" i="4"/>
  <c r="BR159" i="4"/>
  <c r="BQ159" i="4"/>
  <c r="BP159" i="4"/>
  <c r="BO159" i="4"/>
  <c r="BN159" i="4"/>
  <c r="BM159" i="4"/>
  <c r="BL159" i="4"/>
  <c r="BK159" i="4"/>
  <c r="BG159" i="4"/>
  <c r="BF159" i="4"/>
  <c r="BE159" i="4"/>
  <c r="BD159" i="4"/>
  <c r="BC159" i="4"/>
  <c r="BB159" i="4"/>
  <c r="BA159" i="4"/>
  <c r="AZ159" i="4"/>
  <c r="AY159" i="4"/>
  <c r="AX159" i="4"/>
  <c r="AW159" i="4"/>
  <c r="AV159" i="4"/>
  <c r="AU159" i="4"/>
  <c r="AT159" i="4"/>
  <c r="AK159" i="4"/>
  <c r="AJ159" i="4"/>
  <c r="AI159" i="4"/>
  <c r="AH159" i="4"/>
  <c r="AG159" i="4"/>
  <c r="AF159" i="4"/>
  <c r="AE159" i="4"/>
  <c r="AD159" i="4"/>
  <c r="AC159" i="4"/>
  <c r="AB159" i="4"/>
  <c r="AA159" i="4"/>
  <c r="Z159" i="4"/>
  <c r="Y159" i="4"/>
  <c r="X159" i="4"/>
  <c r="T159" i="4"/>
  <c r="S159" i="4"/>
  <c r="R159" i="4"/>
  <c r="Q159" i="4"/>
  <c r="P159" i="4"/>
  <c r="O159" i="4"/>
  <c r="N159" i="4"/>
  <c r="M159" i="4"/>
  <c r="L159" i="4"/>
  <c r="K159" i="4"/>
  <c r="J159" i="4"/>
  <c r="I159" i="4"/>
  <c r="H159" i="4"/>
  <c r="G159" i="4"/>
  <c r="EY158" i="4"/>
  <c r="EX158" i="4"/>
  <c r="EW158" i="4"/>
  <c r="EV158" i="4"/>
  <c r="EU158" i="4"/>
  <c r="ET158" i="4"/>
  <c r="ES158" i="4"/>
  <c r="ER158" i="4"/>
  <c r="EQ158" i="4"/>
  <c r="EP158" i="4"/>
  <c r="EO158" i="4"/>
  <c r="EN158" i="4"/>
  <c r="EM158" i="4"/>
  <c r="EL158" i="4"/>
  <c r="EH158" i="4"/>
  <c r="EG158" i="4"/>
  <c r="EF158" i="4"/>
  <c r="EE158" i="4"/>
  <c r="ED158" i="4"/>
  <c r="EC158" i="4"/>
  <c r="EB158" i="4"/>
  <c r="EA158" i="4"/>
  <c r="DZ158" i="4"/>
  <c r="DY158" i="4"/>
  <c r="DX158" i="4"/>
  <c r="DW158" i="4"/>
  <c r="DV158" i="4"/>
  <c r="DU158" i="4"/>
  <c r="DK158" i="4"/>
  <c r="DJ158" i="4"/>
  <c r="DI158" i="4"/>
  <c r="DH158" i="4"/>
  <c r="DG158" i="4"/>
  <c r="DF158" i="4"/>
  <c r="DE158" i="4"/>
  <c r="DD158" i="4"/>
  <c r="DC158" i="4"/>
  <c r="DB158" i="4"/>
  <c r="DA158" i="4"/>
  <c r="CZ158" i="4"/>
  <c r="CY158" i="4"/>
  <c r="CX158" i="4"/>
  <c r="CT158" i="4"/>
  <c r="CS158" i="4"/>
  <c r="CR158" i="4"/>
  <c r="CQ158" i="4"/>
  <c r="CP158" i="4"/>
  <c r="CO158" i="4"/>
  <c r="CN158" i="4"/>
  <c r="CM158" i="4"/>
  <c r="CL158" i="4"/>
  <c r="CK158" i="4"/>
  <c r="CJ158" i="4"/>
  <c r="CI158" i="4"/>
  <c r="CH158" i="4"/>
  <c r="CG158" i="4"/>
  <c r="BX158" i="4"/>
  <c r="BW158" i="4"/>
  <c r="BV158" i="4"/>
  <c r="BU158" i="4"/>
  <c r="BT158" i="4"/>
  <c r="BS158" i="4"/>
  <c r="BR158" i="4"/>
  <c r="BQ158" i="4"/>
  <c r="BP158" i="4"/>
  <c r="BO158" i="4"/>
  <c r="BN158" i="4"/>
  <c r="BM158" i="4"/>
  <c r="BL158" i="4"/>
  <c r="BK158" i="4"/>
  <c r="BG158" i="4"/>
  <c r="BF158" i="4"/>
  <c r="BE158" i="4"/>
  <c r="BD158" i="4"/>
  <c r="BC158" i="4"/>
  <c r="BB158" i="4"/>
  <c r="BA158" i="4"/>
  <c r="AZ158" i="4"/>
  <c r="AY158" i="4"/>
  <c r="AX158" i="4"/>
  <c r="AW158" i="4"/>
  <c r="AV158" i="4"/>
  <c r="AU158" i="4"/>
  <c r="AT158" i="4"/>
  <c r="AK158" i="4"/>
  <c r="AJ158" i="4"/>
  <c r="AI158" i="4"/>
  <c r="AH158" i="4"/>
  <c r="AG158" i="4"/>
  <c r="AF158" i="4"/>
  <c r="AE158" i="4"/>
  <c r="AD158" i="4"/>
  <c r="AC158" i="4"/>
  <c r="AB158" i="4"/>
  <c r="AA158" i="4"/>
  <c r="Z158" i="4"/>
  <c r="Y158" i="4"/>
  <c r="X158" i="4"/>
  <c r="T158" i="4"/>
  <c r="S158" i="4"/>
  <c r="R158" i="4"/>
  <c r="Q158" i="4"/>
  <c r="P158" i="4"/>
  <c r="O158" i="4"/>
  <c r="N158" i="4"/>
  <c r="M158" i="4"/>
  <c r="L158" i="4"/>
  <c r="K158" i="4"/>
  <c r="J158" i="4"/>
  <c r="I158" i="4"/>
  <c r="H158" i="4"/>
  <c r="G158" i="4"/>
  <c r="EY157" i="4"/>
  <c r="EX157" i="4"/>
  <c r="EW157" i="4"/>
  <c r="EV157" i="4"/>
  <c r="EU157" i="4"/>
  <c r="ET157" i="4"/>
  <c r="ES157" i="4"/>
  <c r="ER157" i="4"/>
  <c r="EQ157" i="4"/>
  <c r="EP157" i="4"/>
  <c r="EO157" i="4"/>
  <c r="EN157" i="4"/>
  <c r="EM157" i="4"/>
  <c r="EL157" i="4"/>
  <c r="EH157" i="4"/>
  <c r="EG157" i="4"/>
  <c r="EF157" i="4"/>
  <c r="EE157" i="4"/>
  <c r="ED157" i="4"/>
  <c r="EC157" i="4"/>
  <c r="EB157" i="4"/>
  <c r="EA157" i="4"/>
  <c r="DZ157" i="4"/>
  <c r="DY157" i="4"/>
  <c r="DX157" i="4"/>
  <c r="DW157" i="4"/>
  <c r="DV157" i="4"/>
  <c r="DU157" i="4"/>
  <c r="DK157" i="4"/>
  <c r="DJ157" i="4"/>
  <c r="DI157" i="4"/>
  <c r="DH157" i="4"/>
  <c r="DG157" i="4"/>
  <c r="DF157" i="4"/>
  <c r="DE157" i="4"/>
  <c r="DD157" i="4"/>
  <c r="DC157" i="4"/>
  <c r="DB157" i="4"/>
  <c r="DA157" i="4"/>
  <c r="CZ157" i="4"/>
  <c r="CY157" i="4"/>
  <c r="CX157" i="4"/>
  <c r="CT157" i="4"/>
  <c r="CS157" i="4"/>
  <c r="CR157" i="4"/>
  <c r="CQ157" i="4"/>
  <c r="CP157" i="4"/>
  <c r="CO157" i="4"/>
  <c r="CN157" i="4"/>
  <c r="CM157" i="4"/>
  <c r="CL157" i="4"/>
  <c r="CK157" i="4"/>
  <c r="CJ157" i="4"/>
  <c r="CI157" i="4"/>
  <c r="CH157" i="4"/>
  <c r="CG157" i="4"/>
  <c r="BX157" i="4"/>
  <c r="BW157" i="4"/>
  <c r="BV157" i="4"/>
  <c r="BU157" i="4"/>
  <c r="BT157" i="4"/>
  <c r="BS157" i="4"/>
  <c r="BR157" i="4"/>
  <c r="BQ157" i="4"/>
  <c r="BP157" i="4"/>
  <c r="BO157" i="4"/>
  <c r="BN157" i="4"/>
  <c r="BM157" i="4"/>
  <c r="BL157" i="4"/>
  <c r="BK157" i="4"/>
  <c r="BG157" i="4"/>
  <c r="BF157" i="4"/>
  <c r="BE157" i="4"/>
  <c r="BD157" i="4"/>
  <c r="BC157" i="4"/>
  <c r="BB157" i="4"/>
  <c r="BA157" i="4"/>
  <c r="AZ157" i="4"/>
  <c r="AY157" i="4"/>
  <c r="AX157" i="4"/>
  <c r="AW157" i="4"/>
  <c r="AV157" i="4"/>
  <c r="AU157" i="4"/>
  <c r="AT157" i="4"/>
  <c r="AK157" i="4"/>
  <c r="AJ157" i="4"/>
  <c r="AI157" i="4"/>
  <c r="AH157" i="4"/>
  <c r="AG157" i="4"/>
  <c r="AF157" i="4"/>
  <c r="AE157" i="4"/>
  <c r="AD157" i="4"/>
  <c r="AC157" i="4"/>
  <c r="AB157" i="4"/>
  <c r="AA157" i="4"/>
  <c r="Z157" i="4"/>
  <c r="Y157" i="4"/>
  <c r="X157" i="4"/>
  <c r="T157" i="4"/>
  <c r="S157" i="4"/>
  <c r="R157" i="4"/>
  <c r="Q157" i="4"/>
  <c r="P157" i="4"/>
  <c r="O157" i="4"/>
  <c r="N157" i="4"/>
  <c r="M157" i="4"/>
  <c r="L157" i="4"/>
  <c r="K157" i="4"/>
  <c r="J157" i="4"/>
  <c r="I157" i="4"/>
  <c r="H157" i="4"/>
  <c r="G157" i="4"/>
  <c r="EY156" i="4"/>
  <c r="EX156" i="4"/>
  <c r="EW156" i="4"/>
  <c r="EV156" i="4"/>
  <c r="EU156" i="4"/>
  <c r="ET156" i="4"/>
  <c r="ES156" i="4"/>
  <c r="ER156" i="4"/>
  <c r="EQ156" i="4"/>
  <c r="EP156" i="4"/>
  <c r="EO156" i="4"/>
  <c r="EN156" i="4"/>
  <c r="EM156" i="4"/>
  <c r="EL156" i="4"/>
  <c r="EH156" i="4"/>
  <c r="EG156" i="4"/>
  <c r="EF156" i="4"/>
  <c r="EE156" i="4"/>
  <c r="ED156" i="4"/>
  <c r="EC156" i="4"/>
  <c r="EB156" i="4"/>
  <c r="EA156" i="4"/>
  <c r="DZ156" i="4"/>
  <c r="DY156" i="4"/>
  <c r="DX156" i="4"/>
  <c r="DW156" i="4"/>
  <c r="DV156" i="4"/>
  <c r="DU156" i="4"/>
  <c r="DK156" i="4"/>
  <c r="DJ156" i="4"/>
  <c r="DI156" i="4"/>
  <c r="DH156" i="4"/>
  <c r="DG156" i="4"/>
  <c r="DF156" i="4"/>
  <c r="DE156" i="4"/>
  <c r="DD156" i="4"/>
  <c r="DC156" i="4"/>
  <c r="DB156" i="4"/>
  <c r="DA156" i="4"/>
  <c r="CZ156" i="4"/>
  <c r="CY156" i="4"/>
  <c r="CX156" i="4"/>
  <c r="CT156" i="4"/>
  <c r="CS156" i="4"/>
  <c r="CR156" i="4"/>
  <c r="CQ156" i="4"/>
  <c r="CP156" i="4"/>
  <c r="CO156" i="4"/>
  <c r="CN156" i="4"/>
  <c r="CM156" i="4"/>
  <c r="CL156" i="4"/>
  <c r="CK156" i="4"/>
  <c r="CJ156" i="4"/>
  <c r="CI156" i="4"/>
  <c r="CH156" i="4"/>
  <c r="CG156" i="4"/>
  <c r="BX156" i="4"/>
  <c r="BW156" i="4"/>
  <c r="BV156" i="4"/>
  <c r="BU156" i="4"/>
  <c r="BT156" i="4"/>
  <c r="BS156" i="4"/>
  <c r="BR156" i="4"/>
  <c r="BQ156" i="4"/>
  <c r="BP156" i="4"/>
  <c r="BO156" i="4"/>
  <c r="BN156" i="4"/>
  <c r="BM156" i="4"/>
  <c r="BL156" i="4"/>
  <c r="BK156" i="4"/>
  <c r="BG156" i="4"/>
  <c r="BF156" i="4"/>
  <c r="BE156" i="4"/>
  <c r="BD156" i="4"/>
  <c r="BC156" i="4"/>
  <c r="BB156" i="4"/>
  <c r="BA156" i="4"/>
  <c r="AZ156" i="4"/>
  <c r="AY156" i="4"/>
  <c r="AX156" i="4"/>
  <c r="AW156" i="4"/>
  <c r="AV156" i="4"/>
  <c r="AU156" i="4"/>
  <c r="AT156" i="4"/>
  <c r="AK156" i="4"/>
  <c r="AJ156" i="4"/>
  <c r="AI156" i="4"/>
  <c r="AH156" i="4"/>
  <c r="AG156" i="4"/>
  <c r="AF156" i="4"/>
  <c r="AE156" i="4"/>
  <c r="AD156" i="4"/>
  <c r="AC156" i="4"/>
  <c r="AB156" i="4"/>
  <c r="AA156" i="4"/>
  <c r="Z156" i="4"/>
  <c r="Y156" i="4"/>
  <c r="X156" i="4"/>
  <c r="T156" i="4"/>
  <c r="S156" i="4"/>
  <c r="R156" i="4"/>
  <c r="Q156" i="4"/>
  <c r="P156" i="4"/>
  <c r="O156" i="4"/>
  <c r="N156" i="4"/>
  <c r="M156" i="4"/>
  <c r="L156" i="4"/>
  <c r="K156" i="4"/>
  <c r="J156" i="4"/>
  <c r="I156" i="4"/>
  <c r="H156" i="4"/>
  <c r="G156" i="4"/>
  <c r="EY155" i="4"/>
  <c r="EX155" i="4"/>
  <c r="EW155" i="4"/>
  <c r="EV155" i="4"/>
  <c r="EU155" i="4"/>
  <c r="ET155" i="4"/>
  <c r="ES155" i="4"/>
  <c r="ER155" i="4"/>
  <c r="EQ155" i="4"/>
  <c r="EP155" i="4"/>
  <c r="EO155" i="4"/>
  <c r="EN155" i="4"/>
  <c r="EM155" i="4"/>
  <c r="EL155" i="4"/>
  <c r="EH155" i="4"/>
  <c r="EG155" i="4"/>
  <c r="EF155" i="4"/>
  <c r="EE155" i="4"/>
  <c r="ED155" i="4"/>
  <c r="EC155" i="4"/>
  <c r="EB155" i="4"/>
  <c r="EA155" i="4"/>
  <c r="DZ155" i="4"/>
  <c r="DY155" i="4"/>
  <c r="DX155" i="4"/>
  <c r="DW155" i="4"/>
  <c r="DV155" i="4"/>
  <c r="DU155" i="4"/>
  <c r="DK155" i="4"/>
  <c r="DJ155" i="4"/>
  <c r="DI155" i="4"/>
  <c r="DH155" i="4"/>
  <c r="DG155" i="4"/>
  <c r="DF155" i="4"/>
  <c r="DE155" i="4"/>
  <c r="DD155" i="4"/>
  <c r="DC155" i="4"/>
  <c r="DB155" i="4"/>
  <c r="DA155" i="4"/>
  <c r="CZ155" i="4"/>
  <c r="CY155" i="4"/>
  <c r="CX155" i="4"/>
  <c r="CT155" i="4"/>
  <c r="CS155" i="4"/>
  <c r="CR155" i="4"/>
  <c r="CQ155" i="4"/>
  <c r="CP155" i="4"/>
  <c r="CO155" i="4"/>
  <c r="CN155" i="4"/>
  <c r="CM155" i="4"/>
  <c r="CL155" i="4"/>
  <c r="CK155" i="4"/>
  <c r="CJ155" i="4"/>
  <c r="CI155" i="4"/>
  <c r="CH155" i="4"/>
  <c r="CG155" i="4"/>
  <c r="BX155" i="4"/>
  <c r="BW155" i="4"/>
  <c r="BV155" i="4"/>
  <c r="BU155" i="4"/>
  <c r="BT155" i="4"/>
  <c r="BS155" i="4"/>
  <c r="BR155" i="4"/>
  <c r="BQ155" i="4"/>
  <c r="BP155" i="4"/>
  <c r="BO155" i="4"/>
  <c r="BN155" i="4"/>
  <c r="BM155" i="4"/>
  <c r="BL155" i="4"/>
  <c r="BK155" i="4"/>
  <c r="BG155" i="4"/>
  <c r="BF155" i="4"/>
  <c r="BE155" i="4"/>
  <c r="BD155" i="4"/>
  <c r="BC155" i="4"/>
  <c r="BB155" i="4"/>
  <c r="BA155" i="4"/>
  <c r="AZ155" i="4"/>
  <c r="AY155" i="4"/>
  <c r="AX155" i="4"/>
  <c r="AW155" i="4"/>
  <c r="AV155" i="4"/>
  <c r="AU155" i="4"/>
  <c r="AT155" i="4"/>
  <c r="AK155" i="4"/>
  <c r="AJ155" i="4"/>
  <c r="AI155" i="4"/>
  <c r="AH155" i="4"/>
  <c r="AG155" i="4"/>
  <c r="AF155" i="4"/>
  <c r="AE155" i="4"/>
  <c r="AD155" i="4"/>
  <c r="AC155" i="4"/>
  <c r="AB155" i="4"/>
  <c r="AA155" i="4"/>
  <c r="Z155" i="4"/>
  <c r="Y155" i="4"/>
  <c r="X155" i="4"/>
  <c r="T155" i="4"/>
  <c r="S155" i="4"/>
  <c r="R155" i="4"/>
  <c r="Q155" i="4"/>
  <c r="P155" i="4"/>
  <c r="O155" i="4"/>
  <c r="N155" i="4"/>
  <c r="M155" i="4"/>
  <c r="L155" i="4"/>
  <c r="K155" i="4"/>
  <c r="J155" i="4"/>
  <c r="I155" i="4"/>
  <c r="H155" i="4"/>
  <c r="G155" i="4"/>
  <c r="EY154" i="4"/>
  <c r="EX154" i="4"/>
  <c r="EW154" i="4"/>
  <c r="EV154" i="4"/>
  <c r="EU154" i="4"/>
  <c r="ET154" i="4"/>
  <c r="ES154" i="4"/>
  <c r="ER154" i="4"/>
  <c r="EQ154" i="4"/>
  <c r="EP154" i="4"/>
  <c r="EO154" i="4"/>
  <c r="EN154" i="4"/>
  <c r="EM154" i="4"/>
  <c r="EL154" i="4"/>
  <c r="EH154" i="4"/>
  <c r="EG154" i="4"/>
  <c r="EF154" i="4"/>
  <c r="EE154" i="4"/>
  <c r="ED154" i="4"/>
  <c r="EC154" i="4"/>
  <c r="EB154" i="4"/>
  <c r="EA154" i="4"/>
  <c r="DZ154" i="4"/>
  <c r="DY154" i="4"/>
  <c r="DX154" i="4"/>
  <c r="DW154" i="4"/>
  <c r="DV154" i="4"/>
  <c r="DU154" i="4"/>
  <c r="DK154" i="4"/>
  <c r="DJ154" i="4"/>
  <c r="DI154" i="4"/>
  <c r="DH154" i="4"/>
  <c r="DG154" i="4"/>
  <c r="DF154" i="4"/>
  <c r="DE154" i="4"/>
  <c r="DD154" i="4"/>
  <c r="DC154" i="4"/>
  <c r="DB154" i="4"/>
  <c r="DA154" i="4"/>
  <c r="CZ154" i="4"/>
  <c r="CY154" i="4"/>
  <c r="CX154" i="4"/>
  <c r="CT154" i="4"/>
  <c r="CS154" i="4"/>
  <c r="CR154" i="4"/>
  <c r="CQ154" i="4"/>
  <c r="CP154" i="4"/>
  <c r="CO154" i="4"/>
  <c r="CN154" i="4"/>
  <c r="CM154" i="4"/>
  <c r="CL154" i="4"/>
  <c r="CK154" i="4"/>
  <c r="CJ154" i="4"/>
  <c r="CI154" i="4"/>
  <c r="CH154" i="4"/>
  <c r="CG154" i="4"/>
  <c r="BX154" i="4"/>
  <c r="BW154" i="4"/>
  <c r="BV154" i="4"/>
  <c r="BU154" i="4"/>
  <c r="BT154" i="4"/>
  <c r="BS154" i="4"/>
  <c r="BR154" i="4"/>
  <c r="BQ154" i="4"/>
  <c r="BP154" i="4"/>
  <c r="BO154" i="4"/>
  <c r="BN154" i="4"/>
  <c r="BM154" i="4"/>
  <c r="BL154" i="4"/>
  <c r="BK154" i="4"/>
  <c r="BG154" i="4"/>
  <c r="BF154" i="4"/>
  <c r="BE154" i="4"/>
  <c r="BD154" i="4"/>
  <c r="BC154" i="4"/>
  <c r="BB154" i="4"/>
  <c r="BA154" i="4"/>
  <c r="AZ154" i="4"/>
  <c r="AY154" i="4"/>
  <c r="AX154" i="4"/>
  <c r="AW154" i="4"/>
  <c r="AV154" i="4"/>
  <c r="AU154" i="4"/>
  <c r="AT154" i="4"/>
  <c r="AK154" i="4"/>
  <c r="AJ154" i="4"/>
  <c r="AI154" i="4"/>
  <c r="AH154" i="4"/>
  <c r="AG154" i="4"/>
  <c r="AF154" i="4"/>
  <c r="AE154" i="4"/>
  <c r="AD154" i="4"/>
  <c r="AC154" i="4"/>
  <c r="AB154" i="4"/>
  <c r="AA154" i="4"/>
  <c r="Z154" i="4"/>
  <c r="Y154" i="4"/>
  <c r="X154" i="4"/>
  <c r="T154" i="4"/>
  <c r="S154" i="4"/>
  <c r="R154" i="4"/>
  <c r="Q154" i="4"/>
  <c r="P154" i="4"/>
  <c r="O154" i="4"/>
  <c r="N154" i="4"/>
  <c r="M154" i="4"/>
  <c r="L154" i="4"/>
  <c r="K154" i="4"/>
  <c r="J154" i="4"/>
  <c r="I154" i="4"/>
  <c r="H154" i="4"/>
  <c r="G154" i="4"/>
  <c r="EY153" i="4"/>
  <c r="EX153" i="4"/>
  <c r="EW153" i="4"/>
  <c r="EV153" i="4"/>
  <c r="EU153" i="4"/>
  <c r="ET153" i="4"/>
  <c r="ES153" i="4"/>
  <c r="ER153" i="4"/>
  <c r="EQ153" i="4"/>
  <c r="EP153" i="4"/>
  <c r="EO153" i="4"/>
  <c r="EN153" i="4"/>
  <c r="EM153" i="4"/>
  <c r="EL153" i="4"/>
  <c r="EH153" i="4"/>
  <c r="EG153" i="4"/>
  <c r="EF153" i="4"/>
  <c r="EE153" i="4"/>
  <c r="ED153" i="4"/>
  <c r="EC153" i="4"/>
  <c r="EB153" i="4"/>
  <c r="EA153" i="4"/>
  <c r="DZ153" i="4"/>
  <c r="DY153" i="4"/>
  <c r="DX153" i="4"/>
  <c r="DW153" i="4"/>
  <c r="DV153" i="4"/>
  <c r="DU153" i="4"/>
  <c r="DK153" i="4"/>
  <c r="DJ153" i="4"/>
  <c r="DI153" i="4"/>
  <c r="DH153" i="4"/>
  <c r="DG153" i="4"/>
  <c r="DF153" i="4"/>
  <c r="DE153" i="4"/>
  <c r="DD153" i="4"/>
  <c r="DC153" i="4"/>
  <c r="DB153" i="4"/>
  <c r="DA153" i="4"/>
  <c r="CZ153" i="4"/>
  <c r="CY153" i="4"/>
  <c r="CX153" i="4"/>
  <c r="CT153" i="4"/>
  <c r="CS153" i="4"/>
  <c r="CR153" i="4"/>
  <c r="CQ153" i="4"/>
  <c r="CP153" i="4"/>
  <c r="CO153" i="4"/>
  <c r="CN153" i="4"/>
  <c r="CM153" i="4"/>
  <c r="CL153" i="4"/>
  <c r="CK153" i="4"/>
  <c r="CJ153" i="4"/>
  <c r="CI153" i="4"/>
  <c r="CH153" i="4"/>
  <c r="CG153" i="4"/>
  <c r="BX153" i="4"/>
  <c r="BW153" i="4"/>
  <c r="BV153" i="4"/>
  <c r="BU153" i="4"/>
  <c r="BT153" i="4"/>
  <c r="BS153" i="4"/>
  <c r="BR153" i="4"/>
  <c r="BQ153" i="4"/>
  <c r="BP153" i="4"/>
  <c r="BO153" i="4"/>
  <c r="BN153" i="4"/>
  <c r="BM153" i="4"/>
  <c r="BL153" i="4"/>
  <c r="BK153" i="4"/>
  <c r="BG153" i="4"/>
  <c r="BF153" i="4"/>
  <c r="BE153" i="4"/>
  <c r="BD153" i="4"/>
  <c r="BC153" i="4"/>
  <c r="BB153" i="4"/>
  <c r="BA153" i="4"/>
  <c r="AZ153" i="4"/>
  <c r="AY153" i="4"/>
  <c r="AX153" i="4"/>
  <c r="AW153" i="4"/>
  <c r="AV153" i="4"/>
  <c r="AU153" i="4"/>
  <c r="AT153" i="4"/>
  <c r="AK153" i="4"/>
  <c r="AJ153" i="4"/>
  <c r="AI153" i="4"/>
  <c r="AH153" i="4"/>
  <c r="AG153" i="4"/>
  <c r="AF153" i="4"/>
  <c r="AE153" i="4"/>
  <c r="AD153" i="4"/>
  <c r="AC153" i="4"/>
  <c r="AB153" i="4"/>
  <c r="AA153" i="4"/>
  <c r="Z153" i="4"/>
  <c r="Y153" i="4"/>
  <c r="X153" i="4"/>
  <c r="T153" i="4"/>
  <c r="S153" i="4"/>
  <c r="R153" i="4"/>
  <c r="Q153" i="4"/>
  <c r="P153" i="4"/>
  <c r="O153" i="4"/>
  <c r="N153" i="4"/>
  <c r="M153" i="4"/>
  <c r="L153" i="4"/>
  <c r="K153" i="4"/>
  <c r="J153" i="4"/>
  <c r="I153" i="4"/>
  <c r="H153" i="4"/>
  <c r="G153" i="4"/>
  <c r="EY152" i="4"/>
  <c r="EX152" i="4"/>
  <c r="EW152" i="4"/>
  <c r="EV152" i="4"/>
  <c r="EU152" i="4"/>
  <c r="ET152" i="4"/>
  <c r="ES152" i="4"/>
  <c r="ER152" i="4"/>
  <c r="EQ152" i="4"/>
  <c r="EP152" i="4"/>
  <c r="EO152" i="4"/>
  <c r="EN152" i="4"/>
  <c r="EM152" i="4"/>
  <c r="EL152" i="4"/>
  <c r="EH152" i="4"/>
  <c r="EG152" i="4"/>
  <c r="EF152" i="4"/>
  <c r="EE152" i="4"/>
  <c r="ED152" i="4"/>
  <c r="EC152" i="4"/>
  <c r="EB152" i="4"/>
  <c r="EA152" i="4"/>
  <c r="DZ152" i="4"/>
  <c r="DY152" i="4"/>
  <c r="DX152" i="4"/>
  <c r="DW152" i="4"/>
  <c r="DV152" i="4"/>
  <c r="DU152" i="4"/>
  <c r="DK152" i="4"/>
  <c r="DJ152" i="4"/>
  <c r="DI152" i="4"/>
  <c r="DH152" i="4"/>
  <c r="DG152" i="4"/>
  <c r="DF152" i="4"/>
  <c r="DE152" i="4"/>
  <c r="DD152" i="4"/>
  <c r="DC152" i="4"/>
  <c r="DB152" i="4"/>
  <c r="DA152" i="4"/>
  <c r="CZ152" i="4"/>
  <c r="CY152" i="4"/>
  <c r="CX152" i="4"/>
  <c r="CT152" i="4"/>
  <c r="CS152" i="4"/>
  <c r="CR152" i="4"/>
  <c r="CQ152" i="4"/>
  <c r="CP152" i="4"/>
  <c r="CO152" i="4"/>
  <c r="CN152" i="4"/>
  <c r="CM152" i="4"/>
  <c r="CL152" i="4"/>
  <c r="CK152" i="4"/>
  <c r="CJ152" i="4"/>
  <c r="CI152" i="4"/>
  <c r="CH152" i="4"/>
  <c r="CG152" i="4"/>
  <c r="BX152" i="4"/>
  <c r="BW152" i="4"/>
  <c r="BV152" i="4"/>
  <c r="BU152" i="4"/>
  <c r="BT152" i="4"/>
  <c r="BS152" i="4"/>
  <c r="BR152" i="4"/>
  <c r="BQ152" i="4"/>
  <c r="BP152" i="4"/>
  <c r="BO152" i="4"/>
  <c r="BN152" i="4"/>
  <c r="BM152" i="4"/>
  <c r="BL152" i="4"/>
  <c r="BK152" i="4"/>
  <c r="BG152" i="4"/>
  <c r="BF152" i="4"/>
  <c r="BE152" i="4"/>
  <c r="BD152" i="4"/>
  <c r="BC152" i="4"/>
  <c r="BB152" i="4"/>
  <c r="BA152" i="4"/>
  <c r="AZ152" i="4"/>
  <c r="AY152" i="4"/>
  <c r="AX152" i="4"/>
  <c r="AW152" i="4"/>
  <c r="AV152" i="4"/>
  <c r="AU152" i="4"/>
  <c r="AT152" i="4"/>
  <c r="AK152" i="4"/>
  <c r="AJ152" i="4"/>
  <c r="AI152" i="4"/>
  <c r="AH152" i="4"/>
  <c r="AG152" i="4"/>
  <c r="AF152" i="4"/>
  <c r="AE152" i="4"/>
  <c r="AD152" i="4"/>
  <c r="AC152" i="4"/>
  <c r="AB152" i="4"/>
  <c r="AA152" i="4"/>
  <c r="Z152" i="4"/>
  <c r="Y152" i="4"/>
  <c r="X152" i="4"/>
  <c r="T152" i="4"/>
  <c r="S152" i="4"/>
  <c r="R152" i="4"/>
  <c r="Q152" i="4"/>
  <c r="P152" i="4"/>
  <c r="O152" i="4"/>
  <c r="N152" i="4"/>
  <c r="M152" i="4"/>
  <c r="L152" i="4"/>
  <c r="K152" i="4"/>
  <c r="J152" i="4"/>
  <c r="I152" i="4"/>
  <c r="H152" i="4"/>
  <c r="G152" i="4"/>
  <c r="EY151" i="4"/>
  <c r="EX151" i="4"/>
  <c r="EW151" i="4"/>
  <c r="EV151" i="4"/>
  <c r="EU151" i="4"/>
  <c r="ET151" i="4"/>
  <c r="ES151" i="4"/>
  <c r="ER151" i="4"/>
  <c r="EQ151" i="4"/>
  <c r="EP151" i="4"/>
  <c r="EO151" i="4"/>
  <c r="EN151" i="4"/>
  <c r="EM151" i="4"/>
  <c r="EL151" i="4"/>
  <c r="EH151" i="4"/>
  <c r="EG151" i="4"/>
  <c r="EF151" i="4"/>
  <c r="EE151" i="4"/>
  <c r="ED151" i="4"/>
  <c r="EC151" i="4"/>
  <c r="EB151" i="4"/>
  <c r="EA151" i="4"/>
  <c r="DZ151" i="4"/>
  <c r="DY151" i="4"/>
  <c r="DX151" i="4"/>
  <c r="DW151" i="4"/>
  <c r="DV151" i="4"/>
  <c r="DU151" i="4"/>
  <c r="DK151" i="4"/>
  <c r="DJ151" i="4"/>
  <c r="DI151" i="4"/>
  <c r="DH151" i="4"/>
  <c r="DG151" i="4"/>
  <c r="DF151" i="4"/>
  <c r="DE151" i="4"/>
  <c r="DD151" i="4"/>
  <c r="DC151" i="4"/>
  <c r="DB151" i="4"/>
  <c r="DA151" i="4"/>
  <c r="CZ151" i="4"/>
  <c r="CY151" i="4"/>
  <c r="CX151" i="4"/>
  <c r="CT151" i="4"/>
  <c r="CS151" i="4"/>
  <c r="CR151" i="4"/>
  <c r="CQ151" i="4"/>
  <c r="CP151" i="4"/>
  <c r="CO151" i="4"/>
  <c r="CN151" i="4"/>
  <c r="CM151" i="4"/>
  <c r="CL151" i="4"/>
  <c r="CK151" i="4"/>
  <c r="CJ151" i="4"/>
  <c r="CI151" i="4"/>
  <c r="CH151" i="4"/>
  <c r="CG151" i="4"/>
  <c r="BX151" i="4"/>
  <c r="BW151" i="4"/>
  <c r="BV151" i="4"/>
  <c r="BU151" i="4"/>
  <c r="BT151" i="4"/>
  <c r="BS151" i="4"/>
  <c r="BR151" i="4"/>
  <c r="BQ151" i="4"/>
  <c r="BP151" i="4"/>
  <c r="BO151" i="4"/>
  <c r="BN151" i="4"/>
  <c r="BM151" i="4"/>
  <c r="BL151" i="4"/>
  <c r="BK151" i="4"/>
  <c r="BG151" i="4"/>
  <c r="BF151" i="4"/>
  <c r="BE151" i="4"/>
  <c r="BD151" i="4"/>
  <c r="BC151" i="4"/>
  <c r="BB151" i="4"/>
  <c r="BA151" i="4"/>
  <c r="AZ151" i="4"/>
  <c r="AY151" i="4"/>
  <c r="AX151" i="4"/>
  <c r="AW151" i="4"/>
  <c r="AV151" i="4"/>
  <c r="AU151" i="4"/>
  <c r="AT151" i="4"/>
  <c r="AK151" i="4"/>
  <c r="AJ151" i="4"/>
  <c r="AI151" i="4"/>
  <c r="AH151" i="4"/>
  <c r="AG151" i="4"/>
  <c r="AF151" i="4"/>
  <c r="AE151" i="4"/>
  <c r="AD151" i="4"/>
  <c r="AC151" i="4"/>
  <c r="AB151" i="4"/>
  <c r="AA151" i="4"/>
  <c r="Z151" i="4"/>
  <c r="Y151" i="4"/>
  <c r="X151" i="4"/>
  <c r="T151" i="4"/>
  <c r="S151" i="4"/>
  <c r="R151" i="4"/>
  <c r="Q151" i="4"/>
  <c r="P151" i="4"/>
  <c r="O151" i="4"/>
  <c r="N151" i="4"/>
  <c r="M151" i="4"/>
  <c r="L151" i="4"/>
  <c r="K151" i="4"/>
  <c r="J151" i="4"/>
  <c r="I151" i="4"/>
  <c r="H151" i="4"/>
  <c r="G151" i="4"/>
  <c r="EY150" i="4"/>
  <c r="EX150" i="4"/>
  <c r="EW150" i="4"/>
  <c r="EV150" i="4"/>
  <c r="EU150" i="4"/>
  <c r="ET150" i="4"/>
  <c r="ES150" i="4"/>
  <c r="ER150" i="4"/>
  <c r="EQ150" i="4"/>
  <c r="EP150" i="4"/>
  <c r="EO150" i="4"/>
  <c r="EN150" i="4"/>
  <c r="EM150" i="4"/>
  <c r="EL150" i="4"/>
  <c r="EH150" i="4"/>
  <c r="EG150" i="4"/>
  <c r="EF150" i="4"/>
  <c r="EE150" i="4"/>
  <c r="ED150" i="4"/>
  <c r="EC150" i="4"/>
  <c r="EB150" i="4"/>
  <c r="EA150" i="4"/>
  <c r="DZ150" i="4"/>
  <c r="DY150" i="4"/>
  <c r="DX150" i="4"/>
  <c r="DW150" i="4"/>
  <c r="DV150" i="4"/>
  <c r="DU150" i="4"/>
  <c r="DK150" i="4"/>
  <c r="DJ150" i="4"/>
  <c r="DI150" i="4"/>
  <c r="DH150" i="4"/>
  <c r="DG150" i="4"/>
  <c r="DF150" i="4"/>
  <c r="DE150" i="4"/>
  <c r="DD150" i="4"/>
  <c r="DC150" i="4"/>
  <c r="DB150" i="4"/>
  <c r="DA150" i="4"/>
  <c r="CZ150" i="4"/>
  <c r="CY150" i="4"/>
  <c r="CX150" i="4"/>
  <c r="CT150" i="4"/>
  <c r="CS150" i="4"/>
  <c r="CR150" i="4"/>
  <c r="CQ150" i="4"/>
  <c r="CP150" i="4"/>
  <c r="CO150" i="4"/>
  <c r="CN150" i="4"/>
  <c r="CM150" i="4"/>
  <c r="CL150" i="4"/>
  <c r="CK150" i="4"/>
  <c r="CJ150" i="4"/>
  <c r="CI150" i="4"/>
  <c r="CH150" i="4"/>
  <c r="CG150" i="4"/>
  <c r="BX150" i="4"/>
  <c r="BW150" i="4"/>
  <c r="BV150" i="4"/>
  <c r="BU150" i="4"/>
  <c r="BT150" i="4"/>
  <c r="BS150" i="4"/>
  <c r="BR150" i="4"/>
  <c r="BQ150" i="4"/>
  <c r="BP150" i="4"/>
  <c r="BO150" i="4"/>
  <c r="BN150" i="4"/>
  <c r="BM150" i="4"/>
  <c r="BL150" i="4"/>
  <c r="BK150" i="4"/>
  <c r="BG150" i="4"/>
  <c r="BF150" i="4"/>
  <c r="BE150" i="4"/>
  <c r="BD150" i="4"/>
  <c r="BC150" i="4"/>
  <c r="BB150" i="4"/>
  <c r="BA150" i="4"/>
  <c r="AZ150" i="4"/>
  <c r="AY150" i="4"/>
  <c r="AX150" i="4"/>
  <c r="AW150" i="4"/>
  <c r="AV150" i="4"/>
  <c r="AU150" i="4"/>
  <c r="AT150" i="4"/>
  <c r="AK150" i="4"/>
  <c r="AJ150" i="4"/>
  <c r="AI150" i="4"/>
  <c r="AH150" i="4"/>
  <c r="AG150" i="4"/>
  <c r="AF150" i="4"/>
  <c r="AE150" i="4"/>
  <c r="AD150" i="4"/>
  <c r="AC150" i="4"/>
  <c r="AB150" i="4"/>
  <c r="AA150" i="4"/>
  <c r="Z150" i="4"/>
  <c r="Y150" i="4"/>
  <c r="X150" i="4"/>
  <c r="T150" i="4"/>
  <c r="S150" i="4"/>
  <c r="R150" i="4"/>
  <c r="Q150" i="4"/>
  <c r="P150" i="4"/>
  <c r="O150" i="4"/>
  <c r="N150" i="4"/>
  <c r="M150" i="4"/>
  <c r="L150" i="4"/>
  <c r="K150" i="4"/>
  <c r="J150" i="4"/>
  <c r="I150" i="4"/>
  <c r="H150" i="4"/>
  <c r="G150" i="4"/>
  <c r="EY149" i="4"/>
  <c r="EX149" i="4"/>
  <c r="EW149" i="4"/>
  <c r="EV149" i="4"/>
  <c r="EU149" i="4"/>
  <c r="ET149" i="4"/>
  <c r="ES149" i="4"/>
  <c r="ER149" i="4"/>
  <c r="EQ149" i="4"/>
  <c r="EP149" i="4"/>
  <c r="EO149" i="4"/>
  <c r="EN149" i="4"/>
  <c r="EM149" i="4"/>
  <c r="EL149" i="4"/>
  <c r="EH149" i="4"/>
  <c r="EG149" i="4"/>
  <c r="EF149" i="4"/>
  <c r="EE149" i="4"/>
  <c r="ED149" i="4"/>
  <c r="EC149" i="4"/>
  <c r="EB149" i="4"/>
  <c r="EA149" i="4"/>
  <c r="DZ149" i="4"/>
  <c r="DY149" i="4"/>
  <c r="DX149" i="4"/>
  <c r="DW149" i="4"/>
  <c r="DV149" i="4"/>
  <c r="DU149" i="4"/>
  <c r="DK149" i="4"/>
  <c r="DJ149" i="4"/>
  <c r="DI149" i="4"/>
  <c r="DH149" i="4"/>
  <c r="DG149" i="4"/>
  <c r="DF149" i="4"/>
  <c r="DE149" i="4"/>
  <c r="DD149" i="4"/>
  <c r="DC149" i="4"/>
  <c r="DB149" i="4"/>
  <c r="DA149" i="4"/>
  <c r="CZ149" i="4"/>
  <c r="CY149" i="4"/>
  <c r="CX149" i="4"/>
  <c r="CT149" i="4"/>
  <c r="CS149" i="4"/>
  <c r="CR149" i="4"/>
  <c r="CQ149" i="4"/>
  <c r="CP149" i="4"/>
  <c r="CO149" i="4"/>
  <c r="CN149" i="4"/>
  <c r="CM149" i="4"/>
  <c r="CL149" i="4"/>
  <c r="CK149" i="4"/>
  <c r="CJ149" i="4"/>
  <c r="CI149" i="4"/>
  <c r="CH149" i="4"/>
  <c r="CG149" i="4"/>
  <c r="BX149" i="4"/>
  <c r="BW149" i="4"/>
  <c r="BV149" i="4"/>
  <c r="BU149" i="4"/>
  <c r="BT149" i="4"/>
  <c r="BS149" i="4"/>
  <c r="BR149" i="4"/>
  <c r="BQ149" i="4"/>
  <c r="BP149" i="4"/>
  <c r="BO149" i="4"/>
  <c r="BN149" i="4"/>
  <c r="BM149" i="4"/>
  <c r="BL149" i="4"/>
  <c r="BK149" i="4"/>
  <c r="BG149" i="4"/>
  <c r="BF149" i="4"/>
  <c r="BE149" i="4"/>
  <c r="BD149" i="4"/>
  <c r="BC149" i="4"/>
  <c r="BB149" i="4"/>
  <c r="BA149" i="4"/>
  <c r="AZ149" i="4"/>
  <c r="AY149" i="4"/>
  <c r="AX149" i="4"/>
  <c r="AW149" i="4"/>
  <c r="AV149" i="4"/>
  <c r="AU149" i="4"/>
  <c r="AT149" i="4"/>
  <c r="AK149" i="4"/>
  <c r="AJ149" i="4"/>
  <c r="AI149" i="4"/>
  <c r="AH149" i="4"/>
  <c r="AG149" i="4"/>
  <c r="AF149" i="4"/>
  <c r="AE149" i="4"/>
  <c r="AD149" i="4"/>
  <c r="AC149" i="4"/>
  <c r="AB149" i="4"/>
  <c r="AA149" i="4"/>
  <c r="Z149" i="4"/>
  <c r="Y149" i="4"/>
  <c r="X149" i="4"/>
  <c r="T149" i="4"/>
  <c r="S149" i="4"/>
  <c r="R149" i="4"/>
  <c r="Q149" i="4"/>
  <c r="P149" i="4"/>
  <c r="O149" i="4"/>
  <c r="N149" i="4"/>
  <c r="M149" i="4"/>
  <c r="L149" i="4"/>
  <c r="K149" i="4"/>
  <c r="J149" i="4"/>
  <c r="I149" i="4"/>
  <c r="H149" i="4"/>
  <c r="G149" i="4"/>
  <c r="EY148" i="4"/>
  <c r="EX148" i="4"/>
  <c r="EW148" i="4"/>
  <c r="EV148" i="4"/>
  <c r="EU148" i="4"/>
  <c r="ET148" i="4"/>
  <c r="ES148" i="4"/>
  <c r="ER148" i="4"/>
  <c r="EQ148" i="4"/>
  <c r="EP148" i="4"/>
  <c r="EO148" i="4"/>
  <c r="EN148" i="4"/>
  <c r="EM148" i="4"/>
  <c r="EG148" i="4"/>
  <c r="EF148" i="4"/>
  <c r="EE148" i="4"/>
  <c r="ED148" i="4"/>
  <c r="EC148" i="4"/>
  <c r="EB148" i="4"/>
  <c r="EA148" i="4"/>
  <c r="DZ148" i="4"/>
  <c r="DY148" i="4"/>
  <c r="DX148" i="4"/>
  <c r="DW148" i="4"/>
  <c r="DV148" i="4"/>
  <c r="DU148" i="4"/>
  <c r="DK148" i="4"/>
  <c r="DJ148" i="4"/>
  <c r="DI148" i="4"/>
  <c r="DH148" i="4"/>
  <c r="DG148" i="4"/>
  <c r="DF148" i="4"/>
  <c r="DE148" i="4"/>
  <c r="DD148" i="4"/>
  <c r="DC148" i="4"/>
  <c r="DB148" i="4"/>
  <c r="DA148" i="4"/>
  <c r="CZ148" i="4"/>
  <c r="CY148" i="4"/>
  <c r="CS148" i="4"/>
  <c r="CR148" i="4"/>
  <c r="CQ148" i="4"/>
  <c r="CP148" i="4"/>
  <c r="CO148" i="4"/>
  <c r="CN148" i="4"/>
  <c r="CM148" i="4"/>
  <c r="CL148" i="4"/>
  <c r="CK148" i="4"/>
  <c r="CJ148" i="4"/>
  <c r="CI148" i="4"/>
  <c r="CH148" i="4"/>
  <c r="CG148" i="4"/>
  <c r="BX148" i="4"/>
  <c r="BW148" i="4"/>
  <c r="BV148" i="4"/>
  <c r="BU148" i="4"/>
  <c r="BT148" i="4"/>
  <c r="BS148" i="4"/>
  <c r="BR148" i="4"/>
  <c r="BQ148" i="4"/>
  <c r="BP148" i="4"/>
  <c r="BO148" i="4"/>
  <c r="BN148" i="4"/>
  <c r="BM148" i="4"/>
  <c r="BL148" i="4"/>
  <c r="BF148" i="4"/>
  <c r="BE148" i="4"/>
  <c r="BD148" i="4"/>
  <c r="BC148" i="4"/>
  <c r="BB148" i="4"/>
  <c r="BA148" i="4"/>
  <c r="AZ148" i="4"/>
  <c r="AY148" i="4"/>
  <c r="AX148" i="4"/>
  <c r="AW148" i="4"/>
  <c r="AV148" i="4"/>
  <c r="AU148" i="4"/>
  <c r="AT148" i="4"/>
  <c r="AK148" i="4"/>
  <c r="AJ148" i="4"/>
  <c r="AI148" i="4"/>
  <c r="AH148" i="4"/>
  <c r="AG148" i="4"/>
  <c r="AF148" i="4"/>
  <c r="AE148" i="4"/>
  <c r="AD148" i="4"/>
  <c r="AC148" i="4"/>
  <c r="AB148" i="4"/>
  <c r="AA148" i="4"/>
  <c r="Z148" i="4"/>
  <c r="Y148" i="4"/>
  <c r="S148" i="4"/>
  <c r="R148" i="4"/>
  <c r="Q148" i="4"/>
  <c r="P148" i="4"/>
  <c r="O148" i="4"/>
  <c r="N148" i="4"/>
  <c r="M148" i="4"/>
  <c r="L148" i="4"/>
  <c r="K148" i="4"/>
  <c r="J148" i="4"/>
  <c r="I148" i="4"/>
  <c r="H148" i="4"/>
  <c r="G148" i="4"/>
  <c r="EY147" i="4"/>
  <c r="EX147" i="4"/>
  <c r="EW147" i="4"/>
  <c r="EV147" i="4"/>
  <c r="EU147" i="4"/>
  <c r="ET147" i="4"/>
  <c r="ES147" i="4"/>
  <c r="ER147" i="4"/>
  <c r="EQ147" i="4"/>
  <c r="EP147" i="4"/>
  <c r="EO147" i="4"/>
  <c r="EN147" i="4"/>
  <c r="EM147" i="4"/>
  <c r="EG147" i="4"/>
  <c r="EF147" i="4"/>
  <c r="EE147" i="4"/>
  <c r="ED147" i="4"/>
  <c r="EC147" i="4"/>
  <c r="EB147" i="4"/>
  <c r="EA147" i="4"/>
  <c r="DZ147" i="4"/>
  <c r="DY147" i="4"/>
  <c r="DX147" i="4"/>
  <c r="DW147" i="4"/>
  <c r="DV147" i="4"/>
  <c r="DU147" i="4"/>
  <c r="DK147" i="4"/>
  <c r="DJ147" i="4"/>
  <c r="DI147" i="4"/>
  <c r="DH147" i="4"/>
  <c r="DG147" i="4"/>
  <c r="DF147" i="4"/>
  <c r="DE147" i="4"/>
  <c r="DD147" i="4"/>
  <c r="DC147" i="4"/>
  <c r="DB147" i="4"/>
  <c r="DA147" i="4"/>
  <c r="CZ147" i="4"/>
  <c r="CY147" i="4"/>
  <c r="CS147" i="4"/>
  <c r="CR147" i="4"/>
  <c r="CQ147" i="4"/>
  <c r="CP147" i="4"/>
  <c r="CO147" i="4"/>
  <c r="CN147" i="4"/>
  <c r="CM147" i="4"/>
  <c r="CL147" i="4"/>
  <c r="CK147" i="4"/>
  <c r="CJ147" i="4"/>
  <c r="CI147" i="4"/>
  <c r="CH147" i="4"/>
  <c r="CG147" i="4"/>
  <c r="BX147" i="4"/>
  <c r="BW147" i="4"/>
  <c r="BV147" i="4"/>
  <c r="BU147" i="4"/>
  <c r="BT147" i="4"/>
  <c r="BS147" i="4"/>
  <c r="BR147" i="4"/>
  <c r="BQ147" i="4"/>
  <c r="BP147" i="4"/>
  <c r="BO147" i="4"/>
  <c r="BN147" i="4"/>
  <c r="BM147" i="4"/>
  <c r="BL147" i="4"/>
  <c r="BF147" i="4"/>
  <c r="BE147" i="4"/>
  <c r="BD147" i="4"/>
  <c r="BC147" i="4"/>
  <c r="BB147" i="4"/>
  <c r="BA147" i="4"/>
  <c r="AZ147" i="4"/>
  <c r="AY147" i="4"/>
  <c r="AX147" i="4"/>
  <c r="AW147" i="4"/>
  <c r="AV147" i="4"/>
  <c r="AU147" i="4"/>
  <c r="AT147" i="4"/>
  <c r="AK147" i="4"/>
  <c r="AJ147" i="4"/>
  <c r="AI147" i="4"/>
  <c r="AH147" i="4"/>
  <c r="AG147" i="4"/>
  <c r="AF147" i="4"/>
  <c r="AE147" i="4"/>
  <c r="AD147" i="4"/>
  <c r="AC147" i="4"/>
  <c r="AB147" i="4"/>
  <c r="AA147" i="4"/>
  <c r="Z147" i="4"/>
  <c r="Y147" i="4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EY146" i="4"/>
  <c r="EX146" i="4"/>
  <c r="EW146" i="4"/>
  <c r="EV146" i="4"/>
  <c r="EU146" i="4"/>
  <c r="ET146" i="4"/>
  <c r="ES146" i="4"/>
  <c r="ER146" i="4"/>
  <c r="EQ146" i="4"/>
  <c r="EP146" i="4"/>
  <c r="EO146" i="4"/>
  <c r="EN146" i="4"/>
  <c r="EF146" i="4"/>
  <c r="EE146" i="4"/>
  <c r="ED146" i="4"/>
  <c r="EC146" i="4"/>
  <c r="EB146" i="4"/>
  <c r="EA146" i="4"/>
  <c r="DZ146" i="4"/>
  <c r="DY146" i="4"/>
  <c r="DX146" i="4"/>
  <c r="DW146" i="4"/>
  <c r="DV146" i="4"/>
  <c r="DU146" i="4"/>
  <c r="DK146" i="4"/>
  <c r="DJ146" i="4"/>
  <c r="DI146" i="4"/>
  <c r="DH146" i="4"/>
  <c r="DG146" i="4"/>
  <c r="DF146" i="4"/>
  <c r="DE146" i="4"/>
  <c r="DD146" i="4"/>
  <c r="DC146" i="4"/>
  <c r="DB146" i="4"/>
  <c r="DA146" i="4"/>
  <c r="CZ146" i="4"/>
  <c r="CR146" i="4"/>
  <c r="CQ146" i="4"/>
  <c r="CP146" i="4"/>
  <c r="CO146" i="4"/>
  <c r="CN146" i="4"/>
  <c r="CM146" i="4"/>
  <c r="CL146" i="4"/>
  <c r="CK146" i="4"/>
  <c r="CJ146" i="4"/>
  <c r="CI146" i="4"/>
  <c r="CH146" i="4"/>
  <c r="CG146" i="4"/>
  <c r="BX146" i="4"/>
  <c r="BW146" i="4"/>
  <c r="BV146" i="4"/>
  <c r="BU146" i="4"/>
  <c r="BT146" i="4"/>
  <c r="BS146" i="4"/>
  <c r="BR146" i="4"/>
  <c r="BQ146" i="4"/>
  <c r="BP146" i="4"/>
  <c r="BO146" i="4"/>
  <c r="BN146" i="4"/>
  <c r="BM146" i="4"/>
  <c r="BE146" i="4"/>
  <c r="BD146" i="4"/>
  <c r="BC146" i="4"/>
  <c r="BB146" i="4"/>
  <c r="BA146" i="4"/>
  <c r="AZ146" i="4"/>
  <c r="AY146" i="4"/>
  <c r="AX146" i="4"/>
  <c r="AW146" i="4"/>
  <c r="AV146" i="4"/>
  <c r="AU146" i="4"/>
  <c r="AT146" i="4"/>
  <c r="AK146" i="4"/>
  <c r="AJ146" i="4"/>
  <c r="AI146" i="4"/>
  <c r="AH146" i="4"/>
  <c r="AG146" i="4"/>
  <c r="AF146" i="4"/>
  <c r="AE146" i="4"/>
  <c r="AD146" i="4"/>
  <c r="AC146" i="4"/>
  <c r="AB146" i="4"/>
  <c r="AA146" i="4"/>
  <c r="Z146" i="4"/>
  <c r="R146" i="4"/>
  <c r="Q146" i="4"/>
  <c r="P146" i="4"/>
  <c r="O146" i="4"/>
  <c r="N146" i="4"/>
  <c r="M146" i="4"/>
  <c r="L146" i="4"/>
  <c r="K146" i="4"/>
  <c r="J146" i="4"/>
  <c r="I146" i="4"/>
  <c r="H146" i="4"/>
  <c r="G146" i="4"/>
  <c r="EY145" i="4"/>
  <c r="EX145" i="4"/>
  <c r="EW145" i="4"/>
  <c r="EV145" i="4"/>
  <c r="EU145" i="4"/>
  <c r="ET145" i="4"/>
  <c r="ES145" i="4"/>
  <c r="ER145" i="4"/>
  <c r="EQ145" i="4"/>
  <c r="EP145" i="4"/>
  <c r="EO145" i="4"/>
  <c r="EE145" i="4"/>
  <c r="ED145" i="4"/>
  <c r="EC145" i="4"/>
  <c r="EB145" i="4"/>
  <c r="EA145" i="4"/>
  <c r="DZ145" i="4"/>
  <c r="DY145" i="4"/>
  <c r="DX145" i="4"/>
  <c r="DW145" i="4"/>
  <c r="DV145" i="4"/>
  <c r="DU145" i="4"/>
  <c r="DK145" i="4"/>
  <c r="DJ145" i="4"/>
  <c r="DI145" i="4"/>
  <c r="DH145" i="4"/>
  <c r="DG145" i="4"/>
  <c r="DF145" i="4"/>
  <c r="DE145" i="4"/>
  <c r="DD145" i="4"/>
  <c r="DC145" i="4"/>
  <c r="DB145" i="4"/>
  <c r="DA145" i="4"/>
  <c r="CQ145" i="4"/>
  <c r="CP145" i="4"/>
  <c r="CO145" i="4"/>
  <c r="CN145" i="4"/>
  <c r="CM145" i="4"/>
  <c r="CL145" i="4"/>
  <c r="CK145" i="4"/>
  <c r="CJ145" i="4"/>
  <c r="CI145" i="4"/>
  <c r="CH145" i="4"/>
  <c r="CG145" i="4"/>
  <c r="BX145" i="4"/>
  <c r="BW145" i="4"/>
  <c r="BV145" i="4"/>
  <c r="BU145" i="4"/>
  <c r="BT145" i="4"/>
  <c r="BS145" i="4"/>
  <c r="BR145" i="4"/>
  <c r="BQ145" i="4"/>
  <c r="BP145" i="4"/>
  <c r="BO145" i="4"/>
  <c r="BN145" i="4"/>
  <c r="BD145" i="4"/>
  <c r="BC145" i="4"/>
  <c r="BB145" i="4"/>
  <c r="BA145" i="4"/>
  <c r="AZ145" i="4"/>
  <c r="AY145" i="4"/>
  <c r="AX145" i="4"/>
  <c r="AW145" i="4"/>
  <c r="AV145" i="4"/>
  <c r="AU145" i="4"/>
  <c r="AT145" i="4"/>
  <c r="AK145" i="4"/>
  <c r="AJ145" i="4"/>
  <c r="AI145" i="4"/>
  <c r="AH145" i="4"/>
  <c r="AG145" i="4"/>
  <c r="AF145" i="4"/>
  <c r="AE145" i="4"/>
  <c r="AD145" i="4"/>
  <c r="AC145" i="4"/>
  <c r="AB145" i="4"/>
  <c r="AA145" i="4"/>
  <c r="Q145" i="4"/>
  <c r="P145" i="4"/>
  <c r="O145" i="4"/>
  <c r="N145" i="4"/>
  <c r="M145" i="4"/>
  <c r="L145" i="4"/>
  <c r="K145" i="4"/>
  <c r="J145" i="4"/>
  <c r="I145" i="4"/>
  <c r="H145" i="4"/>
  <c r="G145" i="4"/>
  <c r="EY144" i="4"/>
  <c r="EX144" i="4"/>
  <c r="EW144" i="4"/>
  <c r="EV144" i="4"/>
  <c r="EU144" i="4"/>
  <c r="ET144" i="4"/>
  <c r="ES144" i="4"/>
  <c r="ER144" i="4"/>
  <c r="EQ144" i="4"/>
  <c r="EP144" i="4"/>
  <c r="ED144" i="4"/>
  <c r="EC144" i="4"/>
  <c r="EB144" i="4"/>
  <c r="EA144" i="4"/>
  <c r="DZ144" i="4"/>
  <c r="DY144" i="4"/>
  <c r="DX144" i="4"/>
  <c r="DW144" i="4"/>
  <c r="DV144" i="4"/>
  <c r="DU144" i="4"/>
  <c r="DK144" i="4"/>
  <c r="DJ144" i="4"/>
  <c r="DI144" i="4"/>
  <c r="DH144" i="4"/>
  <c r="DG144" i="4"/>
  <c r="DF144" i="4"/>
  <c r="DE144" i="4"/>
  <c r="DD144" i="4"/>
  <c r="DC144" i="4"/>
  <c r="DB144" i="4"/>
  <c r="CP144" i="4"/>
  <c r="CO144" i="4"/>
  <c r="CN144" i="4"/>
  <c r="CM144" i="4"/>
  <c r="CL144" i="4"/>
  <c r="CK144" i="4"/>
  <c r="CJ144" i="4"/>
  <c r="CI144" i="4"/>
  <c r="CH144" i="4"/>
  <c r="CG144" i="4"/>
  <c r="BX144" i="4"/>
  <c r="BW144" i="4"/>
  <c r="BV144" i="4"/>
  <c r="BU144" i="4"/>
  <c r="BT144" i="4"/>
  <c r="BS144" i="4"/>
  <c r="BR144" i="4"/>
  <c r="BQ144" i="4"/>
  <c r="BP144" i="4"/>
  <c r="BO144" i="4"/>
  <c r="BC144" i="4"/>
  <c r="BB144" i="4"/>
  <c r="BA144" i="4"/>
  <c r="AZ144" i="4"/>
  <c r="AY144" i="4"/>
  <c r="AX144" i="4"/>
  <c r="AW144" i="4"/>
  <c r="AV144" i="4"/>
  <c r="AU144" i="4"/>
  <c r="AT144" i="4"/>
  <c r="AK144" i="4"/>
  <c r="AJ144" i="4"/>
  <c r="AI144" i="4"/>
  <c r="AH144" i="4"/>
  <c r="AG144" i="4"/>
  <c r="AF144" i="4"/>
  <c r="AE144" i="4"/>
  <c r="AD144" i="4"/>
  <c r="AC144" i="4"/>
  <c r="AB144" i="4"/>
  <c r="P144" i="4"/>
  <c r="O144" i="4"/>
  <c r="N144" i="4"/>
  <c r="M144" i="4"/>
  <c r="L144" i="4"/>
  <c r="K144" i="4"/>
  <c r="J144" i="4"/>
  <c r="I144" i="4"/>
  <c r="H144" i="4"/>
  <c r="G144" i="4"/>
  <c r="EY143" i="4"/>
  <c r="EX143" i="4"/>
  <c r="EW143" i="4"/>
  <c r="EV143" i="4"/>
  <c r="EU143" i="4"/>
  <c r="ET143" i="4"/>
  <c r="ES143" i="4"/>
  <c r="ER143" i="4"/>
  <c r="EQ143" i="4"/>
  <c r="EP143" i="4"/>
  <c r="ED143" i="4"/>
  <c r="EC143" i="4"/>
  <c r="EB143" i="4"/>
  <c r="EA143" i="4"/>
  <c r="DZ143" i="4"/>
  <c r="DY143" i="4"/>
  <c r="DX143" i="4"/>
  <c r="DW143" i="4"/>
  <c r="DV143" i="4"/>
  <c r="DU143" i="4"/>
  <c r="DK143" i="4"/>
  <c r="DJ143" i="4"/>
  <c r="DI143" i="4"/>
  <c r="DH143" i="4"/>
  <c r="DG143" i="4"/>
  <c r="DF143" i="4"/>
  <c r="DE143" i="4"/>
  <c r="DD143" i="4"/>
  <c r="DC143" i="4"/>
  <c r="DB143" i="4"/>
  <c r="CP143" i="4"/>
  <c r="CO143" i="4"/>
  <c r="CN143" i="4"/>
  <c r="CM143" i="4"/>
  <c r="CL143" i="4"/>
  <c r="CK143" i="4"/>
  <c r="CJ143" i="4"/>
  <c r="CI143" i="4"/>
  <c r="CH143" i="4"/>
  <c r="CG143" i="4"/>
  <c r="BX143" i="4"/>
  <c r="BW143" i="4"/>
  <c r="BV143" i="4"/>
  <c r="BU143" i="4"/>
  <c r="BT143" i="4"/>
  <c r="BS143" i="4"/>
  <c r="BR143" i="4"/>
  <c r="BQ143" i="4"/>
  <c r="BP143" i="4"/>
  <c r="BO143" i="4"/>
  <c r="BC143" i="4"/>
  <c r="BB143" i="4"/>
  <c r="BA143" i="4"/>
  <c r="AZ143" i="4"/>
  <c r="AY143" i="4"/>
  <c r="AX143" i="4"/>
  <c r="AW143" i="4"/>
  <c r="AV143" i="4"/>
  <c r="AU143" i="4"/>
  <c r="AT143" i="4"/>
  <c r="AK143" i="4"/>
  <c r="AJ143" i="4"/>
  <c r="AI143" i="4"/>
  <c r="AH143" i="4"/>
  <c r="AG143" i="4"/>
  <c r="AF143" i="4"/>
  <c r="AE143" i="4"/>
  <c r="AD143" i="4"/>
  <c r="AC143" i="4"/>
  <c r="AB143" i="4"/>
  <c r="P143" i="4"/>
  <c r="O143" i="4"/>
  <c r="N143" i="4"/>
  <c r="M143" i="4"/>
  <c r="L143" i="4"/>
  <c r="K143" i="4"/>
  <c r="J143" i="4"/>
  <c r="I143" i="4"/>
  <c r="H143" i="4"/>
  <c r="G143" i="4"/>
  <c r="EY142" i="4"/>
  <c r="EX142" i="4"/>
  <c r="EW142" i="4"/>
  <c r="EV142" i="4"/>
  <c r="EU142" i="4"/>
  <c r="ET142" i="4"/>
  <c r="ES142" i="4"/>
  <c r="ER142" i="4"/>
  <c r="EQ142" i="4"/>
  <c r="EC142" i="4"/>
  <c r="EB142" i="4"/>
  <c r="EA142" i="4"/>
  <c r="DZ142" i="4"/>
  <c r="DY142" i="4"/>
  <c r="DX142" i="4"/>
  <c r="DW142" i="4"/>
  <c r="DV142" i="4"/>
  <c r="DU142" i="4"/>
  <c r="DK142" i="4"/>
  <c r="DJ142" i="4"/>
  <c r="DI142" i="4"/>
  <c r="DH142" i="4"/>
  <c r="DG142" i="4"/>
  <c r="DF142" i="4"/>
  <c r="DE142" i="4"/>
  <c r="DD142" i="4"/>
  <c r="DC142" i="4"/>
  <c r="CO142" i="4"/>
  <c r="CN142" i="4"/>
  <c r="CM142" i="4"/>
  <c r="CL142" i="4"/>
  <c r="CK142" i="4"/>
  <c r="CJ142" i="4"/>
  <c r="CI142" i="4"/>
  <c r="CH142" i="4"/>
  <c r="CG142" i="4"/>
  <c r="BX142" i="4"/>
  <c r="BW142" i="4"/>
  <c r="BV142" i="4"/>
  <c r="BU142" i="4"/>
  <c r="BT142" i="4"/>
  <c r="BS142" i="4"/>
  <c r="BR142" i="4"/>
  <c r="BQ142" i="4"/>
  <c r="BP142" i="4"/>
  <c r="BB142" i="4"/>
  <c r="BA142" i="4"/>
  <c r="AZ142" i="4"/>
  <c r="AY142" i="4"/>
  <c r="AX142" i="4"/>
  <c r="AW142" i="4"/>
  <c r="AV142" i="4"/>
  <c r="AU142" i="4"/>
  <c r="AT142" i="4"/>
  <c r="AK142" i="4"/>
  <c r="AJ142" i="4"/>
  <c r="AI142" i="4"/>
  <c r="AH142" i="4"/>
  <c r="AG142" i="4"/>
  <c r="AF142" i="4"/>
  <c r="AE142" i="4"/>
  <c r="AD142" i="4"/>
  <c r="AC142" i="4"/>
  <c r="O142" i="4"/>
  <c r="N142" i="4"/>
  <c r="M142" i="4"/>
  <c r="L142" i="4"/>
  <c r="K142" i="4"/>
  <c r="J142" i="4"/>
  <c r="I142" i="4"/>
  <c r="H142" i="4"/>
  <c r="G142" i="4"/>
  <c r="EY141" i="4"/>
  <c r="EX141" i="4"/>
  <c r="EW141" i="4"/>
  <c r="EV141" i="4"/>
  <c r="EU141" i="4"/>
  <c r="ET141" i="4"/>
  <c r="ES141" i="4"/>
  <c r="ER141" i="4"/>
  <c r="EQ141" i="4"/>
  <c r="EC141" i="4"/>
  <c r="EB141" i="4"/>
  <c r="EA141" i="4"/>
  <c r="DZ141" i="4"/>
  <c r="DY141" i="4"/>
  <c r="DX141" i="4"/>
  <c r="DW141" i="4"/>
  <c r="DV141" i="4"/>
  <c r="DU141" i="4"/>
  <c r="DK141" i="4"/>
  <c r="DJ141" i="4"/>
  <c r="DI141" i="4"/>
  <c r="DH141" i="4"/>
  <c r="DG141" i="4"/>
  <c r="DF141" i="4"/>
  <c r="DE141" i="4"/>
  <c r="DD141" i="4"/>
  <c r="DC141" i="4"/>
  <c r="CO141" i="4"/>
  <c r="CN141" i="4"/>
  <c r="CM141" i="4"/>
  <c r="CL141" i="4"/>
  <c r="CK141" i="4"/>
  <c r="CJ141" i="4"/>
  <c r="CI141" i="4"/>
  <c r="CH141" i="4"/>
  <c r="CG141" i="4"/>
  <c r="BX141" i="4"/>
  <c r="BW141" i="4"/>
  <c r="BV141" i="4"/>
  <c r="BU141" i="4"/>
  <c r="BT141" i="4"/>
  <c r="BS141" i="4"/>
  <c r="BR141" i="4"/>
  <c r="BQ141" i="4"/>
  <c r="BP141" i="4"/>
  <c r="BB141" i="4"/>
  <c r="BA141" i="4"/>
  <c r="AZ141" i="4"/>
  <c r="AY141" i="4"/>
  <c r="AX141" i="4"/>
  <c r="AW141" i="4"/>
  <c r="AV141" i="4"/>
  <c r="AU141" i="4"/>
  <c r="AT141" i="4"/>
  <c r="AK141" i="4"/>
  <c r="AJ141" i="4"/>
  <c r="AI141" i="4"/>
  <c r="AH141" i="4"/>
  <c r="AG141" i="4"/>
  <c r="AF141" i="4"/>
  <c r="AE141" i="4"/>
  <c r="AD141" i="4"/>
  <c r="AC141" i="4"/>
  <c r="O141" i="4"/>
  <c r="N141" i="4"/>
  <c r="M141" i="4"/>
  <c r="L141" i="4"/>
  <c r="K141" i="4"/>
  <c r="J141" i="4"/>
  <c r="I141" i="4"/>
  <c r="H141" i="4"/>
  <c r="G141" i="4"/>
  <c r="EY140" i="4"/>
  <c r="EX140" i="4"/>
  <c r="EW140" i="4"/>
  <c r="EV140" i="4"/>
  <c r="EU140" i="4"/>
  <c r="ET140" i="4"/>
  <c r="ES140" i="4"/>
  <c r="ER140" i="4"/>
  <c r="EQ140" i="4"/>
  <c r="EC140" i="4"/>
  <c r="EB140" i="4"/>
  <c r="EA140" i="4"/>
  <c r="DZ140" i="4"/>
  <c r="DY140" i="4"/>
  <c r="DX140" i="4"/>
  <c r="DW140" i="4"/>
  <c r="DV140" i="4"/>
  <c r="DU140" i="4"/>
  <c r="DK140" i="4"/>
  <c r="DJ140" i="4"/>
  <c r="DI140" i="4"/>
  <c r="DH140" i="4"/>
  <c r="DG140" i="4"/>
  <c r="DF140" i="4"/>
  <c r="DE140" i="4"/>
  <c r="DD140" i="4"/>
  <c r="DC140" i="4"/>
  <c r="CO140" i="4"/>
  <c r="CN140" i="4"/>
  <c r="CM140" i="4"/>
  <c r="CL140" i="4"/>
  <c r="CK140" i="4"/>
  <c r="CJ140" i="4"/>
  <c r="CI140" i="4"/>
  <c r="CH140" i="4"/>
  <c r="CG140" i="4"/>
  <c r="BX140" i="4"/>
  <c r="BW140" i="4"/>
  <c r="BV140" i="4"/>
  <c r="BU140" i="4"/>
  <c r="BT140" i="4"/>
  <c r="BS140" i="4"/>
  <c r="BR140" i="4"/>
  <c r="BQ140" i="4"/>
  <c r="BP140" i="4"/>
  <c r="BB140" i="4"/>
  <c r="BA140" i="4"/>
  <c r="AZ140" i="4"/>
  <c r="AY140" i="4"/>
  <c r="AX140" i="4"/>
  <c r="AW140" i="4"/>
  <c r="AV140" i="4"/>
  <c r="AU140" i="4"/>
  <c r="AT140" i="4"/>
  <c r="AK140" i="4"/>
  <c r="AJ140" i="4"/>
  <c r="AI140" i="4"/>
  <c r="AH140" i="4"/>
  <c r="AG140" i="4"/>
  <c r="AF140" i="4"/>
  <c r="AE140" i="4"/>
  <c r="AD140" i="4"/>
  <c r="AC140" i="4"/>
  <c r="O140" i="4"/>
  <c r="N140" i="4"/>
  <c r="M140" i="4"/>
  <c r="L140" i="4"/>
  <c r="K140" i="4"/>
  <c r="J140" i="4"/>
  <c r="I140" i="4"/>
  <c r="H140" i="4"/>
  <c r="G140" i="4"/>
  <c r="EY139" i="4"/>
  <c r="EX139" i="4"/>
  <c r="EW139" i="4"/>
  <c r="EV139" i="4"/>
  <c r="EU139" i="4"/>
  <c r="ET139" i="4"/>
  <c r="ES139" i="4"/>
  <c r="ER139" i="4"/>
  <c r="EQ139" i="4"/>
  <c r="EC139" i="4"/>
  <c r="EB139" i="4"/>
  <c r="EA139" i="4"/>
  <c r="DZ139" i="4"/>
  <c r="DY139" i="4"/>
  <c r="DX139" i="4"/>
  <c r="DW139" i="4"/>
  <c r="DV139" i="4"/>
  <c r="DU139" i="4"/>
  <c r="DK139" i="4"/>
  <c r="DJ139" i="4"/>
  <c r="DI139" i="4"/>
  <c r="DH139" i="4"/>
  <c r="DG139" i="4"/>
  <c r="DF139" i="4"/>
  <c r="DE139" i="4"/>
  <c r="DD139" i="4"/>
  <c r="DC139" i="4"/>
  <c r="CO139" i="4"/>
  <c r="CN139" i="4"/>
  <c r="CM139" i="4"/>
  <c r="CL139" i="4"/>
  <c r="CK139" i="4"/>
  <c r="CJ139" i="4"/>
  <c r="CI139" i="4"/>
  <c r="CH139" i="4"/>
  <c r="CG139" i="4"/>
  <c r="BX139" i="4"/>
  <c r="BW139" i="4"/>
  <c r="BV139" i="4"/>
  <c r="BU139" i="4"/>
  <c r="BT139" i="4"/>
  <c r="BS139" i="4"/>
  <c r="BR139" i="4"/>
  <c r="BQ139" i="4"/>
  <c r="BP139" i="4"/>
  <c r="BB139" i="4"/>
  <c r="BA139" i="4"/>
  <c r="AZ139" i="4"/>
  <c r="AY139" i="4"/>
  <c r="AX139" i="4"/>
  <c r="AW139" i="4"/>
  <c r="AV139" i="4"/>
  <c r="AU139" i="4"/>
  <c r="AT139" i="4"/>
  <c r="AK139" i="4"/>
  <c r="AJ139" i="4"/>
  <c r="AI139" i="4"/>
  <c r="AH139" i="4"/>
  <c r="AG139" i="4"/>
  <c r="AF139" i="4"/>
  <c r="AE139" i="4"/>
  <c r="AD139" i="4"/>
  <c r="AC139" i="4"/>
  <c r="O139" i="4"/>
  <c r="N139" i="4"/>
  <c r="M139" i="4"/>
  <c r="L139" i="4"/>
  <c r="K139" i="4"/>
  <c r="J139" i="4"/>
  <c r="I139" i="4"/>
  <c r="H139" i="4"/>
  <c r="G139" i="4"/>
  <c r="EY138" i="4"/>
  <c r="EX138" i="4"/>
  <c r="EW138" i="4"/>
  <c r="EV138" i="4"/>
  <c r="EU138" i="4"/>
  <c r="ET138" i="4"/>
  <c r="ES138" i="4"/>
  <c r="ER138" i="4"/>
  <c r="EQ138" i="4"/>
  <c r="EP138" i="4"/>
  <c r="EO138" i="4"/>
  <c r="EN138" i="4"/>
  <c r="EM138" i="4"/>
  <c r="EL138" i="4"/>
  <c r="EK138" i="4"/>
  <c r="EJ138" i="4"/>
  <c r="EI138" i="4"/>
  <c r="EH138" i="4"/>
  <c r="EG138" i="4"/>
  <c r="EF138" i="4"/>
  <c r="EE138" i="4"/>
  <c r="ED138" i="4"/>
  <c r="EC138" i="4"/>
  <c r="EB138" i="4"/>
  <c r="EA138" i="4"/>
  <c r="DZ138" i="4"/>
  <c r="DY138" i="4"/>
  <c r="DX138" i="4"/>
  <c r="DW138" i="4"/>
  <c r="DV138" i="4"/>
  <c r="DU138" i="4"/>
  <c r="DK138" i="4"/>
  <c r="DJ138" i="4"/>
  <c r="DI138" i="4"/>
  <c r="DH138" i="4"/>
  <c r="DG138" i="4"/>
  <c r="DF138" i="4"/>
  <c r="DE138" i="4"/>
  <c r="DD138" i="4"/>
  <c r="DC138" i="4"/>
  <c r="CO138" i="4"/>
  <c r="CN138" i="4"/>
  <c r="CM138" i="4"/>
  <c r="CL138" i="4"/>
  <c r="CK138" i="4"/>
  <c r="CJ138" i="4"/>
  <c r="CI138" i="4"/>
  <c r="CH138" i="4"/>
  <c r="CG138" i="4"/>
  <c r="BX138" i="4"/>
  <c r="BW138" i="4"/>
  <c r="BV138" i="4"/>
  <c r="BU138" i="4"/>
  <c r="BT138" i="4"/>
  <c r="BS138" i="4"/>
  <c r="BR138" i="4"/>
  <c r="BQ138" i="4"/>
  <c r="BP138" i="4"/>
  <c r="BB138" i="4"/>
  <c r="BA138" i="4"/>
  <c r="AZ138" i="4"/>
  <c r="AY138" i="4"/>
  <c r="AX138" i="4"/>
  <c r="AW138" i="4"/>
  <c r="AV138" i="4"/>
  <c r="AU138" i="4"/>
  <c r="AT138" i="4"/>
  <c r="AK138" i="4"/>
  <c r="AJ138" i="4"/>
  <c r="AI138" i="4"/>
  <c r="AH138" i="4"/>
  <c r="AG138" i="4"/>
  <c r="AF138" i="4"/>
  <c r="AE138" i="4"/>
  <c r="AD138" i="4"/>
  <c r="AC138" i="4"/>
  <c r="AB138" i="4"/>
  <c r="AA138" i="4"/>
  <c r="Z138" i="4"/>
  <c r="Y138" i="4"/>
  <c r="X138" i="4"/>
  <c r="W138" i="4"/>
  <c r="V138" i="4"/>
  <c r="U138" i="4"/>
  <c r="T138" i="4"/>
  <c r="S138" i="4"/>
  <c r="R138" i="4"/>
  <c r="Q138" i="4"/>
  <c r="P138" i="4"/>
  <c r="O138" i="4"/>
  <c r="N138" i="4"/>
  <c r="M138" i="4"/>
  <c r="L138" i="4"/>
  <c r="K138" i="4"/>
  <c r="J138" i="4"/>
  <c r="I138" i="4"/>
  <c r="H138" i="4"/>
  <c r="G138" i="4"/>
  <c r="EY128" i="4"/>
  <c r="EX128" i="4"/>
  <c r="DV128" i="4"/>
  <c r="DU128" i="4"/>
  <c r="EY127" i="4"/>
  <c r="EX127" i="4"/>
  <c r="DV127" i="4"/>
  <c r="DU127" i="4"/>
  <c r="EY126" i="4"/>
  <c r="EX126" i="4"/>
  <c r="EW126" i="4"/>
  <c r="DW126" i="4"/>
  <c r="DV126" i="4"/>
  <c r="DU126" i="4"/>
  <c r="EY125" i="4"/>
  <c r="EX125" i="4"/>
  <c r="EW125" i="4"/>
  <c r="DW125" i="4"/>
  <c r="DV125" i="4"/>
  <c r="DU125" i="4"/>
  <c r="EY124" i="4"/>
  <c r="EX124" i="4"/>
  <c r="EW124" i="4"/>
  <c r="EV124" i="4"/>
  <c r="DX124" i="4"/>
  <c r="DW124" i="4"/>
  <c r="DV124" i="4"/>
  <c r="DU124" i="4"/>
  <c r="EY123" i="4"/>
  <c r="EX123" i="4"/>
  <c r="EW123" i="4"/>
  <c r="EV123" i="4"/>
  <c r="EU123" i="4"/>
  <c r="ET123" i="4"/>
  <c r="DZ123" i="4"/>
  <c r="DY123" i="4"/>
  <c r="DX123" i="4"/>
  <c r="DW123" i="4"/>
  <c r="DV123" i="4"/>
  <c r="DU123" i="4"/>
  <c r="EY122" i="4"/>
  <c r="EX122" i="4"/>
  <c r="EW122" i="4"/>
  <c r="EV122" i="4"/>
  <c r="EU122" i="4"/>
  <c r="ET122" i="4"/>
  <c r="ES122" i="4"/>
  <c r="ER122" i="4"/>
  <c r="EB122" i="4"/>
  <c r="EA122" i="4"/>
  <c r="DZ122" i="4"/>
  <c r="DY122" i="4"/>
  <c r="DX122" i="4"/>
  <c r="DW122" i="4"/>
  <c r="DV122" i="4"/>
  <c r="DU122" i="4"/>
  <c r="EY121" i="4"/>
  <c r="EX121" i="4"/>
  <c r="EW121" i="4"/>
  <c r="EV121" i="4"/>
  <c r="EU121" i="4"/>
  <c r="ET121" i="4"/>
  <c r="ES121" i="4"/>
  <c r="ER121" i="4"/>
  <c r="EQ121" i="4"/>
  <c r="EC121" i="4"/>
  <c r="EB121" i="4"/>
  <c r="EA121" i="4"/>
  <c r="DZ121" i="4"/>
  <c r="DY121" i="4"/>
  <c r="DX121" i="4"/>
  <c r="DW121" i="4"/>
  <c r="DV121" i="4"/>
  <c r="DU121" i="4"/>
  <c r="EY120" i="4"/>
  <c r="EX120" i="4"/>
  <c r="EW120" i="4"/>
  <c r="EV120" i="4"/>
  <c r="EU120" i="4"/>
  <c r="ET120" i="4"/>
  <c r="ES120" i="4"/>
  <c r="ER120" i="4"/>
  <c r="EQ120" i="4"/>
  <c r="EP120" i="4"/>
  <c r="ED120" i="4"/>
  <c r="EC120" i="4"/>
  <c r="EB120" i="4"/>
  <c r="EA120" i="4"/>
  <c r="DZ120" i="4"/>
  <c r="DY120" i="4"/>
  <c r="DX120" i="4"/>
  <c r="DW120" i="4"/>
  <c r="DV120" i="4"/>
  <c r="DU120" i="4"/>
  <c r="EY119" i="4"/>
  <c r="EX119" i="4"/>
  <c r="EW119" i="4"/>
  <c r="EV119" i="4"/>
  <c r="EU119" i="4"/>
  <c r="ET119" i="4"/>
  <c r="ES119" i="4"/>
  <c r="ER119" i="4"/>
  <c r="EQ119" i="4"/>
  <c r="EP119" i="4"/>
  <c r="EO119" i="4"/>
  <c r="EE119" i="4"/>
  <c r="ED119" i="4"/>
  <c r="EC119" i="4"/>
  <c r="EB119" i="4"/>
  <c r="EA119" i="4"/>
  <c r="DZ119" i="4"/>
  <c r="DY119" i="4"/>
  <c r="DX119" i="4"/>
  <c r="DW119" i="4"/>
  <c r="DV119" i="4"/>
  <c r="DU119" i="4"/>
  <c r="EY118" i="4"/>
  <c r="EX118" i="4"/>
  <c r="EW118" i="4"/>
  <c r="EV118" i="4"/>
  <c r="EU118" i="4"/>
  <c r="ET118" i="4"/>
  <c r="ES118" i="4"/>
  <c r="ER118" i="4"/>
  <c r="EQ118" i="4"/>
  <c r="EP118" i="4"/>
  <c r="EO118" i="4"/>
  <c r="EE118" i="4"/>
  <c r="ED118" i="4"/>
  <c r="EC118" i="4"/>
  <c r="EB118" i="4"/>
  <c r="EA118" i="4"/>
  <c r="DZ118" i="4"/>
  <c r="DY118" i="4"/>
  <c r="DX118" i="4"/>
  <c r="DW118" i="4"/>
  <c r="DV118" i="4"/>
  <c r="DU118" i="4"/>
  <c r="EY117" i="4"/>
  <c r="EX117" i="4"/>
  <c r="EW117" i="4"/>
  <c r="EV117" i="4"/>
  <c r="EU117" i="4"/>
  <c r="ET117" i="4"/>
  <c r="ES117" i="4"/>
  <c r="ER117" i="4"/>
  <c r="EQ117" i="4"/>
  <c r="EP117" i="4"/>
  <c r="EO117" i="4"/>
  <c r="EN117" i="4"/>
  <c r="EF117" i="4"/>
  <c r="EE117" i="4"/>
  <c r="ED117" i="4"/>
  <c r="EC117" i="4"/>
  <c r="EB117" i="4"/>
  <c r="EA117" i="4"/>
  <c r="DZ117" i="4"/>
  <c r="DY117" i="4"/>
  <c r="DX117" i="4"/>
  <c r="DW117" i="4"/>
  <c r="DV117" i="4"/>
  <c r="DU117" i="4"/>
  <c r="EY116" i="4"/>
  <c r="EX116" i="4"/>
  <c r="EW116" i="4"/>
  <c r="EV116" i="4"/>
  <c r="EU116" i="4"/>
  <c r="ET116" i="4"/>
  <c r="ES116" i="4"/>
  <c r="ER116" i="4"/>
  <c r="EQ116" i="4"/>
  <c r="EP116" i="4"/>
  <c r="EO116" i="4"/>
  <c r="EN116" i="4"/>
  <c r="EF116" i="4"/>
  <c r="EE116" i="4"/>
  <c r="ED116" i="4"/>
  <c r="EC116" i="4"/>
  <c r="EB116" i="4"/>
  <c r="EA116" i="4"/>
  <c r="DZ116" i="4"/>
  <c r="DY116" i="4"/>
  <c r="DX116" i="4"/>
  <c r="DW116" i="4"/>
  <c r="DV116" i="4"/>
  <c r="DU116" i="4"/>
  <c r="EY115" i="4"/>
  <c r="EX115" i="4"/>
  <c r="EW115" i="4"/>
  <c r="EV115" i="4"/>
  <c r="EU115" i="4"/>
  <c r="ET115" i="4"/>
  <c r="ES115" i="4"/>
  <c r="ER115" i="4"/>
  <c r="EQ115" i="4"/>
  <c r="EP115" i="4"/>
  <c r="EO115" i="4"/>
  <c r="EN115" i="4"/>
  <c r="EM115" i="4"/>
  <c r="EG115" i="4"/>
  <c r="EF115" i="4"/>
  <c r="EE115" i="4"/>
  <c r="ED115" i="4"/>
  <c r="EC115" i="4"/>
  <c r="EB115" i="4"/>
  <c r="EA115" i="4"/>
  <c r="DZ115" i="4"/>
  <c r="DY115" i="4"/>
  <c r="DX115" i="4"/>
  <c r="DW115" i="4"/>
  <c r="DV115" i="4"/>
  <c r="DU115" i="4"/>
  <c r="EY114" i="4"/>
  <c r="EX114" i="4"/>
  <c r="EW114" i="4"/>
  <c r="EV114" i="4"/>
  <c r="EU114" i="4"/>
  <c r="ET114" i="4"/>
  <c r="ES114" i="4"/>
  <c r="ER114" i="4"/>
  <c r="EQ114" i="4"/>
  <c r="EP114" i="4"/>
  <c r="EO114" i="4"/>
  <c r="EN114" i="4"/>
  <c r="EM114" i="4"/>
  <c r="EG114" i="4"/>
  <c r="EF114" i="4"/>
  <c r="EE114" i="4"/>
  <c r="ED114" i="4"/>
  <c r="EC114" i="4"/>
  <c r="EB114" i="4"/>
  <c r="EA114" i="4"/>
  <c r="DZ114" i="4"/>
  <c r="DY114" i="4"/>
  <c r="DX114" i="4"/>
  <c r="DW114" i="4"/>
  <c r="DV114" i="4"/>
  <c r="DU114" i="4"/>
  <c r="EY113" i="4"/>
  <c r="EX113" i="4"/>
  <c r="EW113" i="4"/>
  <c r="EV113" i="4"/>
  <c r="EU113" i="4"/>
  <c r="ET113" i="4"/>
  <c r="ES113" i="4"/>
  <c r="ER113" i="4"/>
  <c r="EQ113" i="4"/>
  <c r="EP113" i="4"/>
  <c r="EO113" i="4"/>
  <c r="EN113" i="4"/>
  <c r="EM113" i="4"/>
  <c r="EG113" i="4"/>
  <c r="EF113" i="4"/>
  <c r="EE113" i="4"/>
  <c r="ED113" i="4"/>
  <c r="EC113" i="4"/>
  <c r="EB113" i="4"/>
  <c r="EA113" i="4"/>
  <c r="DZ113" i="4"/>
  <c r="DY113" i="4"/>
  <c r="DX113" i="4"/>
  <c r="DW113" i="4"/>
  <c r="DV113" i="4"/>
  <c r="DU113" i="4"/>
  <c r="EY112" i="4"/>
  <c r="EX112" i="4"/>
  <c r="EW112" i="4"/>
  <c r="EV112" i="4"/>
  <c r="EU112" i="4"/>
  <c r="ET112" i="4"/>
  <c r="ES112" i="4"/>
  <c r="ER112" i="4"/>
  <c r="EQ112" i="4"/>
  <c r="EP112" i="4"/>
  <c r="EO112" i="4"/>
  <c r="EN112" i="4"/>
  <c r="EM112" i="4"/>
  <c r="EL112" i="4"/>
  <c r="EH112" i="4"/>
  <c r="EG112" i="4"/>
  <c r="EF112" i="4"/>
  <c r="EE112" i="4"/>
  <c r="ED112" i="4"/>
  <c r="EC112" i="4"/>
  <c r="EB112" i="4"/>
  <c r="EA112" i="4"/>
  <c r="DZ112" i="4"/>
  <c r="DY112" i="4"/>
  <c r="DX112" i="4"/>
  <c r="DW112" i="4"/>
  <c r="DV112" i="4"/>
  <c r="DU112" i="4"/>
  <c r="EY111" i="4"/>
  <c r="EX111" i="4"/>
  <c r="EW111" i="4"/>
  <c r="EV111" i="4"/>
  <c r="EU111" i="4"/>
  <c r="ET111" i="4"/>
  <c r="ES111" i="4"/>
  <c r="ER111" i="4"/>
  <c r="EQ111" i="4"/>
  <c r="EP111" i="4"/>
  <c r="EO111" i="4"/>
  <c r="EN111" i="4"/>
  <c r="EM111" i="4"/>
  <c r="EL111" i="4"/>
  <c r="EH111" i="4"/>
  <c r="EG111" i="4"/>
  <c r="EF111" i="4"/>
  <c r="EE111" i="4"/>
  <c r="ED111" i="4"/>
  <c r="EC111" i="4"/>
  <c r="EB111" i="4"/>
  <c r="EA111" i="4"/>
  <c r="DZ111" i="4"/>
  <c r="DY111" i="4"/>
  <c r="DX111" i="4"/>
  <c r="DW111" i="4"/>
  <c r="DV111" i="4"/>
  <c r="DU111" i="4"/>
  <c r="EY110" i="4"/>
  <c r="EX110" i="4"/>
  <c r="EW110" i="4"/>
  <c r="EV110" i="4"/>
  <c r="EU110" i="4"/>
  <c r="ET110" i="4"/>
  <c r="ES110" i="4"/>
  <c r="ER110" i="4"/>
  <c r="EQ110" i="4"/>
  <c r="EP110" i="4"/>
  <c r="EO110" i="4"/>
  <c r="EN110" i="4"/>
  <c r="EM110" i="4"/>
  <c r="EL110" i="4"/>
  <c r="EH110" i="4"/>
  <c r="EG110" i="4"/>
  <c r="EF110" i="4"/>
  <c r="EE110" i="4"/>
  <c r="ED110" i="4"/>
  <c r="EC110" i="4"/>
  <c r="EB110" i="4"/>
  <c r="EA110" i="4"/>
  <c r="DZ110" i="4"/>
  <c r="DY110" i="4"/>
  <c r="DX110" i="4"/>
  <c r="DW110" i="4"/>
  <c r="DV110" i="4"/>
  <c r="DU110" i="4"/>
  <c r="EY109" i="4"/>
  <c r="EX109" i="4"/>
  <c r="EW109" i="4"/>
  <c r="EV109" i="4"/>
  <c r="EU109" i="4"/>
  <c r="ET109" i="4"/>
  <c r="ES109" i="4"/>
  <c r="ER109" i="4"/>
  <c r="EQ109" i="4"/>
  <c r="EP109" i="4"/>
  <c r="EO109" i="4"/>
  <c r="EN109" i="4"/>
  <c r="EM109" i="4"/>
  <c r="EL109" i="4"/>
  <c r="EH109" i="4"/>
  <c r="EG109" i="4"/>
  <c r="EF109" i="4"/>
  <c r="EE109" i="4"/>
  <c r="ED109" i="4"/>
  <c r="EC109" i="4"/>
  <c r="EB109" i="4"/>
  <c r="EA109" i="4"/>
  <c r="DZ109" i="4"/>
  <c r="DY109" i="4"/>
  <c r="DX109" i="4"/>
  <c r="DW109" i="4"/>
  <c r="DV109" i="4"/>
  <c r="DU109" i="4"/>
  <c r="EY108" i="4"/>
  <c r="EX108" i="4"/>
  <c r="EW108" i="4"/>
  <c r="EV108" i="4"/>
  <c r="EU108" i="4"/>
  <c r="ET108" i="4"/>
  <c r="ES108" i="4"/>
  <c r="ER108" i="4"/>
  <c r="EQ108" i="4"/>
  <c r="EP108" i="4"/>
  <c r="EO108" i="4"/>
  <c r="EN108" i="4"/>
  <c r="EM108" i="4"/>
  <c r="EL108" i="4"/>
  <c r="EH108" i="4"/>
  <c r="EG108" i="4"/>
  <c r="EF108" i="4"/>
  <c r="EE108" i="4"/>
  <c r="ED108" i="4"/>
  <c r="EC108" i="4"/>
  <c r="EB108" i="4"/>
  <c r="EA108" i="4"/>
  <c r="DZ108" i="4"/>
  <c r="DY108" i="4"/>
  <c r="DX108" i="4"/>
  <c r="DW108" i="4"/>
  <c r="DV108" i="4"/>
  <c r="DU108" i="4"/>
  <c r="EY107" i="4"/>
  <c r="EX107" i="4"/>
  <c r="EW107" i="4"/>
  <c r="EV107" i="4"/>
  <c r="EU107" i="4"/>
  <c r="ET107" i="4"/>
  <c r="ES107" i="4"/>
  <c r="ER107" i="4"/>
  <c r="EQ107" i="4"/>
  <c r="EP107" i="4"/>
  <c r="EO107" i="4"/>
  <c r="EN107" i="4"/>
  <c r="EM107" i="4"/>
  <c r="EL107" i="4"/>
  <c r="EH107" i="4"/>
  <c r="EG107" i="4"/>
  <c r="EF107" i="4"/>
  <c r="EE107" i="4"/>
  <c r="ED107" i="4"/>
  <c r="EC107" i="4"/>
  <c r="EB107" i="4"/>
  <c r="EA107" i="4"/>
  <c r="DZ107" i="4"/>
  <c r="DY107" i="4"/>
  <c r="DX107" i="4"/>
  <c r="DW107" i="4"/>
  <c r="DV107" i="4"/>
  <c r="DU107" i="4"/>
  <c r="EY106" i="4"/>
  <c r="EX106" i="4"/>
  <c r="EW106" i="4"/>
  <c r="EV106" i="4"/>
  <c r="EU106" i="4"/>
  <c r="ET106" i="4"/>
  <c r="ES106" i="4"/>
  <c r="ER106" i="4"/>
  <c r="EQ106" i="4"/>
  <c r="EP106" i="4"/>
  <c r="EO106" i="4"/>
  <c r="EN106" i="4"/>
  <c r="EM106" i="4"/>
  <c r="EL106" i="4"/>
  <c r="EH106" i="4"/>
  <c r="EG106" i="4"/>
  <c r="EF106" i="4"/>
  <c r="EE106" i="4"/>
  <c r="ED106" i="4"/>
  <c r="EC106" i="4"/>
  <c r="EB106" i="4"/>
  <c r="EA106" i="4"/>
  <c r="DZ106" i="4"/>
  <c r="DY106" i="4"/>
  <c r="DX106" i="4"/>
  <c r="DW106" i="4"/>
  <c r="DV106" i="4"/>
  <c r="DU106" i="4"/>
  <c r="EY105" i="4"/>
  <c r="EX105" i="4"/>
  <c r="EW105" i="4"/>
  <c r="EV105" i="4"/>
  <c r="EU105" i="4"/>
  <c r="ET105" i="4"/>
  <c r="ES105" i="4"/>
  <c r="ER105" i="4"/>
  <c r="EQ105" i="4"/>
  <c r="EP105" i="4"/>
  <c r="EO105" i="4"/>
  <c r="EN105" i="4"/>
  <c r="EM105" i="4"/>
  <c r="EL105" i="4"/>
  <c r="EH105" i="4"/>
  <c r="EG105" i="4"/>
  <c r="EF105" i="4"/>
  <c r="EE105" i="4"/>
  <c r="ED105" i="4"/>
  <c r="EC105" i="4"/>
  <c r="EB105" i="4"/>
  <c r="EA105" i="4"/>
  <c r="DZ105" i="4"/>
  <c r="DY105" i="4"/>
  <c r="DX105" i="4"/>
  <c r="DW105" i="4"/>
  <c r="DV105" i="4"/>
  <c r="DU105" i="4"/>
  <c r="EY104" i="4"/>
  <c r="EX104" i="4"/>
  <c r="EW104" i="4"/>
  <c r="EV104" i="4"/>
  <c r="EU104" i="4"/>
  <c r="ET104" i="4"/>
  <c r="ES104" i="4"/>
  <c r="ER104" i="4"/>
  <c r="EQ104" i="4"/>
  <c r="EP104" i="4"/>
  <c r="EO104" i="4"/>
  <c r="EN104" i="4"/>
  <c r="EM104" i="4"/>
  <c r="EL104" i="4"/>
  <c r="EH104" i="4"/>
  <c r="EG104" i="4"/>
  <c r="EF104" i="4"/>
  <c r="EE104" i="4"/>
  <c r="ED104" i="4"/>
  <c r="EC104" i="4"/>
  <c r="EB104" i="4"/>
  <c r="EA104" i="4"/>
  <c r="DZ104" i="4"/>
  <c r="DY104" i="4"/>
  <c r="DX104" i="4"/>
  <c r="DW104" i="4"/>
  <c r="DV104" i="4"/>
  <c r="DU104" i="4"/>
  <c r="EY103" i="4"/>
  <c r="EX103" i="4"/>
  <c r="EW103" i="4"/>
  <c r="EV103" i="4"/>
  <c r="EU103" i="4"/>
  <c r="ET103" i="4"/>
  <c r="ES103" i="4"/>
  <c r="ER103" i="4"/>
  <c r="EQ103" i="4"/>
  <c r="EP103" i="4"/>
  <c r="EO103" i="4"/>
  <c r="EN103" i="4"/>
  <c r="EM103" i="4"/>
  <c r="EL103" i="4"/>
  <c r="EH103" i="4"/>
  <c r="EG103" i="4"/>
  <c r="EF103" i="4"/>
  <c r="EE103" i="4"/>
  <c r="ED103" i="4"/>
  <c r="EC103" i="4"/>
  <c r="EB103" i="4"/>
  <c r="EA103" i="4"/>
  <c r="DZ103" i="4"/>
  <c r="DY103" i="4"/>
  <c r="DX103" i="4"/>
  <c r="DW103" i="4"/>
  <c r="DV103" i="4"/>
  <c r="DU103" i="4"/>
  <c r="EY102" i="4"/>
  <c r="EX102" i="4"/>
  <c r="EW102" i="4"/>
  <c r="EV102" i="4"/>
  <c r="EU102" i="4"/>
  <c r="ET102" i="4"/>
  <c r="ES102" i="4"/>
  <c r="ER102" i="4"/>
  <c r="EQ102" i="4"/>
  <c r="EP102" i="4"/>
  <c r="EO102" i="4"/>
  <c r="EN102" i="4"/>
  <c r="EM102" i="4"/>
  <c r="EL102" i="4"/>
  <c r="EH102" i="4"/>
  <c r="EG102" i="4"/>
  <c r="EF102" i="4"/>
  <c r="EE102" i="4"/>
  <c r="ED102" i="4"/>
  <c r="EC102" i="4"/>
  <c r="EB102" i="4"/>
  <c r="EA102" i="4"/>
  <c r="DZ102" i="4"/>
  <c r="DY102" i="4"/>
  <c r="DX102" i="4"/>
  <c r="DW102" i="4"/>
  <c r="DV102" i="4"/>
  <c r="DU102" i="4"/>
  <c r="EY101" i="4"/>
  <c r="EX101" i="4"/>
  <c r="EW101" i="4"/>
  <c r="EV101" i="4"/>
  <c r="EU101" i="4"/>
  <c r="ET101" i="4"/>
  <c r="ES101" i="4"/>
  <c r="ER101" i="4"/>
  <c r="EQ101" i="4"/>
  <c r="EP101" i="4"/>
  <c r="EO101" i="4"/>
  <c r="EN101" i="4"/>
  <c r="EM101" i="4"/>
  <c r="EL101" i="4"/>
  <c r="EH101" i="4"/>
  <c r="EG101" i="4"/>
  <c r="EF101" i="4"/>
  <c r="EE101" i="4"/>
  <c r="ED101" i="4"/>
  <c r="EC101" i="4"/>
  <c r="EB101" i="4"/>
  <c r="EA101" i="4"/>
  <c r="DZ101" i="4"/>
  <c r="DY101" i="4"/>
  <c r="DX101" i="4"/>
  <c r="DW101" i="4"/>
  <c r="DV101" i="4"/>
  <c r="DU101" i="4"/>
  <c r="EY100" i="4"/>
  <c r="EX100" i="4"/>
  <c r="EW100" i="4"/>
  <c r="EV100" i="4"/>
  <c r="EU100" i="4"/>
  <c r="ET100" i="4"/>
  <c r="ES100" i="4"/>
  <c r="ER100" i="4"/>
  <c r="EQ100" i="4"/>
  <c r="EP100" i="4"/>
  <c r="EO100" i="4"/>
  <c r="EN100" i="4"/>
  <c r="EM100" i="4"/>
  <c r="EL100" i="4"/>
  <c r="EH100" i="4"/>
  <c r="EG100" i="4"/>
  <c r="EF100" i="4"/>
  <c r="EE100" i="4"/>
  <c r="ED100" i="4"/>
  <c r="EC100" i="4"/>
  <c r="EB100" i="4"/>
  <c r="EA100" i="4"/>
  <c r="DZ100" i="4"/>
  <c r="DY100" i="4"/>
  <c r="DX100" i="4"/>
  <c r="DW100" i="4"/>
  <c r="DV100" i="4"/>
  <c r="DU100" i="4"/>
  <c r="EY99" i="4"/>
  <c r="EX99" i="4"/>
  <c r="EW99" i="4"/>
  <c r="EV99" i="4"/>
  <c r="EU99" i="4"/>
  <c r="ET99" i="4"/>
  <c r="ES99" i="4"/>
  <c r="ER99" i="4"/>
  <c r="EQ99" i="4"/>
  <c r="EP99" i="4"/>
  <c r="EO99" i="4"/>
  <c r="EN99" i="4"/>
  <c r="EM99" i="4"/>
  <c r="EL99" i="4"/>
  <c r="EH99" i="4"/>
  <c r="EG99" i="4"/>
  <c r="EF99" i="4"/>
  <c r="EE99" i="4"/>
  <c r="ED99" i="4"/>
  <c r="EC99" i="4"/>
  <c r="EB99" i="4"/>
  <c r="EA99" i="4"/>
  <c r="DZ99" i="4"/>
  <c r="DY99" i="4"/>
  <c r="DX99" i="4"/>
  <c r="DW99" i="4"/>
  <c r="DV99" i="4"/>
  <c r="DU99" i="4"/>
  <c r="EY98" i="4"/>
  <c r="EX98" i="4"/>
  <c r="EW98" i="4"/>
  <c r="EV98" i="4"/>
  <c r="EU98" i="4"/>
  <c r="ET98" i="4"/>
  <c r="ES98" i="4"/>
  <c r="ER98" i="4"/>
  <c r="EQ98" i="4"/>
  <c r="EP98" i="4"/>
  <c r="EO98" i="4"/>
  <c r="EN98" i="4"/>
  <c r="EM98" i="4"/>
  <c r="EL98" i="4"/>
  <c r="EH98" i="4"/>
  <c r="EG98" i="4"/>
  <c r="EF98" i="4"/>
  <c r="EE98" i="4"/>
  <c r="ED98" i="4"/>
  <c r="EC98" i="4"/>
  <c r="EB98" i="4"/>
  <c r="EA98" i="4"/>
  <c r="DZ98" i="4"/>
  <c r="DY98" i="4"/>
  <c r="DX98" i="4"/>
  <c r="DW98" i="4"/>
  <c r="DV98" i="4"/>
  <c r="DU98" i="4"/>
  <c r="EY97" i="4"/>
  <c r="EX97" i="4"/>
  <c r="EW97" i="4"/>
  <c r="EV97" i="4"/>
  <c r="EU97" i="4"/>
  <c r="ET97" i="4"/>
  <c r="ES97" i="4"/>
  <c r="ER97" i="4"/>
  <c r="EQ97" i="4"/>
  <c r="EP97" i="4"/>
  <c r="EO97" i="4"/>
  <c r="EN97" i="4"/>
  <c r="EM97" i="4"/>
  <c r="EL97" i="4"/>
  <c r="EH97" i="4"/>
  <c r="EG97" i="4"/>
  <c r="EF97" i="4"/>
  <c r="EE97" i="4"/>
  <c r="ED97" i="4"/>
  <c r="EC97" i="4"/>
  <c r="EB97" i="4"/>
  <c r="EA97" i="4"/>
  <c r="DZ97" i="4"/>
  <c r="DY97" i="4"/>
  <c r="DX97" i="4"/>
  <c r="DW97" i="4"/>
  <c r="DV97" i="4"/>
  <c r="DU97" i="4"/>
  <c r="EY96" i="4"/>
  <c r="EX96" i="4"/>
  <c r="EW96" i="4"/>
  <c r="EV96" i="4"/>
  <c r="EU96" i="4"/>
  <c r="ET96" i="4"/>
  <c r="ES96" i="4"/>
  <c r="ER96" i="4"/>
  <c r="EQ96" i="4"/>
  <c r="EP96" i="4"/>
  <c r="EO96" i="4"/>
  <c r="EN96" i="4"/>
  <c r="EM96" i="4"/>
  <c r="EL96" i="4"/>
  <c r="EH96" i="4"/>
  <c r="EG96" i="4"/>
  <c r="EF96" i="4"/>
  <c r="EE96" i="4"/>
  <c r="ED96" i="4"/>
  <c r="EC96" i="4"/>
  <c r="EB96" i="4"/>
  <c r="EA96" i="4"/>
  <c r="DZ96" i="4"/>
  <c r="DY96" i="4"/>
  <c r="DX96" i="4"/>
  <c r="DW96" i="4"/>
  <c r="DV96" i="4"/>
  <c r="DU96" i="4"/>
  <c r="EY95" i="4"/>
  <c r="EX95" i="4"/>
  <c r="EW95" i="4"/>
  <c r="EV95" i="4"/>
  <c r="EU95" i="4"/>
  <c r="ET95" i="4"/>
  <c r="ES95" i="4"/>
  <c r="ER95" i="4"/>
  <c r="EQ95" i="4"/>
  <c r="EP95" i="4"/>
  <c r="EO95" i="4"/>
  <c r="EN95" i="4"/>
  <c r="EM95" i="4"/>
  <c r="EL95" i="4"/>
  <c r="EH95" i="4"/>
  <c r="EG95" i="4"/>
  <c r="EF95" i="4"/>
  <c r="EE95" i="4"/>
  <c r="ED95" i="4"/>
  <c r="EC95" i="4"/>
  <c r="EB95" i="4"/>
  <c r="EA95" i="4"/>
  <c r="DZ95" i="4"/>
  <c r="DY95" i="4"/>
  <c r="DX95" i="4"/>
  <c r="DW95" i="4"/>
  <c r="DV95" i="4"/>
  <c r="DU95" i="4"/>
  <c r="EY94" i="4"/>
  <c r="EX94" i="4"/>
  <c r="EW94" i="4"/>
  <c r="EV94" i="4"/>
  <c r="EU94" i="4"/>
  <c r="ET94" i="4"/>
  <c r="ES94" i="4"/>
  <c r="ER94" i="4"/>
  <c r="EQ94" i="4"/>
  <c r="EP94" i="4"/>
  <c r="EO94" i="4"/>
  <c r="EN94" i="4"/>
  <c r="EM94" i="4"/>
  <c r="EL94" i="4"/>
  <c r="EH94" i="4"/>
  <c r="EG94" i="4"/>
  <c r="EF94" i="4"/>
  <c r="EE94" i="4"/>
  <c r="ED94" i="4"/>
  <c r="EC94" i="4"/>
  <c r="EB94" i="4"/>
  <c r="EA94" i="4"/>
  <c r="DZ94" i="4"/>
  <c r="DY94" i="4"/>
  <c r="DX94" i="4"/>
  <c r="DW94" i="4"/>
  <c r="DV94" i="4"/>
  <c r="DU94" i="4"/>
  <c r="EY93" i="4"/>
  <c r="EX93" i="4"/>
  <c r="EW93" i="4"/>
  <c r="EV93" i="4"/>
  <c r="EU93" i="4"/>
  <c r="ET93" i="4"/>
  <c r="ES93" i="4"/>
  <c r="ER93" i="4"/>
  <c r="EQ93" i="4"/>
  <c r="EP93" i="4"/>
  <c r="EO93" i="4"/>
  <c r="EN93" i="4"/>
  <c r="EM93" i="4"/>
  <c r="EL93" i="4"/>
  <c r="EH93" i="4"/>
  <c r="EG93" i="4"/>
  <c r="EF93" i="4"/>
  <c r="EE93" i="4"/>
  <c r="ED93" i="4"/>
  <c r="EC93" i="4"/>
  <c r="EB93" i="4"/>
  <c r="EA93" i="4"/>
  <c r="DZ93" i="4"/>
  <c r="DY93" i="4"/>
  <c r="DX93" i="4"/>
  <c r="DW93" i="4"/>
  <c r="DV93" i="4"/>
  <c r="DU93" i="4"/>
  <c r="EY92" i="4"/>
  <c r="EX92" i="4"/>
  <c r="EW92" i="4"/>
  <c r="EV92" i="4"/>
  <c r="EU92" i="4"/>
  <c r="ET92" i="4"/>
  <c r="ES92" i="4"/>
  <c r="ER92" i="4"/>
  <c r="EQ92" i="4"/>
  <c r="EP92" i="4"/>
  <c r="EO92" i="4"/>
  <c r="EN92" i="4"/>
  <c r="EM92" i="4"/>
  <c r="EL92" i="4"/>
  <c r="EH92" i="4"/>
  <c r="EG92" i="4"/>
  <c r="EF92" i="4"/>
  <c r="EE92" i="4"/>
  <c r="ED92" i="4"/>
  <c r="EC92" i="4"/>
  <c r="EB92" i="4"/>
  <c r="EA92" i="4"/>
  <c r="DZ92" i="4"/>
  <c r="DY92" i="4"/>
  <c r="DX92" i="4"/>
  <c r="DW92" i="4"/>
  <c r="DV92" i="4"/>
  <c r="DU92" i="4"/>
  <c r="EY91" i="4"/>
  <c r="EX91" i="4"/>
  <c r="EW91" i="4"/>
  <c r="EV91" i="4"/>
  <c r="EU91" i="4"/>
  <c r="ET91" i="4"/>
  <c r="ES91" i="4"/>
  <c r="ER91" i="4"/>
  <c r="EQ91" i="4"/>
  <c r="EP91" i="4"/>
  <c r="EO91" i="4"/>
  <c r="EN91" i="4"/>
  <c r="EM91" i="4"/>
  <c r="EL91" i="4"/>
  <c r="EH91" i="4"/>
  <c r="EG91" i="4"/>
  <c r="EF91" i="4"/>
  <c r="EE91" i="4"/>
  <c r="ED91" i="4"/>
  <c r="EC91" i="4"/>
  <c r="EB91" i="4"/>
  <c r="EA91" i="4"/>
  <c r="DZ91" i="4"/>
  <c r="DY91" i="4"/>
  <c r="DX91" i="4"/>
  <c r="DW91" i="4"/>
  <c r="DV91" i="4"/>
  <c r="DU91" i="4"/>
  <c r="EY90" i="4"/>
  <c r="EX90" i="4"/>
  <c r="EW90" i="4"/>
  <c r="EV90" i="4"/>
  <c r="EU90" i="4"/>
  <c r="ET90" i="4"/>
  <c r="ES90" i="4"/>
  <c r="ER90" i="4"/>
  <c r="EQ90" i="4"/>
  <c r="EP90" i="4"/>
  <c r="EO90" i="4"/>
  <c r="EN90" i="4"/>
  <c r="EM90" i="4"/>
  <c r="EL90" i="4"/>
  <c r="EH90" i="4"/>
  <c r="EG90" i="4"/>
  <c r="EF90" i="4"/>
  <c r="EE90" i="4"/>
  <c r="ED90" i="4"/>
  <c r="EC90" i="4"/>
  <c r="EB90" i="4"/>
  <c r="EA90" i="4"/>
  <c r="DZ90" i="4"/>
  <c r="DY90" i="4"/>
  <c r="DX90" i="4"/>
  <c r="DW90" i="4"/>
  <c r="DV90" i="4"/>
  <c r="DU90" i="4"/>
  <c r="EY89" i="4"/>
  <c r="EX89" i="4"/>
  <c r="EW89" i="4"/>
  <c r="EV89" i="4"/>
  <c r="EU89" i="4"/>
  <c r="ET89" i="4"/>
  <c r="ES89" i="4"/>
  <c r="ER89" i="4"/>
  <c r="EQ89" i="4"/>
  <c r="EP89" i="4"/>
  <c r="EO89" i="4"/>
  <c r="EN89" i="4"/>
  <c r="EM89" i="4"/>
  <c r="EL89" i="4"/>
  <c r="EH89" i="4"/>
  <c r="EG89" i="4"/>
  <c r="EF89" i="4"/>
  <c r="EE89" i="4"/>
  <c r="ED89" i="4"/>
  <c r="EC89" i="4"/>
  <c r="EB89" i="4"/>
  <c r="EA89" i="4"/>
  <c r="DZ89" i="4"/>
  <c r="DY89" i="4"/>
  <c r="DX89" i="4"/>
  <c r="DW89" i="4"/>
  <c r="DV89" i="4"/>
  <c r="DU89" i="4"/>
  <c r="EY88" i="4"/>
  <c r="EX88" i="4"/>
  <c r="EW88" i="4"/>
  <c r="EV88" i="4"/>
  <c r="EU88" i="4"/>
  <c r="ET88" i="4"/>
  <c r="ES88" i="4"/>
  <c r="ER88" i="4"/>
  <c r="EQ88" i="4"/>
  <c r="EP88" i="4"/>
  <c r="EO88" i="4"/>
  <c r="EN88" i="4"/>
  <c r="EM88" i="4"/>
  <c r="EL88" i="4"/>
  <c r="EH88" i="4"/>
  <c r="EG88" i="4"/>
  <c r="EF88" i="4"/>
  <c r="EE88" i="4"/>
  <c r="ED88" i="4"/>
  <c r="EC88" i="4"/>
  <c r="EB88" i="4"/>
  <c r="EA88" i="4"/>
  <c r="DZ88" i="4"/>
  <c r="DY88" i="4"/>
  <c r="DX88" i="4"/>
  <c r="DW88" i="4"/>
  <c r="DV88" i="4"/>
  <c r="DU88" i="4"/>
  <c r="EY87" i="4"/>
  <c r="EX87" i="4"/>
  <c r="EW87" i="4"/>
  <c r="EV87" i="4"/>
  <c r="EU87" i="4"/>
  <c r="ET87" i="4"/>
  <c r="ES87" i="4"/>
  <c r="ER87" i="4"/>
  <c r="EQ87" i="4"/>
  <c r="EP87" i="4"/>
  <c r="EO87" i="4"/>
  <c r="EN87" i="4"/>
  <c r="EM87" i="4"/>
  <c r="EL87" i="4"/>
  <c r="EH87" i="4"/>
  <c r="EG87" i="4"/>
  <c r="EF87" i="4"/>
  <c r="EE87" i="4"/>
  <c r="ED87" i="4"/>
  <c r="EC87" i="4"/>
  <c r="EB87" i="4"/>
  <c r="EA87" i="4"/>
  <c r="DZ87" i="4"/>
  <c r="DY87" i="4"/>
  <c r="DX87" i="4"/>
  <c r="DW87" i="4"/>
  <c r="DV87" i="4"/>
  <c r="DU87" i="4"/>
  <c r="EY86" i="4"/>
  <c r="EX86" i="4"/>
  <c r="EW86" i="4"/>
  <c r="EV86" i="4"/>
  <c r="EU86" i="4"/>
  <c r="ET86" i="4"/>
  <c r="ES86" i="4"/>
  <c r="ER86" i="4"/>
  <c r="EQ86" i="4"/>
  <c r="EP86" i="4"/>
  <c r="EO86" i="4"/>
  <c r="EN86" i="4"/>
  <c r="EM86" i="4"/>
  <c r="EL86" i="4"/>
  <c r="EH86" i="4"/>
  <c r="EG86" i="4"/>
  <c r="EF86" i="4"/>
  <c r="EE86" i="4"/>
  <c r="ED86" i="4"/>
  <c r="EC86" i="4"/>
  <c r="EB86" i="4"/>
  <c r="EA86" i="4"/>
  <c r="DZ86" i="4"/>
  <c r="DY86" i="4"/>
  <c r="DX86" i="4"/>
  <c r="DW86" i="4"/>
  <c r="DV86" i="4"/>
  <c r="DU86" i="4"/>
  <c r="EY85" i="4"/>
  <c r="EX85" i="4"/>
  <c r="EW85" i="4"/>
  <c r="EV85" i="4"/>
  <c r="EU85" i="4"/>
  <c r="ET85" i="4"/>
  <c r="ES85" i="4"/>
  <c r="ER85" i="4"/>
  <c r="EQ85" i="4"/>
  <c r="EP85" i="4"/>
  <c r="EO85" i="4"/>
  <c r="EN85" i="4"/>
  <c r="EM85" i="4"/>
  <c r="EL85" i="4"/>
  <c r="EH85" i="4"/>
  <c r="EG85" i="4"/>
  <c r="EF85" i="4"/>
  <c r="EE85" i="4"/>
  <c r="ED85" i="4"/>
  <c r="EC85" i="4"/>
  <c r="EB85" i="4"/>
  <c r="EA85" i="4"/>
  <c r="DZ85" i="4"/>
  <c r="DY85" i="4"/>
  <c r="DX85" i="4"/>
  <c r="DW85" i="4"/>
  <c r="DV85" i="4"/>
  <c r="DU85" i="4"/>
  <c r="EY84" i="4"/>
  <c r="EX84" i="4"/>
  <c r="EW84" i="4"/>
  <c r="EV84" i="4"/>
  <c r="EU84" i="4"/>
  <c r="ET84" i="4"/>
  <c r="ES84" i="4"/>
  <c r="ER84" i="4"/>
  <c r="EQ84" i="4"/>
  <c r="EP84" i="4"/>
  <c r="EO84" i="4"/>
  <c r="EN84" i="4"/>
  <c r="EM84" i="4"/>
  <c r="EG84" i="4"/>
  <c r="EF84" i="4"/>
  <c r="EE84" i="4"/>
  <c r="ED84" i="4"/>
  <c r="EC84" i="4"/>
  <c r="EB84" i="4"/>
  <c r="EA84" i="4"/>
  <c r="DZ84" i="4"/>
  <c r="DY84" i="4"/>
  <c r="DX84" i="4"/>
  <c r="DW84" i="4"/>
  <c r="DV84" i="4"/>
  <c r="DU84" i="4"/>
  <c r="EY83" i="4"/>
  <c r="EX83" i="4"/>
  <c r="EW83" i="4"/>
  <c r="EV83" i="4"/>
  <c r="EU83" i="4"/>
  <c r="ET83" i="4"/>
  <c r="ES83" i="4"/>
  <c r="ER83" i="4"/>
  <c r="EQ83" i="4"/>
  <c r="EP83" i="4"/>
  <c r="EO83" i="4"/>
  <c r="EN83" i="4"/>
  <c r="EM83" i="4"/>
  <c r="EG83" i="4"/>
  <c r="EF83" i="4"/>
  <c r="EE83" i="4"/>
  <c r="ED83" i="4"/>
  <c r="EC83" i="4"/>
  <c r="EB83" i="4"/>
  <c r="EA83" i="4"/>
  <c r="DZ83" i="4"/>
  <c r="DY83" i="4"/>
  <c r="DX83" i="4"/>
  <c r="DW83" i="4"/>
  <c r="DV83" i="4"/>
  <c r="DU83" i="4"/>
  <c r="EY82" i="4"/>
  <c r="EX82" i="4"/>
  <c r="EW82" i="4"/>
  <c r="EV82" i="4"/>
  <c r="EU82" i="4"/>
  <c r="ET82" i="4"/>
  <c r="ES82" i="4"/>
  <c r="ER82" i="4"/>
  <c r="EQ82" i="4"/>
  <c r="EP82" i="4"/>
  <c r="EO82" i="4"/>
  <c r="EN82" i="4"/>
  <c r="EF82" i="4"/>
  <c r="EE82" i="4"/>
  <c r="ED82" i="4"/>
  <c r="EC82" i="4"/>
  <c r="EB82" i="4"/>
  <c r="EA82" i="4"/>
  <c r="DZ82" i="4"/>
  <c r="DY82" i="4"/>
  <c r="DX82" i="4"/>
  <c r="DW82" i="4"/>
  <c r="DV82" i="4"/>
  <c r="DU82" i="4"/>
  <c r="EY81" i="4"/>
  <c r="EX81" i="4"/>
  <c r="EW81" i="4"/>
  <c r="EV81" i="4"/>
  <c r="EU81" i="4"/>
  <c r="ET81" i="4"/>
  <c r="ES81" i="4"/>
  <c r="ER81" i="4"/>
  <c r="EQ81" i="4"/>
  <c r="EP81" i="4"/>
  <c r="EO81" i="4"/>
  <c r="EE81" i="4"/>
  <c r="ED81" i="4"/>
  <c r="EC81" i="4"/>
  <c r="EB81" i="4"/>
  <c r="EA81" i="4"/>
  <c r="DZ81" i="4"/>
  <c r="DY81" i="4"/>
  <c r="DX81" i="4"/>
  <c r="DW81" i="4"/>
  <c r="DV81" i="4"/>
  <c r="DU81" i="4"/>
  <c r="EY80" i="4"/>
  <c r="EX80" i="4"/>
  <c r="EW80" i="4"/>
  <c r="EV80" i="4"/>
  <c r="EU80" i="4"/>
  <c r="ET80" i="4"/>
  <c r="ES80" i="4"/>
  <c r="ER80" i="4"/>
  <c r="EQ80" i="4"/>
  <c r="EP80" i="4"/>
  <c r="ED80" i="4"/>
  <c r="EC80" i="4"/>
  <c r="EB80" i="4"/>
  <c r="EA80" i="4"/>
  <c r="DZ80" i="4"/>
  <c r="DY80" i="4"/>
  <c r="DX80" i="4"/>
  <c r="DW80" i="4"/>
  <c r="DV80" i="4"/>
  <c r="DU80" i="4"/>
  <c r="EY79" i="4"/>
  <c r="EX79" i="4"/>
  <c r="EW79" i="4"/>
  <c r="EV79" i="4"/>
  <c r="EU79" i="4"/>
  <c r="ET79" i="4"/>
  <c r="ES79" i="4"/>
  <c r="ER79" i="4"/>
  <c r="EQ79" i="4"/>
  <c r="EP79" i="4"/>
  <c r="ED79" i="4"/>
  <c r="EC79" i="4"/>
  <c r="EB79" i="4"/>
  <c r="EA79" i="4"/>
  <c r="DZ79" i="4"/>
  <c r="DY79" i="4"/>
  <c r="DX79" i="4"/>
  <c r="DW79" i="4"/>
  <c r="DV79" i="4"/>
  <c r="DU79" i="4"/>
  <c r="EY78" i="4"/>
  <c r="EX78" i="4"/>
  <c r="EW78" i="4"/>
  <c r="EV78" i="4"/>
  <c r="EU78" i="4"/>
  <c r="ET78" i="4"/>
  <c r="ES78" i="4"/>
  <c r="ER78" i="4"/>
  <c r="EQ78" i="4"/>
  <c r="EC78" i="4"/>
  <c r="EB78" i="4"/>
  <c r="EA78" i="4"/>
  <c r="DZ78" i="4"/>
  <c r="DY78" i="4"/>
  <c r="DX78" i="4"/>
  <c r="DW78" i="4"/>
  <c r="DV78" i="4"/>
  <c r="DU78" i="4"/>
  <c r="EY77" i="4"/>
  <c r="EX77" i="4"/>
  <c r="EW77" i="4"/>
  <c r="EV77" i="4"/>
  <c r="EU77" i="4"/>
  <c r="ET77" i="4"/>
  <c r="ES77" i="4"/>
  <c r="ER77" i="4"/>
  <c r="EQ77" i="4"/>
  <c r="EC77" i="4"/>
  <c r="EB77" i="4"/>
  <c r="EA77" i="4"/>
  <c r="DZ77" i="4"/>
  <c r="DY77" i="4"/>
  <c r="DX77" i="4"/>
  <c r="DW77" i="4"/>
  <c r="DV77" i="4"/>
  <c r="DU77" i="4"/>
  <c r="EY76" i="4"/>
  <c r="EX76" i="4"/>
  <c r="EW76" i="4"/>
  <c r="EV76" i="4"/>
  <c r="EU76" i="4"/>
  <c r="ET76" i="4"/>
  <c r="ES76" i="4"/>
  <c r="ER76" i="4"/>
  <c r="EQ76" i="4"/>
  <c r="EC76" i="4"/>
  <c r="EB76" i="4"/>
  <c r="EA76" i="4"/>
  <c r="DZ76" i="4"/>
  <c r="DY76" i="4"/>
  <c r="DX76" i="4"/>
  <c r="DW76" i="4"/>
  <c r="DV76" i="4"/>
  <c r="DU76" i="4"/>
  <c r="EY75" i="4"/>
  <c r="EX75" i="4"/>
  <c r="EW75" i="4"/>
  <c r="EV75" i="4"/>
  <c r="EU75" i="4"/>
  <c r="ET75" i="4"/>
  <c r="ES75" i="4"/>
  <c r="ER75" i="4"/>
  <c r="EQ75" i="4"/>
  <c r="EC75" i="4"/>
  <c r="EB75" i="4"/>
  <c r="EA75" i="4"/>
  <c r="DZ75" i="4"/>
  <c r="DY75" i="4"/>
  <c r="DX75" i="4"/>
  <c r="DW75" i="4"/>
  <c r="DV75" i="4"/>
  <c r="DU75" i="4"/>
  <c r="EY74" i="4"/>
  <c r="EX74" i="4"/>
  <c r="EW74" i="4"/>
  <c r="EV74" i="4"/>
  <c r="EU74" i="4"/>
  <c r="ET74" i="4"/>
  <c r="ES74" i="4"/>
  <c r="ER74" i="4"/>
  <c r="EQ74" i="4"/>
  <c r="EP74" i="4"/>
  <c r="EO74" i="4"/>
  <c r="EN74" i="4"/>
  <c r="EM74" i="4"/>
  <c r="EL74" i="4"/>
  <c r="EK74" i="4"/>
  <c r="EJ74" i="4"/>
  <c r="EI74" i="4"/>
  <c r="EH74" i="4"/>
  <c r="EG74" i="4"/>
  <c r="EF74" i="4"/>
  <c r="EE74" i="4"/>
  <c r="ED74" i="4"/>
  <c r="EC74" i="4"/>
  <c r="EB74" i="4"/>
  <c r="EA74" i="4"/>
  <c r="DZ74" i="4"/>
  <c r="DY74" i="4"/>
  <c r="DX74" i="4"/>
  <c r="DW74" i="4"/>
  <c r="DV74" i="4"/>
  <c r="DU74" i="4"/>
  <c r="DK128" i="4"/>
  <c r="DJ128" i="4"/>
  <c r="CH128" i="4"/>
  <c r="CG128" i="4"/>
  <c r="DK127" i="4"/>
  <c r="DJ127" i="4"/>
  <c r="CH127" i="4"/>
  <c r="CG127" i="4"/>
  <c r="DK126" i="4"/>
  <c r="DJ126" i="4"/>
  <c r="DI126" i="4"/>
  <c r="CI126" i="4"/>
  <c r="CH126" i="4"/>
  <c r="CG126" i="4"/>
  <c r="DK125" i="4"/>
  <c r="DJ125" i="4"/>
  <c r="DI125" i="4"/>
  <c r="CI125" i="4"/>
  <c r="CH125" i="4"/>
  <c r="CG125" i="4"/>
  <c r="DK124" i="4"/>
  <c r="DJ124" i="4"/>
  <c r="DI124" i="4"/>
  <c r="DH124" i="4"/>
  <c r="CJ124" i="4"/>
  <c r="CI124" i="4"/>
  <c r="CH124" i="4"/>
  <c r="CG124" i="4"/>
  <c r="DK123" i="4"/>
  <c r="DJ123" i="4"/>
  <c r="DI123" i="4"/>
  <c r="DH123" i="4"/>
  <c r="DG123" i="4"/>
  <c r="DF123" i="4"/>
  <c r="CL123" i="4"/>
  <c r="CK123" i="4"/>
  <c r="CJ123" i="4"/>
  <c r="CI123" i="4"/>
  <c r="CH123" i="4"/>
  <c r="CG123" i="4"/>
  <c r="DK122" i="4"/>
  <c r="DJ122" i="4"/>
  <c r="DI122" i="4"/>
  <c r="DH122" i="4"/>
  <c r="DG122" i="4"/>
  <c r="DF122" i="4"/>
  <c r="DE122" i="4"/>
  <c r="DD122" i="4"/>
  <c r="CN122" i="4"/>
  <c r="CM122" i="4"/>
  <c r="CL122" i="4"/>
  <c r="CK122" i="4"/>
  <c r="CJ122" i="4"/>
  <c r="CI122" i="4"/>
  <c r="CH122" i="4"/>
  <c r="CG122" i="4"/>
  <c r="DK121" i="4"/>
  <c r="DJ121" i="4"/>
  <c r="DI121" i="4"/>
  <c r="DH121" i="4"/>
  <c r="DG121" i="4"/>
  <c r="DF121" i="4"/>
  <c r="DE121" i="4"/>
  <c r="DD121" i="4"/>
  <c r="DC121" i="4"/>
  <c r="CO121" i="4"/>
  <c r="CN121" i="4"/>
  <c r="CM121" i="4"/>
  <c r="CL121" i="4"/>
  <c r="CK121" i="4"/>
  <c r="CJ121" i="4"/>
  <c r="CI121" i="4"/>
  <c r="CH121" i="4"/>
  <c r="CG121" i="4"/>
  <c r="DK120" i="4"/>
  <c r="DJ120" i="4"/>
  <c r="DI120" i="4"/>
  <c r="DH120" i="4"/>
  <c r="DG120" i="4"/>
  <c r="DF120" i="4"/>
  <c r="DE120" i="4"/>
  <c r="DD120" i="4"/>
  <c r="DC120" i="4"/>
  <c r="DB120" i="4"/>
  <c r="CP120" i="4"/>
  <c r="CO120" i="4"/>
  <c r="CN120" i="4"/>
  <c r="CM120" i="4"/>
  <c r="CL120" i="4"/>
  <c r="CK120" i="4"/>
  <c r="CJ120" i="4"/>
  <c r="CI120" i="4"/>
  <c r="CH120" i="4"/>
  <c r="CG120" i="4"/>
  <c r="DK119" i="4"/>
  <c r="DJ119" i="4"/>
  <c r="DI119" i="4"/>
  <c r="DH119" i="4"/>
  <c r="DG119" i="4"/>
  <c r="DF119" i="4"/>
  <c r="DE119" i="4"/>
  <c r="DD119" i="4"/>
  <c r="DC119" i="4"/>
  <c r="DB119" i="4"/>
  <c r="DA119" i="4"/>
  <c r="CQ119" i="4"/>
  <c r="CP119" i="4"/>
  <c r="CO119" i="4"/>
  <c r="CN119" i="4"/>
  <c r="CM119" i="4"/>
  <c r="CL119" i="4"/>
  <c r="CK119" i="4"/>
  <c r="CJ119" i="4"/>
  <c r="CI119" i="4"/>
  <c r="CH119" i="4"/>
  <c r="CG119" i="4"/>
  <c r="DK118" i="4"/>
  <c r="DJ118" i="4"/>
  <c r="DI118" i="4"/>
  <c r="DH118" i="4"/>
  <c r="DG118" i="4"/>
  <c r="DF118" i="4"/>
  <c r="DE118" i="4"/>
  <c r="DD118" i="4"/>
  <c r="DC118" i="4"/>
  <c r="DB118" i="4"/>
  <c r="DA118" i="4"/>
  <c r="CQ118" i="4"/>
  <c r="CP118" i="4"/>
  <c r="CO118" i="4"/>
  <c r="CN118" i="4"/>
  <c r="CM118" i="4"/>
  <c r="CL118" i="4"/>
  <c r="CK118" i="4"/>
  <c r="CJ118" i="4"/>
  <c r="CI118" i="4"/>
  <c r="CH118" i="4"/>
  <c r="CG118" i="4"/>
  <c r="DK117" i="4"/>
  <c r="DJ117" i="4"/>
  <c r="DI117" i="4"/>
  <c r="DH117" i="4"/>
  <c r="DG117" i="4"/>
  <c r="DF117" i="4"/>
  <c r="DE117" i="4"/>
  <c r="DD117" i="4"/>
  <c r="DC117" i="4"/>
  <c r="DB117" i="4"/>
  <c r="DA117" i="4"/>
  <c r="CZ117" i="4"/>
  <c r="CR117" i="4"/>
  <c r="CQ117" i="4"/>
  <c r="CP117" i="4"/>
  <c r="CO117" i="4"/>
  <c r="CN117" i="4"/>
  <c r="CM117" i="4"/>
  <c r="CL117" i="4"/>
  <c r="CK117" i="4"/>
  <c r="CJ117" i="4"/>
  <c r="CI117" i="4"/>
  <c r="CH117" i="4"/>
  <c r="CG117" i="4"/>
  <c r="DK116" i="4"/>
  <c r="DJ116" i="4"/>
  <c r="DI116" i="4"/>
  <c r="DH116" i="4"/>
  <c r="DG116" i="4"/>
  <c r="DF116" i="4"/>
  <c r="DE116" i="4"/>
  <c r="DD116" i="4"/>
  <c r="DC116" i="4"/>
  <c r="DB116" i="4"/>
  <c r="DA116" i="4"/>
  <c r="CZ116" i="4"/>
  <c r="CR116" i="4"/>
  <c r="CQ116" i="4"/>
  <c r="CP116" i="4"/>
  <c r="CO116" i="4"/>
  <c r="CN116" i="4"/>
  <c r="CM116" i="4"/>
  <c r="CL116" i="4"/>
  <c r="CK116" i="4"/>
  <c r="CJ116" i="4"/>
  <c r="CI116" i="4"/>
  <c r="CH116" i="4"/>
  <c r="CG116" i="4"/>
  <c r="DK115" i="4"/>
  <c r="DJ115" i="4"/>
  <c r="DI115" i="4"/>
  <c r="DH115" i="4"/>
  <c r="DG115" i="4"/>
  <c r="DF115" i="4"/>
  <c r="DE115" i="4"/>
  <c r="DD115" i="4"/>
  <c r="DC115" i="4"/>
  <c r="DB115" i="4"/>
  <c r="DA115" i="4"/>
  <c r="CZ115" i="4"/>
  <c r="CY115" i="4"/>
  <c r="CS115" i="4"/>
  <c r="CR115" i="4"/>
  <c r="CQ115" i="4"/>
  <c r="CP115" i="4"/>
  <c r="CO115" i="4"/>
  <c r="CN115" i="4"/>
  <c r="CM115" i="4"/>
  <c r="CL115" i="4"/>
  <c r="CK115" i="4"/>
  <c r="CJ115" i="4"/>
  <c r="CI115" i="4"/>
  <c r="CH115" i="4"/>
  <c r="CG115" i="4"/>
  <c r="DK114" i="4"/>
  <c r="DJ114" i="4"/>
  <c r="DI114" i="4"/>
  <c r="DH114" i="4"/>
  <c r="DG114" i="4"/>
  <c r="DF114" i="4"/>
  <c r="DE114" i="4"/>
  <c r="DD114" i="4"/>
  <c r="DC114" i="4"/>
  <c r="DB114" i="4"/>
  <c r="DA114" i="4"/>
  <c r="CZ114" i="4"/>
  <c r="CY114" i="4"/>
  <c r="CS114" i="4"/>
  <c r="CR114" i="4"/>
  <c r="CQ114" i="4"/>
  <c r="CP114" i="4"/>
  <c r="CO114" i="4"/>
  <c r="CN114" i="4"/>
  <c r="CM114" i="4"/>
  <c r="CL114" i="4"/>
  <c r="CK114" i="4"/>
  <c r="CJ114" i="4"/>
  <c r="CI114" i="4"/>
  <c r="CH114" i="4"/>
  <c r="CG114" i="4"/>
  <c r="DK113" i="4"/>
  <c r="DJ113" i="4"/>
  <c r="DI113" i="4"/>
  <c r="DH113" i="4"/>
  <c r="DG113" i="4"/>
  <c r="DF113" i="4"/>
  <c r="DE113" i="4"/>
  <c r="DD113" i="4"/>
  <c r="DC113" i="4"/>
  <c r="DB113" i="4"/>
  <c r="DA113" i="4"/>
  <c r="CZ113" i="4"/>
  <c r="CY113" i="4"/>
  <c r="CS113" i="4"/>
  <c r="CR113" i="4"/>
  <c r="CQ113" i="4"/>
  <c r="CP113" i="4"/>
  <c r="CO113" i="4"/>
  <c r="CN113" i="4"/>
  <c r="CM113" i="4"/>
  <c r="CL113" i="4"/>
  <c r="CK113" i="4"/>
  <c r="CJ113" i="4"/>
  <c r="CI113" i="4"/>
  <c r="CH113" i="4"/>
  <c r="CG113" i="4"/>
  <c r="DK112" i="4"/>
  <c r="DJ112" i="4"/>
  <c r="DI112" i="4"/>
  <c r="DH112" i="4"/>
  <c r="DG112" i="4"/>
  <c r="DF112" i="4"/>
  <c r="DE112" i="4"/>
  <c r="DD112" i="4"/>
  <c r="DC112" i="4"/>
  <c r="DB112" i="4"/>
  <c r="DA112" i="4"/>
  <c r="CZ112" i="4"/>
  <c r="CY112" i="4"/>
  <c r="CX112" i="4"/>
  <c r="CT112" i="4"/>
  <c r="CS112" i="4"/>
  <c r="CR112" i="4"/>
  <c r="CQ112" i="4"/>
  <c r="CP112" i="4"/>
  <c r="CO112" i="4"/>
  <c r="CN112" i="4"/>
  <c r="CM112" i="4"/>
  <c r="CL112" i="4"/>
  <c r="CK112" i="4"/>
  <c r="CJ112" i="4"/>
  <c r="CI112" i="4"/>
  <c r="CH112" i="4"/>
  <c r="CG112" i="4"/>
  <c r="DK111" i="4"/>
  <c r="DJ111" i="4"/>
  <c r="DI111" i="4"/>
  <c r="DH111" i="4"/>
  <c r="DG111" i="4"/>
  <c r="DF111" i="4"/>
  <c r="DE111" i="4"/>
  <c r="DD111" i="4"/>
  <c r="DC111" i="4"/>
  <c r="DB111" i="4"/>
  <c r="DA111" i="4"/>
  <c r="CZ111" i="4"/>
  <c r="CY111" i="4"/>
  <c r="CX111" i="4"/>
  <c r="CT111" i="4"/>
  <c r="CS111" i="4"/>
  <c r="CR111" i="4"/>
  <c r="CQ111" i="4"/>
  <c r="CP111" i="4"/>
  <c r="CO111" i="4"/>
  <c r="CN111" i="4"/>
  <c r="CM111" i="4"/>
  <c r="CL111" i="4"/>
  <c r="CK111" i="4"/>
  <c r="CJ111" i="4"/>
  <c r="CI111" i="4"/>
  <c r="CH111" i="4"/>
  <c r="CG111" i="4"/>
  <c r="DK110" i="4"/>
  <c r="DJ110" i="4"/>
  <c r="DI110" i="4"/>
  <c r="DH110" i="4"/>
  <c r="DG110" i="4"/>
  <c r="DF110" i="4"/>
  <c r="DE110" i="4"/>
  <c r="DD110" i="4"/>
  <c r="DC110" i="4"/>
  <c r="DB110" i="4"/>
  <c r="DA110" i="4"/>
  <c r="CZ110" i="4"/>
  <c r="CY110" i="4"/>
  <c r="CX110" i="4"/>
  <c r="CT110" i="4"/>
  <c r="CS110" i="4"/>
  <c r="CR110" i="4"/>
  <c r="CQ110" i="4"/>
  <c r="CP110" i="4"/>
  <c r="CO110" i="4"/>
  <c r="CN110" i="4"/>
  <c r="CM110" i="4"/>
  <c r="CL110" i="4"/>
  <c r="CK110" i="4"/>
  <c r="CJ110" i="4"/>
  <c r="CI110" i="4"/>
  <c r="CH110" i="4"/>
  <c r="CG110" i="4"/>
  <c r="DK109" i="4"/>
  <c r="DJ109" i="4"/>
  <c r="DI109" i="4"/>
  <c r="DH109" i="4"/>
  <c r="DG109" i="4"/>
  <c r="DF109" i="4"/>
  <c r="DE109" i="4"/>
  <c r="DD109" i="4"/>
  <c r="DC109" i="4"/>
  <c r="DB109" i="4"/>
  <c r="DA109" i="4"/>
  <c r="CZ109" i="4"/>
  <c r="CY109" i="4"/>
  <c r="CX109" i="4"/>
  <c r="CT109" i="4"/>
  <c r="CS109" i="4"/>
  <c r="CR109" i="4"/>
  <c r="CQ109" i="4"/>
  <c r="CP109" i="4"/>
  <c r="CO109" i="4"/>
  <c r="CN109" i="4"/>
  <c r="CM109" i="4"/>
  <c r="CL109" i="4"/>
  <c r="CK109" i="4"/>
  <c r="CJ109" i="4"/>
  <c r="CI109" i="4"/>
  <c r="CH109" i="4"/>
  <c r="CG109" i="4"/>
  <c r="DK108" i="4"/>
  <c r="DJ108" i="4"/>
  <c r="DI108" i="4"/>
  <c r="DH108" i="4"/>
  <c r="DG108" i="4"/>
  <c r="DF108" i="4"/>
  <c r="DE108" i="4"/>
  <c r="DD108" i="4"/>
  <c r="DC108" i="4"/>
  <c r="DB108" i="4"/>
  <c r="DA108" i="4"/>
  <c r="CZ108" i="4"/>
  <c r="CY108" i="4"/>
  <c r="CX108" i="4"/>
  <c r="CT108" i="4"/>
  <c r="CS108" i="4"/>
  <c r="CR108" i="4"/>
  <c r="CQ108" i="4"/>
  <c r="CP108" i="4"/>
  <c r="CO108" i="4"/>
  <c r="CN108" i="4"/>
  <c r="CM108" i="4"/>
  <c r="CL108" i="4"/>
  <c r="CK108" i="4"/>
  <c r="CJ108" i="4"/>
  <c r="CI108" i="4"/>
  <c r="CH108" i="4"/>
  <c r="CG108" i="4"/>
  <c r="DK107" i="4"/>
  <c r="DJ107" i="4"/>
  <c r="DI107" i="4"/>
  <c r="DH107" i="4"/>
  <c r="DG107" i="4"/>
  <c r="DF107" i="4"/>
  <c r="DE107" i="4"/>
  <c r="DD107" i="4"/>
  <c r="DC107" i="4"/>
  <c r="DB107" i="4"/>
  <c r="DA107" i="4"/>
  <c r="CZ107" i="4"/>
  <c r="CY107" i="4"/>
  <c r="CX107" i="4"/>
  <c r="CT107" i="4"/>
  <c r="CS107" i="4"/>
  <c r="CR107" i="4"/>
  <c r="CQ107" i="4"/>
  <c r="CP107" i="4"/>
  <c r="CO107" i="4"/>
  <c r="CN107" i="4"/>
  <c r="CM107" i="4"/>
  <c r="CL107" i="4"/>
  <c r="CK107" i="4"/>
  <c r="CJ107" i="4"/>
  <c r="CI107" i="4"/>
  <c r="CH107" i="4"/>
  <c r="CG107" i="4"/>
  <c r="DK106" i="4"/>
  <c r="DJ106" i="4"/>
  <c r="DI106" i="4"/>
  <c r="DH106" i="4"/>
  <c r="DG106" i="4"/>
  <c r="DF106" i="4"/>
  <c r="DE106" i="4"/>
  <c r="DD106" i="4"/>
  <c r="DC106" i="4"/>
  <c r="DB106" i="4"/>
  <c r="DA106" i="4"/>
  <c r="CZ106" i="4"/>
  <c r="CY106" i="4"/>
  <c r="CX106" i="4"/>
  <c r="CT106" i="4"/>
  <c r="CS106" i="4"/>
  <c r="CR106" i="4"/>
  <c r="CQ106" i="4"/>
  <c r="CP106" i="4"/>
  <c r="CO106" i="4"/>
  <c r="CN106" i="4"/>
  <c r="CM106" i="4"/>
  <c r="CL106" i="4"/>
  <c r="CK106" i="4"/>
  <c r="CJ106" i="4"/>
  <c r="CI106" i="4"/>
  <c r="CH106" i="4"/>
  <c r="CG106" i="4"/>
  <c r="DK105" i="4"/>
  <c r="DJ105" i="4"/>
  <c r="DI105" i="4"/>
  <c r="DH105" i="4"/>
  <c r="DG105" i="4"/>
  <c r="DF105" i="4"/>
  <c r="DE105" i="4"/>
  <c r="DD105" i="4"/>
  <c r="DC105" i="4"/>
  <c r="DB105" i="4"/>
  <c r="DA105" i="4"/>
  <c r="CZ105" i="4"/>
  <c r="CY105" i="4"/>
  <c r="CX105" i="4"/>
  <c r="CT105" i="4"/>
  <c r="CS105" i="4"/>
  <c r="CR105" i="4"/>
  <c r="CQ105" i="4"/>
  <c r="CP105" i="4"/>
  <c r="CO105" i="4"/>
  <c r="CN105" i="4"/>
  <c r="CM105" i="4"/>
  <c r="CL105" i="4"/>
  <c r="CK105" i="4"/>
  <c r="CJ105" i="4"/>
  <c r="CI105" i="4"/>
  <c r="CH105" i="4"/>
  <c r="CG105" i="4"/>
  <c r="DK104" i="4"/>
  <c r="DJ104" i="4"/>
  <c r="DI104" i="4"/>
  <c r="DH104" i="4"/>
  <c r="DG104" i="4"/>
  <c r="DF104" i="4"/>
  <c r="DE104" i="4"/>
  <c r="DD104" i="4"/>
  <c r="DC104" i="4"/>
  <c r="DB104" i="4"/>
  <c r="DA104" i="4"/>
  <c r="CZ104" i="4"/>
  <c r="CY104" i="4"/>
  <c r="CX104" i="4"/>
  <c r="CT104" i="4"/>
  <c r="CS104" i="4"/>
  <c r="CR104" i="4"/>
  <c r="CQ104" i="4"/>
  <c r="CP104" i="4"/>
  <c r="CO104" i="4"/>
  <c r="CN104" i="4"/>
  <c r="CM104" i="4"/>
  <c r="CL104" i="4"/>
  <c r="CK104" i="4"/>
  <c r="CJ104" i="4"/>
  <c r="CI104" i="4"/>
  <c r="CH104" i="4"/>
  <c r="CG104" i="4"/>
  <c r="DK103" i="4"/>
  <c r="DJ103" i="4"/>
  <c r="DI103" i="4"/>
  <c r="DH103" i="4"/>
  <c r="DG103" i="4"/>
  <c r="DF103" i="4"/>
  <c r="DE103" i="4"/>
  <c r="DD103" i="4"/>
  <c r="DC103" i="4"/>
  <c r="DB103" i="4"/>
  <c r="DA103" i="4"/>
  <c r="CZ103" i="4"/>
  <c r="CY103" i="4"/>
  <c r="CX103" i="4"/>
  <c r="CT103" i="4"/>
  <c r="CS103" i="4"/>
  <c r="CR103" i="4"/>
  <c r="CQ103" i="4"/>
  <c r="CP103" i="4"/>
  <c r="CO103" i="4"/>
  <c r="CN103" i="4"/>
  <c r="CM103" i="4"/>
  <c r="CL103" i="4"/>
  <c r="CK103" i="4"/>
  <c r="CJ103" i="4"/>
  <c r="CI103" i="4"/>
  <c r="CH103" i="4"/>
  <c r="CG103" i="4"/>
  <c r="DK102" i="4"/>
  <c r="DJ102" i="4"/>
  <c r="DI102" i="4"/>
  <c r="DH102" i="4"/>
  <c r="DG102" i="4"/>
  <c r="DF102" i="4"/>
  <c r="DE102" i="4"/>
  <c r="DD102" i="4"/>
  <c r="DC102" i="4"/>
  <c r="DB102" i="4"/>
  <c r="DA102" i="4"/>
  <c r="CZ102" i="4"/>
  <c r="CY102" i="4"/>
  <c r="CX102" i="4"/>
  <c r="CT102" i="4"/>
  <c r="CS102" i="4"/>
  <c r="CR102" i="4"/>
  <c r="CQ102" i="4"/>
  <c r="CP102" i="4"/>
  <c r="CO102" i="4"/>
  <c r="CN102" i="4"/>
  <c r="CM102" i="4"/>
  <c r="CL102" i="4"/>
  <c r="CK102" i="4"/>
  <c r="CJ102" i="4"/>
  <c r="CI102" i="4"/>
  <c r="CH102" i="4"/>
  <c r="CG102" i="4"/>
  <c r="DK101" i="4"/>
  <c r="DJ101" i="4"/>
  <c r="DI101" i="4"/>
  <c r="DH101" i="4"/>
  <c r="DG101" i="4"/>
  <c r="DF101" i="4"/>
  <c r="DE101" i="4"/>
  <c r="DD101" i="4"/>
  <c r="DC101" i="4"/>
  <c r="DB101" i="4"/>
  <c r="DA101" i="4"/>
  <c r="CZ101" i="4"/>
  <c r="CY101" i="4"/>
  <c r="CX101" i="4"/>
  <c r="CT101" i="4"/>
  <c r="CS101" i="4"/>
  <c r="CR101" i="4"/>
  <c r="CQ101" i="4"/>
  <c r="CP101" i="4"/>
  <c r="CO101" i="4"/>
  <c r="CN101" i="4"/>
  <c r="CM101" i="4"/>
  <c r="CL101" i="4"/>
  <c r="CK101" i="4"/>
  <c r="CJ101" i="4"/>
  <c r="CI101" i="4"/>
  <c r="CH101" i="4"/>
  <c r="CG101" i="4"/>
  <c r="DK100" i="4"/>
  <c r="DJ100" i="4"/>
  <c r="DI100" i="4"/>
  <c r="DH100" i="4"/>
  <c r="DG100" i="4"/>
  <c r="DF100" i="4"/>
  <c r="DE100" i="4"/>
  <c r="DD100" i="4"/>
  <c r="DC100" i="4"/>
  <c r="DB100" i="4"/>
  <c r="DA100" i="4"/>
  <c r="CZ100" i="4"/>
  <c r="CY100" i="4"/>
  <c r="CX100" i="4"/>
  <c r="CT100" i="4"/>
  <c r="CS100" i="4"/>
  <c r="CR100" i="4"/>
  <c r="CQ100" i="4"/>
  <c r="CP100" i="4"/>
  <c r="CO100" i="4"/>
  <c r="CN100" i="4"/>
  <c r="CM100" i="4"/>
  <c r="CL100" i="4"/>
  <c r="CK100" i="4"/>
  <c r="CJ100" i="4"/>
  <c r="CI100" i="4"/>
  <c r="CH100" i="4"/>
  <c r="CG100" i="4"/>
  <c r="DK99" i="4"/>
  <c r="DJ99" i="4"/>
  <c r="DI99" i="4"/>
  <c r="DH99" i="4"/>
  <c r="DG99" i="4"/>
  <c r="DF99" i="4"/>
  <c r="DE99" i="4"/>
  <c r="DD99" i="4"/>
  <c r="DC99" i="4"/>
  <c r="DB99" i="4"/>
  <c r="DA99" i="4"/>
  <c r="CZ99" i="4"/>
  <c r="CY99" i="4"/>
  <c r="CX99" i="4"/>
  <c r="CT99" i="4"/>
  <c r="CS99" i="4"/>
  <c r="CR99" i="4"/>
  <c r="CQ99" i="4"/>
  <c r="CP99" i="4"/>
  <c r="CO99" i="4"/>
  <c r="CN99" i="4"/>
  <c r="CM99" i="4"/>
  <c r="CL99" i="4"/>
  <c r="CK99" i="4"/>
  <c r="CJ99" i="4"/>
  <c r="CI99" i="4"/>
  <c r="CH99" i="4"/>
  <c r="CG99" i="4"/>
  <c r="DK98" i="4"/>
  <c r="DJ98" i="4"/>
  <c r="DI98" i="4"/>
  <c r="DH98" i="4"/>
  <c r="DG98" i="4"/>
  <c r="DF98" i="4"/>
  <c r="DE98" i="4"/>
  <c r="DD98" i="4"/>
  <c r="DC98" i="4"/>
  <c r="DB98" i="4"/>
  <c r="DA98" i="4"/>
  <c r="CZ98" i="4"/>
  <c r="CY98" i="4"/>
  <c r="CX98" i="4"/>
  <c r="CT98" i="4"/>
  <c r="CS98" i="4"/>
  <c r="CR98" i="4"/>
  <c r="CQ98" i="4"/>
  <c r="CP98" i="4"/>
  <c r="CO98" i="4"/>
  <c r="CN98" i="4"/>
  <c r="CM98" i="4"/>
  <c r="CL98" i="4"/>
  <c r="CK98" i="4"/>
  <c r="CJ98" i="4"/>
  <c r="CI98" i="4"/>
  <c r="CH98" i="4"/>
  <c r="CG98" i="4"/>
  <c r="DK97" i="4"/>
  <c r="DJ97" i="4"/>
  <c r="DI97" i="4"/>
  <c r="DH97" i="4"/>
  <c r="DG97" i="4"/>
  <c r="DF97" i="4"/>
  <c r="DE97" i="4"/>
  <c r="DD97" i="4"/>
  <c r="DC97" i="4"/>
  <c r="DB97" i="4"/>
  <c r="DA97" i="4"/>
  <c r="CZ97" i="4"/>
  <c r="CY97" i="4"/>
  <c r="CX97" i="4"/>
  <c r="CT97" i="4"/>
  <c r="CS97" i="4"/>
  <c r="CR97" i="4"/>
  <c r="CQ97" i="4"/>
  <c r="CP97" i="4"/>
  <c r="CO97" i="4"/>
  <c r="CN97" i="4"/>
  <c r="CM97" i="4"/>
  <c r="CL97" i="4"/>
  <c r="CK97" i="4"/>
  <c r="CJ97" i="4"/>
  <c r="CI97" i="4"/>
  <c r="CH97" i="4"/>
  <c r="CG97" i="4"/>
  <c r="DK96" i="4"/>
  <c r="DJ96" i="4"/>
  <c r="DI96" i="4"/>
  <c r="DH96" i="4"/>
  <c r="DG96" i="4"/>
  <c r="DF96" i="4"/>
  <c r="DE96" i="4"/>
  <c r="DD96" i="4"/>
  <c r="DC96" i="4"/>
  <c r="DB96" i="4"/>
  <c r="DA96" i="4"/>
  <c r="CZ96" i="4"/>
  <c r="CY96" i="4"/>
  <c r="CX96" i="4"/>
  <c r="CT96" i="4"/>
  <c r="CS96" i="4"/>
  <c r="CR96" i="4"/>
  <c r="CQ96" i="4"/>
  <c r="CP96" i="4"/>
  <c r="CO96" i="4"/>
  <c r="CN96" i="4"/>
  <c r="CM96" i="4"/>
  <c r="CL96" i="4"/>
  <c r="CK96" i="4"/>
  <c r="CJ96" i="4"/>
  <c r="CI96" i="4"/>
  <c r="CH96" i="4"/>
  <c r="CG96" i="4"/>
  <c r="DK95" i="4"/>
  <c r="DJ95" i="4"/>
  <c r="DI95" i="4"/>
  <c r="DH95" i="4"/>
  <c r="DG95" i="4"/>
  <c r="DF95" i="4"/>
  <c r="DE95" i="4"/>
  <c r="DD95" i="4"/>
  <c r="DC95" i="4"/>
  <c r="DB95" i="4"/>
  <c r="DA95" i="4"/>
  <c r="CZ95" i="4"/>
  <c r="CY95" i="4"/>
  <c r="CX95" i="4"/>
  <c r="CT95" i="4"/>
  <c r="CS95" i="4"/>
  <c r="CR95" i="4"/>
  <c r="CQ95" i="4"/>
  <c r="CP95" i="4"/>
  <c r="CO95" i="4"/>
  <c r="CN95" i="4"/>
  <c r="CM95" i="4"/>
  <c r="CL95" i="4"/>
  <c r="CK95" i="4"/>
  <c r="CJ95" i="4"/>
  <c r="CI95" i="4"/>
  <c r="CH95" i="4"/>
  <c r="CG95" i="4"/>
  <c r="DK94" i="4"/>
  <c r="DJ94" i="4"/>
  <c r="DI94" i="4"/>
  <c r="DH94" i="4"/>
  <c r="DG94" i="4"/>
  <c r="DF94" i="4"/>
  <c r="DE94" i="4"/>
  <c r="DD94" i="4"/>
  <c r="DC94" i="4"/>
  <c r="DB94" i="4"/>
  <c r="DA94" i="4"/>
  <c r="CZ94" i="4"/>
  <c r="CY94" i="4"/>
  <c r="CX94" i="4"/>
  <c r="CT94" i="4"/>
  <c r="CS94" i="4"/>
  <c r="CR94" i="4"/>
  <c r="CQ94" i="4"/>
  <c r="CP94" i="4"/>
  <c r="CO94" i="4"/>
  <c r="CN94" i="4"/>
  <c r="CM94" i="4"/>
  <c r="CL94" i="4"/>
  <c r="CK94" i="4"/>
  <c r="CJ94" i="4"/>
  <c r="CI94" i="4"/>
  <c r="CH94" i="4"/>
  <c r="CG94" i="4"/>
  <c r="DK93" i="4"/>
  <c r="DJ93" i="4"/>
  <c r="DI93" i="4"/>
  <c r="DH93" i="4"/>
  <c r="DG93" i="4"/>
  <c r="DF93" i="4"/>
  <c r="DE93" i="4"/>
  <c r="DD93" i="4"/>
  <c r="DC93" i="4"/>
  <c r="DB93" i="4"/>
  <c r="DA93" i="4"/>
  <c r="CZ93" i="4"/>
  <c r="CY93" i="4"/>
  <c r="CX93" i="4"/>
  <c r="CT93" i="4"/>
  <c r="CS93" i="4"/>
  <c r="CR93" i="4"/>
  <c r="CQ93" i="4"/>
  <c r="CP93" i="4"/>
  <c r="CO93" i="4"/>
  <c r="CN93" i="4"/>
  <c r="CM93" i="4"/>
  <c r="CL93" i="4"/>
  <c r="CK93" i="4"/>
  <c r="CJ93" i="4"/>
  <c r="CI93" i="4"/>
  <c r="CH93" i="4"/>
  <c r="CG93" i="4"/>
  <c r="DK92" i="4"/>
  <c r="DJ92" i="4"/>
  <c r="DI92" i="4"/>
  <c r="DH92" i="4"/>
  <c r="DG92" i="4"/>
  <c r="DF92" i="4"/>
  <c r="DE92" i="4"/>
  <c r="DD92" i="4"/>
  <c r="DC92" i="4"/>
  <c r="DB92" i="4"/>
  <c r="DA92" i="4"/>
  <c r="CZ92" i="4"/>
  <c r="CY92" i="4"/>
  <c r="CX92" i="4"/>
  <c r="CT92" i="4"/>
  <c r="CS92" i="4"/>
  <c r="CR92" i="4"/>
  <c r="CQ92" i="4"/>
  <c r="CP92" i="4"/>
  <c r="CO92" i="4"/>
  <c r="CN92" i="4"/>
  <c r="CM92" i="4"/>
  <c r="CL92" i="4"/>
  <c r="CK92" i="4"/>
  <c r="CJ92" i="4"/>
  <c r="CI92" i="4"/>
  <c r="CH92" i="4"/>
  <c r="CG92" i="4"/>
  <c r="DK91" i="4"/>
  <c r="DJ91" i="4"/>
  <c r="DI91" i="4"/>
  <c r="DH91" i="4"/>
  <c r="DG91" i="4"/>
  <c r="DF91" i="4"/>
  <c r="DE91" i="4"/>
  <c r="DD91" i="4"/>
  <c r="DC91" i="4"/>
  <c r="DB91" i="4"/>
  <c r="DA91" i="4"/>
  <c r="CZ91" i="4"/>
  <c r="CY91" i="4"/>
  <c r="CX91" i="4"/>
  <c r="CT91" i="4"/>
  <c r="CS91" i="4"/>
  <c r="CR91" i="4"/>
  <c r="CQ91" i="4"/>
  <c r="CP91" i="4"/>
  <c r="CO91" i="4"/>
  <c r="CN91" i="4"/>
  <c r="CM91" i="4"/>
  <c r="CL91" i="4"/>
  <c r="CK91" i="4"/>
  <c r="CJ91" i="4"/>
  <c r="CI91" i="4"/>
  <c r="CH91" i="4"/>
  <c r="CG91" i="4"/>
  <c r="DK90" i="4"/>
  <c r="DJ90" i="4"/>
  <c r="DI90" i="4"/>
  <c r="DH90" i="4"/>
  <c r="DG90" i="4"/>
  <c r="DF90" i="4"/>
  <c r="DE90" i="4"/>
  <c r="DD90" i="4"/>
  <c r="DC90" i="4"/>
  <c r="DB90" i="4"/>
  <c r="DA90" i="4"/>
  <c r="CZ90" i="4"/>
  <c r="CY90" i="4"/>
  <c r="CX90" i="4"/>
  <c r="CT90" i="4"/>
  <c r="CS90" i="4"/>
  <c r="CR90" i="4"/>
  <c r="CQ90" i="4"/>
  <c r="CP90" i="4"/>
  <c r="CO90" i="4"/>
  <c r="CN90" i="4"/>
  <c r="CM90" i="4"/>
  <c r="CL90" i="4"/>
  <c r="CK90" i="4"/>
  <c r="CJ90" i="4"/>
  <c r="CI90" i="4"/>
  <c r="CH90" i="4"/>
  <c r="CG90" i="4"/>
  <c r="DK89" i="4"/>
  <c r="DJ89" i="4"/>
  <c r="DI89" i="4"/>
  <c r="DH89" i="4"/>
  <c r="DG89" i="4"/>
  <c r="DF89" i="4"/>
  <c r="DE89" i="4"/>
  <c r="DD89" i="4"/>
  <c r="DC89" i="4"/>
  <c r="DB89" i="4"/>
  <c r="DA89" i="4"/>
  <c r="CZ89" i="4"/>
  <c r="CY89" i="4"/>
  <c r="CX89" i="4"/>
  <c r="CT89" i="4"/>
  <c r="CS89" i="4"/>
  <c r="CR89" i="4"/>
  <c r="CQ89" i="4"/>
  <c r="CP89" i="4"/>
  <c r="CO89" i="4"/>
  <c r="CN89" i="4"/>
  <c r="CM89" i="4"/>
  <c r="CL89" i="4"/>
  <c r="CK89" i="4"/>
  <c r="CJ89" i="4"/>
  <c r="CI89" i="4"/>
  <c r="CH89" i="4"/>
  <c r="CG89" i="4"/>
  <c r="DK88" i="4"/>
  <c r="DJ88" i="4"/>
  <c r="DI88" i="4"/>
  <c r="DH88" i="4"/>
  <c r="DG88" i="4"/>
  <c r="DF88" i="4"/>
  <c r="DE88" i="4"/>
  <c r="DD88" i="4"/>
  <c r="DC88" i="4"/>
  <c r="DB88" i="4"/>
  <c r="DA88" i="4"/>
  <c r="CZ88" i="4"/>
  <c r="CY88" i="4"/>
  <c r="CX88" i="4"/>
  <c r="CT88" i="4"/>
  <c r="CS88" i="4"/>
  <c r="CR88" i="4"/>
  <c r="CQ88" i="4"/>
  <c r="CP88" i="4"/>
  <c r="CO88" i="4"/>
  <c r="CN88" i="4"/>
  <c r="CM88" i="4"/>
  <c r="CL88" i="4"/>
  <c r="CK88" i="4"/>
  <c r="CJ88" i="4"/>
  <c r="CI88" i="4"/>
  <c r="CH88" i="4"/>
  <c r="CG88" i="4"/>
  <c r="DK87" i="4"/>
  <c r="DJ87" i="4"/>
  <c r="DI87" i="4"/>
  <c r="DH87" i="4"/>
  <c r="DG87" i="4"/>
  <c r="DF87" i="4"/>
  <c r="DE87" i="4"/>
  <c r="DD87" i="4"/>
  <c r="DC87" i="4"/>
  <c r="DB87" i="4"/>
  <c r="DA87" i="4"/>
  <c r="CZ87" i="4"/>
  <c r="CY87" i="4"/>
  <c r="CX87" i="4"/>
  <c r="CT87" i="4"/>
  <c r="CS87" i="4"/>
  <c r="CR87" i="4"/>
  <c r="CQ87" i="4"/>
  <c r="CP87" i="4"/>
  <c r="CO87" i="4"/>
  <c r="CN87" i="4"/>
  <c r="CM87" i="4"/>
  <c r="CL87" i="4"/>
  <c r="CK87" i="4"/>
  <c r="CJ87" i="4"/>
  <c r="CI87" i="4"/>
  <c r="CH87" i="4"/>
  <c r="CG87" i="4"/>
  <c r="DK86" i="4"/>
  <c r="DJ86" i="4"/>
  <c r="DI86" i="4"/>
  <c r="DH86" i="4"/>
  <c r="DG86" i="4"/>
  <c r="DF86" i="4"/>
  <c r="DE86" i="4"/>
  <c r="DD86" i="4"/>
  <c r="DC86" i="4"/>
  <c r="DB86" i="4"/>
  <c r="DA86" i="4"/>
  <c r="CZ86" i="4"/>
  <c r="CY86" i="4"/>
  <c r="CX86" i="4"/>
  <c r="CT86" i="4"/>
  <c r="CS86" i="4"/>
  <c r="CR86" i="4"/>
  <c r="CQ86" i="4"/>
  <c r="CP86" i="4"/>
  <c r="CO86" i="4"/>
  <c r="CN86" i="4"/>
  <c r="CM86" i="4"/>
  <c r="CL86" i="4"/>
  <c r="CK86" i="4"/>
  <c r="CJ86" i="4"/>
  <c r="CI86" i="4"/>
  <c r="CH86" i="4"/>
  <c r="CG86" i="4"/>
  <c r="DK85" i="4"/>
  <c r="DJ85" i="4"/>
  <c r="DI85" i="4"/>
  <c r="DH85" i="4"/>
  <c r="DG85" i="4"/>
  <c r="DF85" i="4"/>
  <c r="DE85" i="4"/>
  <c r="DD85" i="4"/>
  <c r="DC85" i="4"/>
  <c r="DB85" i="4"/>
  <c r="DA85" i="4"/>
  <c r="CZ85" i="4"/>
  <c r="CY85" i="4"/>
  <c r="CX85" i="4"/>
  <c r="CT85" i="4"/>
  <c r="CS85" i="4"/>
  <c r="CR85" i="4"/>
  <c r="CQ85" i="4"/>
  <c r="CP85" i="4"/>
  <c r="CO85" i="4"/>
  <c r="CN85" i="4"/>
  <c r="CM85" i="4"/>
  <c r="CL85" i="4"/>
  <c r="CK85" i="4"/>
  <c r="CJ85" i="4"/>
  <c r="CI85" i="4"/>
  <c r="CH85" i="4"/>
  <c r="CG85" i="4"/>
  <c r="DK84" i="4"/>
  <c r="DJ84" i="4"/>
  <c r="DI84" i="4"/>
  <c r="DH84" i="4"/>
  <c r="DG84" i="4"/>
  <c r="DF84" i="4"/>
  <c r="DE84" i="4"/>
  <c r="DD84" i="4"/>
  <c r="DC84" i="4"/>
  <c r="DB84" i="4"/>
  <c r="DA84" i="4"/>
  <c r="CZ84" i="4"/>
  <c r="CY84" i="4"/>
  <c r="CS84" i="4"/>
  <c r="CR84" i="4"/>
  <c r="CQ84" i="4"/>
  <c r="CP84" i="4"/>
  <c r="CO84" i="4"/>
  <c r="CN84" i="4"/>
  <c r="CM84" i="4"/>
  <c r="CL84" i="4"/>
  <c r="CK84" i="4"/>
  <c r="CJ84" i="4"/>
  <c r="CI84" i="4"/>
  <c r="CH84" i="4"/>
  <c r="CG84" i="4"/>
  <c r="DK83" i="4"/>
  <c r="DJ83" i="4"/>
  <c r="DI83" i="4"/>
  <c r="DH83" i="4"/>
  <c r="DG83" i="4"/>
  <c r="DF83" i="4"/>
  <c r="DE83" i="4"/>
  <c r="DD83" i="4"/>
  <c r="DC83" i="4"/>
  <c r="DB83" i="4"/>
  <c r="DA83" i="4"/>
  <c r="CZ83" i="4"/>
  <c r="CY83" i="4"/>
  <c r="CS83" i="4"/>
  <c r="CR83" i="4"/>
  <c r="CQ83" i="4"/>
  <c r="CP83" i="4"/>
  <c r="CO83" i="4"/>
  <c r="CN83" i="4"/>
  <c r="CM83" i="4"/>
  <c r="CL83" i="4"/>
  <c r="CK83" i="4"/>
  <c r="CJ83" i="4"/>
  <c r="CI83" i="4"/>
  <c r="CH83" i="4"/>
  <c r="CG83" i="4"/>
  <c r="DK82" i="4"/>
  <c r="DJ82" i="4"/>
  <c r="DI82" i="4"/>
  <c r="DH82" i="4"/>
  <c r="DG82" i="4"/>
  <c r="DF82" i="4"/>
  <c r="DE82" i="4"/>
  <c r="DD82" i="4"/>
  <c r="DC82" i="4"/>
  <c r="DB82" i="4"/>
  <c r="DA82" i="4"/>
  <c r="CZ82" i="4"/>
  <c r="CR82" i="4"/>
  <c r="CQ82" i="4"/>
  <c r="CP82" i="4"/>
  <c r="CO82" i="4"/>
  <c r="CN82" i="4"/>
  <c r="CM82" i="4"/>
  <c r="CL82" i="4"/>
  <c r="CK82" i="4"/>
  <c r="CJ82" i="4"/>
  <c r="CI82" i="4"/>
  <c r="CH82" i="4"/>
  <c r="CG82" i="4"/>
  <c r="DK81" i="4"/>
  <c r="DJ81" i="4"/>
  <c r="DI81" i="4"/>
  <c r="DH81" i="4"/>
  <c r="DG81" i="4"/>
  <c r="DF81" i="4"/>
  <c r="DE81" i="4"/>
  <c r="DD81" i="4"/>
  <c r="DC81" i="4"/>
  <c r="DB81" i="4"/>
  <c r="DA81" i="4"/>
  <c r="CQ81" i="4"/>
  <c r="CP81" i="4"/>
  <c r="CO81" i="4"/>
  <c r="CN81" i="4"/>
  <c r="CM81" i="4"/>
  <c r="CL81" i="4"/>
  <c r="CK81" i="4"/>
  <c r="CJ81" i="4"/>
  <c r="CI81" i="4"/>
  <c r="CH81" i="4"/>
  <c r="CG81" i="4"/>
  <c r="DK80" i="4"/>
  <c r="DJ80" i="4"/>
  <c r="DI80" i="4"/>
  <c r="DH80" i="4"/>
  <c r="DG80" i="4"/>
  <c r="DF80" i="4"/>
  <c r="DE80" i="4"/>
  <c r="DD80" i="4"/>
  <c r="DC80" i="4"/>
  <c r="DB80" i="4"/>
  <c r="CP80" i="4"/>
  <c r="CO80" i="4"/>
  <c r="CN80" i="4"/>
  <c r="CM80" i="4"/>
  <c r="CL80" i="4"/>
  <c r="CK80" i="4"/>
  <c r="CJ80" i="4"/>
  <c r="CI80" i="4"/>
  <c r="CH80" i="4"/>
  <c r="CG80" i="4"/>
  <c r="DK79" i="4"/>
  <c r="DJ79" i="4"/>
  <c r="DI79" i="4"/>
  <c r="DH79" i="4"/>
  <c r="DG79" i="4"/>
  <c r="DF79" i="4"/>
  <c r="DE79" i="4"/>
  <c r="DD79" i="4"/>
  <c r="DC79" i="4"/>
  <c r="DB79" i="4"/>
  <c r="CP79" i="4"/>
  <c r="CO79" i="4"/>
  <c r="CN79" i="4"/>
  <c r="CM79" i="4"/>
  <c r="CL79" i="4"/>
  <c r="CK79" i="4"/>
  <c r="CJ79" i="4"/>
  <c r="CI79" i="4"/>
  <c r="CH79" i="4"/>
  <c r="CG79" i="4"/>
  <c r="DK78" i="4"/>
  <c r="DJ78" i="4"/>
  <c r="DI78" i="4"/>
  <c r="DH78" i="4"/>
  <c r="DG78" i="4"/>
  <c r="DF78" i="4"/>
  <c r="DE78" i="4"/>
  <c r="DD78" i="4"/>
  <c r="DC78" i="4"/>
  <c r="CO78" i="4"/>
  <c r="CN78" i="4"/>
  <c r="CM78" i="4"/>
  <c r="CL78" i="4"/>
  <c r="CK78" i="4"/>
  <c r="CJ78" i="4"/>
  <c r="CI78" i="4"/>
  <c r="CH78" i="4"/>
  <c r="CG78" i="4"/>
  <c r="DK77" i="4"/>
  <c r="DJ77" i="4"/>
  <c r="DI77" i="4"/>
  <c r="DH77" i="4"/>
  <c r="DG77" i="4"/>
  <c r="DF77" i="4"/>
  <c r="DE77" i="4"/>
  <c r="DD77" i="4"/>
  <c r="DC77" i="4"/>
  <c r="CO77" i="4"/>
  <c r="CN77" i="4"/>
  <c r="CM77" i="4"/>
  <c r="CL77" i="4"/>
  <c r="CK77" i="4"/>
  <c r="CJ77" i="4"/>
  <c r="CI77" i="4"/>
  <c r="CH77" i="4"/>
  <c r="CG77" i="4"/>
  <c r="DK76" i="4"/>
  <c r="DJ76" i="4"/>
  <c r="DI76" i="4"/>
  <c r="DH76" i="4"/>
  <c r="DG76" i="4"/>
  <c r="DF76" i="4"/>
  <c r="DE76" i="4"/>
  <c r="DD76" i="4"/>
  <c r="DC76" i="4"/>
  <c r="CO76" i="4"/>
  <c r="CN76" i="4"/>
  <c r="CM76" i="4"/>
  <c r="CL76" i="4"/>
  <c r="CK76" i="4"/>
  <c r="CJ76" i="4"/>
  <c r="CI76" i="4"/>
  <c r="CH76" i="4"/>
  <c r="CG76" i="4"/>
  <c r="DK75" i="4"/>
  <c r="DJ75" i="4"/>
  <c r="DI75" i="4"/>
  <c r="DH75" i="4"/>
  <c r="DG75" i="4"/>
  <c r="DF75" i="4"/>
  <c r="DE75" i="4"/>
  <c r="DD75" i="4"/>
  <c r="DC75" i="4"/>
  <c r="CO75" i="4"/>
  <c r="CN75" i="4"/>
  <c r="CM75" i="4"/>
  <c r="CL75" i="4"/>
  <c r="CK75" i="4"/>
  <c r="CJ75" i="4"/>
  <c r="CI75" i="4"/>
  <c r="CH75" i="4"/>
  <c r="CG75" i="4"/>
  <c r="DK74" i="4"/>
  <c r="DJ74" i="4"/>
  <c r="DI74" i="4"/>
  <c r="DH74" i="4"/>
  <c r="DG74" i="4"/>
  <c r="DF74" i="4"/>
  <c r="DE74" i="4"/>
  <c r="DD74" i="4"/>
  <c r="DC74" i="4"/>
  <c r="DB74" i="4"/>
  <c r="DA74" i="4"/>
  <c r="CZ74" i="4"/>
  <c r="CY74" i="4"/>
  <c r="CX74" i="4"/>
  <c r="CW74" i="4"/>
  <c r="CV74" i="4"/>
  <c r="CU74" i="4"/>
  <c r="CT74" i="4"/>
  <c r="CS74" i="4"/>
  <c r="CR74" i="4"/>
  <c r="CQ74" i="4"/>
  <c r="CP74" i="4"/>
  <c r="CO74" i="4"/>
  <c r="CN74" i="4"/>
  <c r="CM74" i="4"/>
  <c r="CL74" i="4"/>
  <c r="CK74" i="4"/>
  <c r="CJ74" i="4"/>
  <c r="CI74" i="4"/>
  <c r="CH74" i="4"/>
  <c r="CG74" i="4"/>
  <c r="BX128" i="4"/>
  <c r="BW128" i="4"/>
  <c r="AU128" i="4"/>
  <c r="AT128" i="4"/>
  <c r="BX127" i="4"/>
  <c r="BW127" i="4"/>
  <c r="AU127" i="4"/>
  <c r="AT127" i="4"/>
  <c r="BX126" i="4"/>
  <c r="BW126" i="4"/>
  <c r="BV126" i="4"/>
  <c r="AV126" i="4"/>
  <c r="AU126" i="4"/>
  <c r="AT126" i="4"/>
  <c r="BX125" i="4"/>
  <c r="BW125" i="4"/>
  <c r="BV125" i="4"/>
  <c r="AV125" i="4"/>
  <c r="AU125" i="4"/>
  <c r="AT125" i="4"/>
  <c r="BX124" i="4"/>
  <c r="BW124" i="4"/>
  <c r="BV124" i="4"/>
  <c r="BU124" i="4"/>
  <c r="AW124" i="4"/>
  <c r="AV124" i="4"/>
  <c r="AU124" i="4"/>
  <c r="AT124" i="4"/>
  <c r="BX123" i="4"/>
  <c r="BW123" i="4"/>
  <c r="BV123" i="4"/>
  <c r="BU123" i="4"/>
  <c r="BT123" i="4"/>
  <c r="BS123" i="4"/>
  <c r="AY123" i="4"/>
  <c r="AX123" i="4"/>
  <c r="AW123" i="4"/>
  <c r="AV123" i="4"/>
  <c r="AU123" i="4"/>
  <c r="AT123" i="4"/>
  <c r="BX122" i="4"/>
  <c r="BW122" i="4"/>
  <c r="BV122" i="4"/>
  <c r="BU122" i="4"/>
  <c r="BT122" i="4"/>
  <c r="BS122" i="4"/>
  <c r="BR122" i="4"/>
  <c r="BQ122" i="4"/>
  <c r="BA122" i="4"/>
  <c r="AZ122" i="4"/>
  <c r="AY122" i="4"/>
  <c r="AX122" i="4"/>
  <c r="AW122" i="4"/>
  <c r="AV122" i="4"/>
  <c r="AU122" i="4"/>
  <c r="AT122" i="4"/>
  <c r="BX121" i="4"/>
  <c r="BW121" i="4"/>
  <c r="BV121" i="4"/>
  <c r="BU121" i="4"/>
  <c r="BT121" i="4"/>
  <c r="BS121" i="4"/>
  <c r="BR121" i="4"/>
  <c r="BQ121" i="4"/>
  <c r="BP121" i="4"/>
  <c r="BB121" i="4"/>
  <c r="BA121" i="4"/>
  <c r="AZ121" i="4"/>
  <c r="AY121" i="4"/>
  <c r="AX121" i="4"/>
  <c r="AW121" i="4"/>
  <c r="AV121" i="4"/>
  <c r="AU121" i="4"/>
  <c r="AT121" i="4"/>
  <c r="BX120" i="4"/>
  <c r="BW120" i="4"/>
  <c r="BV120" i="4"/>
  <c r="BU120" i="4"/>
  <c r="BT120" i="4"/>
  <c r="BS120" i="4"/>
  <c r="BR120" i="4"/>
  <c r="BQ120" i="4"/>
  <c r="BP120" i="4"/>
  <c r="BO120" i="4"/>
  <c r="BC120" i="4"/>
  <c r="BB120" i="4"/>
  <c r="BA120" i="4"/>
  <c r="AZ120" i="4"/>
  <c r="AY120" i="4"/>
  <c r="AX120" i="4"/>
  <c r="AW120" i="4"/>
  <c r="AV120" i="4"/>
  <c r="AU120" i="4"/>
  <c r="AT120" i="4"/>
  <c r="BX119" i="4"/>
  <c r="BW119" i="4"/>
  <c r="BV119" i="4"/>
  <c r="BU119" i="4"/>
  <c r="BT119" i="4"/>
  <c r="BS119" i="4"/>
  <c r="BR119" i="4"/>
  <c r="BQ119" i="4"/>
  <c r="BP119" i="4"/>
  <c r="BO119" i="4"/>
  <c r="BN119" i="4"/>
  <c r="BD119" i="4"/>
  <c r="BC119" i="4"/>
  <c r="BB119" i="4"/>
  <c r="BA119" i="4"/>
  <c r="AZ119" i="4"/>
  <c r="AY119" i="4"/>
  <c r="AX119" i="4"/>
  <c r="AW119" i="4"/>
  <c r="AV119" i="4"/>
  <c r="AU119" i="4"/>
  <c r="AT119" i="4"/>
  <c r="BX118" i="4"/>
  <c r="BW118" i="4"/>
  <c r="BV118" i="4"/>
  <c r="BU118" i="4"/>
  <c r="BT118" i="4"/>
  <c r="BS118" i="4"/>
  <c r="BR118" i="4"/>
  <c r="BQ118" i="4"/>
  <c r="BP118" i="4"/>
  <c r="BO118" i="4"/>
  <c r="BN118" i="4"/>
  <c r="BD118" i="4"/>
  <c r="BC118" i="4"/>
  <c r="BB118" i="4"/>
  <c r="BA118" i="4"/>
  <c r="AZ118" i="4"/>
  <c r="AY118" i="4"/>
  <c r="AX118" i="4"/>
  <c r="AW118" i="4"/>
  <c r="AV118" i="4"/>
  <c r="AU118" i="4"/>
  <c r="AT118" i="4"/>
  <c r="BX117" i="4"/>
  <c r="BW117" i="4"/>
  <c r="BV117" i="4"/>
  <c r="BU117" i="4"/>
  <c r="BT117" i="4"/>
  <c r="BS117" i="4"/>
  <c r="BR117" i="4"/>
  <c r="BQ117" i="4"/>
  <c r="BP117" i="4"/>
  <c r="BO117" i="4"/>
  <c r="BN117" i="4"/>
  <c r="BM117" i="4"/>
  <c r="BE117" i="4"/>
  <c r="BD117" i="4"/>
  <c r="BC117" i="4"/>
  <c r="BB117" i="4"/>
  <c r="BA117" i="4"/>
  <c r="AZ117" i="4"/>
  <c r="AY117" i="4"/>
  <c r="AX117" i="4"/>
  <c r="AW117" i="4"/>
  <c r="AV117" i="4"/>
  <c r="AU117" i="4"/>
  <c r="AT117" i="4"/>
  <c r="BX116" i="4"/>
  <c r="BW116" i="4"/>
  <c r="BV116" i="4"/>
  <c r="BU116" i="4"/>
  <c r="BT116" i="4"/>
  <c r="BS116" i="4"/>
  <c r="BR116" i="4"/>
  <c r="BQ116" i="4"/>
  <c r="BP116" i="4"/>
  <c r="BO116" i="4"/>
  <c r="BN116" i="4"/>
  <c r="BM116" i="4"/>
  <c r="BE116" i="4"/>
  <c r="BD116" i="4"/>
  <c r="BC116" i="4"/>
  <c r="BB116" i="4"/>
  <c r="BA116" i="4"/>
  <c r="AZ116" i="4"/>
  <c r="AY116" i="4"/>
  <c r="AX116" i="4"/>
  <c r="AW116" i="4"/>
  <c r="AV116" i="4"/>
  <c r="AU116" i="4"/>
  <c r="AT116" i="4"/>
  <c r="BX115" i="4"/>
  <c r="BW115" i="4"/>
  <c r="BV115" i="4"/>
  <c r="BU115" i="4"/>
  <c r="BT115" i="4"/>
  <c r="BS115" i="4"/>
  <c r="BR115" i="4"/>
  <c r="BQ115" i="4"/>
  <c r="BP115" i="4"/>
  <c r="BO115" i="4"/>
  <c r="BN115" i="4"/>
  <c r="BM115" i="4"/>
  <c r="BL115" i="4"/>
  <c r="BF115" i="4"/>
  <c r="BE115" i="4"/>
  <c r="BD115" i="4"/>
  <c r="BC115" i="4"/>
  <c r="BB115" i="4"/>
  <c r="BA115" i="4"/>
  <c r="AZ115" i="4"/>
  <c r="AY115" i="4"/>
  <c r="AX115" i="4"/>
  <c r="AW115" i="4"/>
  <c r="AV115" i="4"/>
  <c r="AU115" i="4"/>
  <c r="AT115" i="4"/>
  <c r="BX114" i="4"/>
  <c r="BW114" i="4"/>
  <c r="BV114" i="4"/>
  <c r="BU114" i="4"/>
  <c r="BT114" i="4"/>
  <c r="BS114" i="4"/>
  <c r="BR114" i="4"/>
  <c r="BQ114" i="4"/>
  <c r="BP114" i="4"/>
  <c r="BO114" i="4"/>
  <c r="BN114" i="4"/>
  <c r="BM114" i="4"/>
  <c r="BL114" i="4"/>
  <c r="BF114" i="4"/>
  <c r="BE114" i="4"/>
  <c r="BD114" i="4"/>
  <c r="BC114" i="4"/>
  <c r="BB114" i="4"/>
  <c r="BA114" i="4"/>
  <c r="AZ114" i="4"/>
  <c r="AY114" i="4"/>
  <c r="AX114" i="4"/>
  <c r="AW114" i="4"/>
  <c r="AV114" i="4"/>
  <c r="AU114" i="4"/>
  <c r="AT114" i="4"/>
  <c r="BX113" i="4"/>
  <c r="BW113" i="4"/>
  <c r="BV113" i="4"/>
  <c r="BU113" i="4"/>
  <c r="BT113" i="4"/>
  <c r="BS113" i="4"/>
  <c r="BR113" i="4"/>
  <c r="BQ113" i="4"/>
  <c r="BP113" i="4"/>
  <c r="BO113" i="4"/>
  <c r="BN113" i="4"/>
  <c r="BM113" i="4"/>
  <c r="BL113" i="4"/>
  <c r="BF113" i="4"/>
  <c r="BE113" i="4"/>
  <c r="BD113" i="4"/>
  <c r="BC113" i="4"/>
  <c r="BB113" i="4"/>
  <c r="BA113" i="4"/>
  <c r="AZ113" i="4"/>
  <c r="AY113" i="4"/>
  <c r="AX113" i="4"/>
  <c r="AW113" i="4"/>
  <c r="AV113" i="4"/>
  <c r="AU113" i="4"/>
  <c r="AT113" i="4"/>
  <c r="BX112" i="4"/>
  <c r="BW112" i="4"/>
  <c r="BV112" i="4"/>
  <c r="BU112" i="4"/>
  <c r="BT112" i="4"/>
  <c r="BS112" i="4"/>
  <c r="BR112" i="4"/>
  <c r="BQ112" i="4"/>
  <c r="BP112" i="4"/>
  <c r="BO112" i="4"/>
  <c r="BN112" i="4"/>
  <c r="BM112" i="4"/>
  <c r="BL112" i="4"/>
  <c r="BK112" i="4"/>
  <c r="BG112" i="4"/>
  <c r="BF112" i="4"/>
  <c r="BE112" i="4"/>
  <c r="BD112" i="4"/>
  <c r="BC112" i="4"/>
  <c r="BB112" i="4"/>
  <c r="BA112" i="4"/>
  <c r="AZ112" i="4"/>
  <c r="AY112" i="4"/>
  <c r="AX112" i="4"/>
  <c r="AW112" i="4"/>
  <c r="AV112" i="4"/>
  <c r="AU112" i="4"/>
  <c r="AT112" i="4"/>
  <c r="BX111" i="4"/>
  <c r="BW111" i="4"/>
  <c r="BV111" i="4"/>
  <c r="BU111" i="4"/>
  <c r="BT111" i="4"/>
  <c r="BS111" i="4"/>
  <c r="BR111" i="4"/>
  <c r="BQ111" i="4"/>
  <c r="BP111" i="4"/>
  <c r="BO111" i="4"/>
  <c r="BN111" i="4"/>
  <c r="BM111" i="4"/>
  <c r="BL111" i="4"/>
  <c r="BK111" i="4"/>
  <c r="BG111" i="4"/>
  <c r="BF111" i="4"/>
  <c r="BE111" i="4"/>
  <c r="BD111" i="4"/>
  <c r="BC111" i="4"/>
  <c r="BB111" i="4"/>
  <c r="BA111" i="4"/>
  <c r="AZ111" i="4"/>
  <c r="AY111" i="4"/>
  <c r="AX111" i="4"/>
  <c r="AW111" i="4"/>
  <c r="AV111" i="4"/>
  <c r="AU111" i="4"/>
  <c r="AT111" i="4"/>
  <c r="BX110" i="4"/>
  <c r="BW110" i="4"/>
  <c r="BV110" i="4"/>
  <c r="BU110" i="4"/>
  <c r="BT110" i="4"/>
  <c r="BS110" i="4"/>
  <c r="BR110" i="4"/>
  <c r="BQ110" i="4"/>
  <c r="BP110" i="4"/>
  <c r="BO110" i="4"/>
  <c r="BN110" i="4"/>
  <c r="BM110" i="4"/>
  <c r="BL110" i="4"/>
  <c r="BK110" i="4"/>
  <c r="BG110" i="4"/>
  <c r="BF110" i="4"/>
  <c r="BE110" i="4"/>
  <c r="BD110" i="4"/>
  <c r="BC110" i="4"/>
  <c r="BB110" i="4"/>
  <c r="BA110" i="4"/>
  <c r="AZ110" i="4"/>
  <c r="AY110" i="4"/>
  <c r="AX110" i="4"/>
  <c r="AW110" i="4"/>
  <c r="AV110" i="4"/>
  <c r="AU110" i="4"/>
  <c r="AT110" i="4"/>
  <c r="BX109" i="4"/>
  <c r="BW109" i="4"/>
  <c r="BV109" i="4"/>
  <c r="BU109" i="4"/>
  <c r="BT109" i="4"/>
  <c r="BS109" i="4"/>
  <c r="BR109" i="4"/>
  <c r="BQ109" i="4"/>
  <c r="BP109" i="4"/>
  <c r="BO109" i="4"/>
  <c r="BN109" i="4"/>
  <c r="BM109" i="4"/>
  <c r="BL109" i="4"/>
  <c r="BK109" i="4"/>
  <c r="BG109" i="4"/>
  <c r="BF109" i="4"/>
  <c r="BE109" i="4"/>
  <c r="BD109" i="4"/>
  <c r="BC109" i="4"/>
  <c r="BB109" i="4"/>
  <c r="BA109" i="4"/>
  <c r="AZ109" i="4"/>
  <c r="AY109" i="4"/>
  <c r="AX109" i="4"/>
  <c r="AW109" i="4"/>
  <c r="AV109" i="4"/>
  <c r="AU109" i="4"/>
  <c r="AT109" i="4"/>
  <c r="BX108" i="4"/>
  <c r="BW108" i="4"/>
  <c r="BV108" i="4"/>
  <c r="BU108" i="4"/>
  <c r="BT108" i="4"/>
  <c r="BS108" i="4"/>
  <c r="BR108" i="4"/>
  <c r="BQ108" i="4"/>
  <c r="BP108" i="4"/>
  <c r="BO108" i="4"/>
  <c r="BN108" i="4"/>
  <c r="BM108" i="4"/>
  <c r="BL108" i="4"/>
  <c r="BK108" i="4"/>
  <c r="BG108" i="4"/>
  <c r="BF108" i="4"/>
  <c r="BE108" i="4"/>
  <c r="BD108" i="4"/>
  <c r="BC108" i="4"/>
  <c r="BB108" i="4"/>
  <c r="BA108" i="4"/>
  <c r="AZ108" i="4"/>
  <c r="AY108" i="4"/>
  <c r="AX108" i="4"/>
  <c r="AW108" i="4"/>
  <c r="AV108" i="4"/>
  <c r="AU108" i="4"/>
  <c r="AT108" i="4"/>
  <c r="BX107" i="4"/>
  <c r="BW107" i="4"/>
  <c r="BV107" i="4"/>
  <c r="BU107" i="4"/>
  <c r="BT107" i="4"/>
  <c r="BS107" i="4"/>
  <c r="BR107" i="4"/>
  <c r="BQ107" i="4"/>
  <c r="BP107" i="4"/>
  <c r="BO107" i="4"/>
  <c r="BN107" i="4"/>
  <c r="BM107" i="4"/>
  <c r="BL107" i="4"/>
  <c r="BK107" i="4"/>
  <c r="BG107" i="4"/>
  <c r="BF107" i="4"/>
  <c r="BE107" i="4"/>
  <c r="BD107" i="4"/>
  <c r="BC107" i="4"/>
  <c r="BB107" i="4"/>
  <c r="BA107" i="4"/>
  <c r="AZ107" i="4"/>
  <c r="AY107" i="4"/>
  <c r="AX107" i="4"/>
  <c r="AW107" i="4"/>
  <c r="AV107" i="4"/>
  <c r="AU107" i="4"/>
  <c r="AT107" i="4"/>
  <c r="BX106" i="4"/>
  <c r="BW106" i="4"/>
  <c r="BV106" i="4"/>
  <c r="BU106" i="4"/>
  <c r="BT106" i="4"/>
  <c r="BS106" i="4"/>
  <c r="BR106" i="4"/>
  <c r="BQ106" i="4"/>
  <c r="BP106" i="4"/>
  <c r="BO106" i="4"/>
  <c r="BN106" i="4"/>
  <c r="BM106" i="4"/>
  <c r="BL106" i="4"/>
  <c r="BK106" i="4"/>
  <c r="BG106" i="4"/>
  <c r="BF106" i="4"/>
  <c r="BE106" i="4"/>
  <c r="BD106" i="4"/>
  <c r="BC106" i="4"/>
  <c r="BB106" i="4"/>
  <c r="BA106" i="4"/>
  <c r="AZ106" i="4"/>
  <c r="AY106" i="4"/>
  <c r="AX106" i="4"/>
  <c r="AW106" i="4"/>
  <c r="AV106" i="4"/>
  <c r="AU106" i="4"/>
  <c r="AT106" i="4"/>
  <c r="BX105" i="4"/>
  <c r="BW105" i="4"/>
  <c r="BV105" i="4"/>
  <c r="BU105" i="4"/>
  <c r="BT105" i="4"/>
  <c r="BS105" i="4"/>
  <c r="BR105" i="4"/>
  <c r="BQ105" i="4"/>
  <c r="BP105" i="4"/>
  <c r="BO105" i="4"/>
  <c r="BN105" i="4"/>
  <c r="BM105" i="4"/>
  <c r="BL105" i="4"/>
  <c r="BK105" i="4"/>
  <c r="BG105" i="4"/>
  <c r="BF105" i="4"/>
  <c r="BE105" i="4"/>
  <c r="BD105" i="4"/>
  <c r="BC105" i="4"/>
  <c r="BB105" i="4"/>
  <c r="BA105" i="4"/>
  <c r="AZ105" i="4"/>
  <c r="AY105" i="4"/>
  <c r="AX105" i="4"/>
  <c r="AW105" i="4"/>
  <c r="AV105" i="4"/>
  <c r="AU105" i="4"/>
  <c r="AT105" i="4"/>
  <c r="BX104" i="4"/>
  <c r="BW104" i="4"/>
  <c r="BV104" i="4"/>
  <c r="BU104" i="4"/>
  <c r="BT104" i="4"/>
  <c r="BS104" i="4"/>
  <c r="BR104" i="4"/>
  <c r="BQ104" i="4"/>
  <c r="BP104" i="4"/>
  <c r="BO104" i="4"/>
  <c r="BN104" i="4"/>
  <c r="BM104" i="4"/>
  <c r="BL104" i="4"/>
  <c r="BK104" i="4"/>
  <c r="BG104" i="4"/>
  <c r="BF104" i="4"/>
  <c r="BE104" i="4"/>
  <c r="BD104" i="4"/>
  <c r="BC104" i="4"/>
  <c r="BB104" i="4"/>
  <c r="BA104" i="4"/>
  <c r="AZ104" i="4"/>
  <c r="AY104" i="4"/>
  <c r="AX104" i="4"/>
  <c r="AW104" i="4"/>
  <c r="AV104" i="4"/>
  <c r="AU104" i="4"/>
  <c r="AT104" i="4"/>
  <c r="BX103" i="4"/>
  <c r="BW103" i="4"/>
  <c r="BV103" i="4"/>
  <c r="BU103" i="4"/>
  <c r="BT103" i="4"/>
  <c r="BS103" i="4"/>
  <c r="BR103" i="4"/>
  <c r="BQ103" i="4"/>
  <c r="BP103" i="4"/>
  <c r="BO103" i="4"/>
  <c r="BN103" i="4"/>
  <c r="BM103" i="4"/>
  <c r="BL103" i="4"/>
  <c r="BK103" i="4"/>
  <c r="BG103" i="4"/>
  <c r="BF103" i="4"/>
  <c r="BE103" i="4"/>
  <c r="BD103" i="4"/>
  <c r="BC103" i="4"/>
  <c r="BB103" i="4"/>
  <c r="BA103" i="4"/>
  <c r="AZ103" i="4"/>
  <c r="AY103" i="4"/>
  <c r="AX103" i="4"/>
  <c r="AW103" i="4"/>
  <c r="AV103" i="4"/>
  <c r="AU103" i="4"/>
  <c r="AT103" i="4"/>
  <c r="BX102" i="4"/>
  <c r="BW102" i="4"/>
  <c r="BV102" i="4"/>
  <c r="BU102" i="4"/>
  <c r="BT102" i="4"/>
  <c r="BS102" i="4"/>
  <c r="BR102" i="4"/>
  <c r="BQ102" i="4"/>
  <c r="BP102" i="4"/>
  <c r="BO102" i="4"/>
  <c r="BN102" i="4"/>
  <c r="BM102" i="4"/>
  <c r="BL102" i="4"/>
  <c r="BK102" i="4"/>
  <c r="BG102" i="4"/>
  <c r="BF102" i="4"/>
  <c r="BE102" i="4"/>
  <c r="BD102" i="4"/>
  <c r="BC102" i="4"/>
  <c r="BB102" i="4"/>
  <c r="BA102" i="4"/>
  <c r="AZ102" i="4"/>
  <c r="AY102" i="4"/>
  <c r="AX102" i="4"/>
  <c r="AW102" i="4"/>
  <c r="AV102" i="4"/>
  <c r="AU102" i="4"/>
  <c r="AT102" i="4"/>
  <c r="BX101" i="4"/>
  <c r="BW101" i="4"/>
  <c r="BV101" i="4"/>
  <c r="BU101" i="4"/>
  <c r="BT101" i="4"/>
  <c r="BS101" i="4"/>
  <c r="BR101" i="4"/>
  <c r="BQ101" i="4"/>
  <c r="BP101" i="4"/>
  <c r="BO101" i="4"/>
  <c r="BN101" i="4"/>
  <c r="BM101" i="4"/>
  <c r="BL101" i="4"/>
  <c r="BK101" i="4"/>
  <c r="BG101" i="4"/>
  <c r="BF101" i="4"/>
  <c r="BE101" i="4"/>
  <c r="BD101" i="4"/>
  <c r="BC101" i="4"/>
  <c r="BB101" i="4"/>
  <c r="BA101" i="4"/>
  <c r="AZ101" i="4"/>
  <c r="AY101" i="4"/>
  <c r="AX101" i="4"/>
  <c r="AW101" i="4"/>
  <c r="AV101" i="4"/>
  <c r="AU101" i="4"/>
  <c r="AT101" i="4"/>
  <c r="BX100" i="4"/>
  <c r="BW100" i="4"/>
  <c r="BV100" i="4"/>
  <c r="BU100" i="4"/>
  <c r="BT100" i="4"/>
  <c r="BS100" i="4"/>
  <c r="BR100" i="4"/>
  <c r="BQ100" i="4"/>
  <c r="BP100" i="4"/>
  <c r="BO100" i="4"/>
  <c r="BN100" i="4"/>
  <c r="BM100" i="4"/>
  <c r="BL100" i="4"/>
  <c r="BK100" i="4"/>
  <c r="BG100" i="4"/>
  <c r="BF100" i="4"/>
  <c r="BE100" i="4"/>
  <c r="BD100" i="4"/>
  <c r="BC100" i="4"/>
  <c r="BB100" i="4"/>
  <c r="BA100" i="4"/>
  <c r="AZ100" i="4"/>
  <c r="AY100" i="4"/>
  <c r="AX100" i="4"/>
  <c r="AW100" i="4"/>
  <c r="AV100" i="4"/>
  <c r="AU100" i="4"/>
  <c r="AT100" i="4"/>
  <c r="BX99" i="4"/>
  <c r="BW99" i="4"/>
  <c r="BV99" i="4"/>
  <c r="BU99" i="4"/>
  <c r="BT99" i="4"/>
  <c r="BS99" i="4"/>
  <c r="BR99" i="4"/>
  <c r="BQ99" i="4"/>
  <c r="BP99" i="4"/>
  <c r="BO99" i="4"/>
  <c r="BN99" i="4"/>
  <c r="BM99" i="4"/>
  <c r="BL99" i="4"/>
  <c r="BK99" i="4"/>
  <c r="BG99" i="4"/>
  <c r="BF99" i="4"/>
  <c r="BE99" i="4"/>
  <c r="BD99" i="4"/>
  <c r="BC99" i="4"/>
  <c r="BB99" i="4"/>
  <c r="BA99" i="4"/>
  <c r="AZ99" i="4"/>
  <c r="AY99" i="4"/>
  <c r="AX99" i="4"/>
  <c r="AW99" i="4"/>
  <c r="AV99" i="4"/>
  <c r="AU99" i="4"/>
  <c r="AT99" i="4"/>
  <c r="BX98" i="4"/>
  <c r="BW98" i="4"/>
  <c r="BV98" i="4"/>
  <c r="BU98" i="4"/>
  <c r="BT98" i="4"/>
  <c r="BS98" i="4"/>
  <c r="BR98" i="4"/>
  <c r="BQ98" i="4"/>
  <c r="BP98" i="4"/>
  <c r="BO98" i="4"/>
  <c r="BN98" i="4"/>
  <c r="BM98" i="4"/>
  <c r="BL98" i="4"/>
  <c r="BK98" i="4"/>
  <c r="BG98" i="4"/>
  <c r="BF98" i="4"/>
  <c r="BE98" i="4"/>
  <c r="BD98" i="4"/>
  <c r="BC98" i="4"/>
  <c r="BB98" i="4"/>
  <c r="BA98" i="4"/>
  <c r="AZ98" i="4"/>
  <c r="AY98" i="4"/>
  <c r="AX98" i="4"/>
  <c r="AW98" i="4"/>
  <c r="AV98" i="4"/>
  <c r="AU98" i="4"/>
  <c r="AT98" i="4"/>
  <c r="BX97" i="4"/>
  <c r="BW97" i="4"/>
  <c r="BV97" i="4"/>
  <c r="BU97" i="4"/>
  <c r="BT97" i="4"/>
  <c r="BS97" i="4"/>
  <c r="BR97" i="4"/>
  <c r="BQ97" i="4"/>
  <c r="BP97" i="4"/>
  <c r="BO97" i="4"/>
  <c r="BN97" i="4"/>
  <c r="BM97" i="4"/>
  <c r="BL97" i="4"/>
  <c r="BK97" i="4"/>
  <c r="BG97" i="4"/>
  <c r="BF97" i="4"/>
  <c r="BE97" i="4"/>
  <c r="BD97" i="4"/>
  <c r="BC97" i="4"/>
  <c r="BB97" i="4"/>
  <c r="BA97" i="4"/>
  <c r="AZ97" i="4"/>
  <c r="AY97" i="4"/>
  <c r="AX97" i="4"/>
  <c r="AW97" i="4"/>
  <c r="AV97" i="4"/>
  <c r="AU97" i="4"/>
  <c r="AT97" i="4"/>
  <c r="BX96" i="4"/>
  <c r="BW96" i="4"/>
  <c r="BV96" i="4"/>
  <c r="BU96" i="4"/>
  <c r="BT96" i="4"/>
  <c r="BS96" i="4"/>
  <c r="BR96" i="4"/>
  <c r="BQ96" i="4"/>
  <c r="BP96" i="4"/>
  <c r="BO96" i="4"/>
  <c r="BN96" i="4"/>
  <c r="BM96" i="4"/>
  <c r="BL96" i="4"/>
  <c r="BK96" i="4"/>
  <c r="BG96" i="4"/>
  <c r="BF96" i="4"/>
  <c r="BE96" i="4"/>
  <c r="BD96" i="4"/>
  <c r="BC96" i="4"/>
  <c r="BB96" i="4"/>
  <c r="BA96" i="4"/>
  <c r="AZ96" i="4"/>
  <c r="AY96" i="4"/>
  <c r="AX96" i="4"/>
  <c r="AW96" i="4"/>
  <c r="AV96" i="4"/>
  <c r="AU96" i="4"/>
  <c r="AT96" i="4"/>
  <c r="BX95" i="4"/>
  <c r="BW95" i="4"/>
  <c r="BV95" i="4"/>
  <c r="BU95" i="4"/>
  <c r="BT95" i="4"/>
  <c r="BS95" i="4"/>
  <c r="BR95" i="4"/>
  <c r="BQ95" i="4"/>
  <c r="BP95" i="4"/>
  <c r="BO95" i="4"/>
  <c r="BN95" i="4"/>
  <c r="BM95" i="4"/>
  <c r="BL95" i="4"/>
  <c r="BK95" i="4"/>
  <c r="BG95" i="4"/>
  <c r="BF95" i="4"/>
  <c r="BE95" i="4"/>
  <c r="BD95" i="4"/>
  <c r="BC95" i="4"/>
  <c r="BB95" i="4"/>
  <c r="BA95" i="4"/>
  <c r="AZ95" i="4"/>
  <c r="AY95" i="4"/>
  <c r="AX95" i="4"/>
  <c r="AW95" i="4"/>
  <c r="AV95" i="4"/>
  <c r="AU95" i="4"/>
  <c r="AT95" i="4"/>
  <c r="BX94" i="4"/>
  <c r="BW94" i="4"/>
  <c r="BV94" i="4"/>
  <c r="BU94" i="4"/>
  <c r="BT94" i="4"/>
  <c r="BS94" i="4"/>
  <c r="BR94" i="4"/>
  <c r="BQ94" i="4"/>
  <c r="BP94" i="4"/>
  <c r="BO94" i="4"/>
  <c r="BN94" i="4"/>
  <c r="BM94" i="4"/>
  <c r="BL94" i="4"/>
  <c r="BK94" i="4"/>
  <c r="BG94" i="4"/>
  <c r="BF94" i="4"/>
  <c r="BE94" i="4"/>
  <c r="BD94" i="4"/>
  <c r="BC94" i="4"/>
  <c r="BB94" i="4"/>
  <c r="BA94" i="4"/>
  <c r="AZ94" i="4"/>
  <c r="AY94" i="4"/>
  <c r="AX94" i="4"/>
  <c r="AW94" i="4"/>
  <c r="AV94" i="4"/>
  <c r="AU94" i="4"/>
  <c r="AT94" i="4"/>
  <c r="BX93" i="4"/>
  <c r="BW93" i="4"/>
  <c r="BV93" i="4"/>
  <c r="BU93" i="4"/>
  <c r="BT93" i="4"/>
  <c r="BS93" i="4"/>
  <c r="BR93" i="4"/>
  <c r="BQ93" i="4"/>
  <c r="BP93" i="4"/>
  <c r="BO93" i="4"/>
  <c r="BN93" i="4"/>
  <c r="BM93" i="4"/>
  <c r="BL93" i="4"/>
  <c r="BK93" i="4"/>
  <c r="BG93" i="4"/>
  <c r="BF93" i="4"/>
  <c r="BE93" i="4"/>
  <c r="BD93" i="4"/>
  <c r="BC93" i="4"/>
  <c r="BB93" i="4"/>
  <c r="BA93" i="4"/>
  <c r="AZ93" i="4"/>
  <c r="AY93" i="4"/>
  <c r="AX93" i="4"/>
  <c r="AW93" i="4"/>
  <c r="AV93" i="4"/>
  <c r="AU93" i="4"/>
  <c r="AT93" i="4"/>
  <c r="BX92" i="4"/>
  <c r="BW92" i="4"/>
  <c r="BV92" i="4"/>
  <c r="BU92" i="4"/>
  <c r="BT92" i="4"/>
  <c r="BS92" i="4"/>
  <c r="BR92" i="4"/>
  <c r="BQ92" i="4"/>
  <c r="BP92" i="4"/>
  <c r="BO92" i="4"/>
  <c r="BN92" i="4"/>
  <c r="BM92" i="4"/>
  <c r="BL92" i="4"/>
  <c r="BK92" i="4"/>
  <c r="BG92" i="4"/>
  <c r="BF92" i="4"/>
  <c r="BE92" i="4"/>
  <c r="BD92" i="4"/>
  <c r="BC92" i="4"/>
  <c r="BB92" i="4"/>
  <c r="BA92" i="4"/>
  <c r="AZ92" i="4"/>
  <c r="AY92" i="4"/>
  <c r="AX92" i="4"/>
  <c r="AW92" i="4"/>
  <c r="AV92" i="4"/>
  <c r="AU92" i="4"/>
  <c r="AT92" i="4"/>
  <c r="BX91" i="4"/>
  <c r="BW91" i="4"/>
  <c r="BV91" i="4"/>
  <c r="BU91" i="4"/>
  <c r="BT91" i="4"/>
  <c r="BS91" i="4"/>
  <c r="BR91" i="4"/>
  <c r="BQ91" i="4"/>
  <c r="BP91" i="4"/>
  <c r="BO91" i="4"/>
  <c r="BN91" i="4"/>
  <c r="BM91" i="4"/>
  <c r="BL91" i="4"/>
  <c r="BK91" i="4"/>
  <c r="BG91" i="4"/>
  <c r="BF91" i="4"/>
  <c r="BE91" i="4"/>
  <c r="BD91" i="4"/>
  <c r="BC91" i="4"/>
  <c r="BB91" i="4"/>
  <c r="BA91" i="4"/>
  <c r="AZ91" i="4"/>
  <c r="AY91" i="4"/>
  <c r="AX91" i="4"/>
  <c r="AW91" i="4"/>
  <c r="AV91" i="4"/>
  <c r="AU91" i="4"/>
  <c r="AT91" i="4"/>
  <c r="BX90" i="4"/>
  <c r="BW90" i="4"/>
  <c r="BV90" i="4"/>
  <c r="BU90" i="4"/>
  <c r="BT90" i="4"/>
  <c r="BS90" i="4"/>
  <c r="BR90" i="4"/>
  <c r="BQ90" i="4"/>
  <c r="BP90" i="4"/>
  <c r="BO90" i="4"/>
  <c r="BN90" i="4"/>
  <c r="BM90" i="4"/>
  <c r="BL90" i="4"/>
  <c r="BK90" i="4"/>
  <c r="BG90" i="4"/>
  <c r="BF90" i="4"/>
  <c r="BE90" i="4"/>
  <c r="BD90" i="4"/>
  <c r="BC90" i="4"/>
  <c r="BB90" i="4"/>
  <c r="BA90" i="4"/>
  <c r="AZ90" i="4"/>
  <c r="AY90" i="4"/>
  <c r="AX90" i="4"/>
  <c r="AW90" i="4"/>
  <c r="AV90" i="4"/>
  <c r="AU90" i="4"/>
  <c r="AT90" i="4"/>
  <c r="BX89" i="4"/>
  <c r="BW89" i="4"/>
  <c r="BV89" i="4"/>
  <c r="BU89" i="4"/>
  <c r="BT89" i="4"/>
  <c r="BS89" i="4"/>
  <c r="BR89" i="4"/>
  <c r="BQ89" i="4"/>
  <c r="BP89" i="4"/>
  <c r="BO89" i="4"/>
  <c r="BN89" i="4"/>
  <c r="BM89" i="4"/>
  <c r="BL89" i="4"/>
  <c r="BK89" i="4"/>
  <c r="BG89" i="4"/>
  <c r="BF89" i="4"/>
  <c r="BE89" i="4"/>
  <c r="BD89" i="4"/>
  <c r="BC89" i="4"/>
  <c r="BB89" i="4"/>
  <c r="BA89" i="4"/>
  <c r="AZ89" i="4"/>
  <c r="AY89" i="4"/>
  <c r="AX89" i="4"/>
  <c r="AW89" i="4"/>
  <c r="AV89" i="4"/>
  <c r="AU89" i="4"/>
  <c r="AT89" i="4"/>
  <c r="BX88" i="4"/>
  <c r="BW88" i="4"/>
  <c r="BV88" i="4"/>
  <c r="BU88" i="4"/>
  <c r="BT88" i="4"/>
  <c r="BS88" i="4"/>
  <c r="BR88" i="4"/>
  <c r="BQ88" i="4"/>
  <c r="BP88" i="4"/>
  <c r="BO88" i="4"/>
  <c r="BN88" i="4"/>
  <c r="BM88" i="4"/>
  <c r="BL88" i="4"/>
  <c r="BK88" i="4"/>
  <c r="BG88" i="4"/>
  <c r="BF88" i="4"/>
  <c r="BE88" i="4"/>
  <c r="BD88" i="4"/>
  <c r="BC88" i="4"/>
  <c r="BB88" i="4"/>
  <c r="BA88" i="4"/>
  <c r="AZ88" i="4"/>
  <c r="AY88" i="4"/>
  <c r="AX88" i="4"/>
  <c r="AW88" i="4"/>
  <c r="AV88" i="4"/>
  <c r="AU88" i="4"/>
  <c r="AT88" i="4"/>
  <c r="BX87" i="4"/>
  <c r="BW87" i="4"/>
  <c r="BV87" i="4"/>
  <c r="BU87" i="4"/>
  <c r="BT87" i="4"/>
  <c r="BS87" i="4"/>
  <c r="BR87" i="4"/>
  <c r="BQ87" i="4"/>
  <c r="BP87" i="4"/>
  <c r="BO87" i="4"/>
  <c r="BN87" i="4"/>
  <c r="BM87" i="4"/>
  <c r="BL87" i="4"/>
  <c r="BK87" i="4"/>
  <c r="BG87" i="4"/>
  <c r="BF87" i="4"/>
  <c r="BE87" i="4"/>
  <c r="BD87" i="4"/>
  <c r="BC87" i="4"/>
  <c r="BB87" i="4"/>
  <c r="BA87" i="4"/>
  <c r="AZ87" i="4"/>
  <c r="AY87" i="4"/>
  <c r="AX87" i="4"/>
  <c r="AW87" i="4"/>
  <c r="AV87" i="4"/>
  <c r="AU87" i="4"/>
  <c r="AT87" i="4"/>
  <c r="BX86" i="4"/>
  <c r="BW86" i="4"/>
  <c r="BV86" i="4"/>
  <c r="BU86" i="4"/>
  <c r="BT86" i="4"/>
  <c r="BS86" i="4"/>
  <c r="BR86" i="4"/>
  <c r="BQ86" i="4"/>
  <c r="BP86" i="4"/>
  <c r="BO86" i="4"/>
  <c r="BN86" i="4"/>
  <c r="BM86" i="4"/>
  <c r="BL86" i="4"/>
  <c r="BK86" i="4"/>
  <c r="BG86" i="4"/>
  <c r="BF86" i="4"/>
  <c r="BE86" i="4"/>
  <c r="BD86" i="4"/>
  <c r="BC86" i="4"/>
  <c r="BB86" i="4"/>
  <c r="BA86" i="4"/>
  <c r="AZ86" i="4"/>
  <c r="AY86" i="4"/>
  <c r="AX86" i="4"/>
  <c r="AW86" i="4"/>
  <c r="AV86" i="4"/>
  <c r="AU86" i="4"/>
  <c r="AT86" i="4"/>
  <c r="BX85" i="4"/>
  <c r="BW85" i="4"/>
  <c r="BV85" i="4"/>
  <c r="BU85" i="4"/>
  <c r="BT85" i="4"/>
  <c r="BS85" i="4"/>
  <c r="BR85" i="4"/>
  <c r="BQ85" i="4"/>
  <c r="BP85" i="4"/>
  <c r="BO85" i="4"/>
  <c r="BN85" i="4"/>
  <c r="BM85" i="4"/>
  <c r="BL85" i="4"/>
  <c r="BK85" i="4"/>
  <c r="BG85" i="4"/>
  <c r="BF85" i="4"/>
  <c r="BE85" i="4"/>
  <c r="BD85" i="4"/>
  <c r="BC85" i="4"/>
  <c r="BB85" i="4"/>
  <c r="BA85" i="4"/>
  <c r="AZ85" i="4"/>
  <c r="AY85" i="4"/>
  <c r="AX85" i="4"/>
  <c r="AW85" i="4"/>
  <c r="AV85" i="4"/>
  <c r="AU85" i="4"/>
  <c r="AT85" i="4"/>
  <c r="BX84" i="4"/>
  <c r="BW84" i="4"/>
  <c r="BV84" i="4"/>
  <c r="BU84" i="4"/>
  <c r="BT84" i="4"/>
  <c r="BS84" i="4"/>
  <c r="BR84" i="4"/>
  <c r="BQ84" i="4"/>
  <c r="BP84" i="4"/>
  <c r="BO84" i="4"/>
  <c r="BN84" i="4"/>
  <c r="BM84" i="4"/>
  <c r="BL84" i="4"/>
  <c r="BF84" i="4"/>
  <c r="BE84" i="4"/>
  <c r="BD84" i="4"/>
  <c r="BC84" i="4"/>
  <c r="BB84" i="4"/>
  <c r="BA84" i="4"/>
  <c r="AZ84" i="4"/>
  <c r="AY84" i="4"/>
  <c r="AX84" i="4"/>
  <c r="AW84" i="4"/>
  <c r="AV84" i="4"/>
  <c r="AU84" i="4"/>
  <c r="AT84" i="4"/>
  <c r="BX83" i="4"/>
  <c r="BW83" i="4"/>
  <c r="BV83" i="4"/>
  <c r="BU83" i="4"/>
  <c r="BT83" i="4"/>
  <c r="BS83" i="4"/>
  <c r="BR83" i="4"/>
  <c r="BQ83" i="4"/>
  <c r="BP83" i="4"/>
  <c r="BO83" i="4"/>
  <c r="BN83" i="4"/>
  <c r="BM83" i="4"/>
  <c r="BL83" i="4"/>
  <c r="BF83" i="4"/>
  <c r="BE83" i="4"/>
  <c r="BD83" i="4"/>
  <c r="BC83" i="4"/>
  <c r="BB83" i="4"/>
  <c r="BA83" i="4"/>
  <c r="AZ83" i="4"/>
  <c r="AY83" i="4"/>
  <c r="AX83" i="4"/>
  <c r="AW83" i="4"/>
  <c r="AV83" i="4"/>
  <c r="AU83" i="4"/>
  <c r="AT83" i="4"/>
  <c r="BX82" i="4"/>
  <c r="BW82" i="4"/>
  <c r="BV82" i="4"/>
  <c r="BU82" i="4"/>
  <c r="BT82" i="4"/>
  <c r="BS82" i="4"/>
  <c r="BR82" i="4"/>
  <c r="BQ82" i="4"/>
  <c r="BP82" i="4"/>
  <c r="BO82" i="4"/>
  <c r="BN82" i="4"/>
  <c r="BM82" i="4"/>
  <c r="BE82" i="4"/>
  <c r="BD82" i="4"/>
  <c r="BC82" i="4"/>
  <c r="BB82" i="4"/>
  <c r="BA82" i="4"/>
  <c r="AZ82" i="4"/>
  <c r="AY82" i="4"/>
  <c r="AX82" i="4"/>
  <c r="AW82" i="4"/>
  <c r="AV82" i="4"/>
  <c r="AU82" i="4"/>
  <c r="AT82" i="4"/>
  <c r="BX81" i="4"/>
  <c r="BW81" i="4"/>
  <c r="BV81" i="4"/>
  <c r="BU81" i="4"/>
  <c r="BT81" i="4"/>
  <c r="BS81" i="4"/>
  <c r="BR81" i="4"/>
  <c r="BQ81" i="4"/>
  <c r="BP81" i="4"/>
  <c r="BO81" i="4"/>
  <c r="BN81" i="4"/>
  <c r="BD81" i="4"/>
  <c r="BC81" i="4"/>
  <c r="BB81" i="4"/>
  <c r="BA81" i="4"/>
  <c r="AZ81" i="4"/>
  <c r="AY81" i="4"/>
  <c r="AX81" i="4"/>
  <c r="AW81" i="4"/>
  <c r="AV81" i="4"/>
  <c r="AU81" i="4"/>
  <c r="AT81" i="4"/>
  <c r="BX80" i="4"/>
  <c r="BW80" i="4"/>
  <c r="BV80" i="4"/>
  <c r="BU80" i="4"/>
  <c r="BT80" i="4"/>
  <c r="BS80" i="4"/>
  <c r="BR80" i="4"/>
  <c r="BQ80" i="4"/>
  <c r="BP80" i="4"/>
  <c r="BO80" i="4"/>
  <c r="BC80" i="4"/>
  <c r="BB80" i="4"/>
  <c r="BA80" i="4"/>
  <c r="AZ80" i="4"/>
  <c r="AY80" i="4"/>
  <c r="AX80" i="4"/>
  <c r="AW80" i="4"/>
  <c r="AV80" i="4"/>
  <c r="AU80" i="4"/>
  <c r="AT80" i="4"/>
  <c r="BX79" i="4"/>
  <c r="BW79" i="4"/>
  <c r="BV79" i="4"/>
  <c r="BU79" i="4"/>
  <c r="BT79" i="4"/>
  <c r="BS79" i="4"/>
  <c r="BR79" i="4"/>
  <c r="BQ79" i="4"/>
  <c r="BP79" i="4"/>
  <c r="BO79" i="4"/>
  <c r="BC79" i="4"/>
  <c r="BB79" i="4"/>
  <c r="BA79" i="4"/>
  <c r="AZ79" i="4"/>
  <c r="AY79" i="4"/>
  <c r="AX79" i="4"/>
  <c r="AW79" i="4"/>
  <c r="AV79" i="4"/>
  <c r="AU79" i="4"/>
  <c r="AT79" i="4"/>
  <c r="BX78" i="4"/>
  <c r="BW78" i="4"/>
  <c r="BV78" i="4"/>
  <c r="BU78" i="4"/>
  <c r="BT78" i="4"/>
  <c r="BS78" i="4"/>
  <c r="BR78" i="4"/>
  <c r="BQ78" i="4"/>
  <c r="BP78" i="4"/>
  <c r="BB78" i="4"/>
  <c r="BA78" i="4"/>
  <c r="AZ78" i="4"/>
  <c r="AY78" i="4"/>
  <c r="AX78" i="4"/>
  <c r="AW78" i="4"/>
  <c r="AV78" i="4"/>
  <c r="AU78" i="4"/>
  <c r="AT78" i="4"/>
  <c r="BX77" i="4"/>
  <c r="BW77" i="4"/>
  <c r="BV77" i="4"/>
  <c r="BU77" i="4"/>
  <c r="BT77" i="4"/>
  <c r="BS77" i="4"/>
  <c r="BR77" i="4"/>
  <c r="BQ77" i="4"/>
  <c r="BP77" i="4"/>
  <c r="BB77" i="4"/>
  <c r="BA77" i="4"/>
  <c r="AZ77" i="4"/>
  <c r="AY77" i="4"/>
  <c r="AX77" i="4"/>
  <c r="AW77" i="4"/>
  <c r="AV77" i="4"/>
  <c r="AU77" i="4"/>
  <c r="AT77" i="4"/>
  <c r="BX76" i="4"/>
  <c r="BW76" i="4"/>
  <c r="BV76" i="4"/>
  <c r="BU76" i="4"/>
  <c r="BT76" i="4"/>
  <c r="BS76" i="4"/>
  <c r="BR76" i="4"/>
  <c r="BQ76" i="4"/>
  <c r="BP76" i="4"/>
  <c r="BB76" i="4"/>
  <c r="BA76" i="4"/>
  <c r="AZ76" i="4"/>
  <c r="AY76" i="4"/>
  <c r="AX76" i="4"/>
  <c r="AW76" i="4"/>
  <c r="AV76" i="4"/>
  <c r="AU76" i="4"/>
  <c r="AT76" i="4"/>
  <c r="BX75" i="4"/>
  <c r="BW75" i="4"/>
  <c r="BV75" i="4"/>
  <c r="BU75" i="4"/>
  <c r="BT75" i="4"/>
  <c r="BS75" i="4"/>
  <c r="BR75" i="4"/>
  <c r="BQ75" i="4"/>
  <c r="BP75" i="4"/>
  <c r="BB75" i="4"/>
  <c r="BA75" i="4"/>
  <c r="AZ75" i="4"/>
  <c r="AY75" i="4"/>
  <c r="AX75" i="4"/>
  <c r="AW75" i="4"/>
  <c r="AV75" i="4"/>
  <c r="AU75" i="4"/>
  <c r="AT75" i="4"/>
  <c r="BX74" i="4"/>
  <c r="BW74" i="4"/>
  <c r="BV74" i="4"/>
  <c r="BU74" i="4"/>
  <c r="BT74" i="4"/>
  <c r="BS74" i="4"/>
  <c r="BR74" i="4"/>
  <c r="BQ74" i="4"/>
  <c r="BP74" i="4"/>
  <c r="BO74" i="4"/>
  <c r="BN74" i="4"/>
  <c r="BM74" i="4"/>
  <c r="BL74" i="4"/>
  <c r="BK74" i="4"/>
  <c r="BJ74" i="4"/>
  <c r="BI74" i="4"/>
  <c r="BH74" i="4"/>
  <c r="BG74" i="4"/>
  <c r="BF74" i="4"/>
  <c r="BE74" i="4"/>
  <c r="BD74" i="4"/>
  <c r="BC74" i="4"/>
  <c r="BB74" i="4"/>
  <c r="BA74" i="4"/>
  <c r="AZ74" i="4"/>
  <c r="AY74" i="4"/>
  <c r="AX74" i="4"/>
  <c r="AW74" i="4"/>
  <c r="AV74" i="4"/>
  <c r="AU74" i="4"/>
  <c r="AT74" i="4"/>
  <c r="AK128" i="4"/>
  <c r="AJ128" i="4"/>
  <c r="H128" i="4"/>
  <c r="G128" i="4"/>
  <c r="AK127" i="4"/>
  <c r="AJ127" i="4"/>
  <c r="H127" i="4"/>
  <c r="G127" i="4"/>
  <c r="AK126" i="4"/>
  <c r="AJ126" i="4"/>
  <c r="AI126" i="4"/>
  <c r="I126" i="4"/>
  <c r="H126" i="4"/>
  <c r="G126" i="4"/>
  <c r="AK125" i="4"/>
  <c r="AJ125" i="4"/>
  <c r="AI125" i="4"/>
  <c r="I125" i="4"/>
  <c r="H125" i="4"/>
  <c r="G125" i="4"/>
  <c r="AK124" i="4"/>
  <c r="AJ124" i="4"/>
  <c r="AI124" i="4"/>
  <c r="AH124" i="4"/>
  <c r="J124" i="4"/>
  <c r="I124" i="4"/>
  <c r="H124" i="4"/>
  <c r="G124" i="4"/>
  <c r="AK123" i="4"/>
  <c r="AJ123" i="4"/>
  <c r="AI123" i="4"/>
  <c r="AH123" i="4"/>
  <c r="AG123" i="4"/>
  <c r="AF123" i="4"/>
  <c r="L123" i="4"/>
  <c r="K123" i="4"/>
  <c r="J123" i="4"/>
  <c r="I123" i="4"/>
  <c r="H123" i="4"/>
  <c r="G123" i="4"/>
  <c r="AK122" i="4"/>
  <c r="AJ122" i="4"/>
  <c r="AI122" i="4"/>
  <c r="AH122" i="4"/>
  <c r="AG122" i="4"/>
  <c r="AF122" i="4"/>
  <c r="AE122" i="4"/>
  <c r="AD122" i="4"/>
  <c r="N122" i="4"/>
  <c r="M122" i="4"/>
  <c r="L122" i="4"/>
  <c r="K122" i="4"/>
  <c r="J122" i="4"/>
  <c r="I122" i="4"/>
  <c r="H122" i="4"/>
  <c r="G122" i="4"/>
  <c r="AK121" i="4"/>
  <c r="AJ121" i="4"/>
  <c r="AI121" i="4"/>
  <c r="AH121" i="4"/>
  <c r="AG121" i="4"/>
  <c r="AF121" i="4"/>
  <c r="AE121" i="4"/>
  <c r="AD121" i="4"/>
  <c r="AC121" i="4"/>
  <c r="O121" i="4"/>
  <c r="N121" i="4"/>
  <c r="M121" i="4"/>
  <c r="L121" i="4"/>
  <c r="K121" i="4"/>
  <c r="J121" i="4"/>
  <c r="I121" i="4"/>
  <c r="H121" i="4"/>
  <c r="G121" i="4"/>
  <c r="AK120" i="4"/>
  <c r="AJ120" i="4"/>
  <c r="AI120" i="4"/>
  <c r="AH120" i="4"/>
  <c r="AG120" i="4"/>
  <c r="AF120" i="4"/>
  <c r="AE120" i="4"/>
  <c r="AD120" i="4"/>
  <c r="AC120" i="4"/>
  <c r="AB120" i="4"/>
  <c r="P120" i="4"/>
  <c r="O120" i="4"/>
  <c r="N120" i="4"/>
  <c r="M120" i="4"/>
  <c r="L120" i="4"/>
  <c r="K120" i="4"/>
  <c r="J120" i="4"/>
  <c r="I120" i="4"/>
  <c r="H120" i="4"/>
  <c r="G120" i="4"/>
  <c r="AK119" i="4"/>
  <c r="AJ119" i="4"/>
  <c r="AI119" i="4"/>
  <c r="AH119" i="4"/>
  <c r="AG119" i="4"/>
  <c r="AF119" i="4"/>
  <c r="AE119" i="4"/>
  <c r="AD119" i="4"/>
  <c r="AC119" i="4"/>
  <c r="AB119" i="4"/>
  <c r="AA119" i="4"/>
  <c r="Q119" i="4"/>
  <c r="P119" i="4"/>
  <c r="O119" i="4"/>
  <c r="N119" i="4"/>
  <c r="M119" i="4"/>
  <c r="L119" i="4"/>
  <c r="K119" i="4"/>
  <c r="J119" i="4"/>
  <c r="I119" i="4"/>
  <c r="H119" i="4"/>
  <c r="G119" i="4"/>
  <c r="AK118" i="4"/>
  <c r="AJ118" i="4"/>
  <c r="AI118" i="4"/>
  <c r="AH118" i="4"/>
  <c r="AG118" i="4"/>
  <c r="AF118" i="4"/>
  <c r="AE118" i="4"/>
  <c r="AD118" i="4"/>
  <c r="AC118" i="4"/>
  <c r="AB118" i="4"/>
  <c r="AA118" i="4"/>
  <c r="Q118" i="4"/>
  <c r="P118" i="4"/>
  <c r="O118" i="4"/>
  <c r="N118" i="4"/>
  <c r="M118" i="4"/>
  <c r="L118" i="4"/>
  <c r="K118" i="4"/>
  <c r="J118" i="4"/>
  <c r="I118" i="4"/>
  <c r="H118" i="4"/>
  <c r="G118" i="4"/>
  <c r="AK117" i="4"/>
  <c r="AJ117" i="4"/>
  <c r="AI117" i="4"/>
  <c r="AH117" i="4"/>
  <c r="AG117" i="4"/>
  <c r="AF117" i="4"/>
  <c r="AE117" i="4"/>
  <c r="AD117" i="4"/>
  <c r="AC117" i="4"/>
  <c r="AB117" i="4"/>
  <c r="AA117" i="4"/>
  <c r="Z117" i="4"/>
  <c r="R117" i="4"/>
  <c r="Q117" i="4"/>
  <c r="P117" i="4"/>
  <c r="O117" i="4"/>
  <c r="N117" i="4"/>
  <c r="M117" i="4"/>
  <c r="L117" i="4"/>
  <c r="K117" i="4"/>
  <c r="J117" i="4"/>
  <c r="I117" i="4"/>
  <c r="H117" i="4"/>
  <c r="G117" i="4"/>
  <c r="AK116" i="4"/>
  <c r="AJ116" i="4"/>
  <c r="AI116" i="4"/>
  <c r="AH116" i="4"/>
  <c r="AG116" i="4"/>
  <c r="AF116" i="4"/>
  <c r="AE116" i="4"/>
  <c r="AD116" i="4"/>
  <c r="AC116" i="4"/>
  <c r="AB116" i="4"/>
  <c r="AA116" i="4"/>
  <c r="Z116" i="4"/>
  <c r="R116" i="4"/>
  <c r="Q116" i="4"/>
  <c r="P116" i="4"/>
  <c r="O116" i="4"/>
  <c r="N116" i="4"/>
  <c r="M116" i="4"/>
  <c r="L116" i="4"/>
  <c r="K116" i="4"/>
  <c r="J116" i="4"/>
  <c r="I116" i="4"/>
  <c r="H116" i="4"/>
  <c r="G116" i="4"/>
  <c r="AK115" i="4"/>
  <c r="AJ115" i="4"/>
  <c r="AI115" i="4"/>
  <c r="AH115" i="4"/>
  <c r="AG115" i="4"/>
  <c r="AF115" i="4"/>
  <c r="AE115" i="4"/>
  <c r="AD115" i="4"/>
  <c r="AC115" i="4"/>
  <c r="AB115" i="4"/>
  <c r="AA115" i="4"/>
  <c r="Z115" i="4"/>
  <c r="Y115" i="4"/>
  <c r="S115" i="4"/>
  <c r="R115" i="4"/>
  <c r="Q115" i="4"/>
  <c r="P115" i="4"/>
  <c r="O115" i="4"/>
  <c r="N115" i="4"/>
  <c r="M115" i="4"/>
  <c r="L115" i="4"/>
  <c r="K115" i="4"/>
  <c r="J115" i="4"/>
  <c r="I115" i="4"/>
  <c r="H115" i="4"/>
  <c r="G115" i="4"/>
  <c r="AK114" i="4"/>
  <c r="AJ114" i="4"/>
  <c r="AI114" i="4"/>
  <c r="AH114" i="4"/>
  <c r="AG114" i="4"/>
  <c r="AF114" i="4"/>
  <c r="AE114" i="4"/>
  <c r="AD114" i="4"/>
  <c r="AC114" i="4"/>
  <c r="AB114" i="4"/>
  <c r="AA114" i="4"/>
  <c r="Z114" i="4"/>
  <c r="Y114" i="4"/>
  <c r="S114" i="4"/>
  <c r="R114" i="4"/>
  <c r="Q114" i="4"/>
  <c r="P114" i="4"/>
  <c r="O114" i="4"/>
  <c r="N114" i="4"/>
  <c r="M114" i="4"/>
  <c r="L114" i="4"/>
  <c r="K114" i="4"/>
  <c r="J114" i="4"/>
  <c r="I114" i="4"/>
  <c r="H114" i="4"/>
  <c r="G114" i="4"/>
  <c r="AK113" i="4"/>
  <c r="AJ113" i="4"/>
  <c r="AI113" i="4"/>
  <c r="AH113" i="4"/>
  <c r="AG113" i="4"/>
  <c r="AF113" i="4"/>
  <c r="AE113" i="4"/>
  <c r="AD113" i="4"/>
  <c r="AC113" i="4"/>
  <c r="AB113" i="4"/>
  <c r="AA113" i="4"/>
  <c r="Z113" i="4"/>
  <c r="Y113" i="4"/>
  <c r="S113" i="4"/>
  <c r="R113" i="4"/>
  <c r="Q113" i="4"/>
  <c r="P113" i="4"/>
  <c r="O113" i="4"/>
  <c r="N113" i="4"/>
  <c r="M113" i="4"/>
  <c r="L113" i="4"/>
  <c r="K113" i="4"/>
  <c r="J113" i="4"/>
  <c r="I113" i="4"/>
  <c r="H113" i="4"/>
  <c r="G113" i="4"/>
  <c r="AK112" i="4"/>
  <c r="AJ112" i="4"/>
  <c r="AI112" i="4"/>
  <c r="AH112" i="4"/>
  <c r="AG112" i="4"/>
  <c r="AF112" i="4"/>
  <c r="AE112" i="4"/>
  <c r="AD112" i="4"/>
  <c r="AC112" i="4"/>
  <c r="AB112" i="4"/>
  <c r="AA112" i="4"/>
  <c r="Z112" i="4"/>
  <c r="Y112" i="4"/>
  <c r="X112" i="4"/>
  <c r="T112" i="4"/>
  <c r="S112" i="4"/>
  <c r="R112" i="4"/>
  <c r="Q112" i="4"/>
  <c r="P112" i="4"/>
  <c r="O112" i="4"/>
  <c r="N112" i="4"/>
  <c r="M112" i="4"/>
  <c r="L112" i="4"/>
  <c r="K112" i="4"/>
  <c r="J112" i="4"/>
  <c r="I112" i="4"/>
  <c r="H112" i="4"/>
  <c r="G112" i="4"/>
  <c r="AK111" i="4"/>
  <c r="AJ111" i="4"/>
  <c r="AI111" i="4"/>
  <c r="AH111" i="4"/>
  <c r="AG111" i="4"/>
  <c r="AF111" i="4"/>
  <c r="AE111" i="4"/>
  <c r="AD111" i="4"/>
  <c r="AC111" i="4"/>
  <c r="AB111" i="4"/>
  <c r="AA111" i="4"/>
  <c r="Z111" i="4"/>
  <c r="Y111" i="4"/>
  <c r="X111" i="4"/>
  <c r="T111" i="4"/>
  <c r="S111" i="4"/>
  <c r="R111" i="4"/>
  <c r="Q111" i="4"/>
  <c r="P111" i="4"/>
  <c r="O111" i="4"/>
  <c r="N111" i="4"/>
  <c r="M111" i="4"/>
  <c r="L111" i="4"/>
  <c r="K111" i="4"/>
  <c r="J111" i="4"/>
  <c r="I111" i="4"/>
  <c r="H111" i="4"/>
  <c r="G111" i="4"/>
  <c r="AK110" i="4"/>
  <c r="AJ110" i="4"/>
  <c r="AI110" i="4"/>
  <c r="AH110" i="4"/>
  <c r="AG110" i="4"/>
  <c r="AF110" i="4"/>
  <c r="AE110" i="4"/>
  <c r="AD110" i="4"/>
  <c r="AC110" i="4"/>
  <c r="AB110" i="4"/>
  <c r="AA110" i="4"/>
  <c r="Z110" i="4"/>
  <c r="Y110" i="4"/>
  <c r="X110" i="4"/>
  <c r="T110" i="4"/>
  <c r="S110" i="4"/>
  <c r="R110" i="4"/>
  <c r="Q110" i="4"/>
  <c r="P110" i="4"/>
  <c r="O110" i="4"/>
  <c r="N110" i="4"/>
  <c r="M110" i="4"/>
  <c r="L110" i="4"/>
  <c r="K110" i="4"/>
  <c r="J110" i="4"/>
  <c r="I110" i="4"/>
  <c r="H110" i="4"/>
  <c r="G110" i="4"/>
  <c r="AK109" i="4"/>
  <c r="AJ109" i="4"/>
  <c r="AI109" i="4"/>
  <c r="AH109" i="4"/>
  <c r="AG109" i="4"/>
  <c r="AF109" i="4"/>
  <c r="AE109" i="4"/>
  <c r="AD109" i="4"/>
  <c r="AC109" i="4"/>
  <c r="AB109" i="4"/>
  <c r="AA109" i="4"/>
  <c r="Z109" i="4"/>
  <c r="Y109" i="4"/>
  <c r="X109" i="4"/>
  <c r="T109" i="4"/>
  <c r="S109" i="4"/>
  <c r="R109" i="4"/>
  <c r="Q109" i="4"/>
  <c r="P109" i="4"/>
  <c r="O109" i="4"/>
  <c r="N109" i="4"/>
  <c r="M109" i="4"/>
  <c r="L109" i="4"/>
  <c r="K109" i="4"/>
  <c r="J109" i="4"/>
  <c r="I109" i="4"/>
  <c r="H109" i="4"/>
  <c r="G109" i="4"/>
  <c r="AK108" i="4"/>
  <c r="AJ108" i="4"/>
  <c r="AI108" i="4"/>
  <c r="AH108" i="4"/>
  <c r="AG108" i="4"/>
  <c r="AF108" i="4"/>
  <c r="AE108" i="4"/>
  <c r="AD108" i="4"/>
  <c r="AC108" i="4"/>
  <c r="AB108" i="4"/>
  <c r="AA108" i="4"/>
  <c r="Z108" i="4"/>
  <c r="Y108" i="4"/>
  <c r="X108" i="4"/>
  <c r="T108" i="4"/>
  <c r="S108" i="4"/>
  <c r="R108" i="4"/>
  <c r="Q108" i="4"/>
  <c r="P108" i="4"/>
  <c r="O108" i="4"/>
  <c r="N108" i="4"/>
  <c r="M108" i="4"/>
  <c r="L108" i="4"/>
  <c r="K108" i="4"/>
  <c r="J108" i="4"/>
  <c r="I108" i="4"/>
  <c r="H108" i="4"/>
  <c r="G108" i="4"/>
  <c r="AK107" i="4"/>
  <c r="AJ107" i="4"/>
  <c r="AI107" i="4"/>
  <c r="AH107" i="4"/>
  <c r="AG107" i="4"/>
  <c r="AF107" i="4"/>
  <c r="AE107" i="4"/>
  <c r="AD107" i="4"/>
  <c r="AC107" i="4"/>
  <c r="AB107" i="4"/>
  <c r="AA107" i="4"/>
  <c r="Z107" i="4"/>
  <c r="Y107" i="4"/>
  <c r="X107" i="4"/>
  <c r="T107" i="4"/>
  <c r="S107" i="4"/>
  <c r="R107" i="4"/>
  <c r="Q107" i="4"/>
  <c r="P107" i="4"/>
  <c r="O107" i="4"/>
  <c r="N107" i="4"/>
  <c r="M107" i="4"/>
  <c r="L107" i="4"/>
  <c r="K107" i="4"/>
  <c r="J107" i="4"/>
  <c r="I107" i="4"/>
  <c r="H107" i="4"/>
  <c r="G107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AK105" i="4"/>
  <c r="AJ105" i="4"/>
  <c r="AI105" i="4"/>
  <c r="AH105" i="4"/>
  <c r="AG105" i="4"/>
  <c r="AF105" i="4"/>
  <c r="AE105" i="4"/>
  <c r="AD105" i="4"/>
  <c r="AC105" i="4"/>
  <c r="AB105" i="4"/>
  <c r="AA105" i="4"/>
  <c r="Z105" i="4"/>
  <c r="Y105" i="4"/>
  <c r="X105" i="4"/>
  <c r="T105" i="4"/>
  <c r="S105" i="4"/>
  <c r="R105" i="4"/>
  <c r="Q105" i="4"/>
  <c r="P105" i="4"/>
  <c r="O105" i="4"/>
  <c r="N105" i="4"/>
  <c r="M105" i="4"/>
  <c r="L105" i="4"/>
  <c r="K105" i="4"/>
  <c r="J105" i="4"/>
  <c r="I105" i="4"/>
  <c r="H105" i="4"/>
  <c r="G105" i="4"/>
  <c r="AK104" i="4"/>
  <c r="AJ104" i="4"/>
  <c r="AI104" i="4"/>
  <c r="AH104" i="4"/>
  <c r="AG104" i="4"/>
  <c r="AF104" i="4"/>
  <c r="AE104" i="4"/>
  <c r="AD104" i="4"/>
  <c r="AC104" i="4"/>
  <c r="AB104" i="4"/>
  <c r="AA104" i="4"/>
  <c r="Z104" i="4"/>
  <c r="Y104" i="4"/>
  <c r="X104" i="4"/>
  <c r="T104" i="4"/>
  <c r="S104" i="4"/>
  <c r="R104" i="4"/>
  <c r="Q104" i="4"/>
  <c r="P104" i="4"/>
  <c r="O104" i="4"/>
  <c r="N104" i="4"/>
  <c r="M104" i="4"/>
  <c r="L104" i="4"/>
  <c r="K104" i="4"/>
  <c r="J104" i="4"/>
  <c r="I104" i="4"/>
  <c r="H104" i="4"/>
  <c r="G104" i="4"/>
  <c r="AK103" i="4"/>
  <c r="AJ103" i="4"/>
  <c r="AI103" i="4"/>
  <c r="AH103" i="4"/>
  <c r="AG103" i="4"/>
  <c r="AF103" i="4"/>
  <c r="AE103" i="4"/>
  <c r="AD103" i="4"/>
  <c r="AC103" i="4"/>
  <c r="AB103" i="4"/>
  <c r="AA103" i="4"/>
  <c r="Z103" i="4"/>
  <c r="Y103" i="4"/>
  <c r="X103" i="4"/>
  <c r="T103" i="4"/>
  <c r="S103" i="4"/>
  <c r="R103" i="4"/>
  <c r="Q103" i="4"/>
  <c r="P103" i="4"/>
  <c r="O103" i="4"/>
  <c r="N103" i="4"/>
  <c r="M103" i="4"/>
  <c r="L103" i="4"/>
  <c r="K103" i="4"/>
  <c r="J103" i="4"/>
  <c r="I103" i="4"/>
  <c r="H103" i="4"/>
  <c r="G103" i="4"/>
  <c r="AK102" i="4"/>
  <c r="AJ102" i="4"/>
  <c r="AI102" i="4"/>
  <c r="AH102" i="4"/>
  <c r="AG102" i="4"/>
  <c r="AF102" i="4"/>
  <c r="AE102" i="4"/>
  <c r="AD102" i="4"/>
  <c r="AC102" i="4"/>
  <c r="AB102" i="4"/>
  <c r="AA102" i="4"/>
  <c r="Z102" i="4"/>
  <c r="Y102" i="4"/>
  <c r="X102" i="4"/>
  <c r="T102" i="4"/>
  <c r="S102" i="4"/>
  <c r="R102" i="4"/>
  <c r="Q102" i="4"/>
  <c r="P102" i="4"/>
  <c r="O102" i="4"/>
  <c r="N102" i="4"/>
  <c r="M102" i="4"/>
  <c r="L102" i="4"/>
  <c r="K102" i="4"/>
  <c r="J102" i="4"/>
  <c r="I102" i="4"/>
  <c r="H102" i="4"/>
  <c r="G102" i="4"/>
  <c r="AK101" i="4"/>
  <c r="AJ101" i="4"/>
  <c r="AI101" i="4"/>
  <c r="AH101" i="4"/>
  <c r="AG101" i="4"/>
  <c r="AF101" i="4"/>
  <c r="AE101" i="4"/>
  <c r="AD101" i="4"/>
  <c r="AC101" i="4"/>
  <c r="AB101" i="4"/>
  <c r="AA101" i="4"/>
  <c r="Z101" i="4"/>
  <c r="Y101" i="4"/>
  <c r="X101" i="4"/>
  <c r="T101" i="4"/>
  <c r="S101" i="4"/>
  <c r="R101" i="4"/>
  <c r="Q101" i="4"/>
  <c r="P101" i="4"/>
  <c r="O101" i="4"/>
  <c r="N101" i="4"/>
  <c r="M101" i="4"/>
  <c r="L101" i="4"/>
  <c r="K101" i="4"/>
  <c r="J101" i="4"/>
  <c r="I101" i="4"/>
  <c r="H101" i="4"/>
  <c r="G101" i="4"/>
  <c r="AK100" i="4"/>
  <c r="AJ100" i="4"/>
  <c r="AI100" i="4"/>
  <c r="AH100" i="4"/>
  <c r="AG100" i="4"/>
  <c r="AF100" i="4"/>
  <c r="AE100" i="4"/>
  <c r="AD100" i="4"/>
  <c r="AC100" i="4"/>
  <c r="AB100" i="4"/>
  <c r="AA100" i="4"/>
  <c r="Z100" i="4"/>
  <c r="Y100" i="4"/>
  <c r="X100" i="4"/>
  <c r="T100" i="4"/>
  <c r="S100" i="4"/>
  <c r="R100" i="4"/>
  <c r="Q100" i="4"/>
  <c r="P100" i="4"/>
  <c r="O100" i="4"/>
  <c r="N100" i="4"/>
  <c r="M100" i="4"/>
  <c r="L100" i="4"/>
  <c r="K100" i="4"/>
  <c r="J100" i="4"/>
  <c r="I100" i="4"/>
  <c r="H100" i="4"/>
  <c r="G100" i="4"/>
  <c r="AK99" i="4"/>
  <c r="AJ99" i="4"/>
  <c r="AI99" i="4"/>
  <c r="AH99" i="4"/>
  <c r="AG99" i="4"/>
  <c r="AF99" i="4"/>
  <c r="AE99" i="4"/>
  <c r="AD99" i="4"/>
  <c r="AC99" i="4"/>
  <c r="AB99" i="4"/>
  <c r="AA99" i="4"/>
  <c r="Z99" i="4"/>
  <c r="Y99" i="4"/>
  <c r="X99" i="4"/>
  <c r="T99" i="4"/>
  <c r="S99" i="4"/>
  <c r="R99" i="4"/>
  <c r="Q99" i="4"/>
  <c r="P99" i="4"/>
  <c r="O99" i="4"/>
  <c r="N99" i="4"/>
  <c r="M99" i="4"/>
  <c r="L99" i="4"/>
  <c r="K99" i="4"/>
  <c r="J99" i="4"/>
  <c r="I99" i="4"/>
  <c r="H99" i="4"/>
  <c r="G99" i="4"/>
  <c r="AK98" i="4"/>
  <c r="AJ98" i="4"/>
  <c r="AI98" i="4"/>
  <c r="AH98" i="4"/>
  <c r="AG98" i="4"/>
  <c r="AF98" i="4"/>
  <c r="AE98" i="4"/>
  <c r="AD98" i="4"/>
  <c r="AC98" i="4"/>
  <c r="AB98" i="4"/>
  <c r="AA98" i="4"/>
  <c r="Z98" i="4"/>
  <c r="Y98" i="4"/>
  <c r="X98" i="4"/>
  <c r="T98" i="4"/>
  <c r="S98" i="4"/>
  <c r="R98" i="4"/>
  <c r="Q98" i="4"/>
  <c r="P98" i="4"/>
  <c r="O98" i="4"/>
  <c r="N98" i="4"/>
  <c r="M98" i="4"/>
  <c r="L98" i="4"/>
  <c r="K98" i="4"/>
  <c r="J98" i="4"/>
  <c r="I98" i="4"/>
  <c r="H98" i="4"/>
  <c r="G98" i="4"/>
  <c r="AK97" i="4"/>
  <c r="AJ97" i="4"/>
  <c r="AI97" i="4"/>
  <c r="AH97" i="4"/>
  <c r="AG97" i="4"/>
  <c r="AF97" i="4"/>
  <c r="AE97" i="4"/>
  <c r="AD97" i="4"/>
  <c r="AC97" i="4"/>
  <c r="AB97" i="4"/>
  <c r="AA97" i="4"/>
  <c r="Z97" i="4"/>
  <c r="Y97" i="4"/>
  <c r="X97" i="4"/>
  <c r="T97" i="4"/>
  <c r="S97" i="4"/>
  <c r="R97" i="4"/>
  <c r="Q97" i="4"/>
  <c r="P97" i="4"/>
  <c r="O97" i="4"/>
  <c r="N97" i="4"/>
  <c r="M97" i="4"/>
  <c r="L97" i="4"/>
  <c r="K97" i="4"/>
  <c r="J97" i="4"/>
  <c r="I97" i="4"/>
  <c r="H97" i="4"/>
  <c r="G97" i="4"/>
  <c r="AK96" i="4"/>
  <c r="AJ96" i="4"/>
  <c r="AI96" i="4"/>
  <c r="AH96" i="4"/>
  <c r="AG96" i="4"/>
  <c r="AF96" i="4"/>
  <c r="AE96" i="4"/>
  <c r="AD96" i="4"/>
  <c r="AC96" i="4"/>
  <c r="AB96" i="4"/>
  <c r="AA96" i="4"/>
  <c r="Z96" i="4"/>
  <c r="Y96" i="4"/>
  <c r="X96" i="4"/>
  <c r="T96" i="4"/>
  <c r="S96" i="4"/>
  <c r="R96" i="4"/>
  <c r="Q96" i="4"/>
  <c r="P96" i="4"/>
  <c r="O96" i="4"/>
  <c r="N96" i="4"/>
  <c r="M96" i="4"/>
  <c r="L96" i="4"/>
  <c r="K96" i="4"/>
  <c r="J96" i="4"/>
  <c r="I96" i="4"/>
  <c r="H96" i="4"/>
  <c r="G96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AK94" i="4"/>
  <c r="AJ94" i="4"/>
  <c r="AI94" i="4"/>
  <c r="AH94" i="4"/>
  <c r="AG94" i="4"/>
  <c r="AF94" i="4"/>
  <c r="AE94" i="4"/>
  <c r="AD94" i="4"/>
  <c r="AC94" i="4"/>
  <c r="AB94" i="4"/>
  <c r="AA94" i="4"/>
  <c r="Z94" i="4"/>
  <c r="Y94" i="4"/>
  <c r="X94" i="4"/>
  <c r="T94" i="4"/>
  <c r="S94" i="4"/>
  <c r="R94" i="4"/>
  <c r="Q94" i="4"/>
  <c r="P94" i="4"/>
  <c r="O94" i="4"/>
  <c r="N94" i="4"/>
  <c r="M94" i="4"/>
  <c r="L94" i="4"/>
  <c r="K94" i="4"/>
  <c r="J94" i="4"/>
  <c r="I94" i="4"/>
  <c r="H94" i="4"/>
  <c r="G94" i="4"/>
  <c r="AK93" i="4"/>
  <c r="AJ93" i="4"/>
  <c r="AI93" i="4"/>
  <c r="AH93" i="4"/>
  <c r="AG93" i="4"/>
  <c r="AF93" i="4"/>
  <c r="AE93" i="4"/>
  <c r="AD93" i="4"/>
  <c r="AC93" i="4"/>
  <c r="AB93" i="4"/>
  <c r="AA93" i="4"/>
  <c r="Z93" i="4"/>
  <c r="Y93" i="4"/>
  <c r="X93" i="4"/>
  <c r="T93" i="4"/>
  <c r="S93" i="4"/>
  <c r="R93" i="4"/>
  <c r="Q93" i="4"/>
  <c r="P93" i="4"/>
  <c r="O93" i="4"/>
  <c r="N93" i="4"/>
  <c r="M93" i="4"/>
  <c r="L93" i="4"/>
  <c r="K93" i="4"/>
  <c r="J93" i="4"/>
  <c r="I93" i="4"/>
  <c r="H93" i="4"/>
  <c r="G93" i="4"/>
  <c r="AK92" i="4"/>
  <c r="AJ92" i="4"/>
  <c r="AI92" i="4"/>
  <c r="AH92" i="4"/>
  <c r="AG92" i="4"/>
  <c r="AF92" i="4"/>
  <c r="AE92" i="4"/>
  <c r="AD92" i="4"/>
  <c r="AC92" i="4"/>
  <c r="AB92" i="4"/>
  <c r="AA92" i="4"/>
  <c r="Z92" i="4"/>
  <c r="Y92" i="4"/>
  <c r="X92" i="4"/>
  <c r="T92" i="4"/>
  <c r="S92" i="4"/>
  <c r="R92" i="4"/>
  <c r="Q92" i="4"/>
  <c r="P92" i="4"/>
  <c r="O92" i="4"/>
  <c r="N92" i="4"/>
  <c r="M92" i="4"/>
  <c r="L92" i="4"/>
  <c r="K92" i="4"/>
  <c r="J92" i="4"/>
  <c r="I92" i="4"/>
  <c r="H92" i="4"/>
  <c r="G92" i="4"/>
  <c r="AK91" i="4"/>
  <c r="AJ91" i="4"/>
  <c r="AI91" i="4"/>
  <c r="AH91" i="4"/>
  <c r="AG91" i="4"/>
  <c r="AF91" i="4"/>
  <c r="AE91" i="4"/>
  <c r="AD91" i="4"/>
  <c r="AC91" i="4"/>
  <c r="AB91" i="4"/>
  <c r="AA91" i="4"/>
  <c r="Z91" i="4"/>
  <c r="Y91" i="4"/>
  <c r="X91" i="4"/>
  <c r="T91" i="4"/>
  <c r="S91" i="4"/>
  <c r="R91" i="4"/>
  <c r="Q91" i="4"/>
  <c r="P91" i="4"/>
  <c r="O91" i="4"/>
  <c r="N91" i="4"/>
  <c r="M91" i="4"/>
  <c r="L91" i="4"/>
  <c r="K91" i="4"/>
  <c r="J91" i="4"/>
  <c r="I91" i="4"/>
  <c r="H91" i="4"/>
  <c r="G91" i="4"/>
  <c r="AK90" i="4"/>
  <c r="AJ90" i="4"/>
  <c r="AI90" i="4"/>
  <c r="AH90" i="4"/>
  <c r="AG90" i="4"/>
  <c r="AF90" i="4"/>
  <c r="AE90" i="4"/>
  <c r="AD90" i="4"/>
  <c r="AC90" i="4"/>
  <c r="AB90" i="4"/>
  <c r="AA90" i="4"/>
  <c r="Z90" i="4"/>
  <c r="Y90" i="4"/>
  <c r="X90" i="4"/>
  <c r="T90" i="4"/>
  <c r="S90" i="4"/>
  <c r="R90" i="4"/>
  <c r="Q90" i="4"/>
  <c r="P90" i="4"/>
  <c r="O90" i="4"/>
  <c r="N90" i="4"/>
  <c r="M90" i="4"/>
  <c r="L90" i="4"/>
  <c r="K90" i="4"/>
  <c r="J90" i="4"/>
  <c r="I90" i="4"/>
  <c r="H90" i="4"/>
  <c r="G90" i="4"/>
  <c r="AK89" i="4"/>
  <c r="AJ89" i="4"/>
  <c r="AI89" i="4"/>
  <c r="AH89" i="4"/>
  <c r="AG89" i="4"/>
  <c r="AF89" i="4"/>
  <c r="AE89" i="4"/>
  <c r="AD89" i="4"/>
  <c r="AC89" i="4"/>
  <c r="AB89" i="4"/>
  <c r="AA89" i="4"/>
  <c r="Z89" i="4"/>
  <c r="Y89" i="4"/>
  <c r="X89" i="4"/>
  <c r="T89" i="4"/>
  <c r="S89" i="4"/>
  <c r="R89" i="4"/>
  <c r="Q89" i="4"/>
  <c r="P89" i="4"/>
  <c r="O89" i="4"/>
  <c r="N89" i="4"/>
  <c r="M89" i="4"/>
  <c r="L89" i="4"/>
  <c r="K89" i="4"/>
  <c r="J89" i="4"/>
  <c r="I89" i="4"/>
  <c r="H89" i="4"/>
  <c r="G89" i="4"/>
  <c r="AK88" i="4"/>
  <c r="AJ88" i="4"/>
  <c r="AI88" i="4"/>
  <c r="AH88" i="4"/>
  <c r="AG88" i="4"/>
  <c r="AF88" i="4"/>
  <c r="AE88" i="4"/>
  <c r="AD88" i="4"/>
  <c r="AC88" i="4"/>
  <c r="AB88" i="4"/>
  <c r="AA88" i="4"/>
  <c r="Z88" i="4"/>
  <c r="Y88" i="4"/>
  <c r="X88" i="4"/>
  <c r="T88" i="4"/>
  <c r="S88" i="4"/>
  <c r="R88" i="4"/>
  <c r="Q88" i="4"/>
  <c r="P88" i="4"/>
  <c r="O88" i="4"/>
  <c r="N88" i="4"/>
  <c r="M88" i="4"/>
  <c r="L88" i="4"/>
  <c r="K88" i="4"/>
  <c r="J88" i="4"/>
  <c r="I88" i="4"/>
  <c r="H88" i="4"/>
  <c r="G88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AK86" i="4"/>
  <c r="AJ86" i="4"/>
  <c r="AI86" i="4"/>
  <c r="AH86" i="4"/>
  <c r="AG86" i="4"/>
  <c r="AF86" i="4"/>
  <c r="AE86" i="4"/>
  <c r="AD86" i="4"/>
  <c r="AC86" i="4"/>
  <c r="AB86" i="4"/>
  <c r="AA86" i="4"/>
  <c r="Z86" i="4"/>
  <c r="Y86" i="4"/>
  <c r="X86" i="4"/>
  <c r="T86" i="4"/>
  <c r="S86" i="4"/>
  <c r="R86" i="4"/>
  <c r="Q86" i="4"/>
  <c r="P86" i="4"/>
  <c r="O86" i="4"/>
  <c r="N86" i="4"/>
  <c r="M86" i="4"/>
  <c r="L86" i="4"/>
  <c r="K86" i="4"/>
  <c r="J86" i="4"/>
  <c r="I86" i="4"/>
  <c r="H86" i="4"/>
  <c r="G86" i="4"/>
  <c r="AK85" i="4"/>
  <c r="AJ85" i="4"/>
  <c r="AI85" i="4"/>
  <c r="AH85" i="4"/>
  <c r="AG85" i="4"/>
  <c r="AF85" i="4"/>
  <c r="AE85" i="4"/>
  <c r="AD85" i="4"/>
  <c r="AC85" i="4"/>
  <c r="AB85" i="4"/>
  <c r="AA85" i="4"/>
  <c r="Z85" i="4"/>
  <c r="Y85" i="4"/>
  <c r="X85" i="4"/>
  <c r="T85" i="4"/>
  <c r="S85" i="4"/>
  <c r="R85" i="4"/>
  <c r="Q85" i="4"/>
  <c r="P85" i="4"/>
  <c r="O85" i="4"/>
  <c r="N85" i="4"/>
  <c r="M85" i="4"/>
  <c r="L85" i="4"/>
  <c r="K85" i="4"/>
  <c r="J85" i="4"/>
  <c r="I85" i="4"/>
  <c r="H85" i="4"/>
  <c r="G85" i="4"/>
  <c r="AK84" i="4"/>
  <c r="AJ84" i="4"/>
  <c r="AI84" i="4"/>
  <c r="AH84" i="4"/>
  <c r="AG84" i="4"/>
  <c r="AF84" i="4"/>
  <c r="AE84" i="4"/>
  <c r="AD84" i="4"/>
  <c r="AC84" i="4"/>
  <c r="AB84" i="4"/>
  <c r="AA84" i="4"/>
  <c r="Z84" i="4"/>
  <c r="Y84" i="4"/>
  <c r="S84" i="4"/>
  <c r="R84" i="4"/>
  <c r="Q84" i="4"/>
  <c r="P84" i="4"/>
  <c r="O84" i="4"/>
  <c r="N84" i="4"/>
  <c r="M84" i="4"/>
  <c r="L84" i="4"/>
  <c r="K84" i="4"/>
  <c r="J84" i="4"/>
  <c r="I84" i="4"/>
  <c r="H84" i="4"/>
  <c r="G84" i="4"/>
  <c r="AK83" i="4"/>
  <c r="AJ83" i="4"/>
  <c r="AI83" i="4"/>
  <c r="AH83" i="4"/>
  <c r="AG83" i="4"/>
  <c r="AF83" i="4"/>
  <c r="AE83" i="4"/>
  <c r="AD83" i="4"/>
  <c r="AC83" i="4"/>
  <c r="AB83" i="4"/>
  <c r="AA83" i="4"/>
  <c r="Z83" i="4"/>
  <c r="Y83" i="4"/>
  <c r="S83" i="4"/>
  <c r="R83" i="4"/>
  <c r="Q83" i="4"/>
  <c r="P83" i="4"/>
  <c r="O83" i="4"/>
  <c r="N83" i="4"/>
  <c r="M83" i="4"/>
  <c r="L83" i="4"/>
  <c r="K83" i="4"/>
  <c r="J83" i="4"/>
  <c r="I83" i="4"/>
  <c r="H83" i="4"/>
  <c r="G83" i="4"/>
  <c r="AK82" i="4"/>
  <c r="AJ82" i="4"/>
  <c r="AI82" i="4"/>
  <c r="AH82" i="4"/>
  <c r="AG82" i="4"/>
  <c r="AF82" i="4"/>
  <c r="AE82" i="4"/>
  <c r="AD82" i="4"/>
  <c r="AC82" i="4"/>
  <c r="AB82" i="4"/>
  <c r="AA82" i="4"/>
  <c r="Z82" i="4"/>
  <c r="R82" i="4"/>
  <c r="Q82" i="4"/>
  <c r="P82" i="4"/>
  <c r="O82" i="4"/>
  <c r="N82" i="4"/>
  <c r="M82" i="4"/>
  <c r="L82" i="4"/>
  <c r="K82" i="4"/>
  <c r="J82" i="4"/>
  <c r="I82" i="4"/>
  <c r="H82" i="4"/>
  <c r="G82" i="4"/>
  <c r="AK81" i="4"/>
  <c r="AJ81" i="4"/>
  <c r="AI81" i="4"/>
  <c r="AH81" i="4"/>
  <c r="AG81" i="4"/>
  <c r="AF81" i="4"/>
  <c r="AE81" i="4"/>
  <c r="AD81" i="4"/>
  <c r="AC81" i="4"/>
  <c r="AB81" i="4"/>
  <c r="AA81" i="4"/>
  <c r="Q81" i="4"/>
  <c r="P81" i="4"/>
  <c r="O81" i="4"/>
  <c r="N81" i="4"/>
  <c r="M81" i="4"/>
  <c r="L81" i="4"/>
  <c r="K81" i="4"/>
  <c r="J81" i="4"/>
  <c r="I81" i="4"/>
  <c r="H81" i="4"/>
  <c r="G81" i="4"/>
  <c r="AK80" i="4"/>
  <c r="AJ80" i="4"/>
  <c r="AI80" i="4"/>
  <c r="AH80" i="4"/>
  <c r="AG80" i="4"/>
  <c r="AF80" i="4"/>
  <c r="AE80" i="4"/>
  <c r="AD80" i="4"/>
  <c r="AC80" i="4"/>
  <c r="AB80" i="4"/>
  <c r="P80" i="4"/>
  <c r="O80" i="4"/>
  <c r="N80" i="4"/>
  <c r="M80" i="4"/>
  <c r="L80" i="4"/>
  <c r="K80" i="4"/>
  <c r="J80" i="4"/>
  <c r="I80" i="4"/>
  <c r="H80" i="4"/>
  <c r="G80" i="4"/>
  <c r="AK79" i="4"/>
  <c r="AJ79" i="4"/>
  <c r="AI79" i="4"/>
  <c r="AH79" i="4"/>
  <c r="AG79" i="4"/>
  <c r="AF79" i="4"/>
  <c r="AE79" i="4"/>
  <c r="AD79" i="4"/>
  <c r="AC79" i="4"/>
  <c r="AB79" i="4"/>
  <c r="P79" i="4"/>
  <c r="O79" i="4"/>
  <c r="N79" i="4"/>
  <c r="M79" i="4"/>
  <c r="L79" i="4"/>
  <c r="K79" i="4"/>
  <c r="J79" i="4"/>
  <c r="I79" i="4"/>
  <c r="H79" i="4"/>
  <c r="G79" i="4"/>
  <c r="AK78" i="4"/>
  <c r="AJ78" i="4"/>
  <c r="AI78" i="4"/>
  <c r="AH78" i="4"/>
  <c r="AG78" i="4"/>
  <c r="AF78" i="4"/>
  <c r="AE78" i="4"/>
  <c r="AD78" i="4"/>
  <c r="AC78" i="4"/>
  <c r="O78" i="4"/>
  <c r="N78" i="4"/>
  <c r="M78" i="4"/>
  <c r="L78" i="4"/>
  <c r="K78" i="4"/>
  <c r="J78" i="4"/>
  <c r="I78" i="4"/>
  <c r="H78" i="4"/>
  <c r="G78" i="4"/>
  <c r="AK77" i="4"/>
  <c r="AJ77" i="4"/>
  <c r="AI77" i="4"/>
  <c r="AH77" i="4"/>
  <c r="AG77" i="4"/>
  <c r="AF77" i="4"/>
  <c r="AE77" i="4"/>
  <c r="AD77" i="4"/>
  <c r="AC77" i="4"/>
  <c r="O77" i="4"/>
  <c r="N77" i="4"/>
  <c r="M77" i="4"/>
  <c r="L77" i="4"/>
  <c r="K77" i="4"/>
  <c r="J77" i="4"/>
  <c r="I77" i="4"/>
  <c r="H77" i="4"/>
  <c r="G77" i="4"/>
  <c r="AK76" i="4"/>
  <c r="AJ76" i="4"/>
  <c r="AI76" i="4"/>
  <c r="AH76" i="4"/>
  <c r="AG76" i="4"/>
  <c r="AF76" i="4"/>
  <c r="AE76" i="4"/>
  <c r="AD76" i="4"/>
  <c r="AC76" i="4"/>
  <c r="O76" i="4"/>
  <c r="N76" i="4"/>
  <c r="M76" i="4"/>
  <c r="L76" i="4"/>
  <c r="K76" i="4"/>
  <c r="J76" i="4"/>
  <c r="I76" i="4"/>
  <c r="H76" i="4"/>
  <c r="G76" i="4"/>
  <c r="AK75" i="4"/>
  <c r="AJ75" i="4"/>
  <c r="AI75" i="4"/>
  <c r="AH75" i="4"/>
  <c r="AG75" i="4"/>
  <c r="AF75" i="4"/>
  <c r="AE75" i="4"/>
  <c r="AD75" i="4"/>
  <c r="AC75" i="4"/>
  <c r="O75" i="4"/>
  <c r="N75" i="4"/>
  <c r="M75" i="4"/>
  <c r="L75" i="4"/>
  <c r="K75" i="4"/>
  <c r="J75" i="4"/>
  <c r="I75" i="4"/>
  <c r="H75" i="4"/>
  <c r="G75" i="4"/>
  <c r="AK74" i="4"/>
  <c r="AJ74" i="4"/>
  <c r="AI74" i="4"/>
  <c r="AH74" i="4"/>
  <c r="AG74" i="4"/>
  <c r="AF74" i="4"/>
  <c r="AE74" i="4"/>
  <c r="AD74" i="4"/>
  <c r="AC74" i="4"/>
  <c r="AB74" i="4"/>
  <c r="AA74" i="4"/>
  <c r="Z74" i="4"/>
  <c r="Y74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B6" i="4"/>
  <c r="AS177" i="4" s="1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K11" i="4"/>
  <c r="AK12" i="4"/>
  <c r="AK13" i="4"/>
  <c r="AK14" i="4"/>
  <c r="AK15" i="4"/>
  <c r="AK16" i="4"/>
  <c r="AK17" i="4"/>
  <c r="AK18" i="4"/>
  <c r="AK19" i="4"/>
  <c r="AK20" i="4"/>
  <c r="AK21" i="4"/>
  <c r="AK22" i="4"/>
  <c r="AK23" i="4"/>
  <c r="AK24" i="4"/>
  <c r="AK25" i="4"/>
  <c r="AK26" i="4"/>
  <c r="AK27" i="4"/>
  <c r="AK28" i="4"/>
  <c r="AK29" i="4"/>
  <c r="AK30" i="4"/>
  <c r="AK31" i="4"/>
  <c r="AK32" i="4"/>
  <c r="AK33" i="4"/>
  <c r="AK38" i="4"/>
  <c r="AK39" i="4"/>
  <c r="AK40" i="4"/>
  <c r="AK41" i="4"/>
  <c r="AK42" i="4"/>
  <c r="AK43" i="4"/>
  <c r="AK44" i="4"/>
  <c r="AK45" i="4"/>
  <c r="AK46" i="4"/>
  <c r="AK47" i="4"/>
  <c r="AK48" i="4"/>
  <c r="AK49" i="4"/>
  <c r="AK50" i="4"/>
  <c r="AK51" i="4"/>
  <c r="AK52" i="4"/>
  <c r="AK53" i="4"/>
  <c r="AK54" i="4"/>
  <c r="AK55" i="4"/>
  <c r="AK56" i="4"/>
  <c r="AK57" i="4"/>
  <c r="AK58" i="4"/>
  <c r="AK59" i="4"/>
  <c r="AK60" i="4"/>
  <c r="AK61" i="4"/>
  <c r="AK62" i="4"/>
  <c r="AK63" i="4"/>
  <c r="AK64" i="4"/>
  <c r="AK65" i="4"/>
  <c r="AJ11" i="4"/>
  <c r="AC11" i="4"/>
  <c r="AD11" i="4"/>
  <c r="AE11" i="4"/>
  <c r="AF11" i="4"/>
  <c r="AG11" i="4"/>
  <c r="AH11" i="4"/>
  <c r="AI11" i="4"/>
  <c r="G11" i="4"/>
  <c r="H11" i="4"/>
  <c r="I11" i="4"/>
  <c r="J11" i="4"/>
  <c r="K11" i="4"/>
  <c r="L11" i="4"/>
  <c r="M11" i="4"/>
  <c r="N11" i="4"/>
  <c r="O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AH61" i="4"/>
  <c r="AI61" i="4"/>
  <c r="AJ61" i="4"/>
  <c r="AI62" i="4"/>
  <c r="AJ62" i="4"/>
  <c r="AI63" i="4"/>
  <c r="AJ63" i="4"/>
  <c r="H61" i="4"/>
  <c r="I61" i="4"/>
  <c r="J61" i="4"/>
  <c r="H62" i="4"/>
  <c r="I62" i="4"/>
  <c r="H63" i="4"/>
  <c r="I63" i="4"/>
  <c r="I60" i="4"/>
  <c r="J60" i="4"/>
  <c r="K60" i="4"/>
  <c r="L60" i="4"/>
  <c r="J59" i="4"/>
  <c r="K59" i="4"/>
  <c r="L59" i="4"/>
  <c r="M59" i="4"/>
  <c r="N59" i="4"/>
  <c r="H58" i="4"/>
  <c r="I58" i="4"/>
  <c r="J58" i="4"/>
  <c r="K58" i="4"/>
  <c r="L58" i="4"/>
  <c r="M58" i="4"/>
  <c r="N58" i="4"/>
  <c r="O58" i="4"/>
  <c r="O12" i="4"/>
  <c r="O13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AJ31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AJ32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X41" i="4"/>
  <c r="Y41" i="4"/>
  <c r="Z41" i="4"/>
  <c r="AA41" i="4"/>
  <c r="AB41" i="4"/>
  <c r="AC41" i="4"/>
  <c r="AD41" i="4"/>
  <c r="AE41" i="4"/>
  <c r="AF41" i="4"/>
  <c r="AG41" i="4"/>
  <c r="AH41" i="4"/>
  <c r="AI41" i="4"/>
  <c r="AJ41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X42" i="4"/>
  <c r="Y42" i="4"/>
  <c r="Z42" i="4"/>
  <c r="AA42" i="4"/>
  <c r="AB42" i="4"/>
  <c r="AC42" i="4"/>
  <c r="AD42" i="4"/>
  <c r="AE42" i="4"/>
  <c r="AF42" i="4"/>
  <c r="AG42" i="4"/>
  <c r="AH42" i="4"/>
  <c r="AI42" i="4"/>
  <c r="AJ42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AJ43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X44" i="4"/>
  <c r="Y44" i="4"/>
  <c r="Z44" i="4"/>
  <c r="AA44" i="4"/>
  <c r="AB44" i="4"/>
  <c r="AC44" i="4"/>
  <c r="AD44" i="4"/>
  <c r="AE44" i="4"/>
  <c r="AF44" i="4"/>
  <c r="AG44" i="4"/>
  <c r="AH44" i="4"/>
  <c r="AI44" i="4"/>
  <c r="AJ44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X46" i="4"/>
  <c r="Y46" i="4"/>
  <c r="Z46" i="4"/>
  <c r="AA46" i="4"/>
  <c r="AB46" i="4"/>
  <c r="AC46" i="4"/>
  <c r="AD46" i="4"/>
  <c r="AE46" i="4"/>
  <c r="AF46" i="4"/>
  <c r="AG46" i="4"/>
  <c r="AH46" i="4"/>
  <c r="AI46" i="4"/>
  <c r="AJ46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X47" i="4"/>
  <c r="Y47" i="4"/>
  <c r="Z47" i="4"/>
  <c r="AA47" i="4"/>
  <c r="AB47" i="4"/>
  <c r="AC47" i="4"/>
  <c r="AD47" i="4"/>
  <c r="AE47" i="4"/>
  <c r="AF47" i="4"/>
  <c r="AG47" i="4"/>
  <c r="AH47" i="4"/>
  <c r="AI47" i="4"/>
  <c r="AJ47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X48" i="4"/>
  <c r="Y48" i="4"/>
  <c r="Z48" i="4"/>
  <c r="AA48" i="4"/>
  <c r="AB48" i="4"/>
  <c r="AC48" i="4"/>
  <c r="AD48" i="4"/>
  <c r="AE48" i="4"/>
  <c r="AF48" i="4"/>
  <c r="AG48" i="4"/>
  <c r="AH48" i="4"/>
  <c r="AI48" i="4"/>
  <c r="AJ48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AJ49" i="4"/>
  <c r="H50" i="4"/>
  <c r="I50" i="4"/>
  <c r="J50" i="4"/>
  <c r="K50" i="4"/>
  <c r="L50" i="4"/>
  <c r="M50" i="4"/>
  <c r="N50" i="4"/>
  <c r="O50" i="4"/>
  <c r="P50" i="4"/>
  <c r="Q50" i="4"/>
  <c r="R50" i="4"/>
  <c r="S50" i="4"/>
  <c r="Y50" i="4"/>
  <c r="Z50" i="4"/>
  <c r="AA50" i="4"/>
  <c r="AB50" i="4"/>
  <c r="AC50" i="4"/>
  <c r="AD50" i="4"/>
  <c r="AE50" i="4"/>
  <c r="AF50" i="4"/>
  <c r="AG50" i="4"/>
  <c r="AH50" i="4"/>
  <c r="AI50" i="4"/>
  <c r="AJ50" i="4"/>
  <c r="H51" i="4"/>
  <c r="I51" i="4"/>
  <c r="J51" i="4"/>
  <c r="K51" i="4"/>
  <c r="L51" i="4"/>
  <c r="M51" i="4"/>
  <c r="N51" i="4"/>
  <c r="O51" i="4"/>
  <c r="P51" i="4"/>
  <c r="Q51" i="4"/>
  <c r="R51" i="4"/>
  <c r="S51" i="4"/>
  <c r="Y51" i="4"/>
  <c r="Z51" i="4"/>
  <c r="AA51" i="4"/>
  <c r="AB51" i="4"/>
  <c r="AC51" i="4"/>
  <c r="AD51" i="4"/>
  <c r="AE51" i="4"/>
  <c r="AF51" i="4"/>
  <c r="AG51" i="4"/>
  <c r="AH51" i="4"/>
  <c r="AI51" i="4"/>
  <c r="AJ51" i="4"/>
  <c r="N15" i="4"/>
  <c r="O15" i="4"/>
  <c r="O14" i="4"/>
  <c r="R19" i="4"/>
  <c r="T22" i="4"/>
  <c r="T23" i="4"/>
  <c r="T24" i="4"/>
  <c r="T25" i="4"/>
  <c r="T26" i="4"/>
  <c r="S20" i="4"/>
  <c r="S21" i="4"/>
  <c r="S22" i="4"/>
  <c r="S23" i="4"/>
  <c r="S24" i="4"/>
  <c r="S25" i="4"/>
  <c r="S26" i="4"/>
  <c r="T27" i="4"/>
  <c r="T28" i="4"/>
  <c r="T29" i="4"/>
  <c r="Q55" i="4"/>
  <c r="R20" i="4"/>
  <c r="R21" i="4"/>
  <c r="R22" i="4"/>
  <c r="P16" i="4"/>
  <c r="Q18" i="4"/>
  <c r="AC12" i="4"/>
  <c r="AD12" i="4"/>
  <c r="AE12" i="4"/>
  <c r="AF12" i="4"/>
  <c r="AG12" i="4"/>
  <c r="AH12" i="4"/>
  <c r="AI12" i="4"/>
  <c r="AJ12" i="4"/>
  <c r="AC13" i="4"/>
  <c r="AD13" i="4"/>
  <c r="AE13" i="4"/>
  <c r="AF13" i="4"/>
  <c r="AG13" i="4"/>
  <c r="AH13" i="4"/>
  <c r="AI13" i="4"/>
  <c r="AJ13" i="4"/>
  <c r="AC14" i="4"/>
  <c r="AD14" i="4"/>
  <c r="AE14" i="4"/>
  <c r="AF14" i="4"/>
  <c r="AG14" i="4"/>
  <c r="AH14" i="4"/>
  <c r="AI14" i="4"/>
  <c r="AJ14" i="4"/>
  <c r="AC15" i="4"/>
  <c r="AD15" i="4"/>
  <c r="AE15" i="4"/>
  <c r="AF15" i="4"/>
  <c r="AG15" i="4"/>
  <c r="AH15" i="4"/>
  <c r="AI15" i="4"/>
  <c r="AJ15" i="4"/>
  <c r="AB16" i="4"/>
  <c r="AC16" i="4"/>
  <c r="AD16" i="4"/>
  <c r="AE16" i="4"/>
  <c r="AF16" i="4"/>
  <c r="AG16" i="4"/>
  <c r="AH16" i="4"/>
  <c r="AI16" i="4"/>
  <c r="AJ16" i="4"/>
  <c r="AB17" i="4"/>
  <c r="AC17" i="4"/>
  <c r="AD17" i="4"/>
  <c r="AE17" i="4"/>
  <c r="AF17" i="4"/>
  <c r="AG17" i="4"/>
  <c r="AH17" i="4"/>
  <c r="AI17" i="4"/>
  <c r="AJ17" i="4"/>
  <c r="AA18" i="4"/>
  <c r="AB18" i="4"/>
  <c r="AC18" i="4"/>
  <c r="AD18" i="4"/>
  <c r="AE18" i="4"/>
  <c r="AF18" i="4"/>
  <c r="AG18" i="4"/>
  <c r="AH18" i="4"/>
  <c r="AI18" i="4"/>
  <c r="AJ18" i="4"/>
  <c r="Z19" i="4"/>
  <c r="AA19" i="4"/>
  <c r="AB19" i="4"/>
  <c r="AC19" i="4"/>
  <c r="AD19" i="4"/>
  <c r="AE19" i="4"/>
  <c r="AF19" i="4"/>
  <c r="AG19" i="4"/>
  <c r="AH19" i="4"/>
  <c r="AI19" i="4"/>
  <c r="AJ19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X27" i="4"/>
  <c r="Y27" i="4"/>
  <c r="Z27" i="4"/>
  <c r="AA27" i="4"/>
  <c r="AB27" i="4"/>
  <c r="AC27" i="4"/>
  <c r="AD27" i="4"/>
  <c r="AE27" i="4"/>
  <c r="AF27" i="4"/>
  <c r="AG27" i="4"/>
  <c r="AH27" i="4"/>
  <c r="AI27" i="4"/>
  <c r="AJ27" i="4"/>
  <c r="X28" i="4"/>
  <c r="Y28" i="4"/>
  <c r="Z28" i="4"/>
  <c r="AA28" i="4"/>
  <c r="AB28" i="4"/>
  <c r="AC28" i="4"/>
  <c r="AD28" i="4"/>
  <c r="AE28" i="4"/>
  <c r="AF28" i="4"/>
  <c r="AG28" i="4"/>
  <c r="AH28" i="4"/>
  <c r="AI28" i="4"/>
  <c r="AJ28" i="4"/>
  <c r="X29" i="4"/>
  <c r="Y29" i="4"/>
  <c r="Z29" i="4"/>
  <c r="AA29" i="4"/>
  <c r="AB29" i="4"/>
  <c r="AC29" i="4"/>
  <c r="AD29" i="4"/>
  <c r="AE29" i="4"/>
  <c r="AF29" i="4"/>
  <c r="AG29" i="4"/>
  <c r="AH29" i="4"/>
  <c r="AI29" i="4"/>
  <c r="AJ29" i="4"/>
  <c r="Y52" i="4"/>
  <c r="Z52" i="4"/>
  <c r="AA52" i="4"/>
  <c r="AB52" i="4"/>
  <c r="AC52" i="4"/>
  <c r="AD52" i="4"/>
  <c r="AE52" i="4"/>
  <c r="AF52" i="4"/>
  <c r="AG52" i="4"/>
  <c r="AH52" i="4"/>
  <c r="AI52" i="4"/>
  <c r="AJ52" i="4"/>
  <c r="Z53" i="4"/>
  <c r="AA53" i="4"/>
  <c r="AB53" i="4"/>
  <c r="AC53" i="4"/>
  <c r="AD53" i="4"/>
  <c r="AE53" i="4"/>
  <c r="AF53" i="4"/>
  <c r="AG53" i="4"/>
  <c r="AH53" i="4"/>
  <c r="AI53" i="4"/>
  <c r="AJ53" i="4"/>
  <c r="Z54" i="4"/>
  <c r="AA54" i="4"/>
  <c r="AB54" i="4"/>
  <c r="AC54" i="4"/>
  <c r="AD54" i="4"/>
  <c r="AE54" i="4"/>
  <c r="AF54" i="4"/>
  <c r="AG54" i="4"/>
  <c r="AH54" i="4"/>
  <c r="AI54" i="4"/>
  <c r="AJ54" i="4"/>
  <c r="AA55" i="4"/>
  <c r="AB55" i="4"/>
  <c r="AC55" i="4"/>
  <c r="AD55" i="4"/>
  <c r="AE55" i="4"/>
  <c r="AF55" i="4"/>
  <c r="AG55" i="4"/>
  <c r="AH55" i="4"/>
  <c r="AI55" i="4"/>
  <c r="AJ55" i="4"/>
  <c r="AA56" i="4"/>
  <c r="AB56" i="4"/>
  <c r="AC56" i="4"/>
  <c r="AD56" i="4"/>
  <c r="AE56" i="4"/>
  <c r="AF56" i="4"/>
  <c r="AG56" i="4"/>
  <c r="AH56" i="4"/>
  <c r="AI56" i="4"/>
  <c r="AJ56" i="4"/>
  <c r="AB57" i="4"/>
  <c r="AC57" i="4"/>
  <c r="AD57" i="4"/>
  <c r="AE57" i="4"/>
  <c r="AF57" i="4"/>
  <c r="AG57" i="4"/>
  <c r="AH57" i="4"/>
  <c r="AI57" i="4"/>
  <c r="AJ57" i="4"/>
  <c r="AC58" i="4"/>
  <c r="AD58" i="4"/>
  <c r="AE58" i="4"/>
  <c r="AF58" i="4"/>
  <c r="AG58" i="4"/>
  <c r="AH58" i="4"/>
  <c r="AI58" i="4"/>
  <c r="AJ58" i="4"/>
  <c r="AD59" i="4"/>
  <c r="AE59" i="4"/>
  <c r="AF59" i="4"/>
  <c r="AG59" i="4"/>
  <c r="AH59" i="4"/>
  <c r="AI59" i="4"/>
  <c r="AJ59" i="4"/>
  <c r="AF60" i="4"/>
  <c r="AG60" i="4"/>
  <c r="AH60" i="4"/>
  <c r="AI60" i="4"/>
  <c r="AJ60" i="4"/>
  <c r="AJ64" i="4"/>
  <c r="AJ65" i="4"/>
  <c r="H12" i="4"/>
  <c r="I12" i="4"/>
  <c r="J12" i="4"/>
  <c r="K12" i="4"/>
  <c r="L12" i="4"/>
  <c r="M12" i="4"/>
  <c r="N12" i="4"/>
  <c r="H13" i="4"/>
  <c r="I13" i="4"/>
  <c r="J13" i="4"/>
  <c r="K13" i="4"/>
  <c r="L13" i="4"/>
  <c r="M13" i="4"/>
  <c r="N13" i="4"/>
  <c r="H14" i="4"/>
  <c r="I14" i="4"/>
  <c r="J14" i="4"/>
  <c r="K14" i="4"/>
  <c r="L14" i="4"/>
  <c r="M14" i="4"/>
  <c r="N14" i="4"/>
  <c r="H15" i="4"/>
  <c r="I15" i="4"/>
  <c r="J15" i="4"/>
  <c r="K15" i="4"/>
  <c r="L15" i="4"/>
  <c r="M15" i="4"/>
  <c r="H16" i="4"/>
  <c r="I16" i="4"/>
  <c r="J16" i="4"/>
  <c r="K16" i="4"/>
  <c r="L16" i="4"/>
  <c r="M16" i="4"/>
  <c r="N16" i="4"/>
  <c r="O16" i="4"/>
  <c r="H17" i="4"/>
  <c r="I17" i="4"/>
  <c r="J17" i="4"/>
  <c r="K17" i="4"/>
  <c r="L17" i="4"/>
  <c r="M17" i="4"/>
  <c r="N17" i="4"/>
  <c r="O17" i="4"/>
  <c r="P17" i="4"/>
  <c r="H18" i="4"/>
  <c r="I18" i="4"/>
  <c r="J18" i="4"/>
  <c r="K18" i="4"/>
  <c r="L18" i="4"/>
  <c r="M18" i="4"/>
  <c r="N18" i="4"/>
  <c r="O18" i="4"/>
  <c r="P18" i="4"/>
  <c r="H19" i="4"/>
  <c r="I19" i="4"/>
  <c r="J19" i="4"/>
  <c r="K19" i="4"/>
  <c r="L19" i="4"/>
  <c r="M19" i="4"/>
  <c r="N19" i="4"/>
  <c r="O19" i="4"/>
  <c r="P19" i="4"/>
  <c r="Q19" i="4"/>
  <c r="H20" i="4"/>
  <c r="I20" i="4"/>
  <c r="J20" i="4"/>
  <c r="K20" i="4"/>
  <c r="L20" i="4"/>
  <c r="M20" i="4"/>
  <c r="N20" i="4"/>
  <c r="O20" i="4"/>
  <c r="P20" i="4"/>
  <c r="Q20" i="4"/>
  <c r="H21" i="4"/>
  <c r="I21" i="4"/>
  <c r="J21" i="4"/>
  <c r="K21" i="4"/>
  <c r="L21" i="4"/>
  <c r="M21" i="4"/>
  <c r="N21" i="4"/>
  <c r="O21" i="4"/>
  <c r="P21" i="4"/>
  <c r="Q21" i="4"/>
  <c r="H22" i="4"/>
  <c r="I22" i="4"/>
  <c r="J22" i="4"/>
  <c r="K22" i="4"/>
  <c r="L22" i="4"/>
  <c r="M22" i="4"/>
  <c r="N22" i="4"/>
  <c r="O22" i="4"/>
  <c r="P22" i="4"/>
  <c r="Q22" i="4"/>
  <c r="H23" i="4"/>
  <c r="I23" i="4"/>
  <c r="J23" i="4"/>
  <c r="K23" i="4"/>
  <c r="L23" i="4"/>
  <c r="M23" i="4"/>
  <c r="N23" i="4"/>
  <c r="O23" i="4"/>
  <c r="P23" i="4"/>
  <c r="Q23" i="4"/>
  <c r="R23" i="4"/>
  <c r="H24" i="4"/>
  <c r="I24" i="4"/>
  <c r="J24" i="4"/>
  <c r="K24" i="4"/>
  <c r="L24" i="4"/>
  <c r="M24" i="4"/>
  <c r="N24" i="4"/>
  <c r="O24" i="4"/>
  <c r="P24" i="4"/>
  <c r="Q24" i="4"/>
  <c r="R24" i="4"/>
  <c r="H25" i="4"/>
  <c r="I25" i="4"/>
  <c r="J25" i="4"/>
  <c r="K25" i="4"/>
  <c r="L25" i="4"/>
  <c r="M25" i="4"/>
  <c r="N25" i="4"/>
  <c r="O25" i="4"/>
  <c r="P25" i="4"/>
  <c r="Q25" i="4"/>
  <c r="R25" i="4"/>
  <c r="H26" i="4"/>
  <c r="I26" i="4"/>
  <c r="J26" i="4"/>
  <c r="K26" i="4"/>
  <c r="L26" i="4"/>
  <c r="M26" i="4"/>
  <c r="N26" i="4"/>
  <c r="O26" i="4"/>
  <c r="P26" i="4"/>
  <c r="Q26" i="4"/>
  <c r="R26" i="4"/>
  <c r="H27" i="4"/>
  <c r="I27" i="4"/>
  <c r="J27" i="4"/>
  <c r="K27" i="4"/>
  <c r="L27" i="4"/>
  <c r="M27" i="4"/>
  <c r="N27" i="4"/>
  <c r="O27" i="4"/>
  <c r="P27" i="4"/>
  <c r="Q27" i="4"/>
  <c r="R27" i="4"/>
  <c r="S27" i="4"/>
  <c r="H28" i="4"/>
  <c r="I28" i="4"/>
  <c r="J28" i="4"/>
  <c r="K28" i="4"/>
  <c r="L28" i="4"/>
  <c r="M28" i="4"/>
  <c r="N28" i="4"/>
  <c r="O28" i="4"/>
  <c r="P28" i="4"/>
  <c r="Q28" i="4"/>
  <c r="R28" i="4"/>
  <c r="S28" i="4"/>
  <c r="H29" i="4"/>
  <c r="I29" i="4"/>
  <c r="J29" i="4"/>
  <c r="K29" i="4"/>
  <c r="L29" i="4"/>
  <c r="M29" i="4"/>
  <c r="N29" i="4"/>
  <c r="O29" i="4"/>
  <c r="P29" i="4"/>
  <c r="Q29" i="4"/>
  <c r="R29" i="4"/>
  <c r="S29" i="4"/>
  <c r="H52" i="4"/>
  <c r="I52" i="4"/>
  <c r="J52" i="4"/>
  <c r="K52" i="4"/>
  <c r="L52" i="4"/>
  <c r="M52" i="4"/>
  <c r="N52" i="4"/>
  <c r="O52" i="4"/>
  <c r="P52" i="4"/>
  <c r="Q52" i="4"/>
  <c r="R52" i="4"/>
  <c r="S52" i="4"/>
  <c r="H53" i="4"/>
  <c r="I53" i="4"/>
  <c r="J53" i="4"/>
  <c r="K53" i="4"/>
  <c r="L53" i="4"/>
  <c r="M53" i="4"/>
  <c r="N53" i="4"/>
  <c r="O53" i="4"/>
  <c r="P53" i="4"/>
  <c r="Q53" i="4"/>
  <c r="R53" i="4"/>
  <c r="H54" i="4"/>
  <c r="I54" i="4"/>
  <c r="J54" i="4"/>
  <c r="K54" i="4"/>
  <c r="L54" i="4"/>
  <c r="M54" i="4"/>
  <c r="N54" i="4"/>
  <c r="O54" i="4"/>
  <c r="P54" i="4"/>
  <c r="Q54" i="4"/>
  <c r="R54" i="4"/>
  <c r="H55" i="4"/>
  <c r="I55" i="4"/>
  <c r="J55" i="4"/>
  <c r="K55" i="4"/>
  <c r="L55" i="4"/>
  <c r="M55" i="4"/>
  <c r="N55" i="4"/>
  <c r="O55" i="4"/>
  <c r="P55" i="4"/>
  <c r="H56" i="4"/>
  <c r="I56" i="4"/>
  <c r="J56" i="4"/>
  <c r="K56" i="4"/>
  <c r="L56" i="4"/>
  <c r="M56" i="4"/>
  <c r="N56" i="4"/>
  <c r="O56" i="4"/>
  <c r="P56" i="4"/>
  <c r="H57" i="4"/>
  <c r="I57" i="4"/>
  <c r="J57" i="4"/>
  <c r="K57" i="4"/>
  <c r="L57" i="4"/>
  <c r="M57" i="4"/>
  <c r="N57" i="4"/>
  <c r="O57" i="4"/>
  <c r="P57" i="4"/>
  <c r="H59" i="4"/>
  <c r="I59" i="4"/>
  <c r="H60" i="4"/>
  <c r="H64" i="4"/>
  <c r="H65" i="4"/>
  <c r="AC21" i="5" l="1"/>
  <c r="AB22" i="5"/>
  <c r="L80" i="5"/>
  <c r="M80" i="5"/>
  <c r="K78" i="5"/>
  <c r="N79" i="5"/>
  <c r="I77" i="5"/>
  <c r="H77" i="5"/>
  <c r="J78" i="5"/>
  <c r="Q81" i="5"/>
  <c r="J79" i="5"/>
  <c r="O82" i="5"/>
  <c r="R76" i="5"/>
  <c r="S82" i="5"/>
  <c r="K81" i="5"/>
  <c r="R82" i="5"/>
  <c r="L77" i="5"/>
  <c r="N82" i="5"/>
  <c r="S84" i="5"/>
  <c r="O79" i="5"/>
  <c r="P79" i="5"/>
  <c r="G76" i="5"/>
  <c r="O81" i="5"/>
  <c r="I78" i="5"/>
  <c r="N76" i="5"/>
  <c r="I76" i="5"/>
  <c r="L82" i="5"/>
  <c r="N83" i="5"/>
  <c r="P81" i="5"/>
  <c r="K80" i="5"/>
  <c r="Q84" i="5"/>
  <c r="H78" i="5"/>
  <c r="Q82" i="5"/>
  <c r="S81" i="5"/>
  <c r="L81" i="5"/>
  <c r="O83" i="5"/>
  <c r="H76" i="5"/>
  <c r="Q79" i="5"/>
  <c r="K79" i="5"/>
  <c r="S79" i="5"/>
  <c r="N80" i="5"/>
  <c r="S83" i="5"/>
  <c r="P84" i="5"/>
  <c r="K76" i="5"/>
  <c r="Q76" i="5"/>
  <c r="Q83" i="5"/>
  <c r="R83" i="5"/>
  <c r="P83" i="5"/>
  <c r="S76" i="5"/>
  <c r="S78" i="5"/>
  <c r="J80" i="5"/>
  <c r="R79" i="5"/>
  <c r="Q80" i="5"/>
  <c r="N81" i="5"/>
  <c r="Q78" i="5"/>
  <c r="N84" i="5"/>
  <c r="I79" i="5"/>
  <c r="S80" i="5"/>
  <c r="P80" i="5"/>
  <c r="M76" i="5"/>
  <c r="O80" i="5"/>
  <c r="L76" i="5"/>
  <c r="J76" i="5"/>
  <c r="R84" i="5"/>
  <c r="R80" i="5"/>
  <c r="S77" i="5"/>
  <c r="M82" i="5"/>
  <c r="R77" i="5"/>
  <c r="R81" i="5"/>
  <c r="G78" i="5"/>
  <c r="R78" i="5"/>
  <c r="Q77" i="5"/>
  <c r="P82" i="5"/>
  <c r="M83" i="5"/>
  <c r="CV192" i="4"/>
  <c r="CW192" i="4"/>
  <c r="CU192" i="4"/>
  <c r="CZ81" i="4"/>
  <c r="AM89" i="4"/>
  <c r="F87" i="4"/>
  <c r="AM106" i="4"/>
  <c r="AM109" i="4"/>
  <c r="AM112" i="4"/>
  <c r="AM124" i="4"/>
  <c r="AM125" i="4"/>
  <c r="AM126" i="4"/>
  <c r="DM139" i="4"/>
  <c r="AM92" i="4"/>
  <c r="AM95" i="4"/>
  <c r="AS80" i="4"/>
  <c r="BZ85" i="4"/>
  <c r="AS97" i="4"/>
  <c r="CF77" i="4"/>
  <c r="F74" i="4"/>
  <c r="AM74" i="4"/>
  <c r="AM77" i="4"/>
  <c r="AM79" i="4"/>
  <c r="AM83" i="4"/>
  <c r="AM94" i="4"/>
  <c r="AM97" i="4"/>
  <c r="AM100" i="4"/>
  <c r="AM103" i="4"/>
  <c r="F107" i="4"/>
  <c r="F125" i="4"/>
  <c r="F126" i="4"/>
  <c r="F127" i="4"/>
  <c r="AS75" i="4"/>
  <c r="AS90" i="4"/>
  <c r="BZ110" i="4"/>
  <c r="AS116" i="4"/>
  <c r="DM102" i="4"/>
  <c r="DM117" i="4"/>
  <c r="FA127" i="4"/>
  <c r="DM141" i="4"/>
  <c r="F84" i="4"/>
  <c r="AM85" i="4"/>
  <c r="AM88" i="4"/>
  <c r="AM91" i="4"/>
  <c r="F95" i="4"/>
  <c r="AM115" i="4"/>
  <c r="AM122" i="4"/>
  <c r="AS85" i="4"/>
  <c r="DM93" i="4"/>
  <c r="FA120" i="4"/>
  <c r="AM86" i="4"/>
  <c r="AM114" i="4"/>
  <c r="AS84" i="4"/>
  <c r="DM96" i="4"/>
  <c r="AM75" i="4"/>
  <c r="AM102" i="4"/>
  <c r="AM105" i="4"/>
  <c r="AM108" i="4"/>
  <c r="AM111" i="4"/>
  <c r="AM113" i="4"/>
  <c r="F116" i="4"/>
  <c r="AM119" i="4"/>
  <c r="F123" i="4"/>
  <c r="BZ81" i="4"/>
  <c r="DT86" i="4"/>
  <c r="AM78" i="4"/>
  <c r="AM90" i="4"/>
  <c r="AM93" i="4"/>
  <c r="AM96" i="4"/>
  <c r="AM99" i="4"/>
  <c r="F103" i="4"/>
  <c r="F114" i="4"/>
  <c r="AM116" i="4"/>
  <c r="AM118" i="4"/>
  <c r="AS76" i="4"/>
  <c r="BZ80" i="4"/>
  <c r="AS83" i="4"/>
  <c r="AS87" i="4"/>
  <c r="BZ103" i="4"/>
  <c r="AS114" i="4"/>
  <c r="CF100" i="4"/>
  <c r="DM122" i="4"/>
  <c r="DT84" i="4"/>
  <c r="DT92" i="4"/>
  <c r="BZ143" i="4"/>
  <c r="F99" i="4"/>
  <c r="AM81" i="4"/>
  <c r="AM84" i="4"/>
  <c r="AM87" i="4"/>
  <c r="F91" i="4"/>
  <c r="AM110" i="4"/>
  <c r="AM117" i="4"/>
  <c r="FA105" i="4"/>
  <c r="DT114" i="4"/>
  <c r="CF159" i="4"/>
  <c r="AM76" i="4"/>
  <c r="AM80" i="4"/>
  <c r="AM82" i="4"/>
  <c r="AM98" i="4"/>
  <c r="AM101" i="4"/>
  <c r="AM104" i="4"/>
  <c r="AM107" i="4"/>
  <c r="F111" i="4"/>
  <c r="BZ92" i="4"/>
  <c r="CF106" i="4"/>
  <c r="FA111" i="4"/>
  <c r="CF171" i="4"/>
  <c r="AM120" i="4"/>
  <c r="BZ77" i="4"/>
  <c r="AS81" i="4"/>
  <c r="AS82" i="4"/>
  <c r="AS86" i="4"/>
  <c r="BZ88" i="4"/>
  <c r="AS93" i="4"/>
  <c r="BZ99" i="4"/>
  <c r="BZ106" i="4"/>
  <c r="AS111" i="4"/>
  <c r="BZ116" i="4"/>
  <c r="AS121" i="4"/>
  <c r="CF75" i="4"/>
  <c r="DM80" i="4"/>
  <c r="DM81" i="4"/>
  <c r="DM84" i="4"/>
  <c r="CF88" i="4"/>
  <c r="DM90" i="4"/>
  <c r="CF94" i="4"/>
  <c r="FA93" i="4"/>
  <c r="FA99" i="4"/>
  <c r="DT103" i="4"/>
  <c r="DT106" i="4"/>
  <c r="DT112" i="4"/>
  <c r="DT121" i="4"/>
  <c r="BZ140" i="4"/>
  <c r="BZ142" i="4"/>
  <c r="CF143" i="4"/>
  <c r="AM146" i="4"/>
  <c r="AM148" i="4"/>
  <c r="CF161" i="4"/>
  <c r="CF174" i="4"/>
  <c r="CF188" i="4"/>
  <c r="F76" i="4"/>
  <c r="F78" i="4"/>
  <c r="F81" i="4"/>
  <c r="F82" i="4"/>
  <c r="F86" i="4"/>
  <c r="F90" i="4"/>
  <c r="F94" i="4"/>
  <c r="F98" i="4"/>
  <c r="F102" i="4"/>
  <c r="F106" i="4"/>
  <c r="F110" i="4"/>
  <c r="F117" i="4"/>
  <c r="F121" i="4"/>
  <c r="BZ75" i="4"/>
  <c r="AS78" i="4"/>
  <c r="BZ79" i="4"/>
  <c r="BZ82" i="4"/>
  <c r="BZ84" i="4"/>
  <c r="AS89" i="4"/>
  <c r="BZ95" i="4"/>
  <c r="BZ102" i="4"/>
  <c r="AS107" i="4"/>
  <c r="BZ109" i="4"/>
  <c r="AS117" i="4"/>
  <c r="BZ124" i="4"/>
  <c r="BZ125" i="4"/>
  <c r="BZ126" i="4"/>
  <c r="CF81" i="4"/>
  <c r="CF82" i="4"/>
  <c r="DM101" i="4"/>
  <c r="DM104" i="4"/>
  <c r="CF108" i="4"/>
  <c r="DM110" i="4"/>
  <c r="DM114" i="4"/>
  <c r="DT74" i="4"/>
  <c r="FA74" i="4"/>
  <c r="FA76" i="4"/>
  <c r="FA78" i="4"/>
  <c r="FA87" i="4"/>
  <c r="DT91" i="4"/>
  <c r="DT94" i="4"/>
  <c r="DT100" i="4"/>
  <c r="AM139" i="4"/>
  <c r="AM141" i="4"/>
  <c r="DM145" i="4"/>
  <c r="BZ146" i="4"/>
  <c r="BZ147" i="4"/>
  <c r="CF150" i="4"/>
  <c r="CF162" i="4"/>
  <c r="CF175" i="4"/>
  <c r="DT178" i="4"/>
  <c r="CF191" i="4"/>
  <c r="BZ91" i="4"/>
  <c r="BZ98" i="4"/>
  <c r="AS103" i="4"/>
  <c r="BZ105" i="4"/>
  <c r="AS110" i="4"/>
  <c r="BZ112" i="4"/>
  <c r="BZ114" i="4"/>
  <c r="BZ117" i="4"/>
  <c r="BZ118" i="4"/>
  <c r="BZ119" i="4"/>
  <c r="AS125" i="4"/>
  <c r="AS126" i="4"/>
  <c r="AS127" i="4"/>
  <c r="DM77" i="4"/>
  <c r="DM82" i="4"/>
  <c r="DM89" i="4"/>
  <c r="DM92" i="4"/>
  <c r="CF96" i="4"/>
  <c r="DM98" i="4"/>
  <c r="CF102" i="4"/>
  <c r="DM120" i="4"/>
  <c r="DT75" i="4"/>
  <c r="DT77" i="4"/>
  <c r="DT79" i="4"/>
  <c r="DT88" i="4"/>
  <c r="FA101" i="4"/>
  <c r="FA107" i="4"/>
  <c r="DT111" i="4"/>
  <c r="FA123" i="4"/>
  <c r="DT127" i="4"/>
  <c r="FA139" i="4"/>
  <c r="FA141" i="4"/>
  <c r="BZ145" i="4"/>
  <c r="DM146" i="4"/>
  <c r="CF151" i="4"/>
  <c r="CF163" i="4"/>
  <c r="F80" i="4"/>
  <c r="F83" i="4"/>
  <c r="F85" i="4"/>
  <c r="F89" i="4"/>
  <c r="F93" i="4"/>
  <c r="F97" i="4"/>
  <c r="F101" i="4"/>
  <c r="F105" i="4"/>
  <c r="F109" i="4"/>
  <c r="F113" i="4"/>
  <c r="F115" i="4"/>
  <c r="F118" i="4"/>
  <c r="F119" i="4"/>
  <c r="F120" i="4"/>
  <c r="BZ87" i="4"/>
  <c r="BZ94" i="4"/>
  <c r="AS99" i="4"/>
  <c r="BZ101" i="4"/>
  <c r="AS106" i="4"/>
  <c r="BZ108" i="4"/>
  <c r="AS113" i="4"/>
  <c r="AS115" i="4"/>
  <c r="AS118" i="4"/>
  <c r="AS119" i="4"/>
  <c r="AS120" i="4"/>
  <c r="BZ122" i="4"/>
  <c r="DM75" i="4"/>
  <c r="CF78" i="4"/>
  <c r="DM79" i="4"/>
  <c r="DM86" i="4"/>
  <c r="CF90" i="4"/>
  <c r="DM109" i="4"/>
  <c r="DM112" i="4"/>
  <c r="CF121" i="4"/>
  <c r="DM126" i="4"/>
  <c r="FA80" i="4"/>
  <c r="FA81" i="4"/>
  <c r="FA89" i="4"/>
  <c r="FA95" i="4"/>
  <c r="DT99" i="4"/>
  <c r="DT102" i="4"/>
  <c r="DT108" i="4"/>
  <c r="FA121" i="4"/>
  <c r="DT124" i="4"/>
  <c r="DT126" i="4"/>
  <c r="DM140" i="4"/>
  <c r="DM142" i="4"/>
  <c r="BZ144" i="4"/>
  <c r="FA146" i="4"/>
  <c r="BZ148" i="4"/>
  <c r="CF153" i="4"/>
  <c r="CF166" i="4"/>
  <c r="AM121" i="4"/>
  <c r="AM123" i="4"/>
  <c r="AM127" i="4"/>
  <c r="BZ78" i="4"/>
  <c r="BZ90" i="4"/>
  <c r="AS95" i="4"/>
  <c r="BZ97" i="4"/>
  <c r="AS102" i="4"/>
  <c r="BZ104" i="4"/>
  <c r="AS109" i="4"/>
  <c r="AS123" i="4"/>
  <c r="CF76" i="4"/>
  <c r="DM97" i="4"/>
  <c r="DM100" i="4"/>
  <c r="CF104" i="4"/>
  <c r="DM106" i="4"/>
  <c r="CF110" i="4"/>
  <c r="DM115" i="4"/>
  <c r="CF124" i="4"/>
  <c r="DM125" i="4"/>
  <c r="DT81" i="4"/>
  <c r="DT82" i="4"/>
  <c r="DT87" i="4"/>
  <c r="DT90" i="4"/>
  <c r="DT96" i="4"/>
  <c r="FA109" i="4"/>
  <c r="DT116" i="4"/>
  <c r="DT122" i="4"/>
  <c r="DT125" i="4"/>
  <c r="BZ139" i="4"/>
  <c r="BZ141" i="4"/>
  <c r="CF144" i="4"/>
  <c r="CF154" i="4"/>
  <c r="CF167" i="4"/>
  <c r="F64" i="4"/>
  <c r="BZ191" i="4"/>
  <c r="BZ188" i="4"/>
  <c r="BZ187" i="4"/>
  <c r="BZ186" i="4"/>
  <c r="DM185" i="4"/>
  <c r="AM185" i="4"/>
  <c r="BZ184" i="4"/>
  <c r="BZ181" i="4"/>
  <c r="BZ180" i="4"/>
  <c r="DM179" i="4"/>
  <c r="AM179" i="4"/>
  <c r="DM178" i="4"/>
  <c r="AM178" i="4"/>
  <c r="DM177" i="4"/>
  <c r="AM177" i="4"/>
  <c r="BZ176" i="4"/>
  <c r="BZ175" i="4"/>
  <c r="BZ174" i="4"/>
  <c r="BZ173" i="4"/>
  <c r="BZ172" i="4"/>
  <c r="BZ171" i="4"/>
  <c r="BZ170" i="4"/>
  <c r="BZ169" i="4"/>
  <c r="BZ168" i="4"/>
  <c r="BZ167" i="4"/>
  <c r="BZ166" i="4"/>
  <c r="BZ165" i="4"/>
  <c r="BZ164" i="4"/>
  <c r="BZ163" i="4"/>
  <c r="BZ162" i="4"/>
  <c r="BZ161" i="4"/>
  <c r="BZ160" i="4"/>
  <c r="BZ159" i="4"/>
  <c r="BZ158" i="4"/>
  <c r="BZ157" i="4"/>
  <c r="BZ156" i="4"/>
  <c r="BZ155" i="4"/>
  <c r="BZ154" i="4"/>
  <c r="BZ153" i="4"/>
  <c r="BZ152" i="4"/>
  <c r="BZ151" i="4"/>
  <c r="BZ150" i="4"/>
  <c r="BZ149" i="4"/>
  <c r="DM148" i="4"/>
  <c r="DT191" i="4"/>
  <c r="AS188" i="4"/>
  <c r="DT187" i="4"/>
  <c r="AS186" i="4"/>
  <c r="DT184" i="4"/>
  <c r="AS181" i="4"/>
  <c r="AS180" i="4"/>
  <c r="DT176" i="4"/>
  <c r="DT175" i="4"/>
  <c r="DT174" i="4"/>
  <c r="DT173" i="4"/>
  <c r="DT172" i="4"/>
  <c r="DT171" i="4"/>
  <c r="DT170" i="4"/>
  <c r="DT169" i="4"/>
  <c r="DT168" i="4"/>
  <c r="DT167" i="4"/>
  <c r="DT166" i="4"/>
  <c r="DT165" i="4"/>
  <c r="DT164" i="4"/>
  <c r="DT163" i="4"/>
  <c r="DT162" i="4"/>
  <c r="DT161" i="4"/>
  <c r="DT160" i="4"/>
  <c r="DT159" i="4"/>
  <c r="DT158" i="4"/>
  <c r="DT157" i="4"/>
  <c r="DT156" i="4"/>
  <c r="DT155" i="4"/>
  <c r="DT154" i="4"/>
  <c r="DT153" i="4"/>
  <c r="DT152" i="4"/>
  <c r="DT151" i="4"/>
  <c r="DT150" i="4"/>
  <c r="DT149" i="4"/>
  <c r="AS146" i="4"/>
  <c r="DT144" i="4"/>
  <c r="DT143" i="4"/>
  <c r="DM191" i="4"/>
  <c r="AM188" i="4"/>
  <c r="DM187" i="4"/>
  <c r="AM186" i="4"/>
  <c r="DM184" i="4"/>
  <c r="AM181" i="4"/>
  <c r="AM180" i="4"/>
  <c r="DM176" i="4"/>
  <c r="DM175" i="4"/>
  <c r="DM174" i="4"/>
  <c r="DM173" i="4"/>
  <c r="DM172" i="4"/>
  <c r="DM171" i="4"/>
  <c r="DM170" i="4"/>
  <c r="DM169" i="4"/>
  <c r="DM168" i="4"/>
  <c r="DM167" i="4"/>
  <c r="DM166" i="4"/>
  <c r="DM165" i="4"/>
  <c r="DM164" i="4"/>
  <c r="DM163" i="4"/>
  <c r="DM162" i="4"/>
  <c r="DM161" i="4"/>
  <c r="DM160" i="4"/>
  <c r="DM159" i="4"/>
  <c r="DM158" i="4"/>
  <c r="DM157" i="4"/>
  <c r="DM156" i="4"/>
  <c r="DM155" i="4"/>
  <c r="DM154" i="4"/>
  <c r="DM153" i="4"/>
  <c r="DM152" i="4"/>
  <c r="DM151" i="4"/>
  <c r="DM150" i="4"/>
  <c r="DM149" i="4"/>
  <c r="F191" i="4"/>
  <c r="DT190" i="4"/>
  <c r="CF190" i="4"/>
  <c r="AS190" i="4"/>
  <c r="F190" i="4"/>
  <c r="DT189" i="4"/>
  <c r="CF189" i="4"/>
  <c r="AS189" i="4"/>
  <c r="F189" i="4"/>
  <c r="F188" i="4"/>
  <c r="F187" i="4"/>
  <c r="F186" i="4"/>
  <c r="CF185" i="4"/>
  <c r="F185" i="4"/>
  <c r="F184" i="4"/>
  <c r="DT183" i="4"/>
  <c r="CF183" i="4"/>
  <c r="AS183" i="4"/>
  <c r="F183" i="4"/>
  <c r="DT182" i="4"/>
  <c r="CF182" i="4"/>
  <c r="AS182" i="4"/>
  <c r="F182" i="4"/>
  <c r="F181" i="4"/>
  <c r="F180" i="4"/>
  <c r="CF179" i="4"/>
  <c r="F179" i="4"/>
  <c r="CF178" i="4"/>
  <c r="F178" i="4"/>
  <c r="CF177" i="4"/>
  <c r="F177" i="4"/>
  <c r="F176" i="4"/>
  <c r="F175" i="4"/>
  <c r="F174" i="4"/>
  <c r="F173" i="4"/>
  <c r="F172" i="4"/>
  <c r="F171" i="4"/>
  <c r="F170" i="4"/>
  <c r="F169" i="4"/>
  <c r="F168" i="4"/>
  <c r="F167" i="4"/>
  <c r="F166" i="4"/>
  <c r="F165" i="4"/>
  <c r="F164" i="4"/>
  <c r="F163" i="4"/>
  <c r="F162" i="4"/>
  <c r="F161" i="4"/>
  <c r="F160" i="4"/>
  <c r="F159" i="4"/>
  <c r="F158" i="4"/>
  <c r="F157" i="4"/>
  <c r="F156" i="4"/>
  <c r="F155" i="4"/>
  <c r="F154" i="4"/>
  <c r="F153" i="4"/>
  <c r="F152" i="4"/>
  <c r="F151" i="4"/>
  <c r="F150" i="4"/>
  <c r="F149" i="4"/>
  <c r="CF148" i="4"/>
  <c r="F148" i="4"/>
  <c r="CF147" i="4"/>
  <c r="F147" i="4"/>
  <c r="F146" i="4"/>
  <c r="DT145" i="4"/>
  <c r="CF145" i="4"/>
  <c r="AS145" i="4"/>
  <c r="F145" i="4"/>
  <c r="F144" i="4"/>
  <c r="F143" i="4"/>
  <c r="FA191" i="4"/>
  <c r="FA190" i="4"/>
  <c r="DM190" i="4"/>
  <c r="BZ190" i="4"/>
  <c r="AM190" i="4"/>
  <c r="FA189" i="4"/>
  <c r="DM189" i="4"/>
  <c r="BZ189" i="4"/>
  <c r="AM189" i="4"/>
  <c r="FA188" i="4"/>
  <c r="FA187" i="4"/>
  <c r="FA186" i="4"/>
  <c r="FA185" i="4"/>
  <c r="BZ185" i="4"/>
  <c r="FA184" i="4"/>
  <c r="FA183" i="4"/>
  <c r="DM183" i="4"/>
  <c r="BZ183" i="4"/>
  <c r="AM183" i="4"/>
  <c r="FA182" i="4"/>
  <c r="DM182" i="4"/>
  <c r="BZ182" i="4"/>
  <c r="AM182" i="4"/>
  <c r="FA181" i="4"/>
  <c r="FA180" i="4"/>
  <c r="FA179" i="4"/>
  <c r="BZ179" i="4"/>
  <c r="FA178" i="4"/>
  <c r="BZ178" i="4"/>
  <c r="FA177" i="4"/>
  <c r="BZ177" i="4"/>
  <c r="FA176" i="4"/>
  <c r="FA175" i="4"/>
  <c r="FA174" i="4"/>
  <c r="FA173" i="4"/>
  <c r="FA172" i="4"/>
  <c r="FA171" i="4"/>
  <c r="FA170" i="4"/>
  <c r="FA169" i="4"/>
  <c r="FA168" i="4"/>
  <c r="FA167" i="4"/>
  <c r="FA166" i="4"/>
  <c r="FA165" i="4"/>
  <c r="FA164" i="4"/>
  <c r="FA163" i="4"/>
  <c r="FA162" i="4"/>
  <c r="FA161" i="4"/>
  <c r="FA160" i="4"/>
  <c r="FA159" i="4"/>
  <c r="FA158" i="4"/>
  <c r="FA157" i="4"/>
  <c r="FA156" i="4"/>
  <c r="FA155" i="4"/>
  <c r="FA154" i="4"/>
  <c r="FA153" i="4"/>
  <c r="FA152" i="4"/>
  <c r="FA151" i="4"/>
  <c r="FA150" i="4"/>
  <c r="FA149" i="4"/>
  <c r="FA148" i="4"/>
  <c r="AS191" i="4"/>
  <c r="DT188" i="4"/>
  <c r="AS187" i="4"/>
  <c r="DT186" i="4"/>
  <c r="AS184" i="4"/>
  <c r="DT181" i="4"/>
  <c r="DT180" i="4"/>
  <c r="AS176" i="4"/>
  <c r="AS175" i="4"/>
  <c r="AS174" i="4"/>
  <c r="AS173" i="4"/>
  <c r="AS172" i="4"/>
  <c r="AS171" i="4"/>
  <c r="AS170" i="4"/>
  <c r="AS169" i="4"/>
  <c r="AS168" i="4"/>
  <c r="AS167" i="4"/>
  <c r="AS166" i="4"/>
  <c r="AS165" i="4"/>
  <c r="AS164" i="4"/>
  <c r="AS163" i="4"/>
  <c r="AS162" i="4"/>
  <c r="AS161" i="4"/>
  <c r="AS160" i="4"/>
  <c r="AS159" i="4"/>
  <c r="AS158" i="4"/>
  <c r="AS157" i="4"/>
  <c r="AS156" i="4"/>
  <c r="AS155" i="4"/>
  <c r="AS154" i="4"/>
  <c r="AS153" i="4"/>
  <c r="AS152" i="4"/>
  <c r="AS151" i="4"/>
  <c r="AS150" i="4"/>
  <c r="AS149" i="4"/>
  <c r="DT146" i="4"/>
  <c r="AS144" i="4"/>
  <c r="AS143" i="4"/>
  <c r="DM138" i="4"/>
  <c r="CF138" i="4"/>
  <c r="AM191" i="4"/>
  <c r="DM188" i="4"/>
  <c r="AM187" i="4"/>
  <c r="DM186" i="4"/>
  <c r="AM184" i="4"/>
  <c r="DM181" i="4"/>
  <c r="DM180" i="4"/>
  <c r="AM176" i="4"/>
  <c r="AM175" i="4"/>
  <c r="AM174" i="4"/>
  <c r="AM173" i="4"/>
  <c r="AM172" i="4"/>
  <c r="AM171" i="4"/>
  <c r="AM170" i="4"/>
  <c r="AM169" i="4"/>
  <c r="AM168" i="4"/>
  <c r="AM167" i="4"/>
  <c r="AM166" i="4"/>
  <c r="AM165" i="4"/>
  <c r="AM164" i="4"/>
  <c r="AM163" i="4"/>
  <c r="AM162" i="4"/>
  <c r="AM161" i="4"/>
  <c r="AM160" i="4"/>
  <c r="AM159" i="4"/>
  <c r="AM158" i="4"/>
  <c r="AM157" i="4"/>
  <c r="AM156" i="4"/>
  <c r="AM155" i="4"/>
  <c r="AM154" i="4"/>
  <c r="AM153" i="4"/>
  <c r="AM152" i="4"/>
  <c r="AM151" i="4"/>
  <c r="AM150" i="4"/>
  <c r="AM149" i="4"/>
  <c r="CF181" i="4"/>
  <c r="DT177" i="4"/>
  <c r="CF176" i="4"/>
  <c r="CF168" i="4"/>
  <c r="CF160" i="4"/>
  <c r="CF152" i="4"/>
  <c r="FA147" i="4"/>
  <c r="CF146" i="4"/>
  <c r="AM145" i="4"/>
  <c r="CF142" i="4"/>
  <c r="F142" i="4"/>
  <c r="CF141" i="4"/>
  <c r="F141" i="4"/>
  <c r="CF140" i="4"/>
  <c r="F140" i="4"/>
  <c r="CF139" i="4"/>
  <c r="F139" i="4"/>
  <c r="FA126" i="4"/>
  <c r="FA125" i="4"/>
  <c r="FA124" i="4"/>
  <c r="FA122" i="4"/>
  <c r="FA115" i="4"/>
  <c r="FA113" i="4"/>
  <c r="FA110" i="4"/>
  <c r="FA106" i="4"/>
  <c r="FA102" i="4"/>
  <c r="FA98" i="4"/>
  <c r="FA94" i="4"/>
  <c r="FA90" i="4"/>
  <c r="FA86" i="4"/>
  <c r="FA83" i="4"/>
  <c r="CF127" i="4"/>
  <c r="CF126" i="4"/>
  <c r="CF125" i="4"/>
  <c r="CF123" i="4"/>
  <c r="CF116" i="4"/>
  <c r="CF114" i="4"/>
  <c r="CF111" i="4"/>
  <c r="CF107" i="4"/>
  <c r="CF103" i="4"/>
  <c r="CF99" i="4"/>
  <c r="CF95" i="4"/>
  <c r="CF91" i="4"/>
  <c r="CF87" i="4"/>
  <c r="CF84" i="4"/>
  <c r="BZ120" i="4"/>
  <c r="CF187" i="4"/>
  <c r="AS178" i="4"/>
  <c r="CF173" i="4"/>
  <c r="CF165" i="4"/>
  <c r="CF157" i="4"/>
  <c r="CF149" i="4"/>
  <c r="DT147" i="4"/>
  <c r="AM147" i="4"/>
  <c r="FA145" i="4"/>
  <c r="DT120" i="4"/>
  <c r="DT119" i="4"/>
  <c r="DT118" i="4"/>
  <c r="DT115" i="4"/>
  <c r="DT113" i="4"/>
  <c r="DT109" i="4"/>
  <c r="DT105" i="4"/>
  <c r="DT101" i="4"/>
  <c r="DT97" i="4"/>
  <c r="DT93" i="4"/>
  <c r="DT89" i="4"/>
  <c r="DT85" i="4"/>
  <c r="DT83" i="4"/>
  <c r="DT80" i="4"/>
  <c r="DM127" i="4"/>
  <c r="DM123" i="4"/>
  <c r="DM121" i="4"/>
  <c r="DM111" i="4"/>
  <c r="DM107" i="4"/>
  <c r="DM103" i="4"/>
  <c r="DM99" i="4"/>
  <c r="DM95" i="4"/>
  <c r="DM91" i="4"/>
  <c r="DM87" i="4"/>
  <c r="DM78" i="4"/>
  <c r="DM76" i="4"/>
  <c r="DM74" i="4"/>
  <c r="CF74" i="4"/>
  <c r="AS124" i="4"/>
  <c r="AS122" i="4"/>
  <c r="AS112" i="4"/>
  <c r="AS108" i="4"/>
  <c r="AS104" i="4"/>
  <c r="AS100" i="4"/>
  <c r="AS96" i="4"/>
  <c r="AS92" i="4"/>
  <c r="AS88" i="4"/>
  <c r="AS79" i="4"/>
  <c r="AS77" i="4"/>
  <c r="CF186" i="4"/>
  <c r="AS185" i="4"/>
  <c r="DT179" i="4"/>
  <c r="CF172" i="4"/>
  <c r="CF164" i="4"/>
  <c r="CF156" i="4"/>
  <c r="AS148" i="4"/>
  <c r="DM147" i="4"/>
  <c r="DM144" i="4"/>
  <c r="FA143" i="4"/>
  <c r="AM143" i="4"/>
  <c r="DT142" i="4"/>
  <c r="AS142" i="4"/>
  <c r="DT141" i="4"/>
  <c r="AS141" i="4"/>
  <c r="DT140" i="4"/>
  <c r="AS140" i="4"/>
  <c r="DT139" i="4"/>
  <c r="AS139" i="4"/>
  <c r="FA119" i="4"/>
  <c r="FA118" i="4"/>
  <c r="FA117" i="4"/>
  <c r="FA114" i="4"/>
  <c r="FA112" i="4"/>
  <c r="FA108" i="4"/>
  <c r="FA104" i="4"/>
  <c r="FA100" i="4"/>
  <c r="FA96" i="4"/>
  <c r="FA92" i="4"/>
  <c r="FA88" i="4"/>
  <c r="FA84" i="4"/>
  <c r="FA82" i="4"/>
  <c r="FA79" i="4"/>
  <c r="CF120" i="4"/>
  <c r="CF119" i="4"/>
  <c r="CF118" i="4"/>
  <c r="CF115" i="4"/>
  <c r="CF113" i="4"/>
  <c r="CF109" i="4"/>
  <c r="CF105" i="4"/>
  <c r="CF101" i="4"/>
  <c r="CF97" i="4"/>
  <c r="CF93" i="4"/>
  <c r="CF89" i="4"/>
  <c r="CF85" i="4"/>
  <c r="CF83" i="4"/>
  <c r="CF80" i="4"/>
  <c r="BZ127" i="4"/>
  <c r="BZ123" i="4"/>
  <c r="BZ121" i="4"/>
  <c r="F75" i="4"/>
  <c r="F77" i="4"/>
  <c r="F79" i="4"/>
  <c r="F88" i="4"/>
  <c r="F92" i="4"/>
  <c r="F96" i="4"/>
  <c r="F100" i="4"/>
  <c r="F104" i="4"/>
  <c r="F108" i="4"/>
  <c r="F112" i="4"/>
  <c r="F122" i="4"/>
  <c r="F124" i="4"/>
  <c r="AS74" i="4"/>
  <c r="BZ74" i="4"/>
  <c r="BZ76" i="4"/>
  <c r="BZ83" i="4"/>
  <c r="BZ86" i="4"/>
  <c r="AS91" i="4"/>
  <c r="BZ93" i="4"/>
  <c r="AS98" i="4"/>
  <c r="BZ100" i="4"/>
  <c r="AS105" i="4"/>
  <c r="BZ111" i="4"/>
  <c r="DM83" i="4"/>
  <c r="DM85" i="4"/>
  <c r="DM88" i="4"/>
  <c r="CF92" i="4"/>
  <c r="DM94" i="4"/>
  <c r="CF98" i="4"/>
  <c r="DM116" i="4"/>
  <c r="DM119" i="4"/>
  <c r="DM124" i="4"/>
  <c r="FA75" i="4"/>
  <c r="FA77" i="4"/>
  <c r="FA97" i="4"/>
  <c r="FA103" i="4"/>
  <c r="DT107" i="4"/>
  <c r="DT110" i="4"/>
  <c r="FA116" i="4"/>
  <c r="DT123" i="4"/>
  <c r="F138" i="4"/>
  <c r="AM138" i="4"/>
  <c r="AM140" i="4"/>
  <c r="AM142" i="4"/>
  <c r="DM143" i="4"/>
  <c r="FA144" i="4"/>
  <c r="CF155" i="4"/>
  <c r="CF169" i="4"/>
  <c r="CF180" i="4"/>
  <c r="DT185" i="4"/>
  <c r="BZ89" i="4"/>
  <c r="AS94" i="4"/>
  <c r="BZ96" i="4"/>
  <c r="AS101" i="4"/>
  <c r="BZ107" i="4"/>
  <c r="BZ113" i="4"/>
  <c r="BZ115" i="4"/>
  <c r="CF79" i="4"/>
  <c r="CF86" i="4"/>
  <c r="DM105" i="4"/>
  <c r="DM108" i="4"/>
  <c r="CF112" i="4"/>
  <c r="DM113" i="4"/>
  <c r="CF117" i="4"/>
  <c r="DM118" i="4"/>
  <c r="CF122" i="4"/>
  <c r="DT76" i="4"/>
  <c r="DT78" i="4"/>
  <c r="FA85" i="4"/>
  <c r="FA91" i="4"/>
  <c r="DT95" i="4"/>
  <c r="DT98" i="4"/>
  <c r="DT104" i="4"/>
  <c r="DT117" i="4"/>
  <c r="AS138" i="4"/>
  <c r="BZ138" i="4"/>
  <c r="DT138" i="4"/>
  <c r="FA138" i="4"/>
  <c r="FA140" i="4"/>
  <c r="FA142" i="4"/>
  <c r="AM144" i="4"/>
  <c r="AS147" i="4"/>
  <c r="DT148" i="4"/>
  <c r="CF158" i="4"/>
  <c r="CF170" i="4"/>
  <c r="AS179" i="4"/>
  <c r="CF184" i="4"/>
  <c r="F22" i="2"/>
  <c r="B5" i="4"/>
  <c r="I10" i="4"/>
  <c r="AD21" i="5" l="1"/>
  <c r="AC22" i="5"/>
  <c r="AI128" i="4"/>
  <c r="AA120" i="4"/>
  <c r="W85" i="4"/>
  <c r="W93" i="4"/>
  <c r="W101" i="4"/>
  <c r="W109" i="4"/>
  <c r="AA79" i="4"/>
  <c r="I127" i="4"/>
  <c r="DW127" i="4" s="1"/>
  <c r="DX127" i="4" s="1"/>
  <c r="DY127" i="4" s="1"/>
  <c r="DZ127" i="4" s="1"/>
  <c r="EA127" i="4" s="1"/>
  <c r="EB127" i="4" s="1"/>
  <c r="EC127" i="4" s="1"/>
  <c r="ED127" i="4" s="1"/>
  <c r="EE127" i="4" s="1"/>
  <c r="EF127" i="4" s="1"/>
  <c r="EG127" i="4" s="1"/>
  <c r="EH127" i="4" s="1"/>
  <c r="EI127" i="4" s="1"/>
  <c r="EJ127" i="4" s="1"/>
  <c r="EK127" i="4" s="1"/>
  <c r="EL127" i="4" s="1"/>
  <c r="EM127" i="4" s="1"/>
  <c r="EN127" i="4" s="1"/>
  <c r="EO127" i="4" s="1"/>
  <c r="EP127" i="4" s="1"/>
  <c r="EQ127" i="4" s="1"/>
  <c r="ER127" i="4" s="1"/>
  <c r="ES127" i="4" s="1"/>
  <c r="ET127" i="4" s="1"/>
  <c r="EU127" i="4" s="1"/>
  <c r="EV127" i="4" s="1"/>
  <c r="EW127" i="4" s="1"/>
  <c r="R118" i="4"/>
  <c r="EF118" i="4" s="1"/>
  <c r="EG118" i="4" s="1"/>
  <c r="EH118" i="4" s="1"/>
  <c r="EI118" i="4" s="1"/>
  <c r="EJ118" i="4" s="1"/>
  <c r="EK118" i="4" s="1"/>
  <c r="EL118" i="4" s="1"/>
  <c r="EM118" i="4" s="1"/>
  <c r="EN118" i="4" s="1"/>
  <c r="U87" i="4"/>
  <c r="U95" i="4"/>
  <c r="U103" i="4"/>
  <c r="U111" i="4"/>
  <c r="P76" i="4"/>
  <c r="AI127" i="4"/>
  <c r="Z119" i="4"/>
  <c r="W86" i="4"/>
  <c r="W94" i="4"/>
  <c r="W102" i="4"/>
  <c r="W110" i="4"/>
  <c r="AA80" i="4"/>
  <c r="J126" i="4"/>
  <c r="S117" i="4"/>
  <c r="U88" i="4"/>
  <c r="U96" i="4"/>
  <c r="U104" i="4"/>
  <c r="U112" i="4"/>
  <c r="P77" i="4"/>
  <c r="AH126" i="4"/>
  <c r="Z118" i="4"/>
  <c r="W87" i="4"/>
  <c r="W95" i="4"/>
  <c r="W103" i="4"/>
  <c r="W111" i="4"/>
  <c r="AB76" i="4"/>
  <c r="J125" i="4"/>
  <c r="DX125" i="4" s="1"/>
  <c r="DY125" i="4" s="1"/>
  <c r="DZ125" i="4" s="1"/>
  <c r="EA125" i="4" s="1"/>
  <c r="EB125" i="4" s="1"/>
  <c r="EC125" i="4" s="1"/>
  <c r="ED125" i="4" s="1"/>
  <c r="EE125" i="4" s="1"/>
  <c r="EF125" i="4" s="1"/>
  <c r="EG125" i="4" s="1"/>
  <c r="EH125" i="4" s="1"/>
  <c r="EI125" i="4" s="1"/>
  <c r="EJ125" i="4" s="1"/>
  <c r="EK125" i="4" s="1"/>
  <c r="EL125" i="4" s="1"/>
  <c r="EM125" i="4" s="1"/>
  <c r="EN125" i="4" s="1"/>
  <c r="EO125" i="4" s="1"/>
  <c r="EP125" i="4" s="1"/>
  <c r="EQ125" i="4" s="1"/>
  <c r="ER125" i="4" s="1"/>
  <c r="ES125" i="4" s="1"/>
  <c r="ET125" i="4" s="1"/>
  <c r="EU125" i="4" s="1"/>
  <c r="EV125" i="4" s="1"/>
  <c r="S116" i="4"/>
  <c r="EG116" i="4" s="1"/>
  <c r="EH116" i="4" s="1"/>
  <c r="EI116" i="4" s="1"/>
  <c r="EJ116" i="4" s="1"/>
  <c r="EK116" i="4" s="1"/>
  <c r="EL116" i="4" s="1"/>
  <c r="EM116" i="4" s="1"/>
  <c r="U89" i="4"/>
  <c r="U97" i="4"/>
  <c r="U105" i="4"/>
  <c r="T83" i="4"/>
  <c r="P78" i="4"/>
  <c r="ED78" i="4" s="1"/>
  <c r="EE78" i="4" s="1"/>
  <c r="EF78" i="4" s="1"/>
  <c r="EG78" i="4" s="1"/>
  <c r="EH78" i="4" s="1"/>
  <c r="EI78" i="4" s="1"/>
  <c r="EJ78" i="4" s="1"/>
  <c r="EK78" i="4" s="1"/>
  <c r="EL78" i="4" s="1"/>
  <c r="EM78" i="4" s="1"/>
  <c r="EN78" i="4" s="1"/>
  <c r="EO78" i="4" s="1"/>
  <c r="EP78" i="4" s="1"/>
  <c r="AH125" i="4"/>
  <c r="Y117" i="4"/>
  <c r="W88" i="4"/>
  <c r="W96" i="4"/>
  <c r="W104" i="4"/>
  <c r="W112" i="4"/>
  <c r="AB77" i="4"/>
  <c r="K124" i="4"/>
  <c r="DY124" i="4" s="1"/>
  <c r="DZ124" i="4" s="1"/>
  <c r="EA124" i="4" s="1"/>
  <c r="EB124" i="4" s="1"/>
  <c r="EC124" i="4" s="1"/>
  <c r="ED124" i="4" s="1"/>
  <c r="EE124" i="4" s="1"/>
  <c r="EF124" i="4" s="1"/>
  <c r="EG124" i="4" s="1"/>
  <c r="EH124" i="4" s="1"/>
  <c r="EI124" i="4" s="1"/>
  <c r="EJ124" i="4" s="1"/>
  <c r="EK124" i="4" s="1"/>
  <c r="EL124" i="4" s="1"/>
  <c r="EM124" i="4" s="1"/>
  <c r="EN124" i="4" s="1"/>
  <c r="EO124" i="4" s="1"/>
  <c r="EP124" i="4" s="1"/>
  <c r="EQ124" i="4" s="1"/>
  <c r="ER124" i="4" s="1"/>
  <c r="ES124" i="4" s="1"/>
  <c r="ET124" i="4" s="1"/>
  <c r="EU124" i="4" s="1"/>
  <c r="T115" i="4"/>
  <c r="U90" i="4"/>
  <c r="U98" i="4"/>
  <c r="U106" i="4"/>
  <c r="T84" i="4"/>
  <c r="EH84" i="4" s="1"/>
  <c r="EI84" i="4" s="1"/>
  <c r="EJ84" i="4" s="1"/>
  <c r="EK84" i="4" s="1"/>
  <c r="EL84" i="4" s="1"/>
  <c r="P75" i="4"/>
  <c r="AG124" i="4"/>
  <c r="Y116" i="4"/>
  <c r="W89" i="4"/>
  <c r="W97" i="4"/>
  <c r="W105" i="4"/>
  <c r="X83" i="4"/>
  <c r="AB78" i="4"/>
  <c r="M123" i="4"/>
  <c r="EA123" i="4" s="1"/>
  <c r="EB123" i="4" s="1"/>
  <c r="EC123" i="4" s="1"/>
  <c r="ED123" i="4" s="1"/>
  <c r="EE123" i="4" s="1"/>
  <c r="EF123" i="4" s="1"/>
  <c r="EG123" i="4" s="1"/>
  <c r="EH123" i="4" s="1"/>
  <c r="EI123" i="4" s="1"/>
  <c r="EJ123" i="4" s="1"/>
  <c r="EK123" i="4" s="1"/>
  <c r="EL123" i="4" s="1"/>
  <c r="EM123" i="4" s="1"/>
  <c r="EN123" i="4" s="1"/>
  <c r="EO123" i="4" s="1"/>
  <c r="EP123" i="4" s="1"/>
  <c r="EQ123" i="4" s="1"/>
  <c r="ER123" i="4" s="1"/>
  <c r="ES123" i="4" s="1"/>
  <c r="T114" i="4"/>
  <c r="U91" i="4"/>
  <c r="U99" i="4"/>
  <c r="U107" i="4"/>
  <c r="S82" i="4"/>
  <c r="EG82" i="4" s="1"/>
  <c r="EH82" i="4" s="1"/>
  <c r="EI82" i="4" s="1"/>
  <c r="EJ82" i="4" s="1"/>
  <c r="EK82" i="4" s="1"/>
  <c r="EL82" i="4" s="1"/>
  <c r="EM82" i="4" s="1"/>
  <c r="AE123" i="4"/>
  <c r="X114" i="4"/>
  <c r="W90" i="4"/>
  <c r="W98" i="4"/>
  <c r="W106" i="4"/>
  <c r="X84" i="4"/>
  <c r="AB75" i="4"/>
  <c r="O122" i="4"/>
  <c r="EC122" i="4" s="1"/>
  <c r="ED122" i="4" s="1"/>
  <c r="EE122" i="4" s="1"/>
  <c r="EF122" i="4" s="1"/>
  <c r="EG122" i="4" s="1"/>
  <c r="EH122" i="4" s="1"/>
  <c r="EI122" i="4" s="1"/>
  <c r="EJ122" i="4" s="1"/>
  <c r="EK122" i="4" s="1"/>
  <c r="EL122" i="4" s="1"/>
  <c r="EM122" i="4" s="1"/>
  <c r="EN122" i="4" s="1"/>
  <c r="EO122" i="4" s="1"/>
  <c r="EP122" i="4" s="1"/>
  <c r="EQ122" i="4" s="1"/>
  <c r="T113" i="4"/>
  <c r="EH113" i="4" s="1"/>
  <c r="EI113" i="4" s="1"/>
  <c r="EJ113" i="4" s="1"/>
  <c r="EK113" i="4" s="1"/>
  <c r="EL113" i="4" s="1"/>
  <c r="U92" i="4"/>
  <c r="U100" i="4"/>
  <c r="U108" i="4"/>
  <c r="R81" i="4"/>
  <c r="EF81" i="4" s="1"/>
  <c r="EG81" i="4" s="1"/>
  <c r="EH81" i="4" s="1"/>
  <c r="EI81" i="4" s="1"/>
  <c r="EJ81" i="4" s="1"/>
  <c r="EK81" i="4" s="1"/>
  <c r="EL81" i="4" s="1"/>
  <c r="EM81" i="4" s="1"/>
  <c r="EN81" i="4" s="1"/>
  <c r="AB121" i="4"/>
  <c r="X113" i="4"/>
  <c r="W92" i="4"/>
  <c r="W108" i="4"/>
  <c r="Z81" i="4"/>
  <c r="I128" i="4"/>
  <c r="U86" i="4"/>
  <c r="U102" i="4"/>
  <c r="Q80" i="4"/>
  <c r="EE80" i="4" s="1"/>
  <c r="EF80" i="4" s="1"/>
  <c r="EG80" i="4" s="1"/>
  <c r="EH80" i="4" s="1"/>
  <c r="EI80" i="4" s="1"/>
  <c r="EJ80" i="4" s="1"/>
  <c r="EK80" i="4" s="1"/>
  <c r="EL80" i="4" s="1"/>
  <c r="EM80" i="4" s="1"/>
  <c r="EN80" i="4" s="1"/>
  <c r="EO80" i="4" s="1"/>
  <c r="AC122" i="4"/>
  <c r="X115" i="4"/>
  <c r="W91" i="4"/>
  <c r="W99" i="4"/>
  <c r="W107" i="4"/>
  <c r="Y82" i="4"/>
  <c r="P121" i="4"/>
  <c r="ED121" i="4" s="1"/>
  <c r="EE121" i="4" s="1"/>
  <c r="EF121" i="4" s="1"/>
  <c r="EG121" i="4" s="1"/>
  <c r="EH121" i="4" s="1"/>
  <c r="EI121" i="4" s="1"/>
  <c r="EJ121" i="4" s="1"/>
  <c r="EK121" i="4" s="1"/>
  <c r="EL121" i="4" s="1"/>
  <c r="EM121" i="4" s="1"/>
  <c r="EN121" i="4" s="1"/>
  <c r="EO121" i="4" s="1"/>
  <c r="EP121" i="4" s="1"/>
  <c r="U85" i="4"/>
  <c r="U93" i="4"/>
  <c r="U101" i="4"/>
  <c r="U109" i="4"/>
  <c r="Q79" i="4"/>
  <c r="W100" i="4"/>
  <c r="Q120" i="4"/>
  <c r="EE120" i="4" s="1"/>
  <c r="EF120" i="4" s="1"/>
  <c r="EG120" i="4" s="1"/>
  <c r="EH120" i="4" s="1"/>
  <c r="EI120" i="4" s="1"/>
  <c r="EJ120" i="4" s="1"/>
  <c r="EK120" i="4" s="1"/>
  <c r="EL120" i="4" s="1"/>
  <c r="EM120" i="4" s="1"/>
  <c r="EN120" i="4" s="1"/>
  <c r="EO120" i="4" s="1"/>
  <c r="U94" i="4"/>
  <c r="U110" i="4"/>
  <c r="Z66" i="4"/>
  <c r="R119" i="4"/>
  <c r="AF66" i="4"/>
  <c r="EU193" i="4"/>
  <c r="EM193" i="4"/>
  <c r="EE193" i="4"/>
  <c r="DW193" i="4"/>
  <c r="DE193" i="4"/>
  <c r="CW193" i="4"/>
  <c r="CO193" i="4"/>
  <c r="BX193" i="4"/>
  <c r="BP193" i="4"/>
  <c r="BH193" i="4"/>
  <c r="AZ193" i="4"/>
  <c r="AI193" i="4"/>
  <c r="AA193" i="4"/>
  <c r="S193" i="4"/>
  <c r="K193" i="4"/>
  <c r="ET193" i="4"/>
  <c r="EL193" i="4"/>
  <c r="ED193" i="4"/>
  <c r="DV193" i="4"/>
  <c r="DD193" i="4"/>
  <c r="CV193" i="4"/>
  <c r="CN193" i="4"/>
  <c r="BW193" i="4"/>
  <c r="BO193" i="4"/>
  <c r="BG193" i="4"/>
  <c r="AY193" i="4"/>
  <c r="AH193" i="4"/>
  <c r="Z193" i="4"/>
  <c r="R193" i="4"/>
  <c r="J193" i="4"/>
  <c r="ES193" i="4"/>
  <c r="EK193" i="4"/>
  <c r="EC193" i="4"/>
  <c r="DK193" i="4"/>
  <c r="DC193" i="4"/>
  <c r="CU193" i="4"/>
  <c r="CM193" i="4"/>
  <c r="BV193" i="4"/>
  <c r="BN193" i="4"/>
  <c r="BF193" i="4"/>
  <c r="AX193" i="4"/>
  <c r="AG193" i="4"/>
  <c r="Y193" i="4"/>
  <c r="Q193" i="4"/>
  <c r="I193" i="4"/>
  <c r="ER193" i="4"/>
  <c r="EJ193" i="4"/>
  <c r="EB193" i="4"/>
  <c r="DJ193" i="4"/>
  <c r="DB193" i="4"/>
  <c r="CT193" i="4"/>
  <c r="CL193" i="4"/>
  <c r="BU193" i="4"/>
  <c r="BM193" i="4"/>
  <c r="BE193" i="4"/>
  <c r="AW193" i="4"/>
  <c r="AF193" i="4"/>
  <c r="X193" i="4"/>
  <c r="P193" i="4"/>
  <c r="H193" i="4"/>
  <c r="EY193" i="4"/>
  <c r="EQ193" i="4"/>
  <c r="EI193" i="4"/>
  <c r="EA193" i="4"/>
  <c r="DI193" i="4"/>
  <c r="DA193" i="4"/>
  <c r="CS193" i="4"/>
  <c r="CK193" i="4"/>
  <c r="BT193" i="4"/>
  <c r="BL193" i="4"/>
  <c r="BD193" i="4"/>
  <c r="AV193" i="4"/>
  <c r="AE193" i="4"/>
  <c r="W193" i="4"/>
  <c r="O193" i="4"/>
  <c r="EX193" i="4"/>
  <c r="EP193" i="4"/>
  <c r="EH193" i="4"/>
  <c r="DZ193" i="4"/>
  <c r="DH193" i="4"/>
  <c r="CZ193" i="4"/>
  <c r="CR193" i="4"/>
  <c r="CJ193" i="4"/>
  <c r="BS193" i="4"/>
  <c r="BK193" i="4"/>
  <c r="BC193" i="4"/>
  <c r="AU193" i="4"/>
  <c r="AD193" i="4"/>
  <c r="V193" i="4"/>
  <c r="N193" i="4"/>
  <c r="ET137" i="4"/>
  <c r="EL137" i="4"/>
  <c r="ED137" i="4"/>
  <c r="DV137" i="4"/>
  <c r="DD137" i="4"/>
  <c r="CV137" i="4"/>
  <c r="CN137" i="4"/>
  <c r="BW137" i="4"/>
  <c r="BO137" i="4"/>
  <c r="BG137" i="4"/>
  <c r="AY137" i="4"/>
  <c r="AH137" i="4"/>
  <c r="Z137" i="4"/>
  <c r="R137" i="4"/>
  <c r="J137" i="4"/>
  <c r="ET129" i="4"/>
  <c r="EL129" i="4"/>
  <c r="ED129" i="4"/>
  <c r="DV129" i="4"/>
  <c r="EW193" i="4"/>
  <c r="EO193" i="4"/>
  <c r="EG193" i="4"/>
  <c r="DY193" i="4"/>
  <c r="DG193" i="4"/>
  <c r="CY193" i="4"/>
  <c r="CQ193" i="4"/>
  <c r="CI193" i="4"/>
  <c r="BR193" i="4"/>
  <c r="BJ193" i="4"/>
  <c r="BB193" i="4"/>
  <c r="AK193" i="4"/>
  <c r="AC193" i="4"/>
  <c r="U193" i="4"/>
  <c r="M193" i="4"/>
  <c r="CP193" i="4"/>
  <c r="L193" i="4"/>
  <c r="ES137" i="4"/>
  <c r="EJ137" i="4"/>
  <c r="EA137" i="4"/>
  <c r="DH137" i="4"/>
  <c r="CY137" i="4"/>
  <c r="CP137" i="4"/>
  <c r="BX137" i="4"/>
  <c r="BN137" i="4"/>
  <c r="BE137" i="4"/>
  <c r="AV137" i="4"/>
  <c r="AD137" i="4"/>
  <c r="U137" i="4"/>
  <c r="L137" i="4"/>
  <c r="EU129" i="4"/>
  <c r="EK129" i="4"/>
  <c r="EB129" i="4"/>
  <c r="ET73" i="4"/>
  <c r="EL73" i="4"/>
  <c r="ED73" i="4"/>
  <c r="DV73" i="4"/>
  <c r="DD129" i="4"/>
  <c r="CV129" i="4"/>
  <c r="CN129" i="4"/>
  <c r="DG73" i="4"/>
  <c r="CY73" i="4"/>
  <c r="CQ73" i="4"/>
  <c r="CI73" i="4"/>
  <c r="BR129" i="4"/>
  <c r="BJ129" i="4"/>
  <c r="BB129" i="4"/>
  <c r="EN193" i="4"/>
  <c r="BI193" i="4"/>
  <c r="EY137" i="4"/>
  <c r="EP137" i="4"/>
  <c r="EG137" i="4"/>
  <c r="DX137" i="4"/>
  <c r="DE137" i="4"/>
  <c r="CU137" i="4"/>
  <c r="CL137" i="4"/>
  <c r="BT137" i="4"/>
  <c r="BK137" i="4"/>
  <c r="BB137" i="4"/>
  <c r="AJ137" i="4"/>
  <c r="AA137" i="4"/>
  <c r="Q137" i="4"/>
  <c r="H137" i="4"/>
  <c r="EQ129" i="4"/>
  <c r="EH129" i="4"/>
  <c r="DY129" i="4"/>
  <c r="EY73" i="4"/>
  <c r="EQ73" i="4"/>
  <c r="EI73" i="4"/>
  <c r="EA73" i="4"/>
  <c r="DI129" i="4"/>
  <c r="DA129" i="4"/>
  <c r="CS129" i="4"/>
  <c r="CK129" i="4"/>
  <c r="DD73" i="4"/>
  <c r="CV73" i="4"/>
  <c r="CN73" i="4"/>
  <c r="BW129" i="4"/>
  <c r="BO129" i="4"/>
  <c r="BG129" i="4"/>
  <c r="AY129" i="4"/>
  <c r="EF193" i="4"/>
  <c r="BA193" i="4"/>
  <c r="EX137" i="4"/>
  <c r="EO137" i="4"/>
  <c r="EF137" i="4"/>
  <c r="DW137" i="4"/>
  <c r="DC137" i="4"/>
  <c r="CT137" i="4"/>
  <c r="CK137" i="4"/>
  <c r="BS137" i="4"/>
  <c r="BJ137" i="4"/>
  <c r="BA137" i="4"/>
  <c r="AI137" i="4"/>
  <c r="Y137" i="4"/>
  <c r="P137" i="4"/>
  <c r="EY129" i="4"/>
  <c r="EP129" i="4"/>
  <c r="EG129" i="4"/>
  <c r="DX129" i="4"/>
  <c r="EX73" i="4"/>
  <c r="EP73" i="4"/>
  <c r="EH73" i="4"/>
  <c r="DZ73" i="4"/>
  <c r="DH129" i="4"/>
  <c r="CZ129" i="4"/>
  <c r="CR129" i="4"/>
  <c r="CJ129" i="4"/>
  <c r="DK73" i="4"/>
  <c r="DC73" i="4"/>
  <c r="CU73" i="4"/>
  <c r="CM73" i="4"/>
  <c r="BV129" i="4"/>
  <c r="BN129" i="4"/>
  <c r="BF129" i="4"/>
  <c r="AX129" i="4"/>
  <c r="CH193" i="4"/>
  <c r="EM137" i="4"/>
  <c r="DY137" i="4"/>
  <c r="CZ137" i="4"/>
  <c r="CJ137" i="4"/>
  <c r="BM137" i="4"/>
  <c r="AX137" i="4"/>
  <c r="AB137" i="4"/>
  <c r="M137" i="4"/>
  <c r="EO129" i="4"/>
  <c r="EA129" i="4"/>
  <c r="EU73" i="4"/>
  <c r="EG73" i="4"/>
  <c r="DK129" i="4"/>
  <c r="CX129" i="4"/>
  <c r="CL129" i="4"/>
  <c r="DH73" i="4"/>
  <c r="CT73" i="4"/>
  <c r="CH73" i="4"/>
  <c r="BL129" i="4"/>
  <c r="AZ129" i="4"/>
  <c r="BR73" i="4"/>
  <c r="BJ73" i="4"/>
  <c r="BB73" i="4"/>
  <c r="AK129" i="4"/>
  <c r="AC129" i="4"/>
  <c r="U129" i="4"/>
  <c r="M129" i="4"/>
  <c r="BQ193" i="4"/>
  <c r="EK137" i="4"/>
  <c r="DK137" i="4"/>
  <c r="CX137" i="4"/>
  <c r="CI137" i="4"/>
  <c r="BL137" i="4"/>
  <c r="AW137" i="4"/>
  <c r="X137" i="4"/>
  <c r="K137" i="4"/>
  <c r="EN129" i="4"/>
  <c r="DZ129" i="4"/>
  <c r="ES73" i="4"/>
  <c r="EF73" i="4"/>
  <c r="DJ129" i="4"/>
  <c r="CW129" i="4"/>
  <c r="CI129" i="4"/>
  <c r="DF73" i="4"/>
  <c r="CS73" i="4"/>
  <c r="BX129" i="4"/>
  <c r="BK129" i="4"/>
  <c r="AW129" i="4"/>
  <c r="BQ73" i="4"/>
  <c r="BI73" i="4"/>
  <c r="BA73" i="4"/>
  <c r="AJ129" i="4"/>
  <c r="AB129" i="4"/>
  <c r="T129" i="4"/>
  <c r="L129" i="4"/>
  <c r="AE73" i="4"/>
  <c r="W73" i="4"/>
  <c r="O73" i="4"/>
  <c r="AJ193" i="4"/>
  <c r="EW137" i="4"/>
  <c r="EI137" i="4"/>
  <c r="DJ137" i="4"/>
  <c r="CW137" i="4"/>
  <c r="CH137" i="4"/>
  <c r="BI137" i="4"/>
  <c r="AU137" i="4"/>
  <c r="W137" i="4"/>
  <c r="I137" i="4"/>
  <c r="EM129" i="4"/>
  <c r="DW129" i="4"/>
  <c r="ER73" i="4"/>
  <c r="EE73" i="4"/>
  <c r="DG129" i="4"/>
  <c r="CU129" i="4"/>
  <c r="CH129" i="4"/>
  <c r="DE73" i="4"/>
  <c r="CR73" i="4"/>
  <c r="BU129" i="4"/>
  <c r="BI129" i="4"/>
  <c r="AV129" i="4"/>
  <c r="BX73" i="4"/>
  <c r="BP73" i="4"/>
  <c r="BH73" i="4"/>
  <c r="AZ73" i="4"/>
  <c r="AI129" i="4"/>
  <c r="AA129" i="4"/>
  <c r="S129" i="4"/>
  <c r="K129" i="4"/>
  <c r="AB193" i="4"/>
  <c r="EV137" i="4"/>
  <c r="EH137" i="4"/>
  <c r="DI137" i="4"/>
  <c r="CS137" i="4"/>
  <c r="BV137" i="4"/>
  <c r="BH137" i="4"/>
  <c r="AK137" i="4"/>
  <c r="V137" i="4"/>
  <c r="EX129" i="4"/>
  <c r="EJ129" i="4"/>
  <c r="EO73" i="4"/>
  <c r="EC73" i="4"/>
  <c r="DF129" i="4"/>
  <c r="CT129" i="4"/>
  <c r="DB73" i="4"/>
  <c r="CP73" i="4"/>
  <c r="BT129" i="4"/>
  <c r="BH129" i="4"/>
  <c r="AU129" i="4"/>
  <c r="BW73" i="4"/>
  <c r="BO73" i="4"/>
  <c r="BG73" i="4"/>
  <c r="AY73" i="4"/>
  <c r="AH129" i="4"/>
  <c r="Z129" i="4"/>
  <c r="R129" i="4"/>
  <c r="J129" i="4"/>
  <c r="AK73" i="4"/>
  <c r="AC73" i="4"/>
  <c r="U73" i="4"/>
  <c r="M73" i="4"/>
  <c r="EV193" i="4"/>
  <c r="T193" i="4"/>
  <c r="EU137" i="4"/>
  <c r="EE137" i="4"/>
  <c r="DG137" i="4"/>
  <c r="CR137" i="4"/>
  <c r="BU137" i="4"/>
  <c r="BF137" i="4"/>
  <c r="AG137" i="4"/>
  <c r="T137" i="4"/>
  <c r="EW129" i="4"/>
  <c r="EI129" i="4"/>
  <c r="EN73" i="4"/>
  <c r="EB73" i="4"/>
  <c r="DE129" i="4"/>
  <c r="CQ129" i="4"/>
  <c r="DA73" i="4"/>
  <c r="CO73" i="4"/>
  <c r="BS129" i="4"/>
  <c r="BE129" i="4"/>
  <c r="BV73" i="4"/>
  <c r="BN73" i="4"/>
  <c r="BF73" i="4"/>
  <c r="AX73" i="4"/>
  <c r="AG129" i="4"/>
  <c r="Y129" i="4"/>
  <c r="Q129" i="4"/>
  <c r="I129" i="4"/>
  <c r="DX193" i="4"/>
  <c r="ER137" i="4"/>
  <c r="EC137" i="4"/>
  <c r="DF137" i="4"/>
  <c r="CQ137" i="4"/>
  <c r="BR137" i="4"/>
  <c r="BD137" i="4"/>
  <c r="AF137" i="4"/>
  <c r="S137" i="4"/>
  <c r="EV129" i="4"/>
  <c r="EF129" i="4"/>
  <c r="EM73" i="4"/>
  <c r="DY73" i="4"/>
  <c r="DC129" i="4"/>
  <c r="CP129" i="4"/>
  <c r="CZ73" i="4"/>
  <c r="CL73" i="4"/>
  <c r="BQ129" i="4"/>
  <c r="BD129" i="4"/>
  <c r="BU73" i="4"/>
  <c r="BM73" i="4"/>
  <c r="BE73" i="4"/>
  <c r="AW73" i="4"/>
  <c r="AF129" i="4"/>
  <c r="X129" i="4"/>
  <c r="P129" i="4"/>
  <c r="H129" i="4"/>
  <c r="AI73" i="4"/>
  <c r="AA73" i="4"/>
  <c r="S73" i="4"/>
  <c r="K73" i="4"/>
  <c r="AH73" i="4"/>
  <c r="Z73" i="4"/>
  <c r="DF193" i="4"/>
  <c r="EQ137" i="4"/>
  <c r="EB137" i="4"/>
  <c r="DB137" i="4"/>
  <c r="CO137" i="4"/>
  <c r="BQ137" i="4"/>
  <c r="BC137" i="4"/>
  <c r="AE137" i="4"/>
  <c r="O137" i="4"/>
  <c r="ES129" i="4"/>
  <c r="EE129" i="4"/>
  <c r="EW73" i="4"/>
  <c r="EK73" i="4"/>
  <c r="DX73" i="4"/>
  <c r="DB129" i="4"/>
  <c r="CO129" i="4"/>
  <c r="DJ73" i="4"/>
  <c r="CX73" i="4"/>
  <c r="CK73" i="4"/>
  <c r="BP129" i="4"/>
  <c r="BC129" i="4"/>
  <c r="BT73" i="4"/>
  <c r="BL73" i="4"/>
  <c r="BD73" i="4"/>
  <c r="AV73" i="4"/>
  <c r="AE129" i="4"/>
  <c r="W129" i="4"/>
  <c r="O129" i="4"/>
  <c r="DA137" i="4"/>
  <c r="CW73" i="4"/>
  <c r="BC73" i="4"/>
  <c r="AG73" i="4"/>
  <c r="R73" i="4"/>
  <c r="CM137" i="4"/>
  <c r="EV73" i="4"/>
  <c r="CJ73" i="4"/>
  <c r="AU73" i="4"/>
  <c r="AF73" i="4"/>
  <c r="Q73" i="4"/>
  <c r="AK10" i="4"/>
  <c r="BP137" i="4"/>
  <c r="EJ73" i="4"/>
  <c r="BM129" i="4"/>
  <c r="AD129" i="4"/>
  <c r="AD73" i="4"/>
  <c r="P73" i="4"/>
  <c r="AZ137" i="4"/>
  <c r="DW73" i="4"/>
  <c r="BA129" i="4"/>
  <c r="V129" i="4"/>
  <c r="AB73" i="4"/>
  <c r="N73" i="4"/>
  <c r="L73" i="4"/>
  <c r="CX193" i="4"/>
  <c r="AC137" i="4"/>
  <c r="CY129" i="4"/>
  <c r="N129" i="4"/>
  <c r="Y73" i="4"/>
  <c r="N137" i="4"/>
  <c r="CM129" i="4"/>
  <c r="X73" i="4"/>
  <c r="J73" i="4"/>
  <c r="BS73" i="4"/>
  <c r="I73" i="4"/>
  <c r="DZ137" i="4"/>
  <c r="EC129" i="4"/>
  <c r="DI73" i="4"/>
  <c r="BK73" i="4"/>
  <c r="AJ73" i="4"/>
  <c r="T73" i="4"/>
  <c r="H73" i="4"/>
  <c r="EN137" i="4"/>
  <c r="ER129" i="4"/>
  <c r="V73" i="4"/>
  <c r="AM59" i="4"/>
  <c r="AM51" i="4"/>
  <c r="AM43" i="4"/>
  <c r="AM35" i="4"/>
  <c r="AM27" i="4"/>
  <c r="AM19" i="4"/>
  <c r="AM11" i="4"/>
  <c r="F17" i="4"/>
  <c r="F25" i="4"/>
  <c r="F33" i="4"/>
  <c r="AM60" i="4"/>
  <c r="AM52" i="4"/>
  <c r="AM44" i="4"/>
  <c r="AM36" i="4"/>
  <c r="AM28" i="4"/>
  <c r="AM20" i="4"/>
  <c r="F16" i="4"/>
  <c r="F32" i="4"/>
  <c r="AM58" i="4"/>
  <c r="AM50" i="4"/>
  <c r="AM42" i="4"/>
  <c r="AM34" i="4"/>
  <c r="AM26" i="4"/>
  <c r="AM18" i="4"/>
  <c r="F11" i="4"/>
  <c r="F18" i="4"/>
  <c r="F26" i="4"/>
  <c r="F34" i="4"/>
  <c r="AM57" i="4"/>
  <c r="AM49" i="4"/>
  <c r="AM41" i="4"/>
  <c r="AM33" i="4"/>
  <c r="AM25" i="4"/>
  <c r="AM17" i="4"/>
  <c r="F12" i="4"/>
  <c r="F19" i="4"/>
  <c r="F27" i="4"/>
  <c r="AM64" i="4"/>
  <c r="AM56" i="4"/>
  <c r="AM48" i="4"/>
  <c r="AM40" i="4"/>
  <c r="AM32" i="4"/>
  <c r="AM24" i="4"/>
  <c r="AM16" i="4"/>
  <c r="F20" i="4"/>
  <c r="F28" i="4"/>
  <c r="F24" i="4"/>
  <c r="AM63" i="4"/>
  <c r="AM55" i="4"/>
  <c r="AM47" i="4"/>
  <c r="AM39" i="4"/>
  <c r="AM31" i="4"/>
  <c r="AM23" i="4"/>
  <c r="AM15" i="4"/>
  <c r="F13" i="4"/>
  <c r="F21" i="4"/>
  <c r="F29" i="4"/>
  <c r="AM53" i="4"/>
  <c r="AM29" i="4"/>
  <c r="AM13" i="4"/>
  <c r="F15" i="4"/>
  <c r="F31" i="4"/>
  <c r="AM12" i="4"/>
  <c r="AM62" i="4"/>
  <c r="AM54" i="4"/>
  <c r="AM46" i="4"/>
  <c r="AM38" i="4"/>
  <c r="AM30" i="4"/>
  <c r="AM22" i="4"/>
  <c r="AM14" i="4"/>
  <c r="F14" i="4"/>
  <c r="F22" i="4"/>
  <c r="F30" i="4"/>
  <c r="AM61" i="4"/>
  <c r="AM45" i="4"/>
  <c r="AM37" i="4"/>
  <c r="AM21" i="4"/>
  <c r="F23" i="4"/>
  <c r="F40" i="4"/>
  <c r="R10" i="4"/>
  <c r="AC10" i="4"/>
  <c r="S10" i="4"/>
  <c r="AG10" i="4"/>
  <c r="AH10" i="4"/>
  <c r="U10" i="4"/>
  <c r="J10" i="4"/>
  <c r="AI10" i="4"/>
  <c r="AJ10" i="4"/>
  <c r="L10" i="4"/>
  <c r="Z10" i="4"/>
  <c r="Y10" i="4"/>
  <c r="M10" i="4"/>
  <c r="AA10" i="4"/>
  <c r="T10" i="4"/>
  <c r="K10" i="4"/>
  <c r="Q10" i="4"/>
  <c r="AB10" i="4"/>
  <c r="F53" i="4"/>
  <c r="F49" i="4"/>
  <c r="L66" i="4"/>
  <c r="O10" i="4"/>
  <c r="W10" i="4"/>
  <c r="AE10" i="4"/>
  <c r="H10" i="4"/>
  <c r="P10" i="4"/>
  <c r="X10" i="4"/>
  <c r="AF10" i="4"/>
  <c r="I66" i="4"/>
  <c r="N10" i="4"/>
  <c r="V10" i="4"/>
  <c r="AD10" i="4"/>
  <c r="AH66" i="4"/>
  <c r="F60" i="4"/>
  <c r="J66" i="4"/>
  <c r="AB66" i="4"/>
  <c r="K66" i="4"/>
  <c r="AG66" i="4"/>
  <c r="Q66" i="4"/>
  <c r="AJ66" i="4"/>
  <c r="F42" i="4"/>
  <c r="L2" i="4"/>
  <c r="R66" i="4"/>
  <c r="F36" i="4"/>
  <c r="F62" i="4"/>
  <c r="T66" i="4"/>
  <c r="Y66" i="4"/>
  <c r="F55" i="4"/>
  <c r="F38" i="4"/>
  <c r="F47" i="4"/>
  <c r="F57" i="4"/>
  <c r="S66" i="4"/>
  <c r="AA66" i="4"/>
  <c r="AI66" i="4"/>
  <c r="F43" i="4"/>
  <c r="F50" i="4"/>
  <c r="F35" i="4"/>
  <c r="F41" i="4"/>
  <c r="F59" i="4"/>
  <c r="F61" i="4"/>
  <c r="F63" i="4"/>
  <c r="M66" i="4"/>
  <c r="U66" i="4"/>
  <c r="AC66" i="4"/>
  <c r="AK66" i="4"/>
  <c r="F37" i="4"/>
  <c r="F39" i="4"/>
  <c r="F48" i="4"/>
  <c r="F54" i="4"/>
  <c r="F56" i="4"/>
  <c r="N66" i="4"/>
  <c r="V66" i="4"/>
  <c r="AD66" i="4"/>
  <c r="F45" i="4"/>
  <c r="F51" i="4"/>
  <c r="O3" i="4"/>
  <c r="O66" i="4"/>
  <c r="W66" i="4"/>
  <c r="AE66" i="4"/>
  <c r="O2" i="4"/>
  <c r="O4" i="4" s="1"/>
  <c r="F52" i="4"/>
  <c r="F44" i="4"/>
  <c r="F46" i="4"/>
  <c r="L3" i="4"/>
  <c r="F58" i="4"/>
  <c r="H66" i="4"/>
  <c r="P66" i="4"/>
  <c r="X66" i="4"/>
  <c r="F4" i="2"/>
  <c r="AO40" i="3"/>
  <c r="DE40" i="3" s="1"/>
  <c r="AN40" i="3"/>
  <c r="AP40" i="3"/>
  <c r="AQ40" i="3"/>
  <c r="AR40" i="3"/>
  <c r="AS40" i="3"/>
  <c r="AT40" i="3"/>
  <c r="AU40" i="3"/>
  <c r="AV40" i="3"/>
  <c r="AW40" i="3"/>
  <c r="AX40" i="3"/>
  <c r="AY40" i="3"/>
  <c r="AZ40" i="3"/>
  <c r="BA40" i="3"/>
  <c r="BB40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AN41" i="3"/>
  <c r="AO41" i="3"/>
  <c r="DE41" i="3" s="1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AN45" i="3"/>
  <c r="AO45" i="3"/>
  <c r="DE45" i="3" s="1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AN49" i="3"/>
  <c r="AO49" i="3"/>
  <c r="DE49" i="3" s="1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AZ51" i="3"/>
  <c r="BA51" i="3"/>
  <c r="BB51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AN52" i="3"/>
  <c r="AO52" i="3"/>
  <c r="DE52" i="3" s="1"/>
  <c r="AP52" i="3"/>
  <c r="AQ52" i="3"/>
  <c r="AR52" i="3"/>
  <c r="AS52" i="3"/>
  <c r="AT52" i="3"/>
  <c r="AU52" i="3"/>
  <c r="AV52" i="3"/>
  <c r="AW52" i="3"/>
  <c r="AX52" i="3"/>
  <c r="AY52" i="3"/>
  <c r="AZ52" i="3"/>
  <c r="BA52" i="3"/>
  <c r="BB52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AZ53" i="3"/>
  <c r="BA53" i="3"/>
  <c r="BB53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AZ54" i="3"/>
  <c r="BA54" i="3"/>
  <c r="BB54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AN56" i="3"/>
  <c r="AO56" i="3"/>
  <c r="DE56" i="3" s="1"/>
  <c r="AP56" i="3"/>
  <c r="AQ56" i="3"/>
  <c r="AR56" i="3"/>
  <c r="AS56" i="3"/>
  <c r="AT56" i="3"/>
  <c r="AU56" i="3"/>
  <c r="AV56" i="3"/>
  <c r="AW56" i="3"/>
  <c r="AX56" i="3"/>
  <c r="AY56" i="3"/>
  <c r="AZ56" i="3"/>
  <c r="BA56" i="3"/>
  <c r="BB56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AN57" i="3"/>
  <c r="AO57" i="3"/>
  <c r="DE57" i="3" s="1"/>
  <c r="AP57" i="3"/>
  <c r="AQ57" i="3"/>
  <c r="AR57" i="3"/>
  <c r="AS57" i="3"/>
  <c r="AT57" i="3"/>
  <c r="AU57" i="3"/>
  <c r="AV57" i="3"/>
  <c r="AW57" i="3"/>
  <c r="AX57" i="3"/>
  <c r="AY57" i="3"/>
  <c r="AZ57" i="3"/>
  <c r="BA57" i="3"/>
  <c r="BB57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AN58" i="3"/>
  <c r="AO58" i="3"/>
  <c r="DE58" i="3" s="1"/>
  <c r="AP58" i="3"/>
  <c r="AQ58" i="3"/>
  <c r="AR58" i="3"/>
  <c r="AS58" i="3"/>
  <c r="AT58" i="3"/>
  <c r="AU58" i="3"/>
  <c r="AV58" i="3"/>
  <c r="AW58" i="3"/>
  <c r="AX58" i="3"/>
  <c r="AY58" i="3"/>
  <c r="AZ58" i="3"/>
  <c r="BA58" i="3"/>
  <c r="BB58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AN59" i="3"/>
  <c r="AO59" i="3"/>
  <c r="DE59" i="3" s="1"/>
  <c r="AP59" i="3"/>
  <c r="AQ59" i="3"/>
  <c r="AR59" i="3"/>
  <c r="AS59" i="3"/>
  <c r="AT59" i="3"/>
  <c r="AU59" i="3"/>
  <c r="AV59" i="3"/>
  <c r="AW59" i="3"/>
  <c r="AX59" i="3"/>
  <c r="AY59" i="3"/>
  <c r="AZ59" i="3"/>
  <c r="BA59" i="3"/>
  <c r="BB59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AN60" i="3"/>
  <c r="AO60" i="3"/>
  <c r="DE60" i="3" s="1"/>
  <c r="AP60" i="3"/>
  <c r="AQ60" i="3"/>
  <c r="AR60" i="3"/>
  <c r="AS60" i="3"/>
  <c r="AT60" i="3"/>
  <c r="AU60" i="3"/>
  <c r="AV60" i="3"/>
  <c r="AW60" i="3"/>
  <c r="AX60" i="3"/>
  <c r="AY60" i="3"/>
  <c r="AZ60" i="3"/>
  <c r="BA60" i="3"/>
  <c r="BB60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AN61" i="3"/>
  <c r="AO61" i="3"/>
  <c r="DE61" i="3" s="1"/>
  <c r="AP61" i="3"/>
  <c r="AQ61" i="3"/>
  <c r="AR61" i="3"/>
  <c r="AS61" i="3"/>
  <c r="AT61" i="3"/>
  <c r="AU61" i="3"/>
  <c r="AV61" i="3"/>
  <c r="AW61" i="3"/>
  <c r="AX61" i="3"/>
  <c r="AY61" i="3"/>
  <c r="AZ61" i="3"/>
  <c r="BA61" i="3"/>
  <c r="BB61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AN62" i="3"/>
  <c r="AO62" i="3"/>
  <c r="DE62" i="3" s="1"/>
  <c r="AP62" i="3"/>
  <c r="AQ62" i="3"/>
  <c r="AR62" i="3"/>
  <c r="AS62" i="3"/>
  <c r="AT62" i="3"/>
  <c r="AU62" i="3"/>
  <c r="AV62" i="3"/>
  <c r="AW62" i="3"/>
  <c r="AX62" i="3"/>
  <c r="AY62" i="3"/>
  <c r="AZ62" i="3"/>
  <c r="BA62" i="3"/>
  <c r="BB62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AZ63" i="3"/>
  <c r="BA63" i="3"/>
  <c r="BB63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AN64" i="3"/>
  <c r="AO64" i="3"/>
  <c r="DE64" i="3" s="1"/>
  <c r="AP64" i="3"/>
  <c r="AQ64" i="3"/>
  <c r="AR64" i="3"/>
  <c r="AS64" i="3"/>
  <c r="AT64" i="3"/>
  <c r="AU64" i="3"/>
  <c r="AV64" i="3"/>
  <c r="AW64" i="3"/>
  <c r="AX64" i="3"/>
  <c r="AY64" i="3"/>
  <c r="AZ64" i="3"/>
  <c r="BA64" i="3"/>
  <c r="BB64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AN65" i="3"/>
  <c r="AO65" i="3"/>
  <c r="DE65" i="3" s="1"/>
  <c r="AP65" i="3"/>
  <c r="AQ65" i="3"/>
  <c r="AR65" i="3"/>
  <c r="AS65" i="3"/>
  <c r="AT65" i="3"/>
  <c r="AU65" i="3"/>
  <c r="AV65" i="3"/>
  <c r="AW65" i="3"/>
  <c r="AX65" i="3"/>
  <c r="AY65" i="3"/>
  <c r="AZ65" i="3"/>
  <c r="BA65" i="3"/>
  <c r="BB65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AN66" i="3"/>
  <c r="AO66" i="3"/>
  <c r="DE66" i="3" s="1"/>
  <c r="AP66" i="3"/>
  <c r="AQ66" i="3"/>
  <c r="AR66" i="3"/>
  <c r="AS66" i="3"/>
  <c r="AT66" i="3"/>
  <c r="AU66" i="3"/>
  <c r="AV66" i="3"/>
  <c r="AW66" i="3"/>
  <c r="AX66" i="3"/>
  <c r="AY66" i="3"/>
  <c r="AZ66" i="3"/>
  <c r="BA66" i="3"/>
  <c r="BB66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AN67" i="3"/>
  <c r="AO67" i="3"/>
  <c r="DE67" i="3" s="1"/>
  <c r="AP67" i="3"/>
  <c r="AQ67" i="3"/>
  <c r="AR67" i="3"/>
  <c r="AS67" i="3"/>
  <c r="AT67" i="3"/>
  <c r="AU67" i="3"/>
  <c r="AV67" i="3"/>
  <c r="AW67" i="3"/>
  <c r="AX67" i="3"/>
  <c r="AY67" i="3"/>
  <c r="AZ67" i="3"/>
  <c r="BA67" i="3"/>
  <c r="BB67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AN68" i="3"/>
  <c r="AO68" i="3"/>
  <c r="DE68" i="3" s="1"/>
  <c r="AP68" i="3"/>
  <c r="AQ68" i="3"/>
  <c r="AR68" i="3"/>
  <c r="AS68" i="3"/>
  <c r="AT68" i="3"/>
  <c r="AU68" i="3"/>
  <c r="AV68" i="3"/>
  <c r="AW68" i="3"/>
  <c r="AX68" i="3"/>
  <c r="AY68" i="3"/>
  <c r="AZ68" i="3"/>
  <c r="BA68" i="3"/>
  <c r="BB68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AN69" i="3"/>
  <c r="AO69" i="3"/>
  <c r="DE69" i="3" s="1"/>
  <c r="AP69" i="3"/>
  <c r="AQ69" i="3"/>
  <c r="AR69" i="3"/>
  <c r="AS69" i="3"/>
  <c r="AT69" i="3"/>
  <c r="AU69" i="3"/>
  <c r="AV69" i="3"/>
  <c r="AW69" i="3"/>
  <c r="AX69" i="3"/>
  <c r="AY69" i="3"/>
  <c r="AZ69" i="3"/>
  <c r="BA69" i="3"/>
  <c r="BB69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AO39" i="3"/>
  <c r="DE39" i="3" s="1"/>
  <c r="AP39" i="3"/>
  <c r="AQ39" i="3"/>
  <c r="AR39" i="3"/>
  <c r="AS39" i="3"/>
  <c r="AT39" i="3"/>
  <c r="AU39" i="3"/>
  <c r="AV39" i="3"/>
  <c r="AW39" i="3"/>
  <c r="AX39" i="3"/>
  <c r="AY39" i="3"/>
  <c r="AZ39" i="3"/>
  <c r="BA39" i="3"/>
  <c r="BB39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AN39" i="3"/>
  <c r="AN75" i="3"/>
  <c r="BR75" i="3"/>
  <c r="AN76" i="3"/>
  <c r="BR76" i="3"/>
  <c r="AN77" i="3"/>
  <c r="BR77" i="3"/>
  <c r="AN78" i="3"/>
  <c r="BR78" i="3"/>
  <c r="AN79" i="3"/>
  <c r="BR79" i="3"/>
  <c r="AN80" i="3"/>
  <c r="BR80" i="3"/>
  <c r="AN81" i="3"/>
  <c r="BR81" i="3"/>
  <c r="AN82" i="3"/>
  <c r="BR82" i="3"/>
  <c r="AN83" i="3"/>
  <c r="BR83" i="3"/>
  <c r="AN84" i="3"/>
  <c r="BR84" i="3"/>
  <c r="AN85" i="3"/>
  <c r="BR85" i="3"/>
  <c r="AN86" i="3"/>
  <c r="BR86" i="3"/>
  <c r="AN87" i="3"/>
  <c r="BR87" i="3"/>
  <c r="AN88" i="3"/>
  <c r="BR88" i="3"/>
  <c r="AN89" i="3"/>
  <c r="BR89" i="3"/>
  <c r="AN90" i="3"/>
  <c r="BR90" i="3"/>
  <c r="AN91" i="3"/>
  <c r="BR91" i="3"/>
  <c r="AN92" i="3"/>
  <c r="BR92" i="3"/>
  <c r="AN93" i="3"/>
  <c r="BR93" i="3"/>
  <c r="AN94" i="3"/>
  <c r="BR94" i="3"/>
  <c r="AN95" i="3"/>
  <c r="BR95" i="3"/>
  <c r="AN96" i="3"/>
  <c r="BR96" i="3"/>
  <c r="AN97" i="3"/>
  <c r="BR97" i="3"/>
  <c r="AN98" i="3"/>
  <c r="BR98" i="3"/>
  <c r="AN99" i="3"/>
  <c r="BR99" i="3"/>
  <c r="AN100" i="3"/>
  <c r="BR100" i="3"/>
  <c r="AN101" i="3"/>
  <c r="BR101" i="3"/>
  <c r="AN102" i="3"/>
  <c r="BR102" i="3"/>
  <c r="AN103" i="3"/>
  <c r="BR103" i="3"/>
  <c r="AN104" i="3"/>
  <c r="BR104" i="3"/>
  <c r="BR74" i="3"/>
  <c r="AN74" i="3"/>
  <c r="DD103" i="3"/>
  <c r="EH103" i="3"/>
  <c r="CF102" i="3"/>
  <c r="CF101" i="3" s="1"/>
  <c r="CF100" i="3" s="1"/>
  <c r="CF99" i="3" s="1"/>
  <c r="CF98" i="3" s="1"/>
  <c r="CF97" i="3" s="1"/>
  <c r="CF96" i="3" s="1"/>
  <c r="CF95" i="3" s="1"/>
  <c r="CF94" i="3" s="1"/>
  <c r="CF93" i="3" s="1"/>
  <c r="CF92" i="3" s="1"/>
  <c r="CF91" i="3" s="1"/>
  <c r="CF90" i="3" s="1"/>
  <c r="CF89" i="3" s="1"/>
  <c r="CF88" i="3" s="1"/>
  <c r="CF87" i="3" s="1"/>
  <c r="CF86" i="3" s="1"/>
  <c r="CF85" i="3" s="1"/>
  <c r="CF84" i="3" s="1"/>
  <c r="CF83" i="3" s="1"/>
  <c r="CF82" i="3" s="1"/>
  <c r="CF81" i="3" s="1"/>
  <c r="CF80" i="3" s="1"/>
  <c r="CF79" i="3" s="1"/>
  <c r="CF78" i="3" s="1"/>
  <c r="CF77" i="3" s="1"/>
  <c r="CF76" i="3" s="1"/>
  <c r="CF75" i="3" s="1"/>
  <c r="CF74" i="3" s="1"/>
  <c r="CM102" i="3"/>
  <c r="CM101" i="3" s="1"/>
  <c r="CM100" i="3" s="1"/>
  <c r="CM99" i="3" s="1"/>
  <c r="CM98" i="3" s="1"/>
  <c r="CM97" i="3" s="1"/>
  <c r="CM96" i="3" s="1"/>
  <c r="CM95" i="3" s="1"/>
  <c r="CM94" i="3" s="1"/>
  <c r="CM93" i="3" s="1"/>
  <c r="CM92" i="3" s="1"/>
  <c r="CM91" i="3" s="1"/>
  <c r="CM90" i="3" s="1"/>
  <c r="CM89" i="3" s="1"/>
  <c r="CM88" i="3" s="1"/>
  <c r="CM87" i="3" s="1"/>
  <c r="CM86" i="3" s="1"/>
  <c r="CM85" i="3" s="1"/>
  <c r="CM84" i="3" s="1"/>
  <c r="CM83" i="3" s="1"/>
  <c r="CM82" i="3" s="1"/>
  <c r="CM81" i="3" s="1"/>
  <c r="CM80" i="3" s="1"/>
  <c r="CM79" i="3" s="1"/>
  <c r="CM78" i="3" s="1"/>
  <c r="CM77" i="3" s="1"/>
  <c r="CM76" i="3" s="1"/>
  <c r="CM75" i="3" s="1"/>
  <c r="CM74" i="3" s="1"/>
  <c r="CV102" i="3"/>
  <c r="CV101" i="3" s="1"/>
  <c r="CV100" i="3" s="1"/>
  <c r="CV99" i="3" s="1"/>
  <c r="CV98" i="3" s="1"/>
  <c r="CV97" i="3" s="1"/>
  <c r="CV96" i="3" s="1"/>
  <c r="CV95" i="3" s="1"/>
  <c r="CV94" i="3" s="1"/>
  <c r="CV93" i="3" s="1"/>
  <c r="CV92" i="3" s="1"/>
  <c r="CV91" i="3" s="1"/>
  <c r="CV90" i="3" s="1"/>
  <c r="CV89" i="3" s="1"/>
  <c r="CV88" i="3" s="1"/>
  <c r="CV87" i="3" s="1"/>
  <c r="CV86" i="3" s="1"/>
  <c r="CV85" i="3" s="1"/>
  <c r="CV84" i="3" s="1"/>
  <c r="CV83" i="3" s="1"/>
  <c r="CV82" i="3" s="1"/>
  <c r="CV81" i="3" s="1"/>
  <c r="CV80" i="3" s="1"/>
  <c r="CV79" i="3" s="1"/>
  <c r="CV78" i="3" s="1"/>
  <c r="CV77" i="3" s="1"/>
  <c r="CV76" i="3" s="1"/>
  <c r="CV75" i="3" s="1"/>
  <c r="CV74" i="3" s="1"/>
  <c r="BW103" i="3"/>
  <c r="BW102" i="3" s="1"/>
  <c r="BW101" i="3" s="1"/>
  <c r="BW100" i="3" s="1"/>
  <c r="BW99" i="3" s="1"/>
  <c r="BW98" i="3" s="1"/>
  <c r="BW97" i="3" s="1"/>
  <c r="BW96" i="3" s="1"/>
  <c r="BW95" i="3" s="1"/>
  <c r="BW94" i="3" s="1"/>
  <c r="BW93" i="3" s="1"/>
  <c r="BW92" i="3" s="1"/>
  <c r="BW91" i="3" s="1"/>
  <c r="BW90" i="3" s="1"/>
  <c r="BW89" i="3" s="1"/>
  <c r="BW88" i="3" s="1"/>
  <c r="BW87" i="3" s="1"/>
  <c r="BW86" i="3" s="1"/>
  <c r="BW85" i="3" s="1"/>
  <c r="BW84" i="3" s="1"/>
  <c r="BW83" i="3" s="1"/>
  <c r="BW82" i="3" s="1"/>
  <c r="BW81" i="3" s="1"/>
  <c r="BW80" i="3" s="1"/>
  <c r="BW79" i="3" s="1"/>
  <c r="BW78" i="3" s="1"/>
  <c r="BW77" i="3" s="1"/>
  <c r="BW76" i="3" s="1"/>
  <c r="BW75" i="3" s="1"/>
  <c r="BW74" i="3" s="1"/>
  <c r="BX103" i="3"/>
  <c r="BX102" i="3" s="1"/>
  <c r="BX101" i="3" s="1"/>
  <c r="BX100" i="3" s="1"/>
  <c r="BX99" i="3" s="1"/>
  <c r="BX98" i="3" s="1"/>
  <c r="BX97" i="3" s="1"/>
  <c r="BX96" i="3" s="1"/>
  <c r="BX95" i="3" s="1"/>
  <c r="BX94" i="3" s="1"/>
  <c r="BX93" i="3" s="1"/>
  <c r="BX92" i="3" s="1"/>
  <c r="BX91" i="3" s="1"/>
  <c r="BX90" i="3" s="1"/>
  <c r="BX89" i="3" s="1"/>
  <c r="BX88" i="3" s="1"/>
  <c r="BX87" i="3" s="1"/>
  <c r="BX86" i="3" s="1"/>
  <c r="BX85" i="3" s="1"/>
  <c r="BX84" i="3" s="1"/>
  <c r="BX83" i="3" s="1"/>
  <c r="BX82" i="3" s="1"/>
  <c r="BX81" i="3" s="1"/>
  <c r="BX80" i="3" s="1"/>
  <c r="BX79" i="3" s="1"/>
  <c r="BX78" i="3" s="1"/>
  <c r="BX77" i="3" s="1"/>
  <c r="BX76" i="3" s="1"/>
  <c r="BX75" i="3" s="1"/>
  <c r="BX74" i="3" s="1"/>
  <c r="BY103" i="3"/>
  <c r="BY102" i="3" s="1"/>
  <c r="BY101" i="3" s="1"/>
  <c r="BY100" i="3" s="1"/>
  <c r="BY99" i="3" s="1"/>
  <c r="BY98" i="3" s="1"/>
  <c r="BY97" i="3" s="1"/>
  <c r="BY96" i="3" s="1"/>
  <c r="BY95" i="3" s="1"/>
  <c r="BY94" i="3" s="1"/>
  <c r="BY93" i="3" s="1"/>
  <c r="BY92" i="3" s="1"/>
  <c r="BY91" i="3" s="1"/>
  <c r="BY90" i="3" s="1"/>
  <c r="BY89" i="3" s="1"/>
  <c r="BY88" i="3" s="1"/>
  <c r="BY87" i="3" s="1"/>
  <c r="BY86" i="3" s="1"/>
  <c r="BY85" i="3" s="1"/>
  <c r="BY84" i="3" s="1"/>
  <c r="BY83" i="3" s="1"/>
  <c r="BY82" i="3" s="1"/>
  <c r="BY81" i="3" s="1"/>
  <c r="BY80" i="3" s="1"/>
  <c r="BY79" i="3" s="1"/>
  <c r="BY78" i="3" s="1"/>
  <c r="BY77" i="3" s="1"/>
  <c r="BY76" i="3" s="1"/>
  <c r="BY75" i="3" s="1"/>
  <c r="BY74" i="3" s="1"/>
  <c r="CA103" i="3"/>
  <c r="CA102" i="3" s="1"/>
  <c r="CA101" i="3" s="1"/>
  <c r="CA100" i="3" s="1"/>
  <c r="CA99" i="3" s="1"/>
  <c r="CA98" i="3" s="1"/>
  <c r="CA97" i="3" s="1"/>
  <c r="CA96" i="3" s="1"/>
  <c r="CA95" i="3" s="1"/>
  <c r="CA94" i="3" s="1"/>
  <c r="CA93" i="3" s="1"/>
  <c r="CA92" i="3" s="1"/>
  <c r="CA91" i="3" s="1"/>
  <c r="CA90" i="3" s="1"/>
  <c r="CA89" i="3" s="1"/>
  <c r="CA88" i="3" s="1"/>
  <c r="CA87" i="3" s="1"/>
  <c r="CA86" i="3" s="1"/>
  <c r="CA85" i="3" s="1"/>
  <c r="CA84" i="3" s="1"/>
  <c r="CA83" i="3" s="1"/>
  <c r="CA82" i="3" s="1"/>
  <c r="CA81" i="3" s="1"/>
  <c r="CA80" i="3" s="1"/>
  <c r="CA79" i="3" s="1"/>
  <c r="CA78" i="3" s="1"/>
  <c r="CA77" i="3" s="1"/>
  <c r="CA76" i="3" s="1"/>
  <c r="CA75" i="3" s="1"/>
  <c r="CA74" i="3" s="1"/>
  <c r="CE103" i="3"/>
  <c r="CE102" i="3" s="1"/>
  <c r="CE101" i="3" s="1"/>
  <c r="CE100" i="3" s="1"/>
  <c r="CE99" i="3" s="1"/>
  <c r="CE98" i="3" s="1"/>
  <c r="CE97" i="3" s="1"/>
  <c r="CE96" i="3" s="1"/>
  <c r="CE95" i="3" s="1"/>
  <c r="CE94" i="3" s="1"/>
  <c r="CE93" i="3" s="1"/>
  <c r="CE92" i="3" s="1"/>
  <c r="CE91" i="3" s="1"/>
  <c r="CE90" i="3" s="1"/>
  <c r="CE89" i="3" s="1"/>
  <c r="CE88" i="3" s="1"/>
  <c r="CE87" i="3" s="1"/>
  <c r="CE86" i="3" s="1"/>
  <c r="CE85" i="3" s="1"/>
  <c r="CE84" i="3" s="1"/>
  <c r="CE83" i="3" s="1"/>
  <c r="CE82" i="3" s="1"/>
  <c r="CE81" i="3" s="1"/>
  <c r="CE80" i="3" s="1"/>
  <c r="CE79" i="3" s="1"/>
  <c r="CE78" i="3" s="1"/>
  <c r="CE77" i="3" s="1"/>
  <c r="CE76" i="3" s="1"/>
  <c r="CE75" i="3" s="1"/>
  <c r="CE74" i="3" s="1"/>
  <c r="CF103" i="3"/>
  <c r="CG103" i="3"/>
  <c r="CG102" i="3" s="1"/>
  <c r="CG101" i="3" s="1"/>
  <c r="CG100" i="3" s="1"/>
  <c r="CG99" i="3" s="1"/>
  <c r="CG98" i="3" s="1"/>
  <c r="CG97" i="3" s="1"/>
  <c r="CG96" i="3" s="1"/>
  <c r="CG95" i="3" s="1"/>
  <c r="CG94" i="3" s="1"/>
  <c r="CG93" i="3" s="1"/>
  <c r="CG92" i="3" s="1"/>
  <c r="CG91" i="3" s="1"/>
  <c r="CG90" i="3" s="1"/>
  <c r="CG89" i="3" s="1"/>
  <c r="CG88" i="3" s="1"/>
  <c r="CG87" i="3" s="1"/>
  <c r="CG86" i="3" s="1"/>
  <c r="CG85" i="3" s="1"/>
  <c r="CG84" i="3" s="1"/>
  <c r="CG83" i="3" s="1"/>
  <c r="CG82" i="3" s="1"/>
  <c r="CG81" i="3" s="1"/>
  <c r="CG80" i="3" s="1"/>
  <c r="CG79" i="3" s="1"/>
  <c r="CG78" i="3" s="1"/>
  <c r="CG77" i="3" s="1"/>
  <c r="CG76" i="3" s="1"/>
  <c r="CG75" i="3" s="1"/>
  <c r="CG74" i="3" s="1"/>
  <c r="CI103" i="3"/>
  <c r="CI102" i="3" s="1"/>
  <c r="CI101" i="3" s="1"/>
  <c r="CI100" i="3" s="1"/>
  <c r="CI99" i="3" s="1"/>
  <c r="CI98" i="3" s="1"/>
  <c r="CI97" i="3" s="1"/>
  <c r="CI96" i="3" s="1"/>
  <c r="CI95" i="3" s="1"/>
  <c r="CI94" i="3" s="1"/>
  <c r="CI93" i="3" s="1"/>
  <c r="CI92" i="3" s="1"/>
  <c r="CI91" i="3" s="1"/>
  <c r="CI90" i="3" s="1"/>
  <c r="CI89" i="3" s="1"/>
  <c r="CI88" i="3" s="1"/>
  <c r="CI87" i="3" s="1"/>
  <c r="CI86" i="3" s="1"/>
  <c r="CI85" i="3" s="1"/>
  <c r="CI84" i="3" s="1"/>
  <c r="CI83" i="3" s="1"/>
  <c r="CI82" i="3" s="1"/>
  <c r="CI81" i="3" s="1"/>
  <c r="CI80" i="3" s="1"/>
  <c r="CI79" i="3" s="1"/>
  <c r="CI78" i="3" s="1"/>
  <c r="CI77" i="3" s="1"/>
  <c r="CI76" i="3" s="1"/>
  <c r="CI75" i="3" s="1"/>
  <c r="CI74" i="3" s="1"/>
  <c r="CM103" i="3"/>
  <c r="CN103" i="3"/>
  <c r="CN102" i="3" s="1"/>
  <c r="CN101" i="3" s="1"/>
  <c r="CN100" i="3" s="1"/>
  <c r="CN99" i="3" s="1"/>
  <c r="CN98" i="3" s="1"/>
  <c r="CN97" i="3" s="1"/>
  <c r="CN96" i="3" s="1"/>
  <c r="CN95" i="3" s="1"/>
  <c r="CN94" i="3" s="1"/>
  <c r="CN93" i="3" s="1"/>
  <c r="CN92" i="3" s="1"/>
  <c r="CN91" i="3" s="1"/>
  <c r="CN90" i="3" s="1"/>
  <c r="CN89" i="3" s="1"/>
  <c r="CN88" i="3" s="1"/>
  <c r="CN87" i="3" s="1"/>
  <c r="CN86" i="3" s="1"/>
  <c r="CN85" i="3" s="1"/>
  <c r="CN84" i="3" s="1"/>
  <c r="CN83" i="3" s="1"/>
  <c r="CN82" i="3" s="1"/>
  <c r="CN81" i="3" s="1"/>
  <c r="CN80" i="3" s="1"/>
  <c r="CN79" i="3" s="1"/>
  <c r="CN78" i="3" s="1"/>
  <c r="CN77" i="3" s="1"/>
  <c r="CN76" i="3" s="1"/>
  <c r="CN75" i="3" s="1"/>
  <c r="CN74" i="3" s="1"/>
  <c r="CO103" i="3"/>
  <c r="CO102" i="3" s="1"/>
  <c r="CO101" i="3" s="1"/>
  <c r="CO100" i="3" s="1"/>
  <c r="CO99" i="3" s="1"/>
  <c r="CO98" i="3" s="1"/>
  <c r="CO97" i="3" s="1"/>
  <c r="CO96" i="3" s="1"/>
  <c r="CO95" i="3" s="1"/>
  <c r="CO94" i="3" s="1"/>
  <c r="CO93" i="3" s="1"/>
  <c r="CO92" i="3" s="1"/>
  <c r="CO91" i="3" s="1"/>
  <c r="CO90" i="3" s="1"/>
  <c r="CO89" i="3" s="1"/>
  <c r="CO88" i="3" s="1"/>
  <c r="CO87" i="3" s="1"/>
  <c r="CO86" i="3" s="1"/>
  <c r="CO85" i="3" s="1"/>
  <c r="CO84" i="3" s="1"/>
  <c r="CO83" i="3" s="1"/>
  <c r="CO82" i="3" s="1"/>
  <c r="CO81" i="3" s="1"/>
  <c r="CO80" i="3" s="1"/>
  <c r="CO79" i="3" s="1"/>
  <c r="CO78" i="3" s="1"/>
  <c r="CO77" i="3" s="1"/>
  <c r="CO76" i="3" s="1"/>
  <c r="CO75" i="3" s="1"/>
  <c r="CO74" i="3" s="1"/>
  <c r="CQ103" i="3"/>
  <c r="CQ102" i="3" s="1"/>
  <c r="CQ101" i="3" s="1"/>
  <c r="CQ100" i="3" s="1"/>
  <c r="CQ99" i="3" s="1"/>
  <c r="CQ98" i="3" s="1"/>
  <c r="CQ97" i="3" s="1"/>
  <c r="CQ96" i="3" s="1"/>
  <c r="CQ95" i="3" s="1"/>
  <c r="CQ94" i="3" s="1"/>
  <c r="CQ93" i="3" s="1"/>
  <c r="CQ92" i="3" s="1"/>
  <c r="CQ91" i="3" s="1"/>
  <c r="CQ90" i="3" s="1"/>
  <c r="CQ89" i="3" s="1"/>
  <c r="CQ88" i="3" s="1"/>
  <c r="CQ87" i="3" s="1"/>
  <c r="CQ86" i="3" s="1"/>
  <c r="CQ85" i="3" s="1"/>
  <c r="CQ84" i="3" s="1"/>
  <c r="CQ83" i="3" s="1"/>
  <c r="CQ82" i="3" s="1"/>
  <c r="CQ81" i="3" s="1"/>
  <c r="CQ80" i="3" s="1"/>
  <c r="CQ79" i="3" s="1"/>
  <c r="CQ78" i="3" s="1"/>
  <c r="CQ77" i="3" s="1"/>
  <c r="CQ76" i="3" s="1"/>
  <c r="CQ75" i="3" s="1"/>
  <c r="CQ74" i="3" s="1"/>
  <c r="CU103" i="3"/>
  <c r="CU102" i="3" s="1"/>
  <c r="CU101" i="3" s="1"/>
  <c r="CU100" i="3" s="1"/>
  <c r="CU99" i="3" s="1"/>
  <c r="CU98" i="3" s="1"/>
  <c r="CU97" i="3" s="1"/>
  <c r="CU96" i="3" s="1"/>
  <c r="CU95" i="3" s="1"/>
  <c r="CU94" i="3" s="1"/>
  <c r="CU93" i="3" s="1"/>
  <c r="CU92" i="3" s="1"/>
  <c r="CU91" i="3" s="1"/>
  <c r="CU90" i="3" s="1"/>
  <c r="CU89" i="3" s="1"/>
  <c r="CU88" i="3" s="1"/>
  <c r="CU87" i="3" s="1"/>
  <c r="CU86" i="3" s="1"/>
  <c r="CU85" i="3" s="1"/>
  <c r="CU84" i="3" s="1"/>
  <c r="CU83" i="3" s="1"/>
  <c r="CU82" i="3" s="1"/>
  <c r="CU81" i="3" s="1"/>
  <c r="CU80" i="3" s="1"/>
  <c r="CU79" i="3" s="1"/>
  <c r="CU78" i="3" s="1"/>
  <c r="CU77" i="3" s="1"/>
  <c r="CU76" i="3" s="1"/>
  <c r="CU75" i="3" s="1"/>
  <c r="CU74" i="3" s="1"/>
  <c r="CV103" i="3"/>
  <c r="CW103" i="3"/>
  <c r="CW102" i="3" s="1"/>
  <c r="CW101" i="3" s="1"/>
  <c r="CW100" i="3" s="1"/>
  <c r="CW99" i="3" s="1"/>
  <c r="CW98" i="3" s="1"/>
  <c r="CW97" i="3" s="1"/>
  <c r="CW96" i="3" s="1"/>
  <c r="CW95" i="3" s="1"/>
  <c r="CW94" i="3" s="1"/>
  <c r="CW93" i="3" s="1"/>
  <c r="CW92" i="3" s="1"/>
  <c r="CW91" i="3" s="1"/>
  <c r="CW90" i="3" s="1"/>
  <c r="CW89" i="3" s="1"/>
  <c r="CW88" i="3" s="1"/>
  <c r="CW87" i="3" s="1"/>
  <c r="CW86" i="3" s="1"/>
  <c r="CW85" i="3" s="1"/>
  <c r="CW84" i="3" s="1"/>
  <c r="CW83" i="3" s="1"/>
  <c r="CW82" i="3" s="1"/>
  <c r="CW81" i="3" s="1"/>
  <c r="CW80" i="3" s="1"/>
  <c r="CW79" i="3" s="1"/>
  <c r="CW78" i="3" s="1"/>
  <c r="CW77" i="3" s="1"/>
  <c r="CW76" i="3" s="1"/>
  <c r="CW75" i="3" s="1"/>
  <c r="CW74" i="3" s="1"/>
  <c r="CY103" i="3"/>
  <c r="CY102" i="3" s="1"/>
  <c r="CY101" i="3" s="1"/>
  <c r="CY100" i="3" s="1"/>
  <c r="CY99" i="3" s="1"/>
  <c r="CY98" i="3" s="1"/>
  <c r="CY97" i="3" s="1"/>
  <c r="CY96" i="3" s="1"/>
  <c r="CY95" i="3" s="1"/>
  <c r="CY94" i="3" s="1"/>
  <c r="CY93" i="3" s="1"/>
  <c r="CY92" i="3" s="1"/>
  <c r="CY91" i="3" s="1"/>
  <c r="CY90" i="3" s="1"/>
  <c r="CY89" i="3" s="1"/>
  <c r="CY88" i="3" s="1"/>
  <c r="CY87" i="3" s="1"/>
  <c r="CY86" i="3" s="1"/>
  <c r="CY85" i="3" s="1"/>
  <c r="CY84" i="3" s="1"/>
  <c r="CY83" i="3" s="1"/>
  <c r="CY82" i="3" s="1"/>
  <c r="CY81" i="3" s="1"/>
  <c r="CY80" i="3" s="1"/>
  <c r="CY79" i="3" s="1"/>
  <c r="CY78" i="3" s="1"/>
  <c r="CY77" i="3" s="1"/>
  <c r="CY76" i="3" s="1"/>
  <c r="CY75" i="3" s="1"/>
  <c r="CY74" i="3" s="1"/>
  <c r="BV103" i="3"/>
  <c r="BV102" i="3" s="1"/>
  <c r="BV101" i="3" s="1"/>
  <c r="BV100" i="3" s="1"/>
  <c r="BV99" i="3" s="1"/>
  <c r="BV98" i="3" s="1"/>
  <c r="BV97" i="3" s="1"/>
  <c r="BV96" i="3" s="1"/>
  <c r="BV95" i="3" s="1"/>
  <c r="BV94" i="3" s="1"/>
  <c r="BV93" i="3" s="1"/>
  <c r="BV92" i="3" s="1"/>
  <c r="BV91" i="3" s="1"/>
  <c r="BV90" i="3" s="1"/>
  <c r="BV89" i="3" s="1"/>
  <c r="BV88" i="3" s="1"/>
  <c r="BV87" i="3" s="1"/>
  <c r="BV86" i="3" s="1"/>
  <c r="BV85" i="3" s="1"/>
  <c r="BV84" i="3" s="1"/>
  <c r="BV83" i="3" s="1"/>
  <c r="BV82" i="3" s="1"/>
  <c r="BV81" i="3" s="1"/>
  <c r="BV80" i="3" s="1"/>
  <c r="BV79" i="3" s="1"/>
  <c r="BV78" i="3" s="1"/>
  <c r="BV77" i="3" s="1"/>
  <c r="BV76" i="3" s="1"/>
  <c r="BV75" i="3" s="1"/>
  <c r="BV74" i="3" s="1"/>
  <c r="BZ103" i="3"/>
  <c r="BZ102" i="3" s="1"/>
  <c r="BZ101" i="3" s="1"/>
  <c r="BZ100" i="3" s="1"/>
  <c r="BZ99" i="3" s="1"/>
  <c r="BZ98" i="3" s="1"/>
  <c r="BZ97" i="3" s="1"/>
  <c r="BZ96" i="3" s="1"/>
  <c r="BZ95" i="3" s="1"/>
  <c r="BZ94" i="3" s="1"/>
  <c r="BZ93" i="3" s="1"/>
  <c r="BZ92" i="3" s="1"/>
  <c r="BZ91" i="3" s="1"/>
  <c r="BZ90" i="3" s="1"/>
  <c r="BZ89" i="3" s="1"/>
  <c r="BZ88" i="3" s="1"/>
  <c r="BZ87" i="3" s="1"/>
  <c r="BZ86" i="3" s="1"/>
  <c r="BZ85" i="3" s="1"/>
  <c r="BZ84" i="3" s="1"/>
  <c r="BZ83" i="3" s="1"/>
  <c r="BZ82" i="3" s="1"/>
  <c r="BZ81" i="3" s="1"/>
  <c r="BZ80" i="3" s="1"/>
  <c r="BZ79" i="3" s="1"/>
  <c r="BZ78" i="3" s="1"/>
  <c r="BZ77" i="3" s="1"/>
  <c r="BZ76" i="3" s="1"/>
  <c r="BZ75" i="3" s="1"/>
  <c r="BZ74" i="3" s="1"/>
  <c r="CB103" i="3"/>
  <c r="CB102" i="3" s="1"/>
  <c r="CB101" i="3" s="1"/>
  <c r="CB100" i="3" s="1"/>
  <c r="CB99" i="3" s="1"/>
  <c r="CB98" i="3" s="1"/>
  <c r="CB97" i="3" s="1"/>
  <c r="CB96" i="3" s="1"/>
  <c r="CB95" i="3" s="1"/>
  <c r="CB94" i="3" s="1"/>
  <c r="CB93" i="3" s="1"/>
  <c r="CB92" i="3" s="1"/>
  <c r="CB91" i="3" s="1"/>
  <c r="CB90" i="3" s="1"/>
  <c r="CB89" i="3" s="1"/>
  <c r="CB88" i="3" s="1"/>
  <c r="CB87" i="3" s="1"/>
  <c r="CB86" i="3" s="1"/>
  <c r="CB85" i="3" s="1"/>
  <c r="CB84" i="3" s="1"/>
  <c r="CB83" i="3" s="1"/>
  <c r="CB82" i="3" s="1"/>
  <c r="CB81" i="3" s="1"/>
  <c r="CB80" i="3" s="1"/>
  <c r="CB79" i="3" s="1"/>
  <c r="CB78" i="3" s="1"/>
  <c r="CB77" i="3" s="1"/>
  <c r="CB76" i="3" s="1"/>
  <c r="CB75" i="3" s="1"/>
  <c r="CB74" i="3" s="1"/>
  <c r="CC103" i="3"/>
  <c r="CC102" i="3" s="1"/>
  <c r="CC101" i="3" s="1"/>
  <c r="CC100" i="3" s="1"/>
  <c r="CC99" i="3" s="1"/>
  <c r="CC98" i="3" s="1"/>
  <c r="CC97" i="3" s="1"/>
  <c r="CC96" i="3" s="1"/>
  <c r="CC95" i="3" s="1"/>
  <c r="CC94" i="3" s="1"/>
  <c r="CC93" i="3" s="1"/>
  <c r="CC92" i="3" s="1"/>
  <c r="CC91" i="3" s="1"/>
  <c r="CC90" i="3" s="1"/>
  <c r="CC89" i="3" s="1"/>
  <c r="CC88" i="3" s="1"/>
  <c r="CC87" i="3" s="1"/>
  <c r="CC86" i="3" s="1"/>
  <c r="CC85" i="3" s="1"/>
  <c r="CC84" i="3" s="1"/>
  <c r="CC83" i="3" s="1"/>
  <c r="CC82" i="3" s="1"/>
  <c r="CC81" i="3" s="1"/>
  <c r="CC80" i="3" s="1"/>
  <c r="CC79" i="3" s="1"/>
  <c r="CC78" i="3" s="1"/>
  <c r="CC77" i="3" s="1"/>
  <c r="CC76" i="3" s="1"/>
  <c r="CC75" i="3" s="1"/>
  <c r="CC74" i="3" s="1"/>
  <c r="CD103" i="3"/>
  <c r="CD102" i="3" s="1"/>
  <c r="CD101" i="3" s="1"/>
  <c r="CD100" i="3" s="1"/>
  <c r="CD99" i="3" s="1"/>
  <c r="CD98" i="3" s="1"/>
  <c r="CD97" i="3" s="1"/>
  <c r="CD96" i="3" s="1"/>
  <c r="CD95" i="3" s="1"/>
  <c r="CD94" i="3" s="1"/>
  <c r="CD93" i="3" s="1"/>
  <c r="CD92" i="3" s="1"/>
  <c r="CD91" i="3" s="1"/>
  <c r="CD90" i="3" s="1"/>
  <c r="CD89" i="3" s="1"/>
  <c r="CD88" i="3" s="1"/>
  <c r="CD87" i="3" s="1"/>
  <c r="CD86" i="3" s="1"/>
  <c r="CD85" i="3" s="1"/>
  <c r="CD84" i="3" s="1"/>
  <c r="CD83" i="3" s="1"/>
  <c r="CD82" i="3" s="1"/>
  <c r="CD81" i="3" s="1"/>
  <c r="CD80" i="3" s="1"/>
  <c r="CD79" i="3" s="1"/>
  <c r="CD78" i="3" s="1"/>
  <c r="CD77" i="3" s="1"/>
  <c r="CD76" i="3" s="1"/>
  <c r="CD75" i="3" s="1"/>
  <c r="CD74" i="3" s="1"/>
  <c r="CH103" i="3"/>
  <c r="CH102" i="3" s="1"/>
  <c r="CH101" i="3" s="1"/>
  <c r="CH100" i="3" s="1"/>
  <c r="CH99" i="3" s="1"/>
  <c r="CH98" i="3" s="1"/>
  <c r="CH97" i="3" s="1"/>
  <c r="CH96" i="3" s="1"/>
  <c r="CH95" i="3" s="1"/>
  <c r="CH94" i="3" s="1"/>
  <c r="CH93" i="3" s="1"/>
  <c r="CH92" i="3" s="1"/>
  <c r="CH91" i="3" s="1"/>
  <c r="CH90" i="3" s="1"/>
  <c r="CH89" i="3" s="1"/>
  <c r="CH88" i="3" s="1"/>
  <c r="CH87" i="3" s="1"/>
  <c r="CH86" i="3" s="1"/>
  <c r="CH85" i="3" s="1"/>
  <c r="CH84" i="3" s="1"/>
  <c r="CH83" i="3" s="1"/>
  <c r="CH82" i="3" s="1"/>
  <c r="CH81" i="3" s="1"/>
  <c r="CH80" i="3" s="1"/>
  <c r="CH79" i="3" s="1"/>
  <c r="CH78" i="3" s="1"/>
  <c r="CH77" i="3" s="1"/>
  <c r="CH76" i="3" s="1"/>
  <c r="CH75" i="3" s="1"/>
  <c r="CH74" i="3" s="1"/>
  <c r="CJ103" i="3"/>
  <c r="CJ102" i="3" s="1"/>
  <c r="CJ101" i="3" s="1"/>
  <c r="CJ100" i="3" s="1"/>
  <c r="CJ99" i="3" s="1"/>
  <c r="CJ98" i="3" s="1"/>
  <c r="CJ97" i="3" s="1"/>
  <c r="CJ96" i="3" s="1"/>
  <c r="CJ95" i="3" s="1"/>
  <c r="CJ94" i="3" s="1"/>
  <c r="CJ93" i="3" s="1"/>
  <c r="CJ92" i="3" s="1"/>
  <c r="CJ91" i="3" s="1"/>
  <c r="CJ90" i="3" s="1"/>
  <c r="CJ89" i="3" s="1"/>
  <c r="CJ88" i="3" s="1"/>
  <c r="CJ87" i="3" s="1"/>
  <c r="CJ86" i="3" s="1"/>
  <c r="CJ85" i="3" s="1"/>
  <c r="CJ84" i="3" s="1"/>
  <c r="CJ83" i="3" s="1"/>
  <c r="CJ82" i="3" s="1"/>
  <c r="CJ81" i="3" s="1"/>
  <c r="CJ80" i="3" s="1"/>
  <c r="CJ79" i="3" s="1"/>
  <c r="CJ78" i="3" s="1"/>
  <c r="CJ77" i="3" s="1"/>
  <c r="CJ76" i="3" s="1"/>
  <c r="CJ75" i="3" s="1"/>
  <c r="CJ74" i="3" s="1"/>
  <c r="CK103" i="3"/>
  <c r="CK102" i="3" s="1"/>
  <c r="CK101" i="3" s="1"/>
  <c r="CK100" i="3" s="1"/>
  <c r="CK99" i="3" s="1"/>
  <c r="CK98" i="3" s="1"/>
  <c r="CK97" i="3" s="1"/>
  <c r="CK96" i="3" s="1"/>
  <c r="CK95" i="3" s="1"/>
  <c r="CK94" i="3" s="1"/>
  <c r="CK93" i="3" s="1"/>
  <c r="CK92" i="3" s="1"/>
  <c r="CK91" i="3" s="1"/>
  <c r="CK90" i="3" s="1"/>
  <c r="CK89" i="3" s="1"/>
  <c r="CK88" i="3" s="1"/>
  <c r="CK87" i="3" s="1"/>
  <c r="CK86" i="3" s="1"/>
  <c r="CK85" i="3" s="1"/>
  <c r="CK84" i="3" s="1"/>
  <c r="CK83" i="3" s="1"/>
  <c r="CK82" i="3" s="1"/>
  <c r="CK81" i="3" s="1"/>
  <c r="CK80" i="3" s="1"/>
  <c r="CK79" i="3" s="1"/>
  <c r="CK78" i="3" s="1"/>
  <c r="CK77" i="3" s="1"/>
  <c r="CK76" i="3" s="1"/>
  <c r="CK75" i="3" s="1"/>
  <c r="CK74" i="3" s="1"/>
  <c r="CL103" i="3"/>
  <c r="CL102" i="3" s="1"/>
  <c r="CL101" i="3" s="1"/>
  <c r="CL100" i="3" s="1"/>
  <c r="CL99" i="3" s="1"/>
  <c r="CL98" i="3" s="1"/>
  <c r="CL97" i="3" s="1"/>
  <c r="CL96" i="3" s="1"/>
  <c r="CL95" i="3" s="1"/>
  <c r="CL94" i="3" s="1"/>
  <c r="CL93" i="3" s="1"/>
  <c r="CL92" i="3" s="1"/>
  <c r="CL91" i="3" s="1"/>
  <c r="CL90" i="3" s="1"/>
  <c r="CL89" i="3" s="1"/>
  <c r="CL88" i="3" s="1"/>
  <c r="CL87" i="3" s="1"/>
  <c r="CL86" i="3" s="1"/>
  <c r="CL85" i="3" s="1"/>
  <c r="CL84" i="3" s="1"/>
  <c r="CL83" i="3" s="1"/>
  <c r="CL82" i="3" s="1"/>
  <c r="CL81" i="3" s="1"/>
  <c r="CL80" i="3" s="1"/>
  <c r="CL79" i="3" s="1"/>
  <c r="CL78" i="3" s="1"/>
  <c r="CL77" i="3" s="1"/>
  <c r="CL76" i="3" s="1"/>
  <c r="CL75" i="3" s="1"/>
  <c r="CL74" i="3" s="1"/>
  <c r="CP103" i="3"/>
  <c r="CP102" i="3" s="1"/>
  <c r="CP101" i="3" s="1"/>
  <c r="CP100" i="3" s="1"/>
  <c r="CP99" i="3" s="1"/>
  <c r="CP98" i="3" s="1"/>
  <c r="CP97" i="3" s="1"/>
  <c r="CP96" i="3" s="1"/>
  <c r="CP95" i="3" s="1"/>
  <c r="CP94" i="3" s="1"/>
  <c r="CP93" i="3" s="1"/>
  <c r="CP92" i="3" s="1"/>
  <c r="CP91" i="3" s="1"/>
  <c r="CP90" i="3" s="1"/>
  <c r="CP89" i="3" s="1"/>
  <c r="CP88" i="3" s="1"/>
  <c r="CP87" i="3" s="1"/>
  <c r="CP86" i="3" s="1"/>
  <c r="CP85" i="3" s="1"/>
  <c r="CP84" i="3" s="1"/>
  <c r="CP83" i="3" s="1"/>
  <c r="CP82" i="3" s="1"/>
  <c r="CP81" i="3" s="1"/>
  <c r="CP80" i="3" s="1"/>
  <c r="CP79" i="3" s="1"/>
  <c r="CP78" i="3" s="1"/>
  <c r="CP77" i="3" s="1"/>
  <c r="CP76" i="3" s="1"/>
  <c r="CP75" i="3" s="1"/>
  <c r="CP74" i="3" s="1"/>
  <c r="CR103" i="3"/>
  <c r="CR102" i="3" s="1"/>
  <c r="CR101" i="3" s="1"/>
  <c r="CR100" i="3" s="1"/>
  <c r="CR99" i="3" s="1"/>
  <c r="CR98" i="3" s="1"/>
  <c r="CR97" i="3" s="1"/>
  <c r="CR96" i="3" s="1"/>
  <c r="CR95" i="3" s="1"/>
  <c r="CR94" i="3" s="1"/>
  <c r="CR93" i="3" s="1"/>
  <c r="CR92" i="3" s="1"/>
  <c r="CR91" i="3" s="1"/>
  <c r="CR90" i="3" s="1"/>
  <c r="CR89" i="3" s="1"/>
  <c r="CR88" i="3" s="1"/>
  <c r="CR87" i="3" s="1"/>
  <c r="CR86" i="3" s="1"/>
  <c r="CR85" i="3" s="1"/>
  <c r="CR84" i="3" s="1"/>
  <c r="CR83" i="3" s="1"/>
  <c r="CR82" i="3" s="1"/>
  <c r="CR81" i="3" s="1"/>
  <c r="CR80" i="3" s="1"/>
  <c r="CR79" i="3" s="1"/>
  <c r="CR78" i="3" s="1"/>
  <c r="CR77" i="3" s="1"/>
  <c r="CR76" i="3" s="1"/>
  <c r="CR75" i="3" s="1"/>
  <c r="CR74" i="3" s="1"/>
  <c r="CS103" i="3"/>
  <c r="CS102" i="3" s="1"/>
  <c r="CS101" i="3" s="1"/>
  <c r="CS100" i="3" s="1"/>
  <c r="CS99" i="3" s="1"/>
  <c r="CS98" i="3" s="1"/>
  <c r="CS97" i="3" s="1"/>
  <c r="CS96" i="3" s="1"/>
  <c r="CS95" i="3" s="1"/>
  <c r="CS94" i="3" s="1"/>
  <c r="CS93" i="3" s="1"/>
  <c r="CS92" i="3" s="1"/>
  <c r="CS91" i="3" s="1"/>
  <c r="CS90" i="3" s="1"/>
  <c r="CS89" i="3" s="1"/>
  <c r="CS88" i="3" s="1"/>
  <c r="CS87" i="3" s="1"/>
  <c r="CS86" i="3" s="1"/>
  <c r="CS85" i="3" s="1"/>
  <c r="CS84" i="3" s="1"/>
  <c r="CS83" i="3" s="1"/>
  <c r="CS82" i="3" s="1"/>
  <c r="CS81" i="3" s="1"/>
  <c r="CS80" i="3" s="1"/>
  <c r="CS79" i="3" s="1"/>
  <c r="CS78" i="3" s="1"/>
  <c r="CS77" i="3" s="1"/>
  <c r="CS76" i="3" s="1"/>
  <c r="CS75" i="3" s="1"/>
  <c r="CS74" i="3" s="1"/>
  <c r="CT103" i="3"/>
  <c r="CT102" i="3" s="1"/>
  <c r="CT101" i="3" s="1"/>
  <c r="CT100" i="3" s="1"/>
  <c r="CT99" i="3" s="1"/>
  <c r="CT98" i="3" s="1"/>
  <c r="CT97" i="3" s="1"/>
  <c r="CT96" i="3" s="1"/>
  <c r="CT95" i="3" s="1"/>
  <c r="CT94" i="3" s="1"/>
  <c r="CT93" i="3" s="1"/>
  <c r="CT92" i="3" s="1"/>
  <c r="CT91" i="3" s="1"/>
  <c r="CT90" i="3" s="1"/>
  <c r="CT89" i="3" s="1"/>
  <c r="CT88" i="3" s="1"/>
  <c r="CT87" i="3" s="1"/>
  <c r="CT86" i="3" s="1"/>
  <c r="CT85" i="3" s="1"/>
  <c r="CT84" i="3" s="1"/>
  <c r="CT83" i="3" s="1"/>
  <c r="CT82" i="3" s="1"/>
  <c r="CT81" i="3" s="1"/>
  <c r="CT80" i="3" s="1"/>
  <c r="CT79" i="3" s="1"/>
  <c r="CT78" i="3" s="1"/>
  <c r="CT77" i="3" s="1"/>
  <c r="CT76" i="3" s="1"/>
  <c r="CT75" i="3" s="1"/>
  <c r="CT74" i="3" s="1"/>
  <c r="CX103" i="3"/>
  <c r="CX102" i="3" s="1"/>
  <c r="CX101" i="3" s="1"/>
  <c r="CX100" i="3" s="1"/>
  <c r="CX99" i="3" s="1"/>
  <c r="CX98" i="3" s="1"/>
  <c r="CX97" i="3" s="1"/>
  <c r="CX96" i="3" s="1"/>
  <c r="CX95" i="3" s="1"/>
  <c r="CX94" i="3" s="1"/>
  <c r="CX93" i="3" s="1"/>
  <c r="CX92" i="3" s="1"/>
  <c r="CX91" i="3" s="1"/>
  <c r="CX90" i="3" s="1"/>
  <c r="CX89" i="3" s="1"/>
  <c r="CX88" i="3" s="1"/>
  <c r="CX87" i="3" s="1"/>
  <c r="CX86" i="3" s="1"/>
  <c r="CX85" i="3" s="1"/>
  <c r="CX84" i="3" s="1"/>
  <c r="CX83" i="3" s="1"/>
  <c r="CX82" i="3" s="1"/>
  <c r="CX81" i="3" s="1"/>
  <c r="CX80" i="3" s="1"/>
  <c r="CX79" i="3" s="1"/>
  <c r="CX78" i="3" s="1"/>
  <c r="CX77" i="3" s="1"/>
  <c r="CX76" i="3" s="1"/>
  <c r="CX75" i="3" s="1"/>
  <c r="CX74" i="3" s="1"/>
  <c r="CZ103" i="3"/>
  <c r="CZ102" i="3" s="1"/>
  <c r="CZ101" i="3" s="1"/>
  <c r="CZ100" i="3" s="1"/>
  <c r="CZ99" i="3" s="1"/>
  <c r="CZ98" i="3" s="1"/>
  <c r="CZ97" i="3" s="1"/>
  <c r="CZ96" i="3" s="1"/>
  <c r="CZ95" i="3" s="1"/>
  <c r="CZ94" i="3" s="1"/>
  <c r="CZ93" i="3" s="1"/>
  <c r="CZ92" i="3" s="1"/>
  <c r="CZ91" i="3" s="1"/>
  <c r="CZ90" i="3" s="1"/>
  <c r="CZ89" i="3" s="1"/>
  <c r="CZ88" i="3" s="1"/>
  <c r="CZ87" i="3" s="1"/>
  <c r="CZ86" i="3" s="1"/>
  <c r="CZ85" i="3" s="1"/>
  <c r="CZ84" i="3" s="1"/>
  <c r="CZ83" i="3" s="1"/>
  <c r="CZ82" i="3" s="1"/>
  <c r="CZ81" i="3" s="1"/>
  <c r="CZ80" i="3" s="1"/>
  <c r="CZ79" i="3" s="1"/>
  <c r="CZ78" i="3" s="1"/>
  <c r="CZ77" i="3" s="1"/>
  <c r="CZ76" i="3" s="1"/>
  <c r="CZ75" i="3" s="1"/>
  <c r="CZ74" i="3" s="1"/>
  <c r="BW39" i="3"/>
  <c r="DD40" i="3"/>
  <c r="DD41" i="3"/>
  <c r="DD42" i="3"/>
  <c r="DD43" i="3"/>
  <c r="DD44" i="3"/>
  <c r="DD45" i="3"/>
  <c r="DD46" i="3"/>
  <c r="DD47" i="3"/>
  <c r="DD48" i="3"/>
  <c r="DD49" i="3"/>
  <c r="DD50" i="3"/>
  <c r="DD51" i="3"/>
  <c r="DD52" i="3"/>
  <c r="DD53" i="3"/>
  <c r="DD54" i="3"/>
  <c r="DD55" i="3"/>
  <c r="DD56" i="3"/>
  <c r="DD57" i="3"/>
  <c r="DD58" i="3"/>
  <c r="DD59" i="3"/>
  <c r="DD60" i="3"/>
  <c r="DD61" i="3"/>
  <c r="DD62" i="3"/>
  <c r="DD63" i="3"/>
  <c r="DD64" i="3"/>
  <c r="DD65" i="3"/>
  <c r="DD66" i="3"/>
  <c r="DD67" i="3"/>
  <c r="DD68" i="3"/>
  <c r="DD69" i="3"/>
  <c r="DD39" i="3"/>
  <c r="BW40" i="3"/>
  <c r="BX40" i="3" s="1"/>
  <c r="BY40" i="3" s="1"/>
  <c r="BZ40" i="3" s="1"/>
  <c r="CA40" i="3" s="1"/>
  <c r="CB40" i="3" s="1"/>
  <c r="CC40" i="3" s="1"/>
  <c r="CD40" i="3" s="1"/>
  <c r="CE40" i="3" s="1"/>
  <c r="CF40" i="3" s="1"/>
  <c r="CG40" i="3" s="1"/>
  <c r="CH40" i="3" s="1"/>
  <c r="CI40" i="3" s="1"/>
  <c r="CJ40" i="3" s="1"/>
  <c r="CK40" i="3" s="1"/>
  <c r="CL40" i="3" s="1"/>
  <c r="CM40" i="3" s="1"/>
  <c r="CN40" i="3" s="1"/>
  <c r="CO40" i="3" s="1"/>
  <c r="CP40" i="3" s="1"/>
  <c r="CQ40" i="3" s="1"/>
  <c r="CR40" i="3" s="1"/>
  <c r="CS40" i="3" s="1"/>
  <c r="CT40" i="3" s="1"/>
  <c r="CU40" i="3" s="1"/>
  <c r="CV40" i="3" s="1"/>
  <c r="CW40" i="3" s="1"/>
  <c r="CX40" i="3" s="1"/>
  <c r="CY40" i="3" s="1"/>
  <c r="BW41" i="3"/>
  <c r="BX41" i="3" s="1"/>
  <c r="BY41" i="3" s="1"/>
  <c r="BZ41" i="3" s="1"/>
  <c r="CA41" i="3" s="1"/>
  <c r="CB41" i="3" s="1"/>
  <c r="CC41" i="3" s="1"/>
  <c r="CD41" i="3" s="1"/>
  <c r="CE41" i="3" s="1"/>
  <c r="CF41" i="3" s="1"/>
  <c r="CG41" i="3" s="1"/>
  <c r="CH41" i="3" s="1"/>
  <c r="CI41" i="3" s="1"/>
  <c r="CJ41" i="3" s="1"/>
  <c r="CK41" i="3" s="1"/>
  <c r="CL41" i="3" s="1"/>
  <c r="CM41" i="3" s="1"/>
  <c r="CN41" i="3" s="1"/>
  <c r="CO41" i="3" s="1"/>
  <c r="CP41" i="3" s="1"/>
  <c r="CQ41" i="3" s="1"/>
  <c r="CR41" i="3" s="1"/>
  <c r="CS41" i="3" s="1"/>
  <c r="CT41" i="3" s="1"/>
  <c r="CU41" i="3" s="1"/>
  <c r="CV41" i="3" s="1"/>
  <c r="CW41" i="3" s="1"/>
  <c r="BW42" i="3"/>
  <c r="BX42" i="3" s="1"/>
  <c r="BY42" i="3" s="1"/>
  <c r="BZ42" i="3" s="1"/>
  <c r="CA42" i="3" s="1"/>
  <c r="CB42" i="3" s="1"/>
  <c r="CC42" i="3" s="1"/>
  <c r="CD42" i="3" s="1"/>
  <c r="CE42" i="3" s="1"/>
  <c r="CF42" i="3" s="1"/>
  <c r="CG42" i="3" s="1"/>
  <c r="CH42" i="3" s="1"/>
  <c r="CI42" i="3" s="1"/>
  <c r="CJ42" i="3"/>
  <c r="CK42" i="3" s="1"/>
  <c r="CL42" i="3" s="1"/>
  <c r="CM42" i="3" s="1"/>
  <c r="CN42" i="3" s="1"/>
  <c r="CO42" i="3" s="1"/>
  <c r="CP42" i="3" s="1"/>
  <c r="CQ42" i="3" s="1"/>
  <c r="CR42" i="3" s="1"/>
  <c r="CS42" i="3" s="1"/>
  <c r="CT42" i="3" s="1"/>
  <c r="CU42" i="3" s="1"/>
  <c r="CV42" i="3" s="1"/>
  <c r="CW42" i="3" s="1"/>
  <c r="CX42" i="3" s="1"/>
  <c r="CY42" i="3" s="1"/>
  <c r="BW43" i="3"/>
  <c r="BX43" i="3" s="1"/>
  <c r="BY43" i="3" s="1"/>
  <c r="BZ43" i="3" s="1"/>
  <c r="CA43" i="3" s="1"/>
  <c r="CB43" i="3" s="1"/>
  <c r="CC43" i="3" s="1"/>
  <c r="CD43" i="3" s="1"/>
  <c r="CE43" i="3" s="1"/>
  <c r="BW44" i="3"/>
  <c r="BX44" i="3" s="1"/>
  <c r="BY44" i="3" s="1"/>
  <c r="BZ44" i="3" s="1"/>
  <c r="CA44" i="3" s="1"/>
  <c r="CB44" i="3" s="1"/>
  <c r="CC44" i="3" s="1"/>
  <c r="CD44" i="3" s="1"/>
  <c r="CE44" i="3" s="1"/>
  <c r="CF44" i="3" s="1"/>
  <c r="CG44" i="3" s="1"/>
  <c r="CH44" i="3" s="1"/>
  <c r="CI44" i="3" s="1"/>
  <c r="CJ44" i="3" s="1"/>
  <c r="CK44" i="3" s="1"/>
  <c r="CL44" i="3" s="1"/>
  <c r="CM44" i="3" s="1"/>
  <c r="CN44" i="3" s="1"/>
  <c r="CO44" i="3" s="1"/>
  <c r="CP44" i="3" s="1"/>
  <c r="CQ44" i="3" s="1"/>
  <c r="CR44" i="3" s="1"/>
  <c r="CS44" i="3" s="1"/>
  <c r="CT44" i="3" s="1"/>
  <c r="CU44" i="3" s="1"/>
  <c r="CV44" i="3" s="1"/>
  <c r="CW44" i="3" s="1"/>
  <c r="CX44" i="3" s="1"/>
  <c r="BW45" i="3"/>
  <c r="BX45" i="3" s="1"/>
  <c r="BY45" i="3" s="1"/>
  <c r="BZ45" i="3" s="1"/>
  <c r="CA45" i="3" s="1"/>
  <c r="CB45" i="3" s="1"/>
  <c r="CC45" i="3" s="1"/>
  <c r="CD45" i="3" s="1"/>
  <c r="CE45" i="3" s="1"/>
  <c r="CF45" i="3" s="1"/>
  <c r="CG45" i="3" s="1"/>
  <c r="CH45" i="3" s="1"/>
  <c r="CI45" i="3" s="1"/>
  <c r="CJ45" i="3" s="1"/>
  <c r="CK45" i="3" s="1"/>
  <c r="CL45" i="3" s="1"/>
  <c r="CM45" i="3" s="1"/>
  <c r="CN45" i="3" s="1"/>
  <c r="CO45" i="3" s="1"/>
  <c r="CP45" i="3" s="1"/>
  <c r="CQ45" i="3" s="1"/>
  <c r="CR45" i="3" s="1"/>
  <c r="CS45" i="3" s="1"/>
  <c r="BW46" i="3"/>
  <c r="BX46" i="3" s="1"/>
  <c r="BY46" i="3" s="1"/>
  <c r="BZ46" i="3" s="1"/>
  <c r="CA46" i="3" s="1"/>
  <c r="CB46" i="3" s="1"/>
  <c r="CC46" i="3" s="1"/>
  <c r="CD46" i="3" s="1"/>
  <c r="CE46" i="3" s="1"/>
  <c r="CF46" i="3" s="1"/>
  <c r="CG46" i="3" s="1"/>
  <c r="CH46" i="3" s="1"/>
  <c r="CI46" i="3" s="1"/>
  <c r="CJ46" i="3" s="1"/>
  <c r="CK46" i="3" s="1"/>
  <c r="CL46" i="3" s="1"/>
  <c r="CM46" i="3" s="1"/>
  <c r="CN46" i="3" s="1"/>
  <c r="BW47" i="3"/>
  <c r="BX47" i="3"/>
  <c r="BY47" i="3" s="1"/>
  <c r="BZ47" i="3" s="1"/>
  <c r="CA47" i="3" s="1"/>
  <c r="CB47" i="3" s="1"/>
  <c r="CC47" i="3" s="1"/>
  <c r="CD47" i="3" s="1"/>
  <c r="CE47" i="3" s="1"/>
  <c r="CF47" i="3" s="1"/>
  <c r="CG47" i="3" s="1"/>
  <c r="CH47" i="3" s="1"/>
  <c r="CI47" i="3" s="1"/>
  <c r="CJ47" i="3" s="1"/>
  <c r="CK47" i="3" s="1"/>
  <c r="CL47" i="3" s="1"/>
  <c r="CM47" i="3" s="1"/>
  <c r="CN47" i="3" s="1"/>
  <c r="CO47" i="3" s="1"/>
  <c r="CP47" i="3" s="1"/>
  <c r="CQ47" i="3" s="1"/>
  <c r="CR47" i="3" s="1"/>
  <c r="CS47" i="3" s="1"/>
  <c r="CT47" i="3" s="1"/>
  <c r="CU47" i="3" s="1"/>
  <c r="CV47" i="3" s="1"/>
  <c r="CW47" i="3" s="1"/>
  <c r="CX47" i="3" s="1"/>
  <c r="CY47" i="3" s="1"/>
  <c r="BW48" i="3"/>
  <c r="BX48" i="3" s="1"/>
  <c r="BY48" i="3" s="1"/>
  <c r="BZ48" i="3" s="1"/>
  <c r="CA48" i="3" s="1"/>
  <c r="CB48" i="3" s="1"/>
  <c r="CC48" i="3" s="1"/>
  <c r="CD48" i="3" s="1"/>
  <c r="CE48" i="3" s="1"/>
  <c r="CF48" i="3" s="1"/>
  <c r="CG48" i="3" s="1"/>
  <c r="CH48" i="3" s="1"/>
  <c r="CI48" i="3" s="1"/>
  <c r="CJ48" i="3" s="1"/>
  <c r="CK48" i="3" s="1"/>
  <c r="CL48" i="3" s="1"/>
  <c r="BW49" i="3"/>
  <c r="BX49" i="3" s="1"/>
  <c r="BY49" i="3" s="1"/>
  <c r="BZ49" i="3" s="1"/>
  <c r="CA49" i="3" s="1"/>
  <c r="CB49" i="3" s="1"/>
  <c r="CC49" i="3" s="1"/>
  <c r="CD49" i="3" s="1"/>
  <c r="CE49" i="3" s="1"/>
  <c r="CF49" i="3" s="1"/>
  <c r="CG49" i="3" s="1"/>
  <c r="CH49" i="3" s="1"/>
  <c r="CI49" i="3" s="1"/>
  <c r="CJ49" i="3" s="1"/>
  <c r="CK49" i="3" s="1"/>
  <c r="CL49" i="3" s="1"/>
  <c r="CM49" i="3" s="1"/>
  <c r="CN49" i="3" s="1"/>
  <c r="CO49" i="3" s="1"/>
  <c r="CP49" i="3" s="1"/>
  <c r="CQ49" i="3" s="1"/>
  <c r="CR49" i="3" s="1"/>
  <c r="CS49" i="3" s="1"/>
  <c r="CT49" i="3" s="1"/>
  <c r="CU49" i="3" s="1"/>
  <c r="CV49" i="3" s="1"/>
  <c r="CW49" i="3" s="1"/>
  <c r="BW50" i="3"/>
  <c r="BX50" i="3" s="1"/>
  <c r="BY50" i="3" s="1"/>
  <c r="BZ50" i="3" s="1"/>
  <c r="CA50" i="3" s="1"/>
  <c r="CB50" i="3" s="1"/>
  <c r="CC50" i="3" s="1"/>
  <c r="CD50" i="3" s="1"/>
  <c r="CE50" i="3" s="1"/>
  <c r="CF50" i="3" s="1"/>
  <c r="CG50" i="3" s="1"/>
  <c r="CH50" i="3" s="1"/>
  <c r="CI50" i="3" s="1"/>
  <c r="CJ50" i="3" s="1"/>
  <c r="CK50" i="3" s="1"/>
  <c r="CL50" i="3" s="1"/>
  <c r="CM50" i="3" s="1"/>
  <c r="CN50" i="3" s="1"/>
  <c r="CO50" i="3" s="1"/>
  <c r="CP50" i="3" s="1"/>
  <c r="CQ50" i="3" s="1"/>
  <c r="CR50" i="3" s="1"/>
  <c r="BW51" i="3"/>
  <c r="BX51" i="3" s="1"/>
  <c r="BY51" i="3" s="1"/>
  <c r="BZ51" i="3" s="1"/>
  <c r="CA51" i="3" s="1"/>
  <c r="CB51" i="3" s="1"/>
  <c r="CC51" i="3" s="1"/>
  <c r="CD51" i="3" s="1"/>
  <c r="CE51" i="3" s="1"/>
  <c r="CF51" i="3" s="1"/>
  <c r="CG51" i="3" s="1"/>
  <c r="CH51" i="3" s="1"/>
  <c r="CI51" i="3" s="1"/>
  <c r="CJ51" i="3" s="1"/>
  <c r="CK51" i="3" s="1"/>
  <c r="CL51" i="3" s="1"/>
  <c r="CM51" i="3" s="1"/>
  <c r="BW52" i="3"/>
  <c r="BX52" i="3" s="1"/>
  <c r="BY52" i="3" s="1"/>
  <c r="BZ52" i="3" s="1"/>
  <c r="CA52" i="3" s="1"/>
  <c r="CB52" i="3" s="1"/>
  <c r="CC52" i="3" s="1"/>
  <c r="CD52" i="3" s="1"/>
  <c r="CE52" i="3" s="1"/>
  <c r="CF52" i="3" s="1"/>
  <c r="CG52" i="3" s="1"/>
  <c r="CH52" i="3" s="1"/>
  <c r="CI52" i="3" s="1"/>
  <c r="CJ52" i="3" s="1"/>
  <c r="CK52" i="3" s="1"/>
  <c r="CL52" i="3" s="1"/>
  <c r="CM52" i="3" s="1"/>
  <c r="CN52" i="3" s="1"/>
  <c r="CO52" i="3" s="1"/>
  <c r="CP52" i="3" s="1"/>
  <c r="CQ52" i="3" s="1"/>
  <c r="CR52" i="3" s="1"/>
  <c r="CS52" i="3" s="1"/>
  <c r="CT52" i="3" s="1"/>
  <c r="CU52" i="3" s="1"/>
  <c r="CV52" i="3" s="1"/>
  <c r="CW52" i="3" s="1"/>
  <c r="CX52" i="3" s="1"/>
  <c r="BW53" i="3"/>
  <c r="BX53" i="3" s="1"/>
  <c r="BY53" i="3" s="1"/>
  <c r="BZ53" i="3" s="1"/>
  <c r="CA53" i="3" s="1"/>
  <c r="CB53" i="3" s="1"/>
  <c r="CC53" i="3" s="1"/>
  <c r="CD53" i="3" s="1"/>
  <c r="CE53" i="3" s="1"/>
  <c r="CF53" i="3" s="1"/>
  <c r="CG53" i="3" s="1"/>
  <c r="CH53" i="3" s="1"/>
  <c r="CI53" i="3" s="1"/>
  <c r="CJ53" i="3" s="1"/>
  <c r="CK53" i="3" s="1"/>
  <c r="CL53" i="3" s="1"/>
  <c r="CM53" i="3" s="1"/>
  <c r="CN53" i="3" s="1"/>
  <c r="CO53" i="3" s="1"/>
  <c r="CP53" i="3" s="1"/>
  <c r="CQ53" i="3" s="1"/>
  <c r="CR53" i="3" s="1"/>
  <c r="CS53" i="3" s="1"/>
  <c r="CT53" i="3" s="1"/>
  <c r="CU53" i="3" s="1"/>
  <c r="CV53" i="3" s="1"/>
  <c r="CW53" i="3" s="1"/>
  <c r="CX53" i="3" s="1"/>
  <c r="BW54" i="3"/>
  <c r="BX54" i="3" s="1"/>
  <c r="BY54" i="3" s="1"/>
  <c r="BZ54" i="3" s="1"/>
  <c r="CA54" i="3" s="1"/>
  <c r="CB54" i="3" s="1"/>
  <c r="CC54" i="3" s="1"/>
  <c r="CD54" i="3" s="1"/>
  <c r="CE54" i="3" s="1"/>
  <c r="CF54" i="3" s="1"/>
  <c r="CG54" i="3" s="1"/>
  <c r="CH54" i="3" s="1"/>
  <c r="CI54" i="3" s="1"/>
  <c r="CJ54" i="3" s="1"/>
  <c r="CK54" i="3" s="1"/>
  <c r="CL54" i="3" s="1"/>
  <c r="CM54" i="3" s="1"/>
  <c r="CN54" i="3" s="1"/>
  <c r="BW55" i="3"/>
  <c r="BX55" i="3" s="1"/>
  <c r="BY55" i="3" s="1"/>
  <c r="BZ55" i="3" s="1"/>
  <c r="CA55" i="3" s="1"/>
  <c r="CB55" i="3" s="1"/>
  <c r="CC55" i="3" s="1"/>
  <c r="CD55" i="3" s="1"/>
  <c r="CE55" i="3" s="1"/>
  <c r="CF55" i="3" s="1"/>
  <c r="CG55" i="3" s="1"/>
  <c r="CH55" i="3" s="1"/>
  <c r="CI55" i="3" s="1"/>
  <c r="CJ55" i="3" s="1"/>
  <c r="CK55" i="3" s="1"/>
  <c r="CL55" i="3" s="1"/>
  <c r="CM55" i="3" s="1"/>
  <c r="CN55" i="3" s="1"/>
  <c r="CO55" i="3" s="1"/>
  <c r="CP55" i="3" s="1"/>
  <c r="CQ55" i="3" s="1"/>
  <c r="CR55" i="3" s="1"/>
  <c r="CS55" i="3" s="1"/>
  <c r="CT55" i="3" s="1"/>
  <c r="CU55" i="3" s="1"/>
  <c r="CV55" i="3" s="1"/>
  <c r="CW55" i="3" s="1"/>
  <c r="CX55" i="3" s="1"/>
  <c r="CY55" i="3" s="1"/>
  <c r="BW56" i="3"/>
  <c r="BX56" i="3" s="1"/>
  <c r="BY56" i="3" s="1"/>
  <c r="BZ56" i="3" s="1"/>
  <c r="CA56" i="3" s="1"/>
  <c r="CB56" i="3" s="1"/>
  <c r="CC56" i="3" s="1"/>
  <c r="CD56" i="3" s="1"/>
  <c r="CE56" i="3" s="1"/>
  <c r="CF56" i="3" s="1"/>
  <c r="CG56" i="3" s="1"/>
  <c r="CH56" i="3" s="1"/>
  <c r="CI56" i="3" s="1"/>
  <c r="CJ56" i="3" s="1"/>
  <c r="CK56" i="3" s="1"/>
  <c r="CL56" i="3" s="1"/>
  <c r="CM56" i="3" s="1"/>
  <c r="CN56" i="3" s="1"/>
  <c r="CO56" i="3" s="1"/>
  <c r="CP56" i="3" s="1"/>
  <c r="CQ56" i="3" s="1"/>
  <c r="CR56" i="3" s="1"/>
  <c r="CS56" i="3" s="1"/>
  <c r="CT56" i="3" s="1"/>
  <c r="CU56" i="3" s="1"/>
  <c r="CV56" i="3" s="1"/>
  <c r="CW56" i="3" s="1"/>
  <c r="CX56" i="3" s="1"/>
  <c r="CY56" i="3" s="1"/>
  <c r="BW57" i="3"/>
  <c r="BX57" i="3" s="1"/>
  <c r="BY57" i="3" s="1"/>
  <c r="BZ57" i="3" s="1"/>
  <c r="CA57" i="3" s="1"/>
  <c r="CB57" i="3" s="1"/>
  <c r="CC57" i="3" s="1"/>
  <c r="CD57" i="3" s="1"/>
  <c r="CE57" i="3" s="1"/>
  <c r="CF57" i="3" s="1"/>
  <c r="CG57" i="3" s="1"/>
  <c r="CH57" i="3" s="1"/>
  <c r="CI57" i="3" s="1"/>
  <c r="CJ57" i="3" s="1"/>
  <c r="CK57" i="3" s="1"/>
  <c r="CL57" i="3" s="1"/>
  <c r="CM57" i="3" s="1"/>
  <c r="CN57" i="3" s="1"/>
  <c r="CO57" i="3" s="1"/>
  <c r="CP57" i="3" s="1"/>
  <c r="CQ57" i="3" s="1"/>
  <c r="CR57" i="3" s="1"/>
  <c r="CS57" i="3" s="1"/>
  <c r="CT57" i="3" s="1"/>
  <c r="BW58" i="3"/>
  <c r="BX58" i="3"/>
  <c r="BY58" i="3" s="1"/>
  <c r="BZ58" i="3" s="1"/>
  <c r="CA58" i="3" s="1"/>
  <c r="CB58" i="3" s="1"/>
  <c r="CC58" i="3" s="1"/>
  <c r="CD58" i="3" s="1"/>
  <c r="CE58" i="3" s="1"/>
  <c r="BW59" i="3"/>
  <c r="BX59" i="3" s="1"/>
  <c r="BY59" i="3" s="1"/>
  <c r="BZ59" i="3" s="1"/>
  <c r="CA59" i="3" s="1"/>
  <c r="CB59" i="3" s="1"/>
  <c r="CC59" i="3" s="1"/>
  <c r="CD59" i="3" s="1"/>
  <c r="CE59" i="3" s="1"/>
  <c r="CF59" i="3" s="1"/>
  <c r="CG59" i="3" s="1"/>
  <c r="CH59" i="3" s="1"/>
  <c r="CI59" i="3" s="1"/>
  <c r="CJ59" i="3" s="1"/>
  <c r="CK59" i="3" s="1"/>
  <c r="CL59" i="3" s="1"/>
  <c r="CM59" i="3" s="1"/>
  <c r="CN59" i="3" s="1"/>
  <c r="CO59" i="3" s="1"/>
  <c r="CP59" i="3" s="1"/>
  <c r="CQ59" i="3" s="1"/>
  <c r="CR59" i="3" s="1"/>
  <c r="CS59" i="3" s="1"/>
  <c r="CT59" i="3" s="1"/>
  <c r="CU59" i="3" s="1"/>
  <c r="CV59" i="3" s="1"/>
  <c r="BW60" i="3"/>
  <c r="BX60" i="3" s="1"/>
  <c r="BY60" i="3" s="1"/>
  <c r="BZ60" i="3"/>
  <c r="CA60" i="3" s="1"/>
  <c r="CB60" i="3" s="1"/>
  <c r="CC60" i="3" s="1"/>
  <c r="CD60" i="3" s="1"/>
  <c r="CE60" i="3" s="1"/>
  <c r="CF60" i="3" s="1"/>
  <c r="CG60" i="3" s="1"/>
  <c r="CH60" i="3"/>
  <c r="CI60" i="3" s="1"/>
  <c r="CJ60" i="3" s="1"/>
  <c r="CK60" i="3" s="1"/>
  <c r="CL60" i="3" s="1"/>
  <c r="CM60" i="3" s="1"/>
  <c r="CN60" i="3" s="1"/>
  <c r="CO60" i="3" s="1"/>
  <c r="CP60" i="3" s="1"/>
  <c r="CQ60" i="3" s="1"/>
  <c r="CR60" i="3" s="1"/>
  <c r="CS60" i="3" s="1"/>
  <c r="CT60" i="3" s="1"/>
  <c r="CU60" i="3"/>
  <c r="CV60" i="3" s="1"/>
  <c r="CW60" i="3" s="1"/>
  <c r="CX60" i="3" s="1"/>
  <c r="BW61" i="3"/>
  <c r="BX61" i="3" s="1"/>
  <c r="BY61" i="3" s="1"/>
  <c r="BZ61" i="3" s="1"/>
  <c r="CA61" i="3" s="1"/>
  <c r="CB61" i="3" s="1"/>
  <c r="CC61" i="3" s="1"/>
  <c r="CD61" i="3" s="1"/>
  <c r="CE61" i="3" s="1"/>
  <c r="CF61" i="3" s="1"/>
  <c r="CG61" i="3" s="1"/>
  <c r="CH61" i="3" s="1"/>
  <c r="CI61" i="3" s="1"/>
  <c r="CJ61" i="3" s="1"/>
  <c r="CK61" i="3" s="1"/>
  <c r="CL61" i="3" s="1"/>
  <c r="CM61" i="3" s="1"/>
  <c r="CN61" i="3" s="1"/>
  <c r="CO61" i="3" s="1"/>
  <c r="CP61" i="3" s="1"/>
  <c r="CQ61" i="3" s="1"/>
  <c r="CR61" i="3" s="1"/>
  <c r="CS61" i="3" s="1"/>
  <c r="CT61" i="3" s="1"/>
  <c r="CU61" i="3" s="1"/>
  <c r="CV61" i="3" s="1"/>
  <c r="CW61" i="3" s="1"/>
  <c r="CX61" i="3" s="1"/>
  <c r="BW62" i="3"/>
  <c r="BX62" i="3" s="1"/>
  <c r="BY62" i="3" s="1"/>
  <c r="BZ62" i="3" s="1"/>
  <c r="CA62" i="3" s="1"/>
  <c r="CB62" i="3" s="1"/>
  <c r="CC62" i="3" s="1"/>
  <c r="CD62" i="3" s="1"/>
  <c r="CE62" i="3" s="1"/>
  <c r="CF62" i="3" s="1"/>
  <c r="CG62" i="3" s="1"/>
  <c r="CH62" i="3" s="1"/>
  <c r="CI62" i="3" s="1"/>
  <c r="CJ62" i="3" s="1"/>
  <c r="CK62" i="3" s="1"/>
  <c r="CL62" i="3" s="1"/>
  <c r="CM62" i="3" s="1"/>
  <c r="CN62" i="3" s="1"/>
  <c r="CO62" i="3" s="1"/>
  <c r="CP62" i="3" s="1"/>
  <c r="CQ62" i="3" s="1"/>
  <c r="CR62" i="3" s="1"/>
  <c r="CS62" i="3" s="1"/>
  <c r="CT62" i="3" s="1"/>
  <c r="CU62" i="3" s="1"/>
  <c r="CV62" i="3" s="1"/>
  <c r="CW62" i="3" s="1"/>
  <c r="CX62" i="3" s="1"/>
  <c r="CY62" i="3" s="1"/>
  <c r="BW63" i="3"/>
  <c r="BX63" i="3" s="1"/>
  <c r="BY63" i="3" s="1"/>
  <c r="BZ63" i="3" s="1"/>
  <c r="CA63" i="3" s="1"/>
  <c r="CB63" i="3" s="1"/>
  <c r="CC63" i="3" s="1"/>
  <c r="CD63" i="3" s="1"/>
  <c r="CE63" i="3" s="1"/>
  <c r="CF63" i="3" s="1"/>
  <c r="CG63" i="3" s="1"/>
  <c r="CH63" i="3" s="1"/>
  <c r="CI63" i="3" s="1"/>
  <c r="CJ63" i="3" s="1"/>
  <c r="CK63" i="3" s="1"/>
  <c r="CL63" i="3" s="1"/>
  <c r="CM63" i="3" s="1"/>
  <c r="CN63" i="3" s="1"/>
  <c r="BW64" i="3"/>
  <c r="BX64" i="3" s="1"/>
  <c r="BY64" i="3" s="1"/>
  <c r="BZ64" i="3" s="1"/>
  <c r="CA64" i="3" s="1"/>
  <c r="CB64" i="3" s="1"/>
  <c r="CC64" i="3" s="1"/>
  <c r="CD64" i="3" s="1"/>
  <c r="CE64" i="3" s="1"/>
  <c r="CF64" i="3" s="1"/>
  <c r="CG64" i="3" s="1"/>
  <c r="CH64" i="3" s="1"/>
  <c r="CI64" i="3" s="1"/>
  <c r="BW65" i="3"/>
  <c r="BX65" i="3" s="1"/>
  <c r="BY65" i="3"/>
  <c r="BZ65" i="3" s="1"/>
  <c r="CA65" i="3" s="1"/>
  <c r="CB65" i="3" s="1"/>
  <c r="CC65" i="3" s="1"/>
  <c r="CD65" i="3"/>
  <c r="CE65" i="3" s="1"/>
  <c r="CF65" i="3" s="1"/>
  <c r="CG65" i="3" s="1"/>
  <c r="CH65" i="3" s="1"/>
  <c r="CI65" i="3" s="1"/>
  <c r="CJ65" i="3" s="1"/>
  <c r="CK65" i="3" s="1"/>
  <c r="CL65" i="3" s="1"/>
  <c r="CM65" i="3" s="1"/>
  <c r="CN65" i="3" s="1"/>
  <c r="CO65" i="3" s="1"/>
  <c r="CP65" i="3" s="1"/>
  <c r="CQ65" i="3" s="1"/>
  <c r="CR65" i="3" s="1"/>
  <c r="CS65" i="3" s="1"/>
  <c r="CT65" i="3" s="1"/>
  <c r="BW66" i="3"/>
  <c r="BX66" i="3" s="1"/>
  <c r="BY66" i="3" s="1"/>
  <c r="BZ66" i="3" s="1"/>
  <c r="CA66" i="3" s="1"/>
  <c r="CB66" i="3" s="1"/>
  <c r="CC66" i="3" s="1"/>
  <c r="CD66" i="3" s="1"/>
  <c r="CE66" i="3" s="1"/>
  <c r="CF66" i="3" s="1"/>
  <c r="CG66" i="3" s="1"/>
  <c r="CH66" i="3" s="1"/>
  <c r="CI66" i="3" s="1"/>
  <c r="CJ66" i="3" s="1"/>
  <c r="CK66" i="3" s="1"/>
  <c r="CL66" i="3" s="1"/>
  <c r="CM66" i="3" s="1"/>
  <c r="CN66" i="3" s="1"/>
  <c r="CO66" i="3" s="1"/>
  <c r="CP66" i="3" s="1"/>
  <c r="CQ66" i="3" s="1"/>
  <c r="CR66" i="3" s="1"/>
  <c r="CS66" i="3" s="1"/>
  <c r="CT66" i="3" s="1"/>
  <c r="CU66" i="3" s="1"/>
  <c r="CV66" i="3" s="1"/>
  <c r="CW66" i="3" s="1"/>
  <c r="BW67" i="3"/>
  <c r="BX67" i="3" s="1"/>
  <c r="BY67" i="3" s="1"/>
  <c r="BZ67" i="3" s="1"/>
  <c r="CA67" i="3" s="1"/>
  <c r="CB67" i="3" s="1"/>
  <c r="CC67" i="3" s="1"/>
  <c r="CD67" i="3" s="1"/>
  <c r="CE67" i="3" s="1"/>
  <c r="CF67" i="3" s="1"/>
  <c r="CG67" i="3" s="1"/>
  <c r="CH67" i="3" s="1"/>
  <c r="CI67" i="3" s="1"/>
  <c r="CJ67" i="3" s="1"/>
  <c r="CK67" i="3" s="1"/>
  <c r="CL67" i="3" s="1"/>
  <c r="CM67" i="3" s="1"/>
  <c r="CN67" i="3" s="1"/>
  <c r="CO67" i="3" s="1"/>
  <c r="CP67" i="3" s="1"/>
  <c r="CQ67" i="3" s="1"/>
  <c r="CR67" i="3" s="1"/>
  <c r="BW68" i="3"/>
  <c r="BX68" i="3" s="1"/>
  <c r="BY68" i="3" s="1"/>
  <c r="BZ68" i="3" s="1"/>
  <c r="CA68" i="3" s="1"/>
  <c r="CB68" i="3" s="1"/>
  <c r="CC68" i="3" s="1"/>
  <c r="CD68" i="3" s="1"/>
  <c r="CE68" i="3" s="1"/>
  <c r="CF68" i="3" s="1"/>
  <c r="CG68" i="3" s="1"/>
  <c r="CH68" i="3" s="1"/>
  <c r="CI68" i="3" s="1"/>
  <c r="CJ68" i="3" s="1"/>
  <c r="CK68" i="3" s="1"/>
  <c r="CL68" i="3" s="1"/>
  <c r="CM68" i="3" s="1"/>
  <c r="CN68" i="3" s="1"/>
  <c r="CO68" i="3" s="1"/>
  <c r="CP68" i="3" s="1"/>
  <c r="CQ68" i="3" s="1"/>
  <c r="CR68" i="3" s="1"/>
  <c r="CS68" i="3" s="1"/>
  <c r="CT68" i="3" s="1"/>
  <c r="CU68" i="3" s="1"/>
  <c r="BW69" i="3"/>
  <c r="BX69" i="3" s="1"/>
  <c r="BY69" i="3" s="1"/>
  <c r="BZ69" i="3" s="1"/>
  <c r="CA69" i="3" s="1"/>
  <c r="CB69" i="3" s="1"/>
  <c r="CC69" i="3" s="1"/>
  <c r="CD69" i="3" s="1"/>
  <c r="CE69" i="3" s="1"/>
  <c r="CF69" i="3" s="1"/>
  <c r="CG69" i="3" s="1"/>
  <c r="CH69" i="3" s="1"/>
  <c r="CI69" i="3" s="1"/>
  <c r="CJ69" i="3" s="1"/>
  <c r="CK69" i="3" s="1"/>
  <c r="CL69" i="3" s="1"/>
  <c r="CM69" i="3" s="1"/>
  <c r="CN69" i="3" s="1"/>
  <c r="CO69" i="3" s="1"/>
  <c r="CP69" i="3" s="1"/>
  <c r="CQ69" i="3" s="1"/>
  <c r="CR69" i="3" s="1"/>
  <c r="CS69" i="3" s="1"/>
  <c r="CT69" i="3" s="1"/>
  <c r="CU69" i="3" s="1"/>
  <c r="CV69" i="3" s="1"/>
  <c r="CW69" i="3" s="1"/>
  <c r="CX69" i="3" s="1"/>
  <c r="BX39" i="3"/>
  <c r="BY39" i="3" s="1"/>
  <c r="BZ39" i="3" s="1"/>
  <c r="CA39" i="3" s="1"/>
  <c r="CB39" i="3" s="1"/>
  <c r="CC39" i="3" s="1"/>
  <c r="CD39" i="3" s="1"/>
  <c r="CE39" i="3" s="1"/>
  <c r="CF39" i="3" s="1"/>
  <c r="CG39" i="3" s="1"/>
  <c r="CH39" i="3" s="1"/>
  <c r="CI39" i="3" s="1"/>
  <c r="CJ39" i="3" s="1"/>
  <c r="CK39" i="3" s="1"/>
  <c r="CL39" i="3" s="1"/>
  <c r="CM39" i="3" s="1"/>
  <c r="CN39" i="3" s="1"/>
  <c r="CO39" i="3" s="1"/>
  <c r="CP39" i="3" s="1"/>
  <c r="CQ39" i="3" s="1"/>
  <c r="CR39" i="3" s="1"/>
  <c r="CS39" i="3" s="1"/>
  <c r="CT39" i="3" s="1"/>
  <c r="CU39" i="3" s="1"/>
  <c r="CV39" i="3" s="1"/>
  <c r="CW39" i="3" s="1"/>
  <c r="CX39" i="3" s="1"/>
  <c r="AK104" i="3"/>
  <c r="AK103" i="3"/>
  <c r="AK102" i="3"/>
  <c r="AK101" i="3"/>
  <c r="AK100" i="3"/>
  <c r="AK99" i="3"/>
  <c r="AK98" i="3"/>
  <c r="AK97" i="3"/>
  <c r="AK96" i="3"/>
  <c r="AK95" i="3"/>
  <c r="AK94" i="3"/>
  <c r="AK93" i="3"/>
  <c r="AK92" i="3"/>
  <c r="AK91" i="3"/>
  <c r="AK90" i="3"/>
  <c r="AK89" i="3"/>
  <c r="AK88" i="3"/>
  <c r="AK87" i="3"/>
  <c r="AK86" i="3"/>
  <c r="AK85" i="3"/>
  <c r="AK84" i="3"/>
  <c r="AK83" i="3"/>
  <c r="AK82" i="3"/>
  <c r="AK81" i="3"/>
  <c r="AK80" i="3"/>
  <c r="AK79" i="3"/>
  <c r="AK78" i="3"/>
  <c r="AK77" i="3"/>
  <c r="AK76" i="3"/>
  <c r="AK75" i="3"/>
  <c r="AK74" i="3"/>
  <c r="CZ69" i="3"/>
  <c r="CZ68" i="3"/>
  <c r="CZ67" i="3"/>
  <c r="CZ66" i="3"/>
  <c r="CZ65" i="3"/>
  <c r="CZ64" i="3"/>
  <c r="CZ63" i="3"/>
  <c r="CZ62" i="3"/>
  <c r="CZ61" i="3"/>
  <c r="CZ60" i="3"/>
  <c r="CZ59" i="3"/>
  <c r="CZ58" i="3"/>
  <c r="CZ57" i="3"/>
  <c r="CZ56" i="3"/>
  <c r="CZ55" i="3"/>
  <c r="CZ54" i="3"/>
  <c r="CZ53" i="3"/>
  <c r="CZ52" i="3"/>
  <c r="CZ51" i="3"/>
  <c r="CZ50" i="3"/>
  <c r="CZ49" i="3"/>
  <c r="CZ48" i="3"/>
  <c r="CZ47" i="3"/>
  <c r="CZ46" i="3"/>
  <c r="CZ45" i="3"/>
  <c r="CZ44" i="3"/>
  <c r="CZ43" i="3"/>
  <c r="CZ42" i="3"/>
  <c r="CZ41" i="3"/>
  <c r="CZ40" i="3"/>
  <c r="CZ39" i="3"/>
  <c r="AK69" i="3"/>
  <c r="AK68" i="3"/>
  <c r="AK67" i="3"/>
  <c r="AK66" i="3"/>
  <c r="AK65" i="3"/>
  <c r="AK64" i="3"/>
  <c r="AK63" i="3"/>
  <c r="AK62" i="3"/>
  <c r="AK61" i="3"/>
  <c r="AK60" i="3"/>
  <c r="AK59" i="3"/>
  <c r="AK58" i="3"/>
  <c r="AK57" i="3"/>
  <c r="AK56" i="3"/>
  <c r="AK55" i="3"/>
  <c r="AK54" i="3"/>
  <c r="AK53" i="3"/>
  <c r="AK52" i="3"/>
  <c r="AK51" i="3"/>
  <c r="AK50" i="3"/>
  <c r="AK49" i="3"/>
  <c r="AK48" i="3"/>
  <c r="AK47" i="3"/>
  <c r="AK46" i="3"/>
  <c r="AK45" i="3"/>
  <c r="AK44" i="3"/>
  <c r="AK43" i="3"/>
  <c r="AK42" i="3"/>
  <c r="AK41" i="3"/>
  <c r="AK40" i="3"/>
  <c r="AK39" i="3"/>
  <c r="B21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4" i="3"/>
  <c r="G5" i="3"/>
  <c r="G8" i="3"/>
  <c r="G9" i="3"/>
  <c r="G11" i="3"/>
  <c r="G12" i="3"/>
  <c r="G13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AK4" i="3"/>
  <c r="AK5" i="3"/>
  <c r="AK6" i="3"/>
  <c r="AK7" i="3"/>
  <c r="AK8" i="3"/>
  <c r="AK9" i="3"/>
  <c r="AK10" i="3"/>
  <c r="AK11" i="3"/>
  <c r="AK12" i="3"/>
  <c r="AK13" i="3"/>
  <c r="AK14" i="3"/>
  <c r="AK15" i="3"/>
  <c r="AK16" i="3"/>
  <c r="AK17" i="3"/>
  <c r="AK18" i="3"/>
  <c r="AK19" i="3"/>
  <c r="AK20" i="3"/>
  <c r="AK21" i="3"/>
  <c r="AK22" i="3"/>
  <c r="AK23" i="3"/>
  <c r="AK24" i="3"/>
  <c r="AK25" i="3"/>
  <c r="AK26" i="3"/>
  <c r="AK27" i="3"/>
  <c r="AK28" i="3"/>
  <c r="AK29" i="3"/>
  <c r="AK30" i="3"/>
  <c r="AK31" i="3"/>
  <c r="AK32" i="3"/>
  <c r="AK33" i="3"/>
  <c r="B26" i="3"/>
  <c r="C15" i="1"/>
  <c r="B25" i="3"/>
  <c r="B27" i="3" s="1"/>
  <c r="B20" i="3"/>
  <c r="B22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H34" i="3"/>
  <c r="AL4" i="3"/>
  <c r="AL5" i="3"/>
  <c r="AL6" i="3"/>
  <c r="AL7" i="3"/>
  <c r="AL8" i="3"/>
  <c r="AL9" i="3"/>
  <c r="AL10" i="3"/>
  <c r="AL11" i="3"/>
  <c r="AL12" i="3"/>
  <c r="AL13" i="3"/>
  <c r="AL14" i="3"/>
  <c r="AL15" i="3"/>
  <c r="AL16" i="3"/>
  <c r="AL17" i="3"/>
  <c r="AL18" i="3"/>
  <c r="AL19" i="3"/>
  <c r="AL20" i="3"/>
  <c r="AL21" i="3"/>
  <c r="AL22" i="3"/>
  <c r="AL23" i="3"/>
  <c r="AL24" i="3"/>
  <c r="AL25" i="3"/>
  <c r="AL26" i="3"/>
  <c r="AL27" i="3"/>
  <c r="AL28" i="3"/>
  <c r="AL29" i="3"/>
  <c r="AL30" i="3"/>
  <c r="AL31" i="3"/>
  <c r="AL32" i="3"/>
  <c r="AL33" i="3"/>
  <c r="AL3" i="3"/>
  <c r="AK3" i="3"/>
  <c r="G3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H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B6" i="3"/>
  <c r="B5" i="3"/>
  <c r="AE21" i="5" l="1"/>
  <c r="AD22" i="5"/>
  <c r="X116" i="4"/>
  <c r="W116" i="4" s="1"/>
  <c r="W113" i="4"/>
  <c r="BJ177" i="4" s="1"/>
  <c r="EG117" i="4"/>
  <c r="EH117" i="4" s="1"/>
  <c r="EI117" i="4" s="1"/>
  <c r="EJ117" i="4" s="1"/>
  <c r="EK117" i="4" s="1"/>
  <c r="EL117" i="4" s="1"/>
  <c r="EM117" i="4" s="1"/>
  <c r="BF181" i="4"/>
  <c r="S180" i="4"/>
  <c r="EG180" i="4" s="1"/>
  <c r="BL181" i="4"/>
  <c r="AB122" i="4"/>
  <c r="AA122" i="4" s="1"/>
  <c r="AG125" i="4"/>
  <c r="AF125" i="4" s="1"/>
  <c r="AH127" i="4"/>
  <c r="BU191" i="4" s="1"/>
  <c r="AD123" i="4"/>
  <c r="AC123" i="4" s="1"/>
  <c r="AC186" i="4" s="1"/>
  <c r="EQ186" i="4" s="1"/>
  <c r="Y118" i="4"/>
  <c r="BL182" i="4" s="1"/>
  <c r="AA121" i="4"/>
  <c r="Z121" i="4" s="1"/>
  <c r="Z120" i="4"/>
  <c r="Y120" i="4" s="1"/>
  <c r="EF119" i="4"/>
  <c r="EG119" i="4" s="1"/>
  <c r="EH119" i="4" s="1"/>
  <c r="EI119" i="4" s="1"/>
  <c r="EJ119" i="4" s="1"/>
  <c r="EK119" i="4" s="1"/>
  <c r="EL119" i="4" s="1"/>
  <c r="EM119" i="4" s="1"/>
  <c r="EN119" i="4" s="1"/>
  <c r="R182" i="4"/>
  <c r="EF182" i="4" s="1"/>
  <c r="BE183" i="4"/>
  <c r="Z182" i="4"/>
  <c r="EN182" i="4" s="1"/>
  <c r="BM183" i="4"/>
  <c r="AF124" i="4"/>
  <c r="AE124" i="4" s="1"/>
  <c r="AW190" i="4"/>
  <c r="DX126" i="4"/>
  <c r="DY126" i="4" s="1"/>
  <c r="DZ126" i="4" s="1"/>
  <c r="EA126" i="4" s="1"/>
  <c r="EB126" i="4" s="1"/>
  <c r="EC126" i="4" s="1"/>
  <c r="ED126" i="4" s="1"/>
  <c r="EE126" i="4" s="1"/>
  <c r="EF126" i="4" s="1"/>
  <c r="EG126" i="4" s="1"/>
  <c r="EH126" i="4" s="1"/>
  <c r="EI126" i="4" s="1"/>
  <c r="EJ126" i="4" s="1"/>
  <c r="EK126" i="4" s="1"/>
  <c r="EL126" i="4" s="1"/>
  <c r="EM126" i="4" s="1"/>
  <c r="EN126" i="4" s="1"/>
  <c r="EO126" i="4" s="1"/>
  <c r="EP126" i="4" s="1"/>
  <c r="EQ126" i="4" s="1"/>
  <c r="ER126" i="4" s="1"/>
  <c r="ES126" i="4" s="1"/>
  <c r="ET126" i="4" s="1"/>
  <c r="EU126" i="4" s="1"/>
  <c r="EV126" i="4" s="1"/>
  <c r="J189" i="4"/>
  <c r="DX189" i="4" s="1"/>
  <c r="AH189" i="4"/>
  <c r="EV189" i="4" s="1"/>
  <c r="BU190" i="4"/>
  <c r="BV192" i="4"/>
  <c r="AI191" i="4"/>
  <c r="EW191" i="4" s="1"/>
  <c r="DW128" i="4"/>
  <c r="DX128" i="4" s="1"/>
  <c r="DY128" i="4" s="1"/>
  <c r="DZ128" i="4" s="1"/>
  <c r="EA128" i="4" s="1"/>
  <c r="EB128" i="4" s="1"/>
  <c r="EC128" i="4" s="1"/>
  <c r="ED128" i="4" s="1"/>
  <c r="EE128" i="4" s="1"/>
  <c r="EF128" i="4" s="1"/>
  <c r="EG128" i="4" s="1"/>
  <c r="EH128" i="4" s="1"/>
  <c r="EI128" i="4" s="1"/>
  <c r="EJ128" i="4" s="1"/>
  <c r="EK128" i="4" s="1"/>
  <c r="EL128" i="4" s="1"/>
  <c r="EM128" i="4" s="1"/>
  <c r="EN128" i="4" s="1"/>
  <c r="EO128" i="4" s="1"/>
  <c r="EP128" i="4" s="1"/>
  <c r="EQ128" i="4" s="1"/>
  <c r="ER128" i="4" s="1"/>
  <c r="ES128" i="4" s="1"/>
  <c r="ET128" i="4" s="1"/>
  <c r="EU128" i="4" s="1"/>
  <c r="EV128" i="4" s="1"/>
  <c r="AV192" i="4"/>
  <c r="I191" i="4"/>
  <c r="DW191" i="4" s="1"/>
  <c r="BH157" i="4"/>
  <c r="EI93" i="4"/>
  <c r="EJ93" i="4" s="1"/>
  <c r="EK93" i="4" s="1"/>
  <c r="BH171" i="4"/>
  <c r="EI107" i="4"/>
  <c r="EJ107" i="4" s="1"/>
  <c r="EK107" i="4" s="1"/>
  <c r="BJ161" i="4"/>
  <c r="EI90" i="4"/>
  <c r="EJ90" i="4" s="1"/>
  <c r="EK90" i="4" s="1"/>
  <c r="BH154" i="4"/>
  <c r="BJ174" i="4"/>
  <c r="EI103" i="4"/>
  <c r="EJ103" i="4" s="1"/>
  <c r="EK103" i="4" s="1"/>
  <c r="BH167" i="4"/>
  <c r="BJ157" i="4"/>
  <c r="EI110" i="4"/>
  <c r="EJ110" i="4" s="1"/>
  <c r="EK110" i="4" s="1"/>
  <c r="BH174" i="4"/>
  <c r="BH149" i="4"/>
  <c r="EI85" i="4"/>
  <c r="EJ85" i="4" s="1"/>
  <c r="EK85" i="4" s="1"/>
  <c r="BH163" i="4"/>
  <c r="EI99" i="4"/>
  <c r="EJ99" i="4" s="1"/>
  <c r="EK99" i="4" s="1"/>
  <c r="BJ153" i="4"/>
  <c r="EH115" i="4"/>
  <c r="EI115" i="4" s="1"/>
  <c r="EJ115" i="4" s="1"/>
  <c r="EK115" i="4" s="1"/>
  <c r="EL115" i="4" s="1"/>
  <c r="BG179" i="4"/>
  <c r="BH176" i="4"/>
  <c r="EI112" i="4"/>
  <c r="EJ112" i="4" s="1"/>
  <c r="EK112" i="4" s="1"/>
  <c r="BJ166" i="4"/>
  <c r="EI95" i="4"/>
  <c r="EJ95" i="4" s="1"/>
  <c r="EK95" i="4" s="1"/>
  <c r="BH159" i="4"/>
  <c r="BJ149" i="4"/>
  <c r="EI94" i="4"/>
  <c r="EJ94" i="4" s="1"/>
  <c r="EK94" i="4" s="1"/>
  <c r="BH158" i="4"/>
  <c r="EI102" i="4"/>
  <c r="EJ102" i="4" s="1"/>
  <c r="EK102" i="4" s="1"/>
  <c r="BH166" i="4"/>
  <c r="BJ170" i="4"/>
  <c r="BH155" i="4"/>
  <c r="EI91" i="4"/>
  <c r="EJ91" i="4" s="1"/>
  <c r="EK91" i="4" s="1"/>
  <c r="BJ175" i="4"/>
  <c r="BH168" i="4"/>
  <c r="EI104" i="4"/>
  <c r="EJ104" i="4" s="1"/>
  <c r="EK104" i="4" s="1"/>
  <c r="BJ158" i="4"/>
  <c r="EI87" i="4"/>
  <c r="EJ87" i="4" s="1"/>
  <c r="EK87" i="4" s="1"/>
  <c r="BH151" i="4"/>
  <c r="EI86" i="4"/>
  <c r="EJ86" i="4" s="1"/>
  <c r="EK86" i="4" s="1"/>
  <c r="BH150" i="4"/>
  <c r="EI108" i="4"/>
  <c r="EJ108" i="4" s="1"/>
  <c r="EK108" i="4" s="1"/>
  <c r="BH172" i="4"/>
  <c r="BJ162" i="4"/>
  <c r="BG178" i="4"/>
  <c r="T177" i="4"/>
  <c r="EH177" i="4" s="1"/>
  <c r="EH114" i="4"/>
  <c r="EI114" i="4" s="1"/>
  <c r="EJ114" i="4" s="1"/>
  <c r="EK114" i="4" s="1"/>
  <c r="EL114" i="4" s="1"/>
  <c r="BJ167" i="4"/>
  <c r="BH160" i="4"/>
  <c r="EI96" i="4"/>
  <c r="EJ96" i="4" s="1"/>
  <c r="EK96" i="4" s="1"/>
  <c r="BJ150" i="4"/>
  <c r="BJ164" i="4"/>
  <c r="BJ171" i="4"/>
  <c r="EI100" i="4"/>
  <c r="EJ100" i="4" s="1"/>
  <c r="EK100" i="4" s="1"/>
  <c r="BH164" i="4"/>
  <c r="BJ154" i="4"/>
  <c r="BJ176" i="4"/>
  <c r="BH169" i="4"/>
  <c r="EI105" i="4"/>
  <c r="EJ105" i="4" s="1"/>
  <c r="EK105" i="4" s="1"/>
  <c r="BJ159" i="4"/>
  <c r="BH152" i="4"/>
  <c r="EI88" i="4"/>
  <c r="EJ88" i="4" s="1"/>
  <c r="EK88" i="4" s="1"/>
  <c r="BJ163" i="4"/>
  <c r="EI92" i="4"/>
  <c r="EJ92" i="4" s="1"/>
  <c r="EK92" i="4" s="1"/>
  <c r="BH156" i="4"/>
  <c r="X177" i="4"/>
  <c r="EL177" i="4" s="1"/>
  <c r="BK178" i="4"/>
  <c r="BJ168" i="4"/>
  <c r="BH161" i="4"/>
  <c r="EI97" i="4"/>
  <c r="EJ97" i="4" s="1"/>
  <c r="EK97" i="4" s="1"/>
  <c r="BJ151" i="4"/>
  <c r="BH173" i="4"/>
  <c r="EI109" i="4"/>
  <c r="EJ109" i="4" s="1"/>
  <c r="EK109" i="4" s="1"/>
  <c r="BJ155" i="4"/>
  <c r="BJ172" i="4"/>
  <c r="EI106" i="4"/>
  <c r="EJ106" i="4" s="1"/>
  <c r="EK106" i="4" s="1"/>
  <c r="BH170" i="4"/>
  <c r="BJ160" i="4"/>
  <c r="BH153" i="4"/>
  <c r="EI89" i="4"/>
  <c r="EJ89" i="4" s="1"/>
  <c r="EK89" i="4" s="1"/>
  <c r="BJ173" i="4"/>
  <c r="BH165" i="4"/>
  <c r="EI101" i="4"/>
  <c r="EJ101" i="4" s="1"/>
  <c r="EK101" i="4" s="1"/>
  <c r="BK179" i="4"/>
  <c r="BJ156" i="4"/>
  <c r="BJ169" i="4"/>
  <c r="EI98" i="4"/>
  <c r="EJ98" i="4" s="1"/>
  <c r="EK98" i="4" s="1"/>
  <c r="BH162" i="4"/>
  <c r="BJ152" i="4"/>
  <c r="EI111" i="4"/>
  <c r="EJ111" i="4" s="1"/>
  <c r="EK111" i="4" s="1"/>
  <c r="BH175" i="4"/>
  <c r="BJ165" i="4"/>
  <c r="BK147" i="4"/>
  <c r="X148" i="4"/>
  <c r="W84" i="4"/>
  <c r="T148" i="4"/>
  <c r="EH83" i="4"/>
  <c r="EI83" i="4" s="1"/>
  <c r="EJ83" i="4" s="1"/>
  <c r="EK83" i="4" s="1"/>
  <c r="EL83" i="4" s="1"/>
  <c r="BG147" i="4"/>
  <c r="X82" i="4"/>
  <c r="Y81" i="4"/>
  <c r="BD143" i="4"/>
  <c r="EE79" i="4"/>
  <c r="EF79" i="4" s="1"/>
  <c r="EG79" i="4" s="1"/>
  <c r="EH79" i="4" s="1"/>
  <c r="EI79" i="4" s="1"/>
  <c r="EJ79" i="4" s="1"/>
  <c r="EK79" i="4" s="1"/>
  <c r="EL79" i="4" s="1"/>
  <c r="EM79" i="4" s="1"/>
  <c r="EN79" i="4" s="1"/>
  <c r="EO79" i="4" s="1"/>
  <c r="Q144" i="4"/>
  <c r="BN143" i="4"/>
  <c r="AA144" i="4"/>
  <c r="Z80" i="4"/>
  <c r="AA78" i="4"/>
  <c r="BC140" i="4"/>
  <c r="ED76" i="4"/>
  <c r="EE76" i="4" s="1"/>
  <c r="EF76" i="4" s="1"/>
  <c r="EG76" i="4" s="1"/>
  <c r="EH76" i="4" s="1"/>
  <c r="EI76" i="4" s="1"/>
  <c r="EJ76" i="4" s="1"/>
  <c r="EK76" i="4" s="1"/>
  <c r="EL76" i="4" s="1"/>
  <c r="EM76" i="4" s="1"/>
  <c r="EN76" i="4" s="1"/>
  <c r="EO76" i="4" s="1"/>
  <c r="EP76" i="4" s="1"/>
  <c r="BC141" i="4"/>
  <c r="P142" i="4"/>
  <c r="ED77" i="4"/>
  <c r="EE77" i="4" s="1"/>
  <c r="EF77" i="4" s="1"/>
  <c r="EG77" i="4" s="1"/>
  <c r="EH77" i="4" s="1"/>
  <c r="EI77" i="4" s="1"/>
  <c r="EJ77" i="4" s="1"/>
  <c r="EK77" i="4" s="1"/>
  <c r="EL77" i="4" s="1"/>
  <c r="EM77" i="4" s="1"/>
  <c r="EN77" i="4" s="1"/>
  <c r="EO77" i="4" s="1"/>
  <c r="EP77" i="4" s="1"/>
  <c r="BO140" i="4"/>
  <c r="AB142" i="4"/>
  <c r="BO141" i="4"/>
  <c r="BO139" i="4"/>
  <c r="EP139" i="4" s="1"/>
  <c r="ED75" i="4"/>
  <c r="EE75" i="4" s="1"/>
  <c r="EF75" i="4" s="1"/>
  <c r="EG75" i="4" s="1"/>
  <c r="EH75" i="4" s="1"/>
  <c r="EI75" i="4" s="1"/>
  <c r="EJ75" i="4" s="1"/>
  <c r="EK75" i="4" s="1"/>
  <c r="EL75" i="4" s="1"/>
  <c r="EM75" i="4" s="1"/>
  <c r="EN75" i="4" s="1"/>
  <c r="EO75" i="4" s="1"/>
  <c r="EP75" i="4" s="1"/>
  <c r="BC139" i="4"/>
  <c r="ED139" i="4" s="1"/>
  <c r="L4" i="4"/>
  <c r="DE50" i="3"/>
  <c r="DF50" i="3" s="1"/>
  <c r="DG50" i="3" s="1"/>
  <c r="DH50" i="3" s="1"/>
  <c r="DI50" i="3" s="1"/>
  <c r="DJ50" i="3" s="1"/>
  <c r="DK50" i="3" s="1"/>
  <c r="DL50" i="3" s="1"/>
  <c r="DM50" i="3" s="1"/>
  <c r="DN50" i="3" s="1"/>
  <c r="DO50" i="3" s="1"/>
  <c r="DP50" i="3" s="1"/>
  <c r="DQ50" i="3" s="1"/>
  <c r="DR50" i="3" s="1"/>
  <c r="DS50" i="3" s="1"/>
  <c r="DT50" i="3" s="1"/>
  <c r="DU50" i="3" s="1"/>
  <c r="DV50" i="3" s="1"/>
  <c r="DW50" i="3" s="1"/>
  <c r="DX50" i="3" s="1"/>
  <c r="DY50" i="3" s="1"/>
  <c r="DZ50" i="3" s="1"/>
  <c r="EA50" i="3" s="1"/>
  <c r="EB50" i="3" s="1"/>
  <c r="EC50" i="3" s="1"/>
  <c r="ED50" i="3" s="1"/>
  <c r="EE50" i="3" s="1"/>
  <c r="EF50" i="3" s="1"/>
  <c r="EG50" i="3" s="1"/>
  <c r="EH50" i="3" s="1"/>
  <c r="DE54" i="3"/>
  <c r="DF54" i="3" s="1"/>
  <c r="DG54" i="3" s="1"/>
  <c r="DH54" i="3" s="1"/>
  <c r="DI54" i="3" s="1"/>
  <c r="DJ54" i="3" s="1"/>
  <c r="DK54" i="3" s="1"/>
  <c r="DL54" i="3" s="1"/>
  <c r="DM54" i="3" s="1"/>
  <c r="DN54" i="3" s="1"/>
  <c r="DO54" i="3" s="1"/>
  <c r="DP54" i="3" s="1"/>
  <c r="DQ54" i="3" s="1"/>
  <c r="DR54" i="3" s="1"/>
  <c r="DS54" i="3" s="1"/>
  <c r="DT54" i="3" s="1"/>
  <c r="DU54" i="3" s="1"/>
  <c r="DV54" i="3" s="1"/>
  <c r="DW54" i="3" s="1"/>
  <c r="DX54" i="3" s="1"/>
  <c r="DY54" i="3" s="1"/>
  <c r="DZ54" i="3" s="1"/>
  <c r="EA54" i="3" s="1"/>
  <c r="EB54" i="3" s="1"/>
  <c r="EC54" i="3" s="1"/>
  <c r="ED54" i="3" s="1"/>
  <c r="EE54" i="3" s="1"/>
  <c r="EF54" i="3" s="1"/>
  <c r="EG54" i="3" s="1"/>
  <c r="EH54" i="3" s="1"/>
  <c r="DE51" i="3"/>
  <c r="DF51" i="3" s="1"/>
  <c r="DG51" i="3" s="1"/>
  <c r="DH51" i="3" s="1"/>
  <c r="DI51" i="3" s="1"/>
  <c r="DJ51" i="3" s="1"/>
  <c r="DK51" i="3" s="1"/>
  <c r="DL51" i="3" s="1"/>
  <c r="DM51" i="3" s="1"/>
  <c r="DN51" i="3" s="1"/>
  <c r="DO51" i="3" s="1"/>
  <c r="DP51" i="3" s="1"/>
  <c r="DQ51" i="3" s="1"/>
  <c r="DR51" i="3" s="1"/>
  <c r="DS51" i="3" s="1"/>
  <c r="DT51" i="3" s="1"/>
  <c r="DU51" i="3" s="1"/>
  <c r="DV51" i="3" s="1"/>
  <c r="DW51" i="3" s="1"/>
  <c r="DX51" i="3" s="1"/>
  <c r="DY51" i="3" s="1"/>
  <c r="DZ51" i="3" s="1"/>
  <c r="EA51" i="3" s="1"/>
  <c r="EB51" i="3" s="1"/>
  <c r="EC51" i="3" s="1"/>
  <c r="ED51" i="3" s="1"/>
  <c r="EE51" i="3" s="1"/>
  <c r="EF51" i="3" s="1"/>
  <c r="EG51" i="3" s="1"/>
  <c r="EH51" i="3" s="1"/>
  <c r="DE43" i="3"/>
  <c r="DF43" i="3" s="1"/>
  <c r="DG43" i="3" s="1"/>
  <c r="DH43" i="3" s="1"/>
  <c r="DI43" i="3" s="1"/>
  <c r="DJ43" i="3" s="1"/>
  <c r="DK43" i="3" s="1"/>
  <c r="DL43" i="3" s="1"/>
  <c r="DM43" i="3" s="1"/>
  <c r="DN43" i="3" s="1"/>
  <c r="DO43" i="3" s="1"/>
  <c r="DP43" i="3" s="1"/>
  <c r="DQ43" i="3" s="1"/>
  <c r="DR43" i="3" s="1"/>
  <c r="DS43" i="3" s="1"/>
  <c r="DT43" i="3" s="1"/>
  <c r="DU43" i="3" s="1"/>
  <c r="DV43" i="3" s="1"/>
  <c r="DW43" i="3" s="1"/>
  <c r="DX43" i="3" s="1"/>
  <c r="DY43" i="3" s="1"/>
  <c r="DZ43" i="3" s="1"/>
  <c r="EA43" i="3" s="1"/>
  <c r="EB43" i="3" s="1"/>
  <c r="EC43" i="3" s="1"/>
  <c r="ED43" i="3" s="1"/>
  <c r="EE43" i="3" s="1"/>
  <c r="EF43" i="3" s="1"/>
  <c r="EG43" i="3" s="1"/>
  <c r="EH43" i="3" s="1"/>
  <c r="DE42" i="3"/>
  <c r="DF42" i="3" s="1"/>
  <c r="DG42" i="3" s="1"/>
  <c r="DH42" i="3" s="1"/>
  <c r="DI42" i="3" s="1"/>
  <c r="DJ42" i="3" s="1"/>
  <c r="DK42" i="3" s="1"/>
  <c r="DL42" i="3" s="1"/>
  <c r="DM42" i="3" s="1"/>
  <c r="DN42" i="3" s="1"/>
  <c r="DO42" i="3" s="1"/>
  <c r="DP42" i="3" s="1"/>
  <c r="DQ42" i="3" s="1"/>
  <c r="DR42" i="3" s="1"/>
  <c r="DS42" i="3" s="1"/>
  <c r="DT42" i="3" s="1"/>
  <c r="DU42" i="3" s="1"/>
  <c r="DV42" i="3" s="1"/>
  <c r="DW42" i="3" s="1"/>
  <c r="DX42" i="3" s="1"/>
  <c r="DY42" i="3" s="1"/>
  <c r="DZ42" i="3" s="1"/>
  <c r="EA42" i="3" s="1"/>
  <c r="EB42" i="3" s="1"/>
  <c r="EC42" i="3" s="1"/>
  <c r="ED42" i="3" s="1"/>
  <c r="EE42" i="3" s="1"/>
  <c r="EF42" i="3" s="1"/>
  <c r="EG42" i="3" s="1"/>
  <c r="EH42" i="3" s="1"/>
  <c r="DE46" i="3"/>
  <c r="DF46" i="3" s="1"/>
  <c r="DG46" i="3" s="1"/>
  <c r="DH46" i="3" s="1"/>
  <c r="DI46" i="3" s="1"/>
  <c r="DJ46" i="3" s="1"/>
  <c r="DK46" i="3" s="1"/>
  <c r="DL46" i="3" s="1"/>
  <c r="DM46" i="3" s="1"/>
  <c r="DN46" i="3" s="1"/>
  <c r="DO46" i="3" s="1"/>
  <c r="DP46" i="3" s="1"/>
  <c r="DQ46" i="3" s="1"/>
  <c r="DR46" i="3" s="1"/>
  <c r="DS46" i="3" s="1"/>
  <c r="DT46" i="3" s="1"/>
  <c r="DU46" i="3" s="1"/>
  <c r="DV46" i="3" s="1"/>
  <c r="DW46" i="3" s="1"/>
  <c r="DX46" i="3" s="1"/>
  <c r="DY46" i="3" s="1"/>
  <c r="DZ46" i="3" s="1"/>
  <c r="EA46" i="3" s="1"/>
  <c r="EB46" i="3" s="1"/>
  <c r="EC46" i="3" s="1"/>
  <c r="ED46" i="3" s="1"/>
  <c r="EE46" i="3" s="1"/>
  <c r="EF46" i="3" s="1"/>
  <c r="EG46" i="3" s="1"/>
  <c r="EH46" i="3" s="1"/>
  <c r="DE53" i="3"/>
  <c r="DF53" i="3" s="1"/>
  <c r="DG53" i="3" s="1"/>
  <c r="DH53" i="3" s="1"/>
  <c r="DI53" i="3" s="1"/>
  <c r="DJ53" i="3" s="1"/>
  <c r="DK53" i="3" s="1"/>
  <c r="DL53" i="3" s="1"/>
  <c r="DM53" i="3" s="1"/>
  <c r="DN53" i="3" s="1"/>
  <c r="DO53" i="3" s="1"/>
  <c r="DP53" i="3" s="1"/>
  <c r="DQ53" i="3" s="1"/>
  <c r="DR53" i="3" s="1"/>
  <c r="DS53" i="3" s="1"/>
  <c r="DT53" i="3" s="1"/>
  <c r="DU53" i="3" s="1"/>
  <c r="DV53" i="3" s="1"/>
  <c r="DW53" i="3" s="1"/>
  <c r="DX53" i="3" s="1"/>
  <c r="DY53" i="3" s="1"/>
  <c r="DZ53" i="3" s="1"/>
  <c r="EA53" i="3" s="1"/>
  <c r="EB53" i="3" s="1"/>
  <c r="EC53" i="3" s="1"/>
  <c r="ED53" i="3" s="1"/>
  <c r="EE53" i="3" s="1"/>
  <c r="EF53" i="3" s="1"/>
  <c r="EG53" i="3" s="1"/>
  <c r="EH53" i="3" s="1"/>
  <c r="DE47" i="3"/>
  <c r="DF47" i="3" s="1"/>
  <c r="DG47" i="3" s="1"/>
  <c r="DH47" i="3" s="1"/>
  <c r="DI47" i="3" s="1"/>
  <c r="DJ47" i="3" s="1"/>
  <c r="DK47" i="3" s="1"/>
  <c r="DL47" i="3" s="1"/>
  <c r="DM47" i="3" s="1"/>
  <c r="DN47" i="3" s="1"/>
  <c r="DO47" i="3" s="1"/>
  <c r="DP47" i="3" s="1"/>
  <c r="DQ47" i="3" s="1"/>
  <c r="DR47" i="3" s="1"/>
  <c r="DS47" i="3" s="1"/>
  <c r="DT47" i="3" s="1"/>
  <c r="DU47" i="3" s="1"/>
  <c r="DV47" i="3" s="1"/>
  <c r="DW47" i="3" s="1"/>
  <c r="DX47" i="3" s="1"/>
  <c r="DY47" i="3" s="1"/>
  <c r="DZ47" i="3" s="1"/>
  <c r="EA47" i="3" s="1"/>
  <c r="EB47" i="3" s="1"/>
  <c r="EC47" i="3" s="1"/>
  <c r="ED47" i="3" s="1"/>
  <c r="EE47" i="3" s="1"/>
  <c r="EF47" i="3" s="1"/>
  <c r="EG47" i="3" s="1"/>
  <c r="EH47" i="3" s="1"/>
  <c r="DF40" i="3"/>
  <c r="DG40" i="3" s="1"/>
  <c r="DH40" i="3" s="1"/>
  <c r="DI40" i="3" s="1"/>
  <c r="DJ40" i="3" s="1"/>
  <c r="DK40" i="3" s="1"/>
  <c r="DL40" i="3" s="1"/>
  <c r="DM40" i="3" s="1"/>
  <c r="DN40" i="3" s="1"/>
  <c r="DO40" i="3" s="1"/>
  <c r="DP40" i="3" s="1"/>
  <c r="DQ40" i="3" s="1"/>
  <c r="DR40" i="3" s="1"/>
  <c r="DS40" i="3" s="1"/>
  <c r="DT40" i="3" s="1"/>
  <c r="DU40" i="3" s="1"/>
  <c r="DV40" i="3" s="1"/>
  <c r="DW40" i="3" s="1"/>
  <c r="DX40" i="3" s="1"/>
  <c r="DY40" i="3" s="1"/>
  <c r="DZ40" i="3" s="1"/>
  <c r="EA40" i="3" s="1"/>
  <c r="EB40" i="3" s="1"/>
  <c r="EC40" i="3" s="1"/>
  <c r="ED40" i="3" s="1"/>
  <c r="EE40" i="3" s="1"/>
  <c r="EF40" i="3" s="1"/>
  <c r="EG40" i="3" s="1"/>
  <c r="EH40" i="3" s="1"/>
  <c r="DE63" i="3"/>
  <c r="DF63" i="3" s="1"/>
  <c r="DG63" i="3" s="1"/>
  <c r="DH63" i="3" s="1"/>
  <c r="DI63" i="3" s="1"/>
  <c r="DJ63" i="3" s="1"/>
  <c r="DK63" i="3" s="1"/>
  <c r="DL63" i="3" s="1"/>
  <c r="DM63" i="3" s="1"/>
  <c r="DN63" i="3" s="1"/>
  <c r="DO63" i="3" s="1"/>
  <c r="DP63" i="3" s="1"/>
  <c r="DQ63" i="3" s="1"/>
  <c r="DR63" i="3" s="1"/>
  <c r="DS63" i="3" s="1"/>
  <c r="DT63" i="3" s="1"/>
  <c r="DU63" i="3" s="1"/>
  <c r="DV63" i="3" s="1"/>
  <c r="DW63" i="3" s="1"/>
  <c r="DX63" i="3" s="1"/>
  <c r="DY63" i="3" s="1"/>
  <c r="DZ63" i="3" s="1"/>
  <c r="EA63" i="3" s="1"/>
  <c r="EB63" i="3" s="1"/>
  <c r="EC63" i="3" s="1"/>
  <c r="ED63" i="3" s="1"/>
  <c r="EE63" i="3" s="1"/>
  <c r="EF63" i="3" s="1"/>
  <c r="EG63" i="3" s="1"/>
  <c r="EH63" i="3" s="1"/>
  <c r="DE55" i="3"/>
  <c r="DF55" i="3" s="1"/>
  <c r="DG55" i="3" s="1"/>
  <c r="DH55" i="3" s="1"/>
  <c r="DI55" i="3" s="1"/>
  <c r="DJ55" i="3" s="1"/>
  <c r="DK55" i="3" s="1"/>
  <c r="DL55" i="3" s="1"/>
  <c r="DM55" i="3" s="1"/>
  <c r="DN55" i="3" s="1"/>
  <c r="DO55" i="3" s="1"/>
  <c r="DP55" i="3" s="1"/>
  <c r="DQ55" i="3" s="1"/>
  <c r="DR55" i="3" s="1"/>
  <c r="DS55" i="3" s="1"/>
  <c r="DT55" i="3" s="1"/>
  <c r="DU55" i="3" s="1"/>
  <c r="DV55" i="3" s="1"/>
  <c r="DW55" i="3" s="1"/>
  <c r="DX55" i="3" s="1"/>
  <c r="DY55" i="3" s="1"/>
  <c r="DZ55" i="3" s="1"/>
  <c r="EA55" i="3" s="1"/>
  <c r="EB55" i="3" s="1"/>
  <c r="EC55" i="3" s="1"/>
  <c r="ED55" i="3" s="1"/>
  <c r="EE55" i="3" s="1"/>
  <c r="EF55" i="3" s="1"/>
  <c r="EG55" i="3" s="1"/>
  <c r="EH55" i="3" s="1"/>
  <c r="DF49" i="3"/>
  <c r="DG49" i="3" s="1"/>
  <c r="DH49" i="3" s="1"/>
  <c r="DI49" i="3" s="1"/>
  <c r="DJ49" i="3" s="1"/>
  <c r="DK49" i="3" s="1"/>
  <c r="DL49" i="3" s="1"/>
  <c r="DM49" i="3" s="1"/>
  <c r="DN49" i="3" s="1"/>
  <c r="DO49" i="3" s="1"/>
  <c r="DP49" i="3" s="1"/>
  <c r="DQ49" i="3" s="1"/>
  <c r="DR49" i="3" s="1"/>
  <c r="DS49" i="3" s="1"/>
  <c r="DT49" i="3" s="1"/>
  <c r="DU49" i="3" s="1"/>
  <c r="DV49" i="3" s="1"/>
  <c r="DW49" i="3" s="1"/>
  <c r="DX49" i="3" s="1"/>
  <c r="DY49" i="3" s="1"/>
  <c r="DZ49" i="3" s="1"/>
  <c r="EA49" i="3" s="1"/>
  <c r="EB49" i="3" s="1"/>
  <c r="EC49" i="3" s="1"/>
  <c r="ED49" i="3" s="1"/>
  <c r="EE49" i="3" s="1"/>
  <c r="EF49" i="3" s="1"/>
  <c r="EG49" i="3" s="1"/>
  <c r="EH49" i="3" s="1"/>
  <c r="DE44" i="3"/>
  <c r="DF44" i="3" s="1"/>
  <c r="DG44" i="3" s="1"/>
  <c r="DH44" i="3" s="1"/>
  <c r="DI44" i="3" s="1"/>
  <c r="DJ44" i="3" s="1"/>
  <c r="DK44" i="3" s="1"/>
  <c r="DL44" i="3" s="1"/>
  <c r="DM44" i="3" s="1"/>
  <c r="DN44" i="3" s="1"/>
  <c r="DO44" i="3" s="1"/>
  <c r="DP44" i="3" s="1"/>
  <c r="DQ44" i="3" s="1"/>
  <c r="DR44" i="3" s="1"/>
  <c r="DS44" i="3" s="1"/>
  <c r="DT44" i="3" s="1"/>
  <c r="DU44" i="3" s="1"/>
  <c r="DV44" i="3" s="1"/>
  <c r="DW44" i="3" s="1"/>
  <c r="DX44" i="3" s="1"/>
  <c r="DY44" i="3" s="1"/>
  <c r="DZ44" i="3" s="1"/>
  <c r="EA44" i="3" s="1"/>
  <c r="EB44" i="3" s="1"/>
  <c r="EC44" i="3" s="1"/>
  <c r="ED44" i="3" s="1"/>
  <c r="EE44" i="3" s="1"/>
  <c r="EF44" i="3" s="1"/>
  <c r="EG44" i="3" s="1"/>
  <c r="EH44" i="3" s="1"/>
  <c r="DF62" i="3"/>
  <c r="DG62" i="3" s="1"/>
  <c r="DH62" i="3" s="1"/>
  <c r="DI62" i="3" s="1"/>
  <c r="DJ62" i="3" s="1"/>
  <c r="DK62" i="3" s="1"/>
  <c r="DL62" i="3" s="1"/>
  <c r="DM62" i="3" s="1"/>
  <c r="DN62" i="3" s="1"/>
  <c r="DO62" i="3" s="1"/>
  <c r="DP62" i="3" s="1"/>
  <c r="DQ62" i="3" s="1"/>
  <c r="DR62" i="3" s="1"/>
  <c r="DS62" i="3" s="1"/>
  <c r="DT62" i="3" s="1"/>
  <c r="DU62" i="3" s="1"/>
  <c r="DV62" i="3" s="1"/>
  <c r="DW62" i="3" s="1"/>
  <c r="DX62" i="3" s="1"/>
  <c r="DY62" i="3" s="1"/>
  <c r="DZ62" i="3" s="1"/>
  <c r="EA62" i="3" s="1"/>
  <c r="EB62" i="3" s="1"/>
  <c r="EC62" i="3" s="1"/>
  <c r="ED62" i="3" s="1"/>
  <c r="EE62" i="3" s="1"/>
  <c r="EF62" i="3" s="1"/>
  <c r="EG62" i="3" s="1"/>
  <c r="EH62" i="3" s="1"/>
  <c r="DF69" i="3"/>
  <c r="DG69" i="3" s="1"/>
  <c r="DH69" i="3" s="1"/>
  <c r="DI69" i="3" s="1"/>
  <c r="DJ69" i="3" s="1"/>
  <c r="DK69" i="3" s="1"/>
  <c r="DL69" i="3" s="1"/>
  <c r="DM69" i="3" s="1"/>
  <c r="DN69" i="3" s="1"/>
  <c r="DO69" i="3" s="1"/>
  <c r="DP69" i="3" s="1"/>
  <c r="DQ69" i="3" s="1"/>
  <c r="DR69" i="3" s="1"/>
  <c r="DS69" i="3" s="1"/>
  <c r="DT69" i="3" s="1"/>
  <c r="DU69" i="3" s="1"/>
  <c r="DV69" i="3" s="1"/>
  <c r="DW69" i="3" s="1"/>
  <c r="DX69" i="3" s="1"/>
  <c r="DY69" i="3" s="1"/>
  <c r="DZ69" i="3" s="1"/>
  <c r="EA69" i="3" s="1"/>
  <c r="EB69" i="3" s="1"/>
  <c r="EC69" i="3" s="1"/>
  <c r="ED69" i="3" s="1"/>
  <c r="EE69" i="3" s="1"/>
  <c r="EF69" i="3" s="1"/>
  <c r="EG69" i="3" s="1"/>
  <c r="EH69" i="3" s="1"/>
  <c r="DF61" i="3"/>
  <c r="DG61" i="3" s="1"/>
  <c r="DH61" i="3" s="1"/>
  <c r="DI61" i="3" s="1"/>
  <c r="DJ61" i="3" s="1"/>
  <c r="DK61" i="3" s="1"/>
  <c r="DL61" i="3" s="1"/>
  <c r="DM61" i="3" s="1"/>
  <c r="DN61" i="3" s="1"/>
  <c r="DO61" i="3" s="1"/>
  <c r="DP61" i="3" s="1"/>
  <c r="DQ61" i="3" s="1"/>
  <c r="DR61" i="3" s="1"/>
  <c r="DS61" i="3" s="1"/>
  <c r="DT61" i="3" s="1"/>
  <c r="DU61" i="3" s="1"/>
  <c r="DV61" i="3" s="1"/>
  <c r="DW61" i="3" s="1"/>
  <c r="DX61" i="3" s="1"/>
  <c r="DY61" i="3" s="1"/>
  <c r="DZ61" i="3" s="1"/>
  <c r="EA61" i="3" s="1"/>
  <c r="EB61" i="3" s="1"/>
  <c r="EC61" i="3" s="1"/>
  <c r="ED61" i="3" s="1"/>
  <c r="EE61" i="3" s="1"/>
  <c r="EF61" i="3" s="1"/>
  <c r="EG61" i="3" s="1"/>
  <c r="EH61" i="3" s="1"/>
  <c r="DF60" i="3"/>
  <c r="DG60" i="3" s="1"/>
  <c r="DH60" i="3" s="1"/>
  <c r="DI60" i="3" s="1"/>
  <c r="DJ60" i="3" s="1"/>
  <c r="DK60" i="3" s="1"/>
  <c r="DL60" i="3" s="1"/>
  <c r="DM60" i="3" s="1"/>
  <c r="DN60" i="3" s="1"/>
  <c r="DO60" i="3" s="1"/>
  <c r="DP60" i="3" s="1"/>
  <c r="DQ60" i="3" s="1"/>
  <c r="DR60" i="3" s="1"/>
  <c r="DS60" i="3" s="1"/>
  <c r="DT60" i="3" s="1"/>
  <c r="DU60" i="3" s="1"/>
  <c r="DV60" i="3" s="1"/>
  <c r="DW60" i="3" s="1"/>
  <c r="DX60" i="3" s="1"/>
  <c r="DY60" i="3" s="1"/>
  <c r="DZ60" i="3" s="1"/>
  <c r="EA60" i="3" s="1"/>
  <c r="EB60" i="3" s="1"/>
  <c r="EC60" i="3" s="1"/>
  <c r="ED60" i="3" s="1"/>
  <c r="EE60" i="3" s="1"/>
  <c r="EF60" i="3" s="1"/>
  <c r="EG60" i="3" s="1"/>
  <c r="EH60" i="3" s="1"/>
  <c r="DF59" i="3"/>
  <c r="DG59" i="3" s="1"/>
  <c r="DH59" i="3" s="1"/>
  <c r="DI59" i="3" s="1"/>
  <c r="DJ59" i="3" s="1"/>
  <c r="DK59" i="3" s="1"/>
  <c r="DL59" i="3" s="1"/>
  <c r="DM59" i="3" s="1"/>
  <c r="DN59" i="3" s="1"/>
  <c r="DO59" i="3" s="1"/>
  <c r="DP59" i="3" s="1"/>
  <c r="DQ59" i="3" s="1"/>
  <c r="DR59" i="3" s="1"/>
  <c r="DS59" i="3" s="1"/>
  <c r="DT59" i="3" s="1"/>
  <c r="DU59" i="3" s="1"/>
  <c r="DV59" i="3" s="1"/>
  <c r="DW59" i="3" s="1"/>
  <c r="DX59" i="3" s="1"/>
  <c r="DY59" i="3" s="1"/>
  <c r="DZ59" i="3" s="1"/>
  <c r="EA59" i="3" s="1"/>
  <c r="EB59" i="3" s="1"/>
  <c r="EC59" i="3" s="1"/>
  <c r="ED59" i="3" s="1"/>
  <c r="EE59" i="3" s="1"/>
  <c r="EF59" i="3" s="1"/>
  <c r="EG59" i="3" s="1"/>
  <c r="EH59" i="3" s="1"/>
  <c r="DF64" i="3"/>
  <c r="DG64" i="3" s="1"/>
  <c r="DH64" i="3" s="1"/>
  <c r="DI64" i="3" s="1"/>
  <c r="DJ64" i="3" s="1"/>
  <c r="DK64" i="3" s="1"/>
  <c r="DL64" i="3" s="1"/>
  <c r="DM64" i="3" s="1"/>
  <c r="DN64" i="3" s="1"/>
  <c r="DO64" i="3" s="1"/>
  <c r="DP64" i="3" s="1"/>
  <c r="DQ64" i="3" s="1"/>
  <c r="DR64" i="3" s="1"/>
  <c r="DS64" i="3" s="1"/>
  <c r="DT64" i="3" s="1"/>
  <c r="DU64" i="3" s="1"/>
  <c r="DV64" i="3" s="1"/>
  <c r="DW64" i="3" s="1"/>
  <c r="DX64" i="3" s="1"/>
  <c r="DY64" i="3" s="1"/>
  <c r="DZ64" i="3" s="1"/>
  <c r="EA64" i="3" s="1"/>
  <c r="EB64" i="3" s="1"/>
  <c r="EC64" i="3" s="1"/>
  <c r="ED64" i="3" s="1"/>
  <c r="EE64" i="3" s="1"/>
  <c r="EF64" i="3" s="1"/>
  <c r="EG64" i="3" s="1"/>
  <c r="EH64" i="3" s="1"/>
  <c r="DF56" i="3"/>
  <c r="DG56" i="3" s="1"/>
  <c r="DH56" i="3" s="1"/>
  <c r="DI56" i="3" s="1"/>
  <c r="DJ56" i="3" s="1"/>
  <c r="DK56" i="3" s="1"/>
  <c r="DL56" i="3" s="1"/>
  <c r="DM56" i="3" s="1"/>
  <c r="DN56" i="3" s="1"/>
  <c r="DO56" i="3" s="1"/>
  <c r="DP56" i="3" s="1"/>
  <c r="DQ56" i="3" s="1"/>
  <c r="DR56" i="3" s="1"/>
  <c r="DS56" i="3" s="1"/>
  <c r="DT56" i="3" s="1"/>
  <c r="DU56" i="3" s="1"/>
  <c r="DV56" i="3" s="1"/>
  <c r="DW56" i="3" s="1"/>
  <c r="DX56" i="3" s="1"/>
  <c r="DY56" i="3" s="1"/>
  <c r="DZ56" i="3" s="1"/>
  <c r="EA56" i="3" s="1"/>
  <c r="EB56" i="3" s="1"/>
  <c r="EC56" i="3" s="1"/>
  <c r="ED56" i="3" s="1"/>
  <c r="EE56" i="3" s="1"/>
  <c r="EF56" i="3" s="1"/>
  <c r="EG56" i="3" s="1"/>
  <c r="EH56" i="3" s="1"/>
  <c r="DF39" i="3"/>
  <c r="DG39" i="3" s="1"/>
  <c r="DH39" i="3" s="1"/>
  <c r="DI39" i="3" s="1"/>
  <c r="DJ39" i="3" s="1"/>
  <c r="DK39" i="3" s="1"/>
  <c r="DL39" i="3" s="1"/>
  <c r="DM39" i="3" s="1"/>
  <c r="DN39" i="3" s="1"/>
  <c r="DO39" i="3" s="1"/>
  <c r="DP39" i="3" s="1"/>
  <c r="DQ39" i="3" s="1"/>
  <c r="DR39" i="3" s="1"/>
  <c r="DS39" i="3" s="1"/>
  <c r="DT39" i="3" s="1"/>
  <c r="DU39" i="3" s="1"/>
  <c r="DV39" i="3" s="1"/>
  <c r="DW39" i="3" s="1"/>
  <c r="DX39" i="3" s="1"/>
  <c r="DY39" i="3" s="1"/>
  <c r="DZ39" i="3" s="1"/>
  <c r="EA39" i="3" s="1"/>
  <c r="EB39" i="3" s="1"/>
  <c r="EC39" i="3" s="1"/>
  <c r="ED39" i="3" s="1"/>
  <c r="EE39" i="3" s="1"/>
  <c r="EF39" i="3" s="1"/>
  <c r="EG39" i="3" s="1"/>
  <c r="DF68" i="3"/>
  <c r="DG68" i="3" s="1"/>
  <c r="DH68" i="3" s="1"/>
  <c r="DI68" i="3" s="1"/>
  <c r="DJ68" i="3" s="1"/>
  <c r="DK68" i="3" s="1"/>
  <c r="DL68" i="3" s="1"/>
  <c r="DM68" i="3" s="1"/>
  <c r="DN68" i="3" s="1"/>
  <c r="DO68" i="3" s="1"/>
  <c r="DP68" i="3" s="1"/>
  <c r="DQ68" i="3" s="1"/>
  <c r="DR68" i="3" s="1"/>
  <c r="DS68" i="3" s="1"/>
  <c r="DT68" i="3" s="1"/>
  <c r="DU68" i="3" s="1"/>
  <c r="DV68" i="3" s="1"/>
  <c r="DW68" i="3" s="1"/>
  <c r="DX68" i="3" s="1"/>
  <c r="DY68" i="3" s="1"/>
  <c r="DZ68" i="3" s="1"/>
  <c r="EA68" i="3" s="1"/>
  <c r="EB68" i="3" s="1"/>
  <c r="EC68" i="3" s="1"/>
  <c r="ED68" i="3" s="1"/>
  <c r="EE68" i="3" s="1"/>
  <c r="EF68" i="3" s="1"/>
  <c r="EG68" i="3" s="1"/>
  <c r="EH68" i="3" s="1"/>
  <c r="DF52" i="3"/>
  <c r="DG52" i="3" s="1"/>
  <c r="DH52" i="3" s="1"/>
  <c r="DI52" i="3" s="1"/>
  <c r="DJ52" i="3" s="1"/>
  <c r="DK52" i="3" s="1"/>
  <c r="DL52" i="3" s="1"/>
  <c r="DM52" i="3" s="1"/>
  <c r="DN52" i="3" s="1"/>
  <c r="DO52" i="3" s="1"/>
  <c r="DP52" i="3" s="1"/>
  <c r="DQ52" i="3" s="1"/>
  <c r="DR52" i="3" s="1"/>
  <c r="DS52" i="3" s="1"/>
  <c r="DT52" i="3" s="1"/>
  <c r="DU52" i="3" s="1"/>
  <c r="DV52" i="3" s="1"/>
  <c r="DW52" i="3" s="1"/>
  <c r="DX52" i="3" s="1"/>
  <c r="DY52" i="3" s="1"/>
  <c r="DZ52" i="3" s="1"/>
  <c r="EA52" i="3" s="1"/>
  <c r="EB52" i="3" s="1"/>
  <c r="EC52" i="3" s="1"/>
  <c r="ED52" i="3" s="1"/>
  <c r="EE52" i="3" s="1"/>
  <c r="EF52" i="3" s="1"/>
  <c r="EG52" i="3" s="1"/>
  <c r="EH52" i="3" s="1"/>
  <c r="DF57" i="3"/>
  <c r="DG57" i="3" s="1"/>
  <c r="DH57" i="3" s="1"/>
  <c r="DI57" i="3" s="1"/>
  <c r="DJ57" i="3" s="1"/>
  <c r="DK57" i="3" s="1"/>
  <c r="DL57" i="3" s="1"/>
  <c r="DM57" i="3" s="1"/>
  <c r="DN57" i="3" s="1"/>
  <c r="DO57" i="3" s="1"/>
  <c r="DP57" i="3" s="1"/>
  <c r="DQ57" i="3" s="1"/>
  <c r="DR57" i="3" s="1"/>
  <c r="DS57" i="3" s="1"/>
  <c r="DT57" i="3" s="1"/>
  <c r="DU57" i="3" s="1"/>
  <c r="DV57" i="3" s="1"/>
  <c r="DW57" i="3" s="1"/>
  <c r="DX57" i="3" s="1"/>
  <c r="DY57" i="3" s="1"/>
  <c r="DZ57" i="3" s="1"/>
  <c r="EA57" i="3" s="1"/>
  <c r="EB57" i="3" s="1"/>
  <c r="EC57" i="3" s="1"/>
  <c r="ED57" i="3" s="1"/>
  <c r="EE57" i="3" s="1"/>
  <c r="EF57" i="3" s="1"/>
  <c r="EG57" i="3" s="1"/>
  <c r="EH57" i="3" s="1"/>
  <c r="DF66" i="3"/>
  <c r="DG66" i="3" s="1"/>
  <c r="DH66" i="3" s="1"/>
  <c r="DI66" i="3" s="1"/>
  <c r="DJ66" i="3" s="1"/>
  <c r="DK66" i="3" s="1"/>
  <c r="DL66" i="3" s="1"/>
  <c r="DM66" i="3" s="1"/>
  <c r="DN66" i="3" s="1"/>
  <c r="DO66" i="3" s="1"/>
  <c r="DP66" i="3" s="1"/>
  <c r="DQ66" i="3" s="1"/>
  <c r="DR66" i="3" s="1"/>
  <c r="DS66" i="3" s="1"/>
  <c r="DT66" i="3" s="1"/>
  <c r="DU66" i="3" s="1"/>
  <c r="DV66" i="3" s="1"/>
  <c r="DW66" i="3" s="1"/>
  <c r="DX66" i="3" s="1"/>
  <c r="DY66" i="3" s="1"/>
  <c r="DZ66" i="3" s="1"/>
  <c r="EA66" i="3" s="1"/>
  <c r="EB66" i="3" s="1"/>
  <c r="EC66" i="3" s="1"/>
  <c r="ED66" i="3" s="1"/>
  <c r="EE66" i="3" s="1"/>
  <c r="EF66" i="3" s="1"/>
  <c r="EG66" i="3" s="1"/>
  <c r="EH66" i="3" s="1"/>
  <c r="DF58" i="3"/>
  <c r="DG58" i="3" s="1"/>
  <c r="DH58" i="3" s="1"/>
  <c r="DI58" i="3" s="1"/>
  <c r="DJ58" i="3" s="1"/>
  <c r="DK58" i="3" s="1"/>
  <c r="DL58" i="3" s="1"/>
  <c r="DM58" i="3" s="1"/>
  <c r="DN58" i="3" s="1"/>
  <c r="DO58" i="3" s="1"/>
  <c r="DP58" i="3" s="1"/>
  <c r="DQ58" i="3" s="1"/>
  <c r="DR58" i="3" s="1"/>
  <c r="DS58" i="3" s="1"/>
  <c r="DT58" i="3" s="1"/>
  <c r="DU58" i="3" s="1"/>
  <c r="DV58" i="3" s="1"/>
  <c r="DW58" i="3" s="1"/>
  <c r="DX58" i="3" s="1"/>
  <c r="DY58" i="3" s="1"/>
  <c r="DZ58" i="3" s="1"/>
  <c r="EA58" i="3" s="1"/>
  <c r="EB58" i="3" s="1"/>
  <c r="EC58" i="3" s="1"/>
  <c r="ED58" i="3" s="1"/>
  <c r="EE58" i="3" s="1"/>
  <c r="EF58" i="3" s="1"/>
  <c r="EG58" i="3" s="1"/>
  <c r="EH58" i="3" s="1"/>
  <c r="DF41" i="3"/>
  <c r="DG41" i="3" s="1"/>
  <c r="DH41" i="3" s="1"/>
  <c r="DI41" i="3" s="1"/>
  <c r="DJ41" i="3" s="1"/>
  <c r="DK41" i="3" s="1"/>
  <c r="DL41" i="3" s="1"/>
  <c r="DM41" i="3" s="1"/>
  <c r="DN41" i="3" s="1"/>
  <c r="DO41" i="3" s="1"/>
  <c r="DP41" i="3" s="1"/>
  <c r="DQ41" i="3" s="1"/>
  <c r="DR41" i="3" s="1"/>
  <c r="DS41" i="3" s="1"/>
  <c r="DT41" i="3" s="1"/>
  <c r="DU41" i="3" s="1"/>
  <c r="DV41" i="3" s="1"/>
  <c r="DW41" i="3" s="1"/>
  <c r="DX41" i="3" s="1"/>
  <c r="DY41" i="3" s="1"/>
  <c r="DZ41" i="3" s="1"/>
  <c r="EA41" i="3" s="1"/>
  <c r="EB41" i="3" s="1"/>
  <c r="EC41" i="3" s="1"/>
  <c r="ED41" i="3" s="1"/>
  <c r="EE41" i="3" s="1"/>
  <c r="EF41" i="3" s="1"/>
  <c r="EG41" i="3" s="1"/>
  <c r="EH41" i="3" s="1"/>
  <c r="DE48" i="3"/>
  <c r="DF48" i="3" s="1"/>
  <c r="DG48" i="3" s="1"/>
  <c r="DH48" i="3" s="1"/>
  <c r="DI48" i="3" s="1"/>
  <c r="DJ48" i="3" s="1"/>
  <c r="DK48" i="3" s="1"/>
  <c r="DL48" i="3" s="1"/>
  <c r="DM48" i="3" s="1"/>
  <c r="DN48" i="3" s="1"/>
  <c r="DO48" i="3" s="1"/>
  <c r="DP48" i="3" s="1"/>
  <c r="DQ48" i="3" s="1"/>
  <c r="DR48" i="3" s="1"/>
  <c r="DS48" i="3" s="1"/>
  <c r="DT48" i="3" s="1"/>
  <c r="DU48" i="3" s="1"/>
  <c r="DV48" i="3" s="1"/>
  <c r="DW48" i="3" s="1"/>
  <c r="DX48" i="3" s="1"/>
  <c r="DY48" i="3" s="1"/>
  <c r="DZ48" i="3" s="1"/>
  <c r="EA48" i="3" s="1"/>
  <c r="EB48" i="3" s="1"/>
  <c r="EC48" i="3" s="1"/>
  <c r="ED48" i="3" s="1"/>
  <c r="EE48" i="3" s="1"/>
  <c r="EF48" i="3" s="1"/>
  <c r="EG48" i="3" s="1"/>
  <c r="EH48" i="3" s="1"/>
  <c r="DF65" i="3"/>
  <c r="DG65" i="3" s="1"/>
  <c r="DH65" i="3" s="1"/>
  <c r="DI65" i="3" s="1"/>
  <c r="DJ65" i="3" s="1"/>
  <c r="DK65" i="3" s="1"/>
  <c r="DL65" i="3" s="1"/>
  <c r="DM65" i="3" s="1"/>
  <c r="DN65" i="3" s="1"/>
  <c r="DO65" i="3" s="1"/>
  <c r="DP65" i="3" s="1"/>
  <c r="DQ65" i="3" s="1"/>
  <c r="DR65" i="3" s="1"/>
  <c r="DS65" i="3" s="1"/>
  <c r="DT65" i="3" s="1"/>
  <c r="DU65" i="3" s="1"/>
  <c r="DV65" i="3" s="1"/>
  <c r="DW65" i="3" s="1"/>
  <c r="DX65" i="3" s="1"/>
  <c r="DY65" i="3" s="1"/>
  <c r="DZ65" i="3" s="1"/>
  <c r="EA65" i="3" s="1"/>
  <c r="EB65" i="3" s="1"/>
  <c r="EC65" i="3" s="1"/>
  <c r="ED65" i="3" s="1"/>
  <c r="EE65" i="3" s="1"/>
  <c r="EF65" i="3" s="1"/>
  <c r="EG65" i="3" s="1"/>
  <c r="EH65" i="3" s="1"/>
  <c r="DF45" i="3"/>
  <c r="DG45" i="3" s="1"/>
  <c r="DH45" i="3" s="1"/>
  <c r="DI45" i="3" s="1"/>
  <c r="DJ45" i="3" s="1"/>
  <c r="DK45" i="3" s="1"/>
  <c r="DL45" i="3" s="1"/>
  <c r="DM45" i="3" s="1"/>
  <c r="DN45" i="3" s="1"/>
  <c r="DO45" i="3" s="1"/>
  <c r="DP45" i="3" s="1"/>
  <c r="DQ45" i="3" s="1"/>
  <c r="DR45" i="3" s="1"/>
  <c r="DS45" i="3" s="1"/>
  <c r="DT45" i="3" s="1"/>
  <c r="DU45" i="3" s="1"/>
  <c r="DV45" i="3" s="1"/>
  <c r="DW45" i="3" s="1"/>
  <c r="DX45" i="3" s="1"/>
  <c r="DY45" i="3" s="1"/>
  <c r="DZ45" i="3" s="1"/>
  <c r="EA45" i="3" s="1"/>
  <c r="EB45" i="3" s="1"/>
  <c r="EC45" i="3" s="1"/>
  <c r="ED45" i="3" s="1"/>
  <c r="EE45" i="3" s="1"/>
  <c r="EF45" i="3" s="1"/>
  <c r="EG45" i="3" s="1"/>
  <c r="EH45" i="3" s="1"/>
  <c r="DF67" i="3"/>
  <c r="DG67" i="3" s="1"/>
  <c r="DH67" i="3" s="1"/>
  <c r="DI67" i="3" s="1"/>
  <c r="DJ67" i="3" s="1"/>
  <c r="DK67" i="3" s="1"/>
  <c r="DL67" i="3" s="1"/>
  <c r="DM67" i="3" s="1"/>
  <c r="DN67" i="3" s="1"/>
  <c r="DO67" i="3" s="1"/>
  <c r="DP67" i="3" s="1"/>
  <c r="DQ67" i="3" s="1"/>
  <c r="DR67" i="3" s="1"/>
  <c r="DS67" i="3" s="1"/>
  <c r="DT67" i="3" s="1"/>
  <c r="DU67" i="3" s="1"/>
  <c r="DV67" i="3" s="1"/>
  <c r="DW67" i="3" s="1"/>
  <c r="DX67" i="3" s="1"/>
  <c r="DY67" i="3" s="1"/>
  <c r="DZ67" i="3" s="1"/>
  <c r="EA67" i="3" s="1"/>
  <c r="EB67" i="3" s="1"/>
  <c r="EC67" i="3" s="1"/>
  <c r="ED67" i="3" s="1"/>
  <c r="EE67" i="3" s="1"/>
  <c r="EF67" i="3" s="1"/>
  <c r="EG67" i="3" s="1"/>
  <c r="EH67" i="3" s="1"/>
  <c r="EH102" i="3"/>
  <c r="DD102" i="3"/>
  <c r="DD101" i="3" s="1"/>
  <c r="DD100" i="3" s="1"/>
  <c r="DD99" i="3" s="1"/>
  <c r="DD98" i="3" s="1"/>
  <c r="DD97" i="3" s="1"/>
  <c r="DD96" i="3" s="1"/>
  <c r="DD95" i="3" s="1"/>
  <c r="DD94" i="3" s="1"/>
  <c r="DD93" i="3" s="1"/>
  <c r="DD92" i="3" s="1"/>
  <c r="DD91" i="3" s="1"/>
  <c r="DD90" i="3" s="1"/>
  <c r="DD89" i="3" s="1"/>
  <c r="DD88" i="3" s="1"/>
  <c r="DD87" i="3" s="1"/>
  <c r="DD86" i="3" s="1"/>
  <c r="DD85" i="3" s="1"/>
  <c r="DD84" i="3" s="1"/>
  <c r="DD83" i="3" s="1"/>
  <c r="DD82" i="3" s="1"/>
  <c r="DD81" i="3" s="1"/>
  <c r="DD80" i="3" s="1"/>
  <c r="DD79" i="3" s="1"/>
  <c r="DD78" i="3" s="1"/>
  <c r="DD77" i="3" s="1"/>
  <c r="DD76" i="3" s="1"/>
  <c r="DD75" i="3" s="1"/>
  <c r="DD74" i="3" s="1"/>
  <c r="EH101" i="3"/>
  <c r="EH100" i="3" s="1"/>
  <c r="EH99" i="3" s="1"/>
  <c r="EH98" i="3" s="1"/>
  <c r="EH97" i="3" s="1"/>
  <c r="EH96" i="3" s="1"/>
  <c r="EH95" i="3" s="1"/>
  <c r="EH94" i="3" s="1"/>
  <c r="EH93" i="3" s="1"/>
  <c r="EH92" i="3" s="1"/>
  <c r="EH91" i="3" s="1"/>
  <c r="EH90" i="3" s="1"/>
  <c r="EH89" i="3" s="1"/>
  <c r="EH88" i="3" s="1"/>
  <c r="EH87" i="3" s="1"/>
  <c r="EH86" i="3" s="1"/>
  <c r="EH85" i="3" s="1"/>
  <c r="EH84" i="3" s="1"/>
  <c r="EH83" i="3" s="1"/>
  <c r="EH82" i="3" s="1"/>
  <c r="EH81" i="3" s="1"/>
  <c r="EH80" i="3" s="1"/>
  <c r="EH79" i="3" s="1"/>
  <c r="EH78" i="3" s="1"/>
  <c r="EH77" i="3" s="1"/>
  <c r="EH76" i="3" s="1"/>
  <c r="EH75" i="3" s="1"/>
  <c r="EH74" i="3" s="1"/>
  <c r="CT45" i="3"/>
  <c r="CU45" i="3" s="1"/>
  <c r="CV45" i="3" s="1"/>
  <c r="CW45" i="3" s="1"/>
  <c r="CX45" i="3" s="1"/>
  <c r="CX49" i="3"/>
  <c r="CY44" i="3"/>
  <c r="CV68" i="3"/>
  <c r="CW68" i="3" s="1"/>
  <c r="CX68" i="3" s="1"/>
  <c r="CY68" i="3" s="1"/>
  <c r="CY52" i="3"/>
  <c r="CS67" i="3"/>
  <c r="CT67" i="3" s="1"/>
  <c r="CU67" i="3" s="1"/>
  <c r="CV67" i="3" s="1"/>
  <c r="CW67" i="3" s="1"/>
  <c r="CX67" i="3" s="1"/>
  <c r="CY67" i="3" s="1"/>
  <c r="CU57" i="3"/>
  <c r="CV57" i="3" s="1"/>
  <c r="CW57" i="3" s="1"/>
  <c r="CJ64" i="3"/>
  <c r="CK64" i="3" s="1"/>
  <c r="CL64" i="3" s="1"/>
  <c r="CM64" i="3" s="1"/>
  <c r="CN64" i="3" s="1"/>
  <c r="CO64" i="3" s="1"/>
  <c r="CP64" i="3" s="1"/>
  <c r="CQ64" i="3" s="1"/>
  <c r="CX66" i="3"/>
  <c r="CY61" i="3"/>
  <c r="CO54" i="3"/>
  <c r="CP54" i="3" s="1"/>
  <c r="CQ54" i="3" s="1"/>
  <c r="CR54" i="3" s="1"/>
  <c r="CS54" i="3" s="1"/>
  <c r="CT54" i="3" s="1"/>
  <c r="CU54" i="3" s="1"/>
  <c r="CV54" i="3" s="1"/>
  <c r="CY69" i="3"/>
  <c r="CO63" i="3"/>
  <c r="CP63" i="3" s="1"/>
  <c r="CQ63" i="3" s="1"/>
  <c r="CR63" i="3" s="1"/>
  <c r="CS63" i="3" s="1"/>
  <c r="CT63" i="3" s="1"/>
  <c r="CU63" i="3" s="1"/>
  <c r="CV63" i="3" s="1"/>
  <c r="CW63" i="3" s="1"/>
  <c r="CX63" i="3" s="1"/>
  <c r="CY63" i="3" s="1"/>
  <c r="CW59" i="3"/>
  <c r="CX59" i="3" s="1"/>
  <c r="CO46" i="3"/>
  <c r="CP46" i="3" s="1"/>
  <c r="CQ46" i="3" s="1"/>
  <c r="CR46" i="3" s="1"/>
  <c r="CS46" i="3" s="1"/>
  <c r="CT46" i="3" s="1"/>
  <c r="CU46" i="3" s="1"/>
  <c r="CV46" i="3" s="1"/>
  <c r="CX41" i="3"/>
  <c r="CU65" i="3"/>
  <c r="CV65" i="3" s="1"/>
  <c r="CW65" i="3" s="1"/>
  <c r="CX65" i="3" s="1"/>
  <c r="CY53" i="3"/>
  <c r="CY60" i="3"/>
  <c r="CF58" i="3"/>
  <c r="CG58" i="3" s="1"/>
  <c r="CH58" i="3" s="1"/>
  <c r="CI58" i="3" s="1"/>
  <c r="CJ58" i="3" s="1"/>
  <c r="CK58" i="3" s="1"/>
  <c r="CL58" i="3" s="1"/>
  <c r="CM58" i="3" s="1"/>
  <c r="CN58" i="3" s="1"/>
  <c r="CO58" i="3" s="1"/>
  <c r="CP58" i="3" s="1"/>
  <c r="CQ58" i="3" s="1"/>
  <c r="CR58" i="3" s="1"/>
  <c r="CS58" i="3" s="1"/>
  <c r="CT58" i="3" s="1"/>
  <c r="CU58" i="3" s="1"/>
  <c r="CM48" i="3"/>
  <c r="CN48" i="3" s="1"/>
  <c r="CO48" i="3" s="1"/>
  <c r="CP48" i="3" s="1"/>
  <c r="CQ48" i="3" s="1"/>
  <c r="CR48" i="3" s="1"/>
  <c r="CS48" i="3" s="1"/>
  <c r="CT48" i="3" s="1"/>
  <c r="CN51" i="3"/>
  <c r="CO51" i="3" s="1"/>
  <c r="CP51" i="3" s="1"/>
  <c r="CQ51" i="3" s="1"/>
  <c r="CR51" i="3" s="1"/>
  <c r="CS51" i="3" s="1"/>
  <c r="CT51" i="3" s="1"/>
  <c r="CU51" i="3" s="1"/>
  <c r="CS50" i="3"/>
  <c r="CT50" i="3" s="1"/>
  <c r="CU50" i="3" s="1"/>
  <c r="CV50" i="3" s="1"/>
  <c r="CW50" i="3" s="1"/>
  <c r="CX50" i="3" s="1"/>
  <c r="CY50" i="3" s="1"/>
  <c r="CF43" i="3"/>
  <c r="CG43" i="3" s="1"/>
  <c r="CH43" i="3" s="1"/>
  <c r="CI43" i="3" s="1"/>
  <c r="CJ43" i="3" s="1"/>
  <c r="CK43" i="3" s="1"/>
  <c r="CL43" i="3" s="1"/>
  <c r="CM43" i="3" s="1"/>
  <c r="CY39" i="3"/>
  <c r="AJ25" i="1"/>
  <c r="AF21" i="5" l="1"/>
  <c r="AE22" i="5"/>
  <c r="EH39" i="3"/>
  <c r="AJ39" i="3"/>
  <c r="BQ74" i="3" s="1"/>
  <c r="BP187" i="4"/>
  <c r="EQ187" i="4" s="1"/>
  <c r="V113" i="4"/>
  <c r="U113" i="4" s="1"/>
  <c r="BH177" i="4" s="1"/>
  <c r="DX190" i="4"/>
  <c r="AA184" i="4"/>
  <c r="EO184" i="4" s="1"/>
  <c r="EG181" i="4"/>
  <c r="AB123" i="4"/>
  <c r="AA123" i="4" s="1"/>
  <c r="X118" i="4"/>
  <c r="W118" i="4" s="1"/>
  <c r="V94" i="4"/>
  <c r="BI158" i="4" s="1"/>
  <c r="BM184" i="4"/>
  <c r="BO186" i="4"/>
  <c r="EP140" i="4"/>
  <c r="EP141" i="4" s="1"/>
  <c r="EP142" i="4" s="1"/>
  <c r="V99" i="4"/>
  <c r="BI163" i="4" s="1"/>
  <c r="V87" i="4"/>
  <c r="BI151" i="4" s="1"/>
  <c r="BK180" i="4"/>
  <c r="BN185" i="4"/>
  <c r="X117" i="4"/>
  <c r="Y180" i="4" s="1"/>
  <c r="EM180" i="4" s="1"/>
  <c r="EM181" i="4" s="1"/>
  <c r="EM182" i="4" s="1"/>
  <c r="EN183" i="4"/>
  <c r="AG188" i="4"/>
  <c r="EU188" i="4" s="1"/>
  <c r="BT189" i="4"/>
  <c r="AG127" i="4"/>
  <c r="AF127" i="4" s="1"/>
  <c r="V88" i="4"/>
  <c r="BI152" i="4" s="1"/>
  <c r="V112" i="4"/>
  <c r="BI176" i="4" s="1"/>
  <c r="V100" i="4"/>
  <c r="BI164" i="4" s="1"/>
  <c r="V103" i="4"/>
  <c r="BI167" i="4" s="1"/>
  <c r="V96" i="4"/>
  <c r="BI160" i="4" s="1"/>
  <c r="V92" i="4"/>
  <c r="BI156" i="4" s="1"/>
  <c r="V93" i="4"/>
  <c r="BI157" i="4" s="1"/>
  <c r="AB185" i="4"/>
  <c r="EP185" i="4" s="1"/>
  <c r="W115" i="4"/>
  <c r="BJ179" i="4" s="1"/>
  <c r="Y119" i="4"/>
  <c r="V90" i="4"/>
  <c r="BI154" i="4" s="1"/>
  <c r="EH178" i="4"/>
  <c r="EH179" i="4" s="1"/>
  <c r="V102" i="4"/>
  <c r="BI166" i="4" s="1"/>
  <c r="V104" i="4"/>
  <c r="BI168" i="4" s="1"/>
  <c r="V89" i="4"/>
  <c r="BI153" i="4" s="1"/>
  <c r="EL178" i="4"/>
  <c r="EL179" i="4" s="1"/>
  <c r="V95" i="4"/>
  <c r="BI159" i="4" s="1"/>
  <c r="V110" i="4"/>
  <c r="BI174" i="4" s="1"/>
  <c r="ED140" i="4"/>
  <c r="ED141" i="4" s="1"/>
  <c r="ED142" i="4" s="1"/>
  <c r="EF183" i="4"/>
  <c r="BR188" i="4"/>
  <c r="AE187" i="4"/>
  <c r="ES187" i="4" s="1"/>
  <c r="AD124" i="4"/>
  <c r="AG126" i="4"/>
  <c r="EV190" i="4"/>
  <c r="EV191" i="4" s="1"/>
  <c r="AH192" i="4" s="1"/>
  <c r="AH191" i="4" s="1"/>
  <c r="AH190" i="4" s="1"/>
  <c r="AI192" i="4"/>
  <c r="EW192" i="4"/>
  <c r="I192" i="4"/>
  <c r="DW192" i="4"/>
  <c r="EW128" i="4"/>
  <c r="AH128" i="4"/>
  <c r="V97" i="4"/>
  <c r="BI161" i="4" s="1"/>
  <c r="V106" i="4"/>
  <c r="BI170" i="4" s="1"/>
  <c r="X120" i="4"/>
  <c r="BL184" i="4"/>
  <c r="BJ180" i="4"/>
  <c r="V116" i="4"/>
  <c r="BN186" i="4"/>
  <c r="Z122" i="4"/>
  <c r="AE125" i="4"/>
  <c r="BS189" i="4"/>
  <c r="AF188" i="4"/>
  <c r="ET188" i="4" s="1"/>
  <c r="BM185" i="4"/>
  <c r="Y121" i="4"/>
  <c r="V108" i="4"/>
  <c r="BI172" i="4" s="1"/>
  <c r="V109" i="4"/>
  <c r="BI173" i="4" s="1"/>
  <c r="W114" i="4"/>
  <c r="V107" i="4"/>
  <c r="BI171" i="4" s="1"/>
  <c r="V86" i="4"/>
  <c r="BI150" i="4" s="1"/>
  <c r="V98" i="4"/>
  <c r="BI162" i="4" s="1"/>
  <c r="V111" i="4"/>
  <c r="BI175" i="4" s="1"/>
  <c r="V101" i="4"/>
  <c r="BI165" i="4" s="1"/>
  <c r="V105" i="4"/>
  <c r="BI169" i="4" s="1"/>
  <c r="V91" i="4"/>
  <c r="BI155" i="4" s="1"/>
  <c r="V85" i="4"/>
  <c r="BI149" i="4" s="1"/>
  <c r="V84" i="4"/>
  <c r="BJ148" i="4"/>
  <c r="W83" i="4"/>
  <c r="W82" i="4"/>
  <c r="BK146" i="4"/>
  <c r="X81" i="4"/>
  <c r="Y146" i="4"/>
  <c r="BL145" i="4"/>
  <c r="BM144" i="4"/>
  <c r="Z145" i="4"/>
  <c r="Y80" i="4"/>
  <c r="Z79" i="4"/>
  <c r="AA76" i="4"/>
  <c r="AA77" i="4"/>
  <c r="Z78" i="4"/>
  <c r="BN142" i="4"/>
  <c r="AA75" i="4"/>
  <c r="AJ60" i="3"/>
  <c r="BQ95" i="3" s="1"/>
  <c r="AJ61" i="3"/>
  <c r="BQ96" i="3" s="1"/>
  <c r="AJ50" i="3"/>
  <c r="BQ85" i="3" s="1"/>
  <c r="AJ40" i="3"/>
  <c r="AJ68" i="3"/>
  <c r="BQ103" i="3" s="1"/>
  <c r="EG103" i="3" s="1"/>
  <c r="AJ67" i="3"/>
  <c r="BQ102" i="3" s="1"/>
  <c r="AJ52" i="3"/>
  <c r="BQ87" i="3" s="1"/>
  <c r="AJ69" i="3"/>
  <c r="BQ104" i="3" s="1"/>
  <c r="AJ53" i="3"/>
  <c r="AJ42" i="3"/>
  <c r="AI42" i="3" s="1"/>
  <c r="BP77" i="3" s="1"/>
  <c r="AJ63" i="3"/>
  <c r="BQ98" i="3" s="1"/>
  <c r="AJ56" i="3"/>
  <c r="AJ47" i="3"/>
  <c r="BQ82" i="3" s="1"/>
  <c r="AJ55" i="3"/>
  <c r="AI55" i="3" s="1"/>
  <c r="BP90" i="3" s="1"/>
  <c r="AJ62" i="3"/>
  <c r="AJ44" i="3"/>
  <c r="CY49" i="3"/>
  <c r="AJ49" i="3" s="1"/>
  <c r="BQ84" i="3" s="1"/>
  <c r="CY41" i="3"/>
  <c r="AJ41" i="3" s="1"/>
  <c r="BQ76" i="3" s="1"/>
  <c r="CV51" i="3"/>
  <c r="CW51" i="3" s="1"/>
  <c r="CX51" i="3" s="1"/>
  <c r="CY66" i="3"/>
  <c r="AJ66" i="3" s="1"/>
  <c r="BQ101" i="3" s="1"/>
  <c r="CN43" i="3"/>
  <c r="CO43" i="3" s="1"/>
  <c r="CP43" i="3" s="1"/>
  <c r="CQ43" i="3" s="1"/>
  <c r="CR43" i="3" s="1"/>
  <c r="CS43" i="3" s="1"/>
  <c r="CT43" i="3" s="1"/>
  <c r="CU43" i="3" s="1"/>
  <c r="CY45" i="3"/>
  <c r="AJ45" i="3" s="1"/>
  <c r="BQ80" i="3" s="1"/>
  <c r="CU48" i="3"/>
  <c r="CV48" i="3" s="1"/>
  <c r="CW48" i="3" s="1"/>
  <c r="CX48" i="3" s="1"/>
  <c r="CY48" i="3" s="1"/>
  <c r="AJ48" i="3" s="1"/>
  <c r="BQ83" i="3" s="1"/>
  <c r="CW46" i="3"/>
  <c r="CX46" i="3" s="1"/>
  <c r="CY46" i="3" s="1"/>
  <c r="AJ46" i="3" s="1"/>
  <c r="BQ81" i="3" s="1"/>
  <c r="CR64" i="3"/>
  <c r="CS64" i="3" s="1"/>
  <c r="CT64" i="3" s="1"/>
  <c r="CU64" i="3" s="1"/>
  <c r="CV64" i="3" s="1"/>
  <c r="CW64" i="3" s="1"/>
  <c r="CX64" i="3" s="1"/>
  <c r="CY64" i="3" s="1"/>
  <c r="AJ64" i="3" s="1"/>
  <c r="BQ99" i="3" s="1"/>
  <c r="CV58" i="3"/>
  <c r="CW58" i="3" s="1"/>
  <c r="CY65" i="3"/>
  <c r="AJ65" i="3" s="1"/>
  <c r="BQ100" i="3" s="1"/>
  <c r="CY59" i="3"/>
  <c r="AJ59" i="3" s="1"/>
  <c r="BQ94" i="3" s="1"/>
  <c r="CW54" i="3"/>
  <c r="CX54" i="3" s="1"/>
  <c r="CY54" i="3" s="1"/>
  <c r="AJ54" i="3" s="1"/>
  <c r="BQ89" i="3" s="1"/>
  <c r="CX57" i="3"/>
  <c r="G15" i="2"/>
  <c r="AG21" i="5" l="1"/>
  <c r="AH21" i="5" s="1"/>
  <c r="AF22" i="5"/>
  <c r="BI177" i="4"/>
  <c r="BK182" i="4"/>
  <c r="EO185" i="4"/>
  <c r="EO186" i="4" s="1"/>
  <c r="EN184" i="4"/>
  <c r="EN185" i="4" s="1"/>
  <c r="BO187" i="4"/>
  <c r="BT191" i="4"/>
  <c r="EP186" i="4"/>
  <c r="BK181" i="4"/>
  <c r="W117" i="4"/>
  <c r="V117" i="4" s="1"/>
  <c r="EL180" i="4"/>
  <c r="EU189" i="4"/>
  <c r="AB141" i="4"/>
  <c r="AB140" i="4" s="1"/>
  <c r="AB139" i="4" s="1"/>
  <c r="P141" i="4"/>
  <c r="P140" i="4" s="1"/>
  <c r="P139" i="4" s="1"/>
  <c r="V115" i="4"/>
  <c r="U115" i="4" s="1"/>
  <c r="BH179" i="4" s="1"/>
  <c r="BL183" i="4"/>
  <c r="EM183" i="4" s="1"/>
  <c r="EM184" i="4" s="1"/>
  <c r="X119" i="4"/>
  <c r="AC124" i="4"/>
  <c r="AD187" i="4"/>
  <c r="ER187" i="4" s="1"/>
  <c r="BQ188" i="4"/>
  <c r="ES188" i="4"/>
  <c r="AF126" i="4"/>
  <c r="BT190" i="4"/>
  <c r="BU192" i="4"/>
  <c r="EV192" i="4" s="1"/>
  <c r="AG128" i="4"/>
  <c r="X121" i="4"/>
  <c r="BL185" i="4"/>
  <c r="BI180" i="4"/>
  <c r="U116" i="4"/>
  <c r="BJ178" i="4"/>
  <c r="V114" i="4"/>
  <c r="Z123" i="4"/>
  <c r="BN187" i="4"/>
  <c r="BJ182" i="4"/>
  <c r="V118" i="4"/>
  <c r="Y122" i="4"/>
  <c r="BM186" i="4"/>
  <c r="AD125" i="4"/>
  <c r="BR189" i="4"/>
  <c r="W120" i="4"/>
  <c r="BK184" i="4"/>
  <c r="ET189" i="4"/>
  <c r="AE127" i="4"/>
  <c r="BS191" i="4"/>
  <c r="V83" i="4"/>
  <c r="BJ147" i="4"/>
  <c r="U84" i="4"/>
  <c r="BH148" i="4" s="1"/>
  <c r="BI148" i="4"/>
  <c r="V82" i="4"/>
  <c r="BJ146" i="4"/>
  <c r="W81" i="4"/>
  <c r="BK145" i="4"/>
  <c r="Y79" i="4"/>
  <c r="BM143" i="4"/>
  <c r="X80" i="4"/>
  <c r="BL144" i="4"/>
  <c r="Y78" i="4"/>
  <c r="BM142" i="4"/>
  <c r="Z77" i="4"/>
  <c r="BN141" i="4"/>
  <c r="Z76" i="4"/>
  <c r="BN140" i="4"/>
  <c r="Z75" i="4"/>
  <c r="BN139" i="4"/>
  <c r="EO139" i="4" s="1"/>
  <c r="AI60" i="3"/>
  <c r="BP95" i="3" s="1"/>
  <c r="AI61" i="3"/>
  <c r="BP96" i="3" s="1"/>
  <c r="AI68" i="3"/>
  <c r="BP103" i="3" s="1"/>
  <c r="EF103" i="3" s="1"/>
  <c r="BQ77" i="3"/>
  <c r="AI67" i="3"/>
  <c r="BP102" i="3" s="1"/>
  <c r="AI69" i="3"/>
  <c r="BP104" i="3" s="1"/>
  <c r="AI50" i="3"/>
  <c r="BP85" i="3" s="1"/>
  <c r="EG102" i="3"/>
  <c r="EG101" i="3" s="1"/>
  <c r="EG100" i="3" s="1"/>
  <c r="EG99" i="3" s="1"/>
  <c r="EG98" i="3" s="1"/>
  <c r="AI52" i="3"/>
  <c r="BP87" i="3" s="1"/>
  <c r="BQ75" i="3"/>
  <c r="AI40" i="3"/>
  <c r="AI45" i="3"/>
  <c r="BP80" i="3" s="1"/>
  <c r="AI39" i="3"/>
  <c r="BP74" i="3" s="1"/>
  <c r="BQ90" i="3"/>
  <c r="BQ88" i="3"/>
  <c r="AI53" i="3"/>
  <c r="AI47" i="3"/>
  <c r="AI63" i="3"/>
  <c r="BP98" i="3" s="1"/>
  <c r="AI49" i="3"/>
  <c r="BP84" i="3" s="1"/>
  <c r="BQ79" i="3"/>
  <c r="AI44" i="3"/>
  <c r="BQ97" i="3"/>
  <c r="AI62" i="3"/>
  <c r="AH55" i="3"/>
  <c r="BO90" i="3" s="1"/>
  <c r="BQ91" i="3"/>
  <c r="AI56" i="3"/>
  <c r="AH42" i="3"/>
  <c r="BO77" i="3" s="1"/>
  <c r="AI59" i="3"/>
  <c r="BP94" i="3" s="1"/>
  <c r="CY57" i="3"/>
  <c r="AJ57" i="3" s="1"/>
  <c r="BQ92" i="3" s="1"/>
  <c r="AI65" i="3"/>
  <c r="BP100" i="3" s="1"/>
  <c r="AI64" i="3"/>
  <c r="BP99" i="3" s="1"/>
  <c r="CY51" i="3"/>
  <c r="AJ51" i="3" s="1"/>
  <c r="BQ86" i="3" s="1"/>
  <c r="AI54" i="3"/>
  <c r="BP89" i="3" s="1"/>
  <c r="AI41" i="3"/>
  <c r="BP76" i="3" s="1"/>
  <c r="CX58" i="3"/>
  <c r="CY58" i="3" s="1"/>
  <c r="AJ58" i="3" s="1"/>
  <c r="BQ93" i="3" s="1"/>
  <c r="CV43" i="3"/>
  <c r="CW43" i="3" s="1"/>
  <c r="CX43" i="3" s="1"/>
  <c r="AI46" i="3"/>
  <c r="BP81" i="3" s="1"/>
  <c r="AI48" i="3"/>
  <c r="BP83" i="3" s="1"/>
  <c r="AI66" i="3"/>
  <c r="BP101" i="3" s="1"/>
  <c r="F22" i="1"/>
  <c r="G25" i="1" s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F16" i="1"/>
  <c r="N25" i="2"/>
  <c r="N24" i="2"/>
  <c r="I25" i="2"/>
  <c r="I24" i="2"/>
  <c r="H25" i="2"/>
  <c r="J25" i="2"/>
  <c r="H24" i="2"/>
  <c r="AG22" i="5" l="1"/>
  <c r="EP187" i="4"/>
  <c r="BJ181" i="4"/>
  <c r="EL181" i="4"/>
  <c r="EL182" i="4" s="1"/>
  <c r="EU190" i="4"/>
  <c r="EU191" i="4" s="1"/>
  <c r="AG192" i="4" s="1"/>
  <c r="AG191" i="4" s="1"/>
  <c r="AG190" i="4" s="1"/>
  <c r="AG189" i="4" s="1"/>
  <c r="EO187" i="4"/>
  <c r="BI179" i="4"/>
  <c r="EN186" i="4"/>
  <c r="BI181" i="4"/>
  <c r="U117" i="4"/>
  <c r="ES189" i="4"/>
  <c r="EM185" i="4"/>
  <c r="W119" i="4"/>
  <c r="BK183" i="4"/>
  <c r="EO140" i="4"/>
  <c r="EO141" i="4" s="1"/>
  <c r="EO142" i="4" s="1"/>
  <c r="EO143" i="4" s="1"/>
  <c r="AA143" i="4" s="1"/>
  <c r="AA142" i="4" s="1"/>
  <c r="AA141" i="4" s="1"/>
  <c r="AA140" i="4" s="1"/>
  <c r="AA139" i="4" s="1"/>
  <c r="ER188" i="4"/>
  <c r="AB124" i="4"/>
  <c r="BP188" i="4"/>
  <c r="EQ188" i="4" s="1"/>
  <c r="AE126" i="4"/>
  <c r="BS190" i="4"/>
  <c r="ET190" i="4" s="1"/>
  <c r="ET191" i="4" s="1"/>
  <c r="AF192" i="4" s="1"/>
  <c r="AF191" i="4" s="1"/>
  <c r="AF190" i="4" s="1"/>
  <c r="AF189" i="4" s="1"/>
  <c r="BT192" i="4"/>
  <c r="AF128" i="4"/>
  <c r="U118" i="4"/>
  <c r="BI182" i="4"/>
  <c r="T116" i="4"/>
  <c r="BG180" i="4" s="1"/>
  <c r="EH180" i="4" s="1"/>
  <c r="BH180" i="4"/>
  <c r="X122" i="4"/>
  <c r="BL186" i="4"/>
  <c r="V120" i="4"/>
  <c r="BJ184" i="4"/>
  <c r="Y123" i="4"/>
  <c r="BM187" i="4"/>
  <c r="AC125" i="4"/>
  <c r="BQ189" i="4"/>
  <c r="W121" i="4"/>
  <c r="BK185" i="4"/>
  <c r="AD127" i="4"/>
  <c r="BR191" i="4"/>
  <c r="BI178" i="4"/>
  <c r="U114" i="4"/>
  <c r="BH178" i="4" s="1"/>
  <c r="U83" i="4"/>
  <c r="BH147" i="4" s="1"/>
  <c r="BI147" i="4"/>
  <c r="U82" i="4"/>
  <c r="BI146" i="4"/>
  <c r="V81" i="4"/>
  <c r="BJ145" i="4"/>
  <c r="W80" i="4"/>
  <c r="BK144" i="4"/>
  <c r="X79" i="4"/>
  <c r="BL143" i="4"/>
  <c r="Y76" i="4"/>
  <c r="BM140" i="4"/>
  <c r="Y77" i="4"/>
  <c r="BM141" i="4"/>
  <c r="X78" i="4"/>
  <c r="BL142" i="4"/>
  <c r="Y75" i="4"/>
  <c r="BM139" i="4"/>
  <c r="EN139" i="4" s="1"/>
  <c r="AH60" i="3"/>
  <c r="BO95" i="3" s="1"/>
  <c r="AH61" i="3"/>
  <c r="BO96" i="3" s="1"/>
  <c r="AH69" i="3"/>
  <c r="BO104" i="3" s="1"/>
  <c r="AH67" i="3"/>
  <c r="BO102" i="3" s="1"/>
  <c r="AH68" i="3"/>
  <c r="BO103" i="3" s="1"/>
  <c r="EE103" i="3" s="1"/>
  <c r="EF102" i="3"/>
  <c r="EF101" i="3" s="1"/>
  <c r="EF100" i="3" s="1"/>
  <c r="EF99" i="3" s="1"/>
  <c r="EF98" i="3" s="1"/>
  <c r="AH52" i="3"/>
  <c r="BO87" i="3" s="1"/>
  <c r="AH50" i="3"/>
  <c r="BO85" i="3" s="1"/>
  <c r="AH45" i="3"/>
  <c r="BO80" i="3" s="1"/>
  <c r="AH49" i="3"/>
  <c r="BO84" i="3" s="1"/>
  <c r="EG97" i="3"/>
  <c r="EG96" i="3" s="1"/>
  <c r="EG95" i="3" s="1"/>
  <c r="EG94" i="3" s="1"/>
  <c r="EG93" i="3" s="1"/>
  <c r="EG92" i="3" s="1"/>
  <c r="EG91" i="3" s="1"/>
  <c r="EG90" i="3" s="1"/>
  <c r="EG89" i="3" s="1"/>
  <c r="EG88" i="3" s="1"/>
  <c r="EG87" i="3" s="1"/>
  <c r="EG86" i="3" s="1"/>
  <c r="EG85" i="3" s="1"/>
  <c r="EG84" i="3" s="1"/>
  <c r="EG83" i="3" s="1"/>
  <c r="EG82" i="3" s="1"/>
  <c r="EG81" i="3" s="1"/>
  <c r="EG80" i="3" s="1"/>
  <c r="EG79" i="3" s="1"/>
  <c r="BP75" i="3"/>
  <c r="AH40" i="3"/>
  <c r="AH39" i="3"/>
  <c r="BO74" i="3" s="1"/>
  <c r="AH63" i="3"/>
  <c r="BO98" i="3" s="1"/>
  <c r="BP82" i="3"/>
  <c r="AH47" i="3"/>
  <c r="BP88" i="3"/>
  <c r="AH53" i="3"/>
  <c r="BP79" i="3"/>
  <c r="AH44" i="3"/>
  <c r="BP97" i="3"/>
  <c r="AH62" i="3"/>
  <c r="AG55" i="3"/>
  <c r="BN90" i="3" s="1"/>
  <c r="BP91" i="3"/>
  <c r="AH56" i="3"/>
  <c r="AH59" i="3"/>
  <c r="BO94" i="3" s="1"/>
  <c r="AG42" i="3"/>
  <c r="BN77" i="3" s="1"/>
  <c r="CY43" i="3"/>
  <c r="AJ43" i="3" s="1"/>
  <c r="BQ78" i="3" s="1"/>
  <c r="AH65" i="3"/>
  <c r="BO100" i="3" s="1"/>
  <c r="AH54" i="3"/>
  <c r="BO89" i="3" s="1"/>
  <c r="AI57" i="3"/>
  <c r="BP92" i="3" s="1"/>
  <c r="AH66" i="3"/>
  <c r="BO101" i="3" s="1"/>
  <c r="AH41" i="3"/>
  <c r="BO76" i="3" s="1"/>
  <c r="AH48" i="3"/>
  <c r="BO83" i="3" s="1"/>
  <c r="AH46" i="3"/>
  <c r="BO81" i="3" s="1"/>
  <c r="AI58" i="3"/>
  <c r="BP93" i="3" s="1"/>
  <c r="AG69" i="3"/>
  <c r="BN104" i="3" s="1"/>
  <c r="AH64" i="3"/>
  <c r="BO99" i="3" s="1"/>
  <c r="AI51" i="3"/>
  <c r="BP86" i="3" s="1"/>
  <c r="G25" i="2"/>
  <c r="G24" i="2"/>
  <c r="AC25" i="2"/>
  <c r="U25" i="2"/>
  <c r="M25" i="2"/>
  <c r="C4" i="2"/>
  <c r="AI34" i="2" s="1"/>
  <c r="AI21" i="5" l="1"/>
  <c r="AH22" i="5"/>
  <c r="EU192" i="4"/>
  <c r="ER189" i="4"/>
  <c r="EL183" i="4"/>
  <c r="EL184" i="4" s="1"/>
  <c r="EL185" i="4" s="1"/>
  <c r="EN187" i="4"/>
  <c r="EM186" i="4"/>
  <c r="EN140" i="4"/>
  <c r="EN141" i="4" s="1"/>
  <c r="EN142" i="4" s="1"/>
  <c r="EN143" i="4" s="1"/>
  <c r="EN144" i="4" s="1"/>
  <c r="EN145" i="4" s="1"/>
  <c r="EO144" i="4"/>
  <c r="T117" i="4"/>
  <c r="BG181" i="4" s="1"/>
  <c r="EH181" i="4" s="1"/>
  <c r="BH181" i="4"/>
  <c r="V119" i="4"/>
  <c r="BJ183" i="4"/>
  <c r="AA124" i="4"/>
  <c r="BO188" i="4"/>
  <c r="EP188" i="4" s="1"/>
  <c r="AD126" i="4"/>
  <c r="BR190" i="4"/>
  <c r="ES190" i="4" s="1"/>
  <c r="ES191" i="4" s="1"/>
  <c r="AE192" i="4" s="1"/>
  <c r="AE191" i="4" s="1"/>
  <c r="AE190" i="4" s="1"/>
  <c r="AE189" i="4" s="1"/>
  <c r="AE188" i="4" s="1"/>
  <c r="BS192" i="4"/>
  <c r="ET192" i="4" s="1"/>
  <c r="AE128" i="4"/>
  <c r="AB125" i="4"/>
  <c r="BP189" i="4"/>
  <c r="EQ189" i="4" s="1"/>
  <c r="X123" i="4"/>
  <c r="BL187" i="4"/>
  <c r="BI184" i="4"/>
  <c r="U120" i="4"/>
  <c r="T118" i="4"/>
  <c r="BH182" i="4"/>
  <c r="W122" i="4"/>
  <c r="BK186" i="4"/>
  <c r="AC127" i="4"/>
  <c r="BQ191" i="4"/>
  <c r="V121" i="4"/>
  <c r="BJ185" i="4"/>
  <c r="T82" i="4"/>
  <c r="BG146" i="4" s="1"/>
  <c r="BH146" i="4"/>
  <c r="U81" i="4"/>
  <c r="BI145" i="4"/>
  <c r="W79" i="4"/>
  <c r="BK143" i="4"/>
  <c r="V80" i="4"/>
  <c r="BJ144" i="4"/>
  <c r="W78" i="4"/>
  <c r="BK142" i="4"/>
  <c r="X77" i="4"/>
  <c r="BL141" i="4"/>
  <c r="X76" i="4"/>
  <c r="BL140" i="4"/>
  <c r="X75" i="4"/>
  <c r="BL139" i="4"/>
  <c r="EM139" i="4" s="1"/>
  <c r="AG67" i="3"/>
  <c r="BN102" i="3" s="1"/>
  <c r="AG60" i="3"/>
  <c r="BN95" i="3" s="1"/>
  <c r="AG61" i="3"/>
  <c r="BN96" i="3" s="1"/>
  <c r="EE102" i="3"/>
  <c r="EE101" i="3" s="1"/>
  <c r="EE100" i="3" s="1"/>
  <c r="EE99" i="3" s="1"/>
  <c r="EE98" i="3" s="1"/>
  <c r="AG68" i="3"/>
  <c r="BN103" i="3" s="1"/>
  <c r="ED103" i="3" s="1"/>
  <c r="AG52" i="3"/>
  <c r="BN87" i="3" s="1"/>
  <c r="EF97" i="3"/>
  <c r="EF96" i="3" s="1"/>
  <c r="EF95" i="3" s="1"/>
  <c r="EF94" i="3" s="1"/>
  <c r="EF93" i="3" s="1"/>
  <c r="EF92" i="3" s="1"/>
  <c r="EF91" i="3" s="1"/>
  <c r="EF90" i="3" s="1"/>
  <c r="EF89" i="3" s="1"/>
  <c r="EF88" i="3" s="1"/>
  <c r="EF87" i="3" s="1"/>
  <c r="EF86" i="3" s="1"/>
  <c r="EF85" i="3" s="1"/>
  <c r="EF84" i="3" s="1"/>
  <c r="EF83" i="3" s="1"/>
  <c r="EF82" i="3" s="1"/>
  <c r="EF81" i="3" s="1"/>
  <c r="EF80" i="3" s="1"/>
  <c r="EF79" i="3" s="1"/>
  <c r="AG45" i="3"/>
  <c r="BN80" i="3" s="1"/>
  <c r="AG49" i="3"/>
  <c r="BN84" i="3" s="1"/>
  <c r="AG50" i="3"/>
  <c r="BN85" i="3" s="1"/>
  <c r="AG63" i="3"/>
  <c r="BN98" i="3" s="1"/>
  <c r="AG39" i="3"/>
  <c r="BN74" i="3" s="1"/>
  <c r="AF55" i="3"/>
  <c r="BM90" i="3" s="1"/>
  <c r="BO75" i="3"/>
  <c r="AG40" i="3"/>
  <c r="BO88" i="3"/>
  <c r="AG53" i="3"/>
  <c r="AG59" i="3"/>
  <c r="BN94" i="3" s="1"/>
  <c r="BO82" i="3"/>
  <c r="AG47" i="3"/>
  <c r="EG78" i="3"/>
  <c r="EG77" i="3" s="1"/>
  <c r="EG76" i="3" s="1"/>
  <c r="EG75" i="3" s="1"/>
  <c r="EG74" i="3" s="1"/>
  <c r="BO97" i="3"/>
  <c r="AG62" i="3"/>
  <c r="BO79" i="3"/>
  <c r="AG44" i="3"/>
  <c r="BO91" i="3"/>
  <c r="AG56" i="3"/>
  <c r="AF42" i="3"/>
  <c r="BM77" i="3" s="1"/>
  <c r="AH58" i="3"/>
  <c r="BO93" i="3" s="1"/>
  <c r="AG64" i="3"/>
  <c r="BN99" i="3" s="1"/>
  <c r="AG46" i="3"/>
  <c r="BN81" i="3" s="1"/>
  <c r="AG66" i="3"/>
  <c r="BN101" i="3" s="1"/>
  <c r="AG54" i="3"/>
  <c r="BN89" i="3" s="1"/>
  <c r="AG65" i="3"/>
  <c r="BN100" i="3" s="1"/>
  <c r="AI43" i="3"/>
  <c r="BP78" i="3" s="1"/>
  <c r="AH51" i="3"/>
  <c r="BO86" i="3" s="1"/>
  <c r="AF69" i="3"/>
  <c r="BM104" i="3" s="1"/>
  <c r="AG48" i="3"/>
  <c r="BN83" i="3" s="1"/>
  <c r="AG41" i="3"/>
  <c r="BN76" i="3" s="1"/>
  <c r="AH57" i="3"/>
  <c r="BO92" i="3" s="1"/>
  <c r="V25" i="2"/>
  <c r="AD25" i="2"/>
  <c r="M34" i="2"/>
  <c r="U34" i="2"/>
  <c r="AC34" i="2"/>
  <c r="L34" i="2"/>
  <c r="O25" i="2"/>
  <c r="W25" i="2"/>
  <c r="AE25" i="2"/>
  <c r="N34" i="2"/>
  <c r="V34" i="2"/>
  <c r="AD34" i="2"/>
  <c r="P25" i="2"/>
  <c r="X25" i="2"/>
  <c r="AF25" i="2"/>
  <c r="O34" i="2"/>
  <c r="W34" i="2"/>
  <c r="AE34" i="2"/>
  <c r="Q25" i="2"/>
  <c r="Y25" i="2"/>
  <c r="AG25" i="2"/>
  <c r="H34" i="2"/>
  <c r="P34" i="2"/>
  <c r="X34" i="2"/>
  <c r="AF34" i="2"/>
  <c r="T34" i="2"/>
  <c r="R25" i="2"/>
  <c r="Z25" i="2"/>
  <c r="AH25" i="2"/>
  <c r="G34" i="2"/>
  <c r="I34" i="2"/>
  <c r="Q34" i="2"/>
  <c r="Y34" i="2"/>
  <c r="AG34" i="2"/>
  <c r="G21" i="2"/>
  <c r="H21" i="2" s="1"/>
  <c r="I21" i="2" s="1"/>
  <c r="J21" i="2" s="1"/>
  <c r="K21" i="2" s="1"/>
  <c r="L21" i="2" s="1"/>
  <c r="M21" i="2" s="1"/>
  <c r="N21" i="2" s="1"/>
  <c r="O21" i="2" s="1"/>
  <c r="P21" i="2" s="1"/>
  <c r="Q21" i="2" s="1"/>
  <c r="R21" i="2" s="1"/>
  <c r="S21" i="2" s="1"/>
  <c r="T21" i="2" s="1"/>
  <c r="U21" i="2" s="1"/>
  <c r="V21" i="2" s="1"/>
  <c r="W21" i="2" s="1"/>
  <c r="X21" i="2" s="1"/>
  <c r="Y21" i="2" s="1"/>
  <c r="Z21" i="2" s="1"/>
  <c r="AA21" i="2" s="1"/>
  <c r="AB21" i="2" s="1"/>
  <c r="AC21" i="2" s="1"/>
  <c r="AD21" i="2" s="1"/>
  <c r="AE21" i="2" s="1"/>
  <c r="AF21" i="2" s="1"/>
  <c r="AG21" i="2" s="1"/>
  <c r="AH21" i="2" s="1"/>
  <c r="AI21" i="2" s="1"/>
  <c r="AJ21" i="2" s="1"/>
  <c r="K25" i="2"/>
  <c r="S25" i="2"/>
  <c r="AA25" i="2"/>
  <c r="AI25" i="2"/>
  <c r="J34" i="2"/>
  <c r="R34" i="2"/>
  <c r="Z34" i="2"/>
  <c r="AH34" i="2"/>
  <c r="AB34" i="2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L25" i="2"/>
  <c r="T25" i="2"/>
  <c r="AB25" i="2"/>
  <c r="G30" i="2"/>
  <c r="H30" i="2" s="1"/>
  <c r="I30" i="2" s="1"/>
  <c r="J30" i="2" s="1"/>
  <c r="K30" i="2" s="1"/>
  <c r="L30" i="2" s="1"/>
  <c r="M30" i="2" s="1"/>
  <c r="N30" i="2" s="1"/>
  <c r="O30" i="2" s="1"/>
  <c r="P30" i="2" s="1"/>
  <c r="Q30" i="2" s="1"/>
  <c r="R30" i="2" s="1"/>
  <c r="S30" i="2" s="1"/>
  <c r="T30" i="2" s="1"/>
  <c r="U30" i="2" s="1"/>
  <c r="V30" i="2" s="1"/>
  <c r="W30" i="2" s="1"/>
  <c r="X30" i="2" s="1"/>
  <c r="Y30" i="2" s="1"/>
  <c r="Z30" i="2" s="1"/>
  <c r="AA30" i="2" s="1"/>
  <c r="AB30" i="2" s="1"/>
  <c r="AC30" i="2" s="1"/>
  <c r="AD30" i="2" s="1"/>
  <c r="AE30" i="2" s="1"/>
  <c r="AF30" i="2" s="1"/>
  <c r="AG30" i="2" s="1"/>
  <c r="AH30" i="2" s="1"/>
  <c r="AI30" i="2" s="1"/>
  <c r="AJ30" i="2" s="1"/>
  <c r="K34" i="2"/>
  <c r="S34" i="2"/>
  <c r="AA34" i="2"/>
  <c r="AJ21" i="5" l="1"/>
  <c r="AI22" i="5"/>
  <c r="EM187" i="4"/>
  <c r="EL186" i="4"/>
  <c r="BI183" i="4"/>
  <c r="U119" i="4"/>
  <c r="BN188" i="4"/>
  <c r="EO188" i="4" s="1"/>
  <c r="Z124" i="4"/>
  <c r="BQ190" i="4"/>
  <c r="ER190" i="4" s="1"/>
  <c r="ER191" i="4" s="1"/>
  <c r="AD192" i="4" s="1"/>
  <c r="AD191" i="4" s="1"/>
  <c r="AD190" i="4" s="1"/>
  <c r="AD189" i="4" s="1"/>
  <c r="AD188" i="4" s="1"/>
  <c r="AC126" i="4"/>
  <c r="BR192" i="4"/>
  <c r="ES192" i="4" s="1"/>
  <c r="AD128" i="4"/>
  <c r="T120" i="4"/>
  <c r="BH184" i="4"/>
  <c r="V122" i="4"/>
  <c r="BJ186" i="4"/>
  <c r="AA125" i="4"/>
  <c r="BO189" i="4"/>
  <c r="EP189" i="4" s="1"/>
  <c r="BI185" i="4"/>
  <c r="U121" i="4"/>
  <c r="W123" i="4"/>
  <c r="BK187" i="4"/>
  <c r="AB127" i="4"/>
  <c r="BP191" i="4"/>
  <c r="S118" i="4"/>
  <c r="BF182" i="4" s="1"/>
  <c r="EG182" i="4" s="1"/>
  <c r="BG182" i="4"/>
  <c r="EH182" i="4" s="1"/>
  <c r="T81" i="4"/>
  <c r="BH145" i="4"/>
  <c r="U80" i="4"/>
  <c r="BI144" i="4"/>
  <c r="V79" i="4"/>
  <c r="BJ143" i="4"/>
  <c r="W76" i="4"/>
  <c r="BK140" i="4"/>
  <c r="Z144" i="4"/>
  <c r="Z143" i="4" s="1"/>
  <c r="Z142" i="4" s="1"/>
  <c r="Z141" i="4" s="1"/>
  <c r="Z140" i="4" s="1"/>
  <c r="Z139" i="4" s="1"/>
  <c r="W77" i="4"/>
  <c r="BK141" i="4"/>
  <c r="EM140" i="4"/>
  <c r="EM141" i="4" s="1"/>
  <c r="EM142" i="4" s="1"/>
  <c r="EM143" i="4" s="1"/>
  <c r="EM144" i="4" s="1"/>
  <c r="EM145" i="4" s="1"/>
  <c r="Y145" i="4" s="1"/>
  <c r="Y144" i="4" s="1"/>
  <c r="Y143" i="4" s="1"/>
  <c r="Y142" i="4" s="1"/>
  <c r="Y141" i="4" s="1"/>
  <c r="Y140" i="4" s="1"/>
  <c r="Y139" i="4" s="1"/>
  <c r="V78" i="4"/>
  <c r="BJ142" i="4"/>
  <c r="W75" i="4"/>
  <c r="BK139" i="4"/>
  <c r="EL139" i="4" s="1"/>
  <c r="ED102" i="3"/>
  <c r="ED101" i="3" s="1"/>
  <c r="ED100" i="3" s="1"/>
  <c r="ED99" i="3" s="1"/>
  <c r="ED98" i="3" s="1"/>
  <c r="AF67" i="3"/>
  <c r="BM102" i="3" s="1"/>
  <c r="AF60" i="3"/>
  <c r="BM95" i="3" s="1"/>
  <c r="AF61" i="3"/>
  <c r="BM96" i="3" s="1"/>
  <c r="AF68" i="3"/>
  <c r="BM103" i="3" s="1"/>
  <c r="EC103" i="3" s="1"/>
  <c r="AF52" i="3"/>
  <c r="BM87" i="3" s="1"/>
  <c r="AF50" i="3"/>
  <c r="BM85" i="3" s="1"/>
  <c r="EF78" i="3"/>
  <c r="EF77" i="3" s="1"/>
  <c r="EF76" i="3" s="1"/>
  <c r="EF75" i="3" s="1"/>
  <c r="AI74" i="3" s="1"/>
  <c r="AI75" i="3" s="1"/>
  <c r="AI76" i="3" s="1"/>
  <c r="AI77" i="3" s="1"/>
  <c r="AI78" i="3" s="1"/>
  <c r="AI79" i="3" s="1"/>
  <c r="AI80" i="3" s="1"/>
  <c r="AI81" i="3" s="1"/>
  <c r="AI82" i="3" s="1"/>
  <c r="AI83" i="3" s="1"/>
  <c r="AI84" i="3" s="1"/>
  <c r="AI85" i="3" s="1"/>
  <c r="AI86" i="3" s="1"/>
  <c r="AI87" i="3" s="1"/>
  <c r="AI88" i="3" s="1"/>
  <c r="AI89" i="3" s="1"/>
  <c r="AI90" i="3" s="1"/>
  <c r="AI91" i="3" s="1"/>
  <c r="AI92" i="3" s="1"/>
  <c r="AI93" i="3" s="1"/>
  <c r="AI94" i="3" s="1"/>
  <c r="AI95" i="3" s="1"/>
  <c r="AI96" i="3" s="1"/>
  <c r="AI97" i="3" s="1"/>
  <c r="AI98" i="3" s="1"/>
  <c r="AI99" i="3" s="1"/>
  <c r="AI100" i="3" s="1"/>
  <c r="AI101" i="3" s="1"/>
  <c r="AI102" i="3" s="1"/>
  <c r="AI103" i="3" s="1"/>
  <c r="AI104" i="3" s="1"/>
  <c r="AF45" i="3"/>
  <c r="BM80" i="3" s="1"/>
  <c r="AF59" i="3"/>
  <c r="BM94" i="3" s="1"/>
  <c r="AF63" i="3"/>
  <c r="BM98" i="3" s="1"/>
  <c r="EE97" i="3"/>
  <c r="EE96" i="3" s="1"/>
  <c r="EE95" i="3" s="1"/>
  <c r="EE94" i="3" s="1"/>
  <c r="EE93" i="3" s="1"/>
  <c r="EE92" i="3" s="1"/>
  <c r="EE91" i="3" s="1"/>
  <c r="EE90" i="3" s="1"/>
  <c r="EE89" i="3" s="1"/>
  <c r="EE88" i="3" s="1"/>
  <c r="EE87" i="3" s="1"/>
  <c r="EE86" i="3" s="1"/>
  <c r="EE85" i="3" s="1"/>
  <c r="EE84" i="3" s="1"/>
  <c r="EE83" i="3" s="1"/>
  <c r="EE82" i="3" s="1"/>
  <c r="EE81" i="3" s="1"/>
  <c r="EE80" i="3" s="1"/>
  <c r="EE79" i="3" s="1"/>
  <c r="AF39" i="3"/>
  <c r="BM74" i="3" s="1"/>
  <c r="AF49" i="3"/>
  <c r="BM84" i="3" s="1"/>
  <c r="AE55" i="3"/>
  <c r="BL90" i="3" s="1"/>
  <c r="BN75" i="3"/>
  <c r="AF40" i="3"/>
  <c r="BN82" i="3"/>
  <c r="AF47" i="3"/>
  <c r="BN88" i="3"/>
  <c r="AF53" i="3"/>
  <c r="BN79" i="3"/>
  <c r="AF44" i="3"/>
  <c r="AJ74" i="3"/>
  <c r="AJ75" i="3" s="1"/>
  <c r="AJ76" i="3" s="1"/>
  <c r="AJ77" i="3" s="1"/>
  <c r="AJ78" i="3" s="1"/>
  <c r="AJ79" i="3" s="1"/>
  <c r="AJ80" i="3" s="1"/>
  <c r="AJ81" i="3" s="1"/>
  <c r="AJ82" i="3" s="1"/>
  <c r="AJ83" i="3" s="1"/>
  <c r="AJ84" i="3" s="1"/>
  <c r="AJ85" i="3" s="1"/>
  <c r="AJ86" i="3" s="1"/>
  <c r="AJ87" i="3" s="1"/>
  <c r="AJ88" i="3" s="1"/>
  <c r="AJ89" i="3" s="1"/>
  <c r="AJ90" i="3" s="1"/>
  <c r="AJ91" i="3" s="1"/>
  <c r="AJ92" i="3" s="1"/>
  <c r="AJ93" i="3" s="1"/>
  <c r="AJ94" i="3" s="1"/>
  <c r="AJ95" i="3" s="1"/>
  <c r="AJ96" i="3" s="1"/>
  <c r="AJ97" i="3" s="1"/>
  <c r="AJ98" i="3" s="1"/>
  <c r="AJ99" i="3" s="1"/>
  <c r="AJ100" i="3" s="1"/>
  <c r="AJ101" i="3" s="1"/>
  <c r="AJ102" i="3" s="1"/>
  <c r="AJ103" i="3" s="1"/>
  <c r="AJ104" i="3" s="1"/>
  <c r="BN97" i="3"/>
  <c r="AF62" i="3"/>
  <c r="BN91" i="3"/>
  <c r="AF56" i="3"/>
  <c r="AE42" i="3"/>
  <c r="BL77" i="3" s="1"/>
  <c r="AG57" i="3"/>
  <c r="BN92" i="3" s="1"/>
  <c r="AH43" i="3"/>
  <c r="BO78" i="3" s="1"/>
  <c r="AF64" i="3"/>
  <c r="BM99" i="3" s="1"/>
  <c r="AE69" i="3"/>
  <c r="BL104" i="3" s="1"/>
  <c r="AF66" i="3"/>
  <c r="BM101" i="3" s="1"/>
  <c r="AG51" i="3"/>
  <c r="BN86" i="3" s="1"/>
  <c r="AF65" i="3"/>
  <c r="BM100" i="3" s="1"/>
  <c r="AF41" i="3"/>
  <c r="BM76" i="3" s="1"/>
  <c r="AF48" i="3"/>
  <c r="BM83" i="3" s="1"/>
  <c r="AF54" i="3"/>
  <c r="BM89" i="3" s="1"/>
  <c r="AG58" i="3"/>
  <c r="BN93" i="3" s="1"/>
  <c r="AF46" i="3"/>
  <c r="BM81" i="3" s="1"/>
  <c r="AF33" i="2"/>
  <c r="X33" i="2"/>
  <c r="P33" i="2"/>
  <c r="H33" i="2"/>
  <c r="AG24" i="2"/>
  <c r="Y24" i="2"/>
  <c r="Q24" i="2"/>
  <c r="AC15" i="2"/>
  <c r="U15" i="2"/>
  <c r="M15" i="2"/>
  <c r="I33" i="2"/>
  <c r="AH24" i="2"/>
  <c r="V15" i="2"/>
  <c r="AE33" i="2"/>
  <c r="W33" i="2"/>
  <c r="O33" i="2"/>
  <c r="AF24" i="2"/>
  <c r="X24" i="2"/>
  <c r="P24" i="2"/>
  <c r="AB15" i="2"/>
  <c r="T15" i="2"/>
  <c r="L15" i="2"/>
  <c r="Y33" i="2"/>
  <c r="Z24" i="2"/>
  <c r="AD15" i="2"/>
  <c r="AD33" i="2"/>
  <c r="V33" i="2"/>
  <c r="N33" i="2"/>
  <c r="AE24" i="2"/>
  <c r="W24" i="2"/>
  <c r="O24" i="2"/>
  <c r="AI15" i="2"/>
  <c r="AA15" i="2"/>
  <c r="S15" i="2"/>
  <c r="K15" i="2"/>
  <c r="AC33" i="2"/>
  <c r="U33" i="2"/>
  <c r="M33" i="2"/>
  <c r="AD24" i="2"/>
  <c r="V24" i="2"/>
  <c r="AH15" i="2"/>
  <c r="Z15" i="2"/>
  <c r="R15" i="2"/>
  <c r="J15" i="2"/>
  <c r="AG33" i="2"/>
  <c r="R24" i="2"/>
  <c r="N15" i="2"/>
  <c r="AB33" i="2"/>
  <c r="T33" i="2"/>
  <c r="L33" i="2"/>
  <c r="AC24" i="2"/>
  <c r="U24" i="2"/>
  <c r="M24" i="2"/>
  <c r="AG15" i="2"/>
  <c r="Y15" i="2"/>
  <c r="Q15" i="2"/>
  <c r="I15" i="2"/>
  <c r="Q33" i="2"/>
  <c r="AA33" i="2"/>
  <c r="S33" i="2"/>
  <c r="K33" i="2"/>
  <c r="AB24" i="2"/>
  <c r="T24" i="2"/>
  <c r="L24" i="2"/>
  <c r="AF15" i="2"/>
  <c r="X15" i="2"/>
  <c r="P15" i="2"/>
  <c r="H15" i="2"/>
  <c r="AE15" i="2"/>
  <c r="O15" i="2"/>
  <c r="AH33" i="2"/>
  <c r="Z33" i="2"/>
  <c r="R33" i="2"/>
  <c r="AI24" i="2"/>
  <c r="AA24" i="2"/>
  <c r="S24" i="2"/>
  <c r="K24" i="2"/>
  <c r="W15" i="2"/>
  <c r="J24" i="2"/>
  <c r="AK21" i="5" l="1"/>
  <c r="AJ22" i="5"/>
  <c r="EL140" i="4"/>
  <c r="EL141" i="4" s="1"/>
  <c r="EL142" i="4" s="1"/>
  <c r="EL143" i="4" s="1"/>
  <c r="EL144" i="4" s="1"/>
  <c r="EL145" i="4" s="1"/>
  <c r="EL146" i="4" s="1"/>
  <c r="EL147" i="4" s="1"/>
  <c r="EL148" i="4" s="1"/>
  <c r="EL187" i="4"/>
  <c r="T119" i="4"/>
  <c r="BH183" i="4"/>
  <c r="BM188" i="4"/>
  <c r="EN188" i="4" s="1"/>
  <c r="Y124" i="4"/>
  <c r="AB126" i="4"/>
  <c r="BP190" i="4"/>
  <c r="EQ190" i="4" s="1"/>
  <c r="EQ191" i="4" s="1"/>
  <c r="AC192" i="4" s="1"/>
  <c r="AC191" i="4" s="1"/>
  <c r="AC190" i="4" s="1"/>
  <c r="AC189" i="4" s="1"/>
  <c r="AC188" i="4" s="1"/>
  <c r="AC187" i="4" s="1"/>
  <c r="AC128" i="4"/>
  <c r="BQ192" i="4"/>
  <c r="ER192" i="4" s="1"/>
  <c r="S120" i="4"/>
  <c r="BG184" i="4"/>
  <c r="Z125" i="4"/>
  <c r="BN189" i="4"/>
  <c r="EO189" i="4" s="1"/>
  <c r="T121" i="4"/>
  <c r="BH185" i="4"/>
  <c r="V123" i="4"/>
  <c r="BJ187" i="4"/>
  <c r="AA127" i="4"/>
  <c r="BO191" i="4"/>
  <c r="U122" i="4"/>
  <c r="BI186" i="4"/>
  <c r="S81" i="4"/>
  <c r="BG145" i="4"/>
  <c r="U79" i="4"/>
  <c r="BI143" i="4"/>
  <c r="T80" i="4"/>
  <c r="BH144" i="4"/>
  <c r="U78" i="4"/>
  <c r="BI142" i="4"/>
  <c r="V77" i="4"/>
  <c r="BJ141" i="4"/>
  <c r="EM146" i="4"/>
  <c r="V76" i="4"/>
  <c r="BJ140" i="4"/>
  <c r="V75" i="4"/>
  <c r="BJ139" i="4"/>
  <c r="EK139" i="4" s="1"/>
  <c r="AE67" i="3"/>
  <c r="BL102" i="3" s="1"/>
  <c r="EC102" i="3"/>
  <c r="EC101" i="3" s="1"/>
  <c r="EC100" i="3" s="1"/>
  <c r="EC99" i="3" s="1"/>
  <c r="EC98" i="3" s="1"/>
  <c r="AE52" i="3"/>
  <c r="BL87" i="3" s="1"/>
  <c r="AE60" i="3"/>
  <c r="BL95" i="3" s="1"/>
  <c r="AE61" i="3"/>
  <c r="BL96" i="3" s="1"/>
  <c r="AD55" i="3"/>
  <c r="BK90" i="3" s="1"/>
  <c r="AE50" i="3"/>
  <c r="BL85" i="3" s="1"/>
  <c r="AE45" i="3"/>
  <c r="BL80" i="3" s="1"/>
  <c r="AE68" i="3"/>
  <c r="BL103" i="3" s="1"/>
  <c r="EB103" i="3" s="1"/>
  <c r="AE59" i="3"/>
  <c r="BL94" i="3" s="1"/>
  <c r="AE63" i="3"/>
  <c r="BL98" i="3" s="1"/>
  <c r="AE39" i="3"/>
  <c r="BL74" i="3" s="1"/>
  <c r="EF74" i="3"/>
  <c r="AE49" i="3"/>
  <c r="BL84" i="3" s="1"/>
  <c r="ED97" i="3"/>
  <c r="ED96" i="3" s="1"/>
  <c r="ED95" i="3" s="1"/>
  <c r="ED94" i="3" s="1"/>
  <c r="ED93" i="3" s="1"/>
  <c r="ED92" i="3" s="1"/>
  <c r="ED91" i="3" s="1"/>
  <c r="ED90" i="3" s="1"/>
  <c r="ED89" i="3" s="1"/>
  <c r="ED88" i="3" s="1"/>
  <c r="ED87" i="3" s="1"/>
  <c r="ED86" i="3" s="1"/>
  <c r="ED85" i="3" s="1"/>
  <c r="ED84" i="3" s="1"/>
  <c r="ED83" i="3" s="1"/>
  <c r="ED82" i="3" s="1"/>
  <c r="ED81" i="3" s="1"/>
  <c r="ED80" i="3" s="1"/>
  <c r="ED79" i="3" s="1"/>
  <c r="BM75" i="3"/>
  <c r="AE40" i="3"/>
  <c r="BM88" i="3"/>
  <c r="AE53" i="3"/>
  <c r="BM82" i="3"/>
  <c r="AE47" i="3"/>
  <c r="BM97" i="3"/>
  <c r="AE62" i="3"/>
  <c r="BM79" i="3"/>
  <c r="AE44" i="3"/>
  <c r="EE78" i="3"/>
  <c r="EE77" i="3" s="1"/>
  <c r="EE76" i="3" s="1"/>
  <c r="EE75" i="3" s="1"/>
  <c r="AH74" i="3" s="1"/>
  <c r="AH75" i="3" s="1"/>
  <c r="AH76" i="3" s="1"/>
  <c r="AH77" i="3" s="1"/>
  <c r="AH78" i="3" s="1"/>
  <c r="AH79" i="3" s="1"/>
  <c r="AH80" i="3" s="1"/>
  <c r="AH81" i="3" s="1"/>
  <c r="AH82" i="3" s="1"/>
  <c r="AH83" i="3" s="1"/>
  <c r="AH84" i="3" s="1"/>
  <c r="AH85" i="3" s="1"/>
  <c r="AH86" i="3" s="1"/>
  <c r="AH87" i="3" s="1"/>
  <c r="AH88" i="3" s="1"/>
  <c r="AH89" i="3" s="1"/>
  <c r="AH90" i="3" s="1"/>
  <c r="AH91" i="3" s="1"/>
  <c r="AH92" i="3" s="1"/>
  <c r="AH93" i="3" s="1"/>
  <c r="AH94" i="3" s="1"/>
  <c r="AH95" i="3" s="1"/>
  <c r="AH96" i="3" s="1"/>
  <c r="AH97" i="3" s="1"/>
  <c r="AH98" i="3" s="1"/>
  <c r="AH99" i="3" s="1"/>
  <c r="AH100" i="3" s="1"/>
  <c r="AH101" i="3" s="1"/>
  <c r="AH102" i="3" s="1"/>
  <c r="AH103" i="3" s="1"/>
  <c r="AH104" i="3" s="1"/>
  <c r="BM91" i="3"/>
  <c r="AE56" i="3"/>
  <c r="AD42" i="3"/>
  <c r="BK77" i="3" s="1"/>
  <c r="AE46" i="3"/>
  <c r="BL81" i="3" s="1"/>
  <c r="AE66" i="3"/>
  <c r="BL101" i="3" s="1"/>
  <c r="AF58" i="3"/>
  <c r="BM93" i="3" s="1"/>
  <c r="AE48" i="3"/>
  <c r="BL83" i="3" s="1"/>
  <c r="AF51" i="3"/>
  <c r="BM86" i="3" s="1"/>
  <c r="AD69" i="3"/>
  <c r="BK104" i="3" s="1"/>
  <c r="AG43" i="3"/>
  <c r="BN78" i="3" s="1"/>
  <c r="AE54" i="3"/>
  <c r="BL89" i="3" s="1"/>
  <c r="AE41" i="3"/>
  <c r="BL76" i="3" s="1"/>
  <c r="AE65" i="3"/>
  <c r="BL100" i="3" s="1"/>
  <c r="AE64" i="3"/>
  <c r="BL99" i="3" s="1"/>
  <c r="AF57" i="3"/>
  <c r="BM92" i="3" s="1"/>
  <c r="H16" i="1"/>
  <c r="AI16" i="1"/>
  <c r="O16" i="1"/>
  <c r="W16" i="1"/>
  <c r="AE16" i="1"/>
  <c r="F18" i="1"/>
  <c r="AL21" i="5" l="1"/>
  <c r="AK22" i="5"/>
  <c r="EB102" i="3"/>
  <c r="EB101" i="3" s="1"/>
  <c r="EB100" i="3" s="1"/>
  <c r="EB99" i="3" s="1"/>
  <c r="EB98" i="3" s="1"/>
  <c r="X147" i="4"/>
  <c r="X146" i="4" s="1"/>
  <c r="X145" i="4" s="1"/>
  <c r="X144" i="4" s="1"/>
  <c r="X143" i="4" s="1"/>
  <c r="X142" i="4" s="1"/>
  <c r="X141" i="4" s="1"/>
  <c r="X140" i="4" s="1"/>
  <c r="X139" i="4" s="1"/>
  <c r="S119" i="4"/>
  <c r="BF183" i="4" s="1"/>
  <c r="EG183" i="4" s="1"/>
  <c r="BG183" i="4"/>
  <c r="EH183" i="4" s="1"/>
  <c r="EH184" i="4" s="1"/>
  <c r="X124" i="4"/>
  <c r="BL188" i="4"/>
  <c r="EM188" i="4" s="1"/>
  <c r="AA126" i="4"/>
  <c r="BO190" i="4"/>
  <c r="EP190" i="4" s="1"/>
  <c r="EP191" i="4" s="1"/>
  <c r="AB192" i="4" s="1"/>
  <c r="AB191" i="4" s="1"/>
  <c r="AB190" i="4" s="1"/>
  <c r="AB189" i="4" s="1"/>
  <c r="AB188" i="4" s="1"/>
  <c r="AB187" i="4" s="1"/>
  <c r="AB186" i="4" s="1"/>
  <c r="AB128" i="4"/>
  <c r="BP192" i="4"/>
  <c r="EQ192" i="4" s="1"/>
  <c r="Z127" i="4"/>
  <c r="BN191" i="4"/>
  <c r="Y125" i="4"/>
  <c r="BM189" i="4"/>
  <c r="EN189" i="4" s="1"/>
  <c r="T122" i="4"/>
  <c r="BH186" i="4"/>
  <c r="BI187" i="4"/>
  <c r="U123" i="4"/>
  <c r="S121" i="4"/>
  <c r="BG185" i="4"/>
  <c r="R120" i="4"/>
  <c r="BE184" i="4" s="1"/>
  <c r="EF184" i="4" s="1"/>
  <c r="BF184" i="4"/>
  <c r="BF145" i="4"/>
  <c r="S146" i="4"/>
  <c r="S80" i="4"/>
  <c r="BG144" i="4"/>
  <c r="T79" i="4"/>
  <c r="BH143" i="4"/>
  <c r="EK140" i="4"/>
  <c r="EK141" i="4" s="1"/>
  <c r="EK142" i="4" s="1"/>
  <c r="EK143" i="4" s="1"/>
  <c r="EK144" i="4" s="1"/>
  <c r="EK145" i="4" s="1"/>
  <c r="EK146" i="4" s="1"/>
  <c r="EK147" i="4" s="1"/>
  <c r="EK148" i="4" s="1"/>
  <c r="EK149" i="4" s="1"/>
  <c r="EK150" i="4" s="1"/>
  <c r="EK151" i="4" s="1"/>
  <c r="EK152" i="4" s="1"/>
  <c r="EK153" i="4" s="1"/>
  <c r="EK154" i="4" s="1"/>
  <c r="EK155" i="4" s="1"/>
  <c r="EK156" i="4" s="1"/>
  <c r="EK157" i="4" s="1"/>
  <c r="EK158" i="4" s="1"/>
  <c r="EK159" i="4" s="1"/>
  <c r="EK160" i="4" s="1"/>
  <c r="EK161" i="4" s="1"/>
  <c r="EK162" i="4" s="1"/>
  <c r="EK163" i="4" s="1"/>
  <c r="EK164" i="4" s="1"/>
  <c r="EK165" i="4" s="1"/>
  <c r="EK166" i="4" s="1"/>
  <c r="EK167" i="4" s="1"/>
  <c r="EK168" i="4" s="1"/>
  <c r="EK169" i="4" s="1"/>
  <c r="EK170" i="4" s="1"/>
  <c r="EK171" i="4" s="1"/>
  <c r="EK172" i="4" s="1"/>
  <c r="EK173" i="4" s="1"/>
  <c r="EK174" i="4" s="1"/>
  <c r="EK175" i="4" s="1"/>
  <c r="EK176" i="4" s="1"/>
  <c r="EK177" i="4" s="1"/>
  <c r="EK178" i="4" s="1"/>
  <c r="EK179" i="4" s="1"/>
  <c r="EK180" i="4" s="1"/>
  <c r="EK181" i="4" s="1"/>
  <c r="EK182" i="4" s="1"/>
  <c r="EK183" i="4" s="1"/>
  <c r="EK184" i="4" s="1"/>
  <c r="EK185" i="4" s="1"/>
  <c r="EK186" i="4" s="1"/>
  <c r="EK187" i="4" s="1"/>
  <c r="U77" i="4"/>
  <c r="BI141" i="4"/>
  <c r="U76" i="4"/>
  <c r="BI140" i="4"/>
  <c r="T78" i="4"/>
  <c r="BH142" i="4"/>
  <c r="U75" i="4"/>
  <c r="BI139" i="4"/>
  <c r="EJ139" i="4" s="1"/>
  <c r="AD52" i="3"/>
  <c r="BK87" i="3" s="1"/>
  <c r="AD67" i="3"/>
  <c r="BK102" i="3" s="1"/>
  <c r="AD60" i="3"/>
  <c r="BK95" i="3" s="1"/>
  <c r="AD61" i="3"/>
  <c r="AD50" i="3"/>
  <c r="BK85" i="3" s="1"/>
  <c r="AD68" i="3"/>
  <c r="BK103" i="3" s="1"/>
  <c r="EA103" i="3" s="1"/>
  <c r="AC55" i="3"/>
  <c r="BJ90" i="3" s="1"/>
  <c r="AD45" i="3"/>
  <c r="BK80" i="3" s="1"/>
  <c r="AD59" i="3"/>
  <c r="BK94" i="3" s="1"/>
  <c r="AD39" i="3"/>
  <c r="BK74" i="3" s="1"/>
  <c r="AD63" i="3"/>
  <c r="BK98" i="3" s="1"/>
  <c r="AD49" i="3"/>
  <c r="BK84" i="3" s="1"/>
  <c r="EC97" i="3"/>
  <c r="EC96" i="3" s="1"/>
  <c r="EC95" i="3" s="1"/>
  <c r="EC94" i="3" s="1"/>
  <c r="EC93" i="3" s="1"/>
  <c r="EC92" i="3" s="1"/>
  <c r="EC91" i="3" s="1"/>
  <c r="EC90" i="3" s="1"/>
  <c r="EC89" i="3" s="1"/>
  <c r="EC88" i="3" s="1"/>
  <c r="EC87" i="3" s="1"/>
  <c r="EC86" i="3" s="1"/>
  <c r="EC85" i="3" s="1"/>
  <c r="EC84" i="3" s="1"/>
  <c r="EC83" i="3" s="1"/>
  <c r="EC82" i="3" s="1"/>
  <c r="EC81" i="3" s="1"/>
  <c r="EC80" i="3" s="1"/>
  <c r="EC79" i="3" s="1"/>
  <c r="BL75" i="3"/>
  <c r="AD40" i="3"/>
  <c r="BL82" i="3"/>
  <c r="AD47" i="3"/>
  <c r="BL88" i="3"/>
  <c r="AD53" i="3"/>
  <c r="BL79" i="3"/>
  <c r="AD44" i="3"/>
  <c r="ED78" i="3"/>
  <c r="ED77" i="3" s="1"/>
  <c r="ED76" i="3" s="1"/>
  <c r="ED75" i="3" s="1"/>
  <c r="ED74" i="3" s="1"/>
  <c r="EE74" i="3"/>
  <c r="BL97" i="3"/>
  <c r="AD62" i="3"/>
  <c r="BL91" i="3"/>
  <c r="AD56" i="3"/>
  <c r="AC42" i="3"/>
  <c r="BJ77" i="3" s="1"/>
  <c r="AD48" i="3"/>
  <c r="BK83" i="3" s="1"/>
  <c r="AF43" i="3"/>
  <c r="BM78" i="3" s="1"/>
  <c r="AE57" i="3"/>
  <c r="BL92" i="3" s="1"/>
  <c r="AC69" i="3"/>
  <c r="BJ104" i="3" s="1"/>
  <c r="AD46" i="3"/>
  <c r="BK81" i="3" s="1"/>
  <c r="AD66" i="3"/>
  <c r="BK101" i="3" s="1"/>
  <c r="AE51" i="3"/>
  <c r="BL86" i="3" s="1"/>
  <c r="AD64" i="3"/>
  <c r="BK99" i="3" s="1"/>
  <c r="AD65" i="3"/>
  <c r="BK100" i="3" s="1"/>
  <c r="AE58" i="3"/>
  <c r="BL93" i="3" s="1"/>
  <c r="AD41" i="3"/>
  <c r="BK76" i="3" s="1"/>
  <c r="AD54" i="3"/>
  <c r="BK89" i="3" s="1"/>
  <c r="AJ16" i="1"/>
  <c r="AB16" i="1"/>
  <c r="T16" i="1"/>
  <c r="L16" i="1"/>
  <c r="AD16" i="1"/>
  <c r="V16" i="1"/>
  <c r="N16" i="1"/>
  <c r="AC16" i="1"/>
  <c r="U16" i="1"/>
  <c r="M16" i="1"/>
  <c r="G16" i="1"/>
  <c r="AA16" i="1"/>
  <c r="S16" i="1"/>
  <c r="K16" i="1"/>
  <c r="AH16" i="1"/>
  <c r="Z16" i="1"/>
  <c r="R16" i="1"/>
  <c r="J16" i="1"/>
  <c r="AG16" i="1"/>
  <c r="Y16" i="1"/>
  <c r="Q16" i="1"/>
  <c r="I16" i="1"/>
  <c r="AF16" i="1"/>
  <c r="X16" i="1"/>
  <c r="P16" i="1"/>
  <c r="AL22" i="5" l="1"/>
  <c r="AM21" i="5"/>
  <c r="AM22" i="5" s="1"/>
  <c r="AC60" i="3"/>
  <c r="BJ95" i="3" s="1"/>
  <c r="EH185" i="4"/>
  <c r="EG184" i="4"/>
  <c r="W124" i="4"/>
  <c r="BK188" i="4"/>
  <c r="EL188" i="4" s="1"/>
  <c r="Z126" i="4"/>
  <c r="BN190" i="4"/>
  <c r="EO190" i="4" s="1"/>
  <c r="EO191" i="4" s="1"/>
  <c r="AA128" i="4"/>
  <c r="BO192" i="4"/>
  <c r="EP192" i="4" s="1"/>
  <c r="S122" i="4"/>
  <c r="BG186" i="4"/>
  <c r="Y127" i="4"/>
  <c r="BM191" i="4"/>
  <c r="R121" i="4"/>
  <c r="BF185" i="4"/>
  <c r="T123" i="4"/>
  <c r="BH187" i="4"/>
  <c r="X125" i="4"/>
  <c r="BL189" i="4"/>
  <c r="EM189" i="4" s="1"/>
  <c r="S79" i="4"/>
  <c r="BG143" i="4"/>
  <c r="R80" i="4"/>
  <c r="BF144" i="4"/>
  <c r="T76" i="4"/>
  <c r="BH140" i="4"/>
  <c r="S78" i="4"/>
  <c r="BG142" i="4"/>
  <c r="EJ140" i="4"/>
  <c r="EJ141" i="4" s="1"/>
  <c r="EJ142" i="4" s="1"/>
  <c r="EJ143" i="4" s="1"/>
  <c r="EJ144" i="4" s="1"/>
  <c r="EJ145" i="4" s="1"/>
  <c r="EJ146" i="4" s="1"/>
  <c r="EJ147" i="4" s="1"/>
  <c r="EJ148" i="4" s="1"/>
  <c r="EJ149" i="4" s="1"/>
  <c r="EJ150" i="4" s="1"/>
  <c r="EJ151" i="4" s="1"/>
  <c r="EJ152" i="4" s="1"/>
  <c r="EJ153" i="4" s="1"/>
  <c r="EJ154" i="4" s="1"/>
  <c r="EJ155" i="4" s="1"/>
  <c r="EJ156" i="4" s="1"/>
  <c r="EJ157" i="4" s="1"/>
  <c r="EJ158" i="4" s="1"/>
  <c r="EJ159" i="4" s="1"/>
  <c r="EJ160" i="4" s="1"/>
  <c r="EJ161" i="4" s="1"/>
  <c r="EJ162" i="4" s="1"/>
  <c r="EJ163" i="4" s="1"/>
  <c r="EJ164" i="4" s="1"/>
  <c r="EJ165" i="4" s="1"/>
  <c r="EJ166" i="4" s="1"/>
  <c r="EJ167" i="4" s="1"/>
  <c r="EJ168" i="4" s="1"/>
  <c r="EJ169" i="4" s="1"/>
  <c r="EJ170" i="4" s="1"/>
  <c r="EJ171" i="4" s="1"/>
  <c r="EJ172" i="4" s="1"/>
  <c r="EJ173" i="4" s="1"/>
  <c r="EJ174" i="4" s="1"/>
  <c r="EJ175" i="4" s="1"/>
  <c r="EJ176" i="4" s="1"/>
  <c r="EJ177" i="4" s="1"/>
  <c r="EJ178" i="4" s="1"/>
  <c r="EJ179" i="4" s="1"/>
  <c r="EJ180" i="4" s="1"/>
  <c r="EJ181" i="4" s="1"/>
  <c r="EJ182" i="4" s="1"/>
  <c r="EJ183" i="4" s="1"/>
  <c r="EJ184" i="4" s="1"/>
  <c r="EJ185" i="4" s="1"/>
  <c r="EJ186" i="4" s="1"/>
  <c r="EJ187" i="4" s="1"/>
  <c r="T77" i="4"/>
  <c r="BH141" i="4"/>
  <c r="T75" i="4"/>
  <c r="BH139" i="4"/>
  <c r="EI139" i="4" s="1"/>
  <c r="EA102" i="3"/>
  <c r="EA101" i="3" s="1"/>
  <c r="EA100" i="3" s="1"/>
  <c r="EA99" i="3" s="1"/>
  <c r="EA98" i="3" s="1"/>
  <c r="AC52" i="3"/>
  <c r="BJ87" i="3" s="1"/>
  <c r="AC67" i="3"/>
  <c r="BJ102" i="3" s="1"/>
  <c r="AC68" i="3"/>
  <c r="BJ103" i="3" s="1"/>
  <c r="DZ103" i="3" s="1"/>
  <c r="AB55" i="3"/>
  <c r="BI90" i="3" s="1"/>
  <c r="AC50" i="3"/>
  <c r="BJ85" i="3" s="1"/>
  <c r="BK96" i="3"/>
  <c r="AC61" i="3"/>
  <c r="AC45" i="3"/>
  <c r="BJ80" i="3" s="1"/>
  <c r="AC49" i="3"/>
  <c r="BJ84" i="3" s="1"/>
  <c r="AC59" i="3"/>
  <c r="BJ94" i="3" s="1"/>
  <c r="AC39" i="3"/>
  <c r="BJ74" i="3" s="1"/>
  <c r="AC63" i="3"/>
  <c r="BJ98" i="3" s="1"/>
  <c r="BK75" i="3"/>
  <c r="AC40" i="3"/>
  <c r="AG74" i="3"/>
  <c r="AG75" i="3" s="1"/>
  <c r="AG76" i="3" s="1"/>
  <c r="AG77" i="3" s="1"/>
  <c r="AG78" i="3" s="1"/>
  <c r="AG79" i="3" s="1"/>
  <c r="AG80" i="3" s="1"/>
  <c r="AG81" i="3" s="1"/>
  <c r="AG82" i="3" s="1"/>
  <c r="AG83" i="3" s="1"/>
  <c r="AG84" i="3" s="1"/>
  <c r="AG85" i="3" s="1"/>
  <c r="AG86" i="3" s="1"/>
  <c r="AG87" i="3" s="1"/>
  <c r="AG88" i="3" s="1"/>
  <c r="AG89" i="3" s="1"/>
  <c r="AG90" i="3" s="1"/>
  <c r="AG91" i="3" s="1"/>
  <c r="AG92" i="3" s="1"/>
  <c r="AG93" i="3" s="1"/>
  <c r="AG94" i="3" s="1"/>
  <c r="AG95" i="3" s="1"/>
  <c r="AG96" i="3" s="1"/>
  <c r="AG97" i="3" s="1"/>
  <c r="AG98" i="3" s="1"/>
  <c r="AG99" i="3" s="1"/>
  <c r="AG100" i="3" s="1"/>
  <c r="AG101" i="3" s="1"/>
  <c r="AG102" i="3" s="1"/>
  <c r="AG103" i="3" s="1"/>
  <c r="AG104" i="3" s="1"/>
  <c r="BK88" i="3"/>
  <c r="AC53" i="3"/>
  <c r="BK82" i="3"/>
  <c r="AC47" i="3"/>
  <c r="BK97" i="3"/>
  <c r="AC62" i="3"/>
  <c r="AB42" i="3"/>
  <c r="BI77" i="3" s="1"/>
  <c r="EB97" i="3"/>
  <c r="EB96" i="3" s="1"/>
  <c r="EB95" i="3" s="1"/>
  <c r="EB94" i="3" s="1"/>
  <c r="EB93" i="3" s="1"/>
  <c r="EB92" i="3" s="1"/>
  <c r="EB91" i="3" s="1"/>
  <c r="EB90" i="3" s="1"/>
  <c r="EB89" i="3" s="1"/>
  <c r="EB88" i="3" s="1"/>
  <c r="EB87" i="3" s="1"/>
  <c r="EB86" i="3" s="1"/>
  <c r="EB85" i="3" s="1"/>
  <c r="EB84" i="3" s="1"/>
  <c r="EB83" i="3" s="1"/>
  <c r="EB82" i="3" s="1"/>
  <c r="EB81" i="3" s="1"/>
  <c r="EB80" i="3" s="1"/>
  <c r="EB79" i="3" s="1"/>
  <c r="EC78" i="3"/>
  <c r="EC77" i="3" s="1"/>
  <c r="EC76" i="3" s="1"/>
  <c r="EC75" i="3" s="1"/>
  <c r="AF74" i="3" s="1"/>
  <c r="AF75" i="3" s="1"/>
  <c r="AF76" i="3" s="1"/>
  <c r="AF77" i="3" s="1"/>
  <c r="AF78" i="3" s="1"/>
  <c r="AF79" i="3" s="1"/>
  <c r="AF80" i="3" s="1"/>
  <c r="AF81" i="3" s="1"/>
  <c r="AF82" i="3" s="1"/>
  <c r="AF83" i="3" s="1"/>
  <c r="AF84" i="3" s="1"/>
  <c r="AF85" i="3" s="1"/>
  <c r="AF86" i="3" s="1"/>
  <c r="AF87" i="3" s="1"/>
  <c r="AF88" i="3" s="1"/>
  <c r="AF89" i="3" s="1"/>
  <c r="AF90" i="3" s="1"/>
  <c r="AF91" i="3" s="1"/>
  <c r="AF92" i="3" s="1"/>
  <c r="AF93" i="3" s="1"/>
  <c r="AF94" i="3" s="1"/>
  <c r="AF95" i="3" s="1"/>
  <c r="AF96" i="3" s="1"/>
  <c r="AF97" i="3" s="1"/>
  <c r="AF98" i="3" s="1"/>
  <c r="AF99" i="3" s="1"/>
  <c r="AF100" i="3" s="1"/>
  <c r="AF101" i="3" s="1"/>
  <c r="AF102" i="3" s="1"/>
  <c r="AF103" i="3" s="1"/>
  <c r="AF104" i="3" s="1"/>
  <c r="BK79" i="3"/>
  <c r="AC44" i="3"/>
  <c r="BK91" i="3"/>
  <c r="AC56" i="3"/>
  <c r="AD58" i="3"/>
  <c r="BK93" i="3" s="1"/>
  <c r="AC41" i="3"/>
  <c r="BJ76" i="3" s="1"/>
  <c r="AE43" i="3"/>
  <c r="BL78" i="3" s="1"/>
  <c r="AC54" i="3"/>
  <c r="BJ89" i="3" s="1"/>
  <c r="AC66" i="3"/>
  <c r="BJ101" i="3" s="1"/>
  <c r="AB69" i="3"/>
  <c r="BI104" i="3" s="1"/>
  <c r="AC65" i="3"/>
  <c r="BJ100" i="3" s="1"/>
  <c r="AC48" i="3"/>
  <c r="BJ83" i="3" s="1"/>
  <c r="AD57" i="3"/>
  <c r="BK92" i="3" s="1"/>
  <c r="AD51" i="3"/>
  <c r="BK86" i="3" s="1"/>
  <c r="AC64" i="3"/>
  <c r="BJ99" i="3" s="1"/>
  <c r="AC46" i="3"/>
  <c r="BJ81" i="3" s="1"/>
  <c r="C4" i="1"/>
  <c r="AG38" i="1" s="1"/>
  <c r="AB60" i="3" l="1"/>
  <c r="BI95" i="3" s="1"/>
  <c r="EG185" i="4"/>
  <c r="EH186" i="4"/>
  <c r="EI140" i="4"/>
  <c r="EI141" i="4" s="1"/>
  <c r="EI142" i="4" s="1"/>
  <c r="EI143" i="4" s="1"/>
  <c r="EI144" i="4" s="1"/>
  <c r="EI145" i="4" s="1"/>
  <c r="EI146" i="4" s="1"/>
  <c r="EI147" i="4" s="1"/>
  <c r="EI148" i="4" s="1"/>
  <c r="EI149" i="4" s="1"/>
  <c r="EI150" i="4" s="1"/>
  <c r="EI151" i="4" s="1"/>
  <c r="EI152" i="4" s="1"/>
  <c r="EI153" i="4" s="1"/>
  <c r="EI154" i="4" s="1"/>
  <c r="EI155" i="4" s="1"/>
  <c r="EI156" i="4" s="1"/>
  <c r="EI157" i="4" s="1"/>
  <c r="EI158" i="4" s="1"/>
  <c r="EI159" i="4" s="1"/>
  <c r="EI160" i="4" s="1"/>
  <c r="EI161" i="4" s="1"/>
  <c r="EI162" i="4" s="1"/>
  <c r="EI163" i="4" s="1"/>
  <c r="EI164" i="4" s="1"/>
  <c r="EI165" i="4" s="1"/>
  <c r="EI166" i="4" s="1"/>
  <c r="EI167" i="4" s="1"/>
  <c r="EI168" i="4" s="1"/>
  <c r="EI169" i="4" s="1"/>
  <c r="EI170" i="4" s="1"/>
  <c r="EI171" i="4" s="1"/>
  <c r="EI172" i="4" s="1"/>
  <c r="EI173" i="4" s="1"/>
  <c r="EI174" i="4" s="1"/>
  <c r="EI175" i="4" s="1"/>
  <c r="EI176" i="4" s="1"/>
  <c r="EI177" i="4" s="1"/>
  <c r="EI178" i="4" s="1"/>
  <c r="EI179" i="4" s="1"/>
  <c r="EI180" i="4" s="1"/>
  <c r="EI181" i="4" s="1"/>
  <c r="EI182" i="4" s="1"/>
  <c r="EI183" i="4" s="1"/>
  <c r="EI184" i="4" s="1"/>
  <c r="EI185" i="4" s="1"/>
  <c r="EI186" i="4" s="1"/>
  <c r="EI187" i="4" s="1"/>
  <c r="V124" i="4"/>
  <c r="BJ188" i="4"/>
  <c r="EK188" i="4" s="1"/>
  <c r="Y126" i="4"/>
  <c r="BM190" i="4"/>
  <c r="EN190" i="4" s="1"/>
  <c r="EN191" i="4" s="1"/>
  <c r="Z192" i="4" s="1"/>
  <c r="Z191" i="4" s="1"/>
  <c r="Z190" i="4" s="1"/>
  <c r="Z189" i="4" s="1"/>
  <c r="Z188" i="4" s="1"/>
  <c r="Z187" i="4" s="1"/>
  <c r="Z186" i="4" s="1"/>
  <c r="Z185" i="4" s="1"/>
  <c r="Z184" i="4" s="1"/>
  <c r="Z183" i="4" s="1"/>
  <c r="Z128" i="4"/>
  <c r="BN192" i="4"/>
  <c r="EO192" i="4" s="1"/>
  <c r="S123" i="4"/>
  <c r="BG187" i="4"/>
  <c r="Q121" i="4"/>
  <c r="BE185" i="4"/>
  <c r="EF185" i="4" s="1"/>
  <c r="X127" i="4"/>
  <c r="BL191" i="4"/>
  <c r="R122" i="4"/>
  <c r="BF186" i="4"/>
  <c r="AA192" i="4"/>
  <c r="AA191" i="4" s="1"/>
  <c r="AA190" i="4" s="1"/>
  <c r="AA189" i="4" s="1"/>
  <c r="AA188" i="4" s="1"/>
  <c r="AA187" i="4" s="1"/>
  <c r="AA186" i="4" s="1"/>
  <c r="AA185" i="4" s="1"/>
  <c r="W125" i="4"/>
  <c r="BK189" i="4"/>
  <c r="EL189" i="4" s="1"/>
  <c r="R145" i="4"/>
  <c r="BE144" i="4"/>
  <c r="R79" i="4"/>
  <c r="BE143" i="4" s="1"/>
  <c r="BF143" i="4"/>
  <c r="S77" i="4"/>
  <c r="BG141" i="4"/>
  <c r="R78" i="4"/>
  <c r="BF142" i="4"/>
  <c r="S76" i="4"/>
  <c r="BG140" i="4"/>
  <c r="S75" i="4"/>
  <c r="BG139" i="4"/>
  <c r="EH139" i="4" s="1"/>
  <c r="AB67" i="3"/>
  <c r="BI102" i="3" s="1"/>
  <c r="AB50" i="3"/>
  <c r="BI85" i="3" s="1"/>
  <c r="AB52" i="3"/>
  <c r="BI87" i="3" s="1"/>
  <c r="DZ102" i="3"/>
  <c r="DZ101" i="3" s="1"/>
  <c r="DZ100" i="3" s="1"/>
  <c r="DZ99" i="3" s="1"/>
  <c r="DZ98" i="3" s="1"/>
  <c r="EB78" i="3"/>
  <c r="EB77" i="3" s="1"/>
  <c r="EB76" i="3" s="1"/>
  <c r="EB75" i="3" s="1"/>
  <c r="AE74" i="3" s="1"/>
  <c r="AE75" i="3" s="1"/>
  <c r="AE76" i="3" s="1"/>
  <c r="AE77" i="3" s="1"/>
  <c r="AE78" i="3" s="1"/>
  <c r="AE79" i="3" s="1"/>
  <c r="AE80" i="3" s="1"/>
  <c r="AE81" i="3" s="1"/>
  <c r="AE82" i="3" s="1"/>
  <c r="AE83" i="3" s="1"/>
  <c r="AE84" i="3" s="1"/>
  <c r="AE85" i="3" s="1"/>
  <c r="AE86" i="3" s="1"/>
  <c r="AE87" i="3" s="1"/>
  <c r="AE88" i="3" s="1"/>
  <c r="AE89" i="3" s="1"/>
  <c r="AE90" i="3" s="1"/>
  <c r="AE91" i="3" s="1"/>
  <c r="AE92" i="3" s="1"/>
  <c r="AE93" i="3" s="1"/>
  <c r="AE94" i="3" s="1"/>
  <c r="AE95" i="3" s="1"/>
  <c r="AE96" i="3" s="1"/>
  <c r="AE97" i="3" s="1"/>
  <c r="AE98" i="3" s="1"/>
  <c r="AE99" i="3" s="1"/>
  <c r="AE100" i="3" s="1"/>
  <c r="AE101" i="3" s="1"/>
  <c r="AE102" i="3" s="1"/>
  <c r="AE103" i="3" s="1"/>
  <c r="AE104" i="3" s="1"/>
  <c r="AB68" i="3"/>
  <c r="BI103" i="3" s="1"/>
  <c r="DY103" i="3" s="1"/>
  <c r="AA55" i="3"/>
  <c r="BH90" i="3" s="1"/>
  <c r="BJ96" i="3"/>
  <c r="AB61" i="3"/>
  <c r="AB45" i="3"/>
  <c r="BI80" i="3" s="1"/>
  <c r="AB59" i="3"/>
  <c r="BI94" i="3" s="1"/>
  <c r="AB49" i="3"/>
  <c r="BI84" i="3" s="1"/>
  <c r="AB39" i="3"/>
  <c r="BI74" i="3" s="1"/>
  <c r="AB63" i="3"/>
  <c r="BI98" i="3" s="1"/>
  <c r="AA42" i="3"/>
  <c r="BH77" i="3" s="1"/>
  <c r="EA97" i="3"/>
  <c r="EA96" i="3" s="1"/>
  <c r="EA95" i="3" s="1"/>
  <c r="EA94" i="3" s="1"/>
  <c r="EA93" i="3" s="1"/>
  <c r="EA92" i="3" s="1"/>
  <c r="EA91" i="3" s="1"/>
  <c r="EA90" i="3" s="1"/>
  <c r="EA89" i="3" s="1"/>
  <c r="EA88" i="3" s="1"/>
  <c r="EA87" i="3" s="1"/>
  <c r="EA86" i="3" s="1"/>
  <c r="EA85" i="3" s="1"/>
  <c r="EA84" i="3" s="1"/>
  <c r="EA83" i="3" s="1"/>
  <c r="EA82" i="3" s="1"/>
  <c r="EA81" i="3" s="1"/>
  <c r="EA80" i="3" s="1"/>
  <c r="EA79" i="3" s="1"/>
  <c r="BJ75" i="3"/>
  <c r="AB40" i="3"/>
  <c r="BJ82" i="3"/>
  <c r="AB47" i="3"/>
  <c r="BJ88" i="3"/>
  <c r="AB53" i="3"/>
  <c r="BJ79" i="3"/>
  <c r="AB44" i="3"/>
  <c r="EC74" i="3"/>
  <c r="BJ97" i="3"/>
  <c r="AB62" i="3"/>
  <c r="BJ91" i="3"/>
  <c r="AB56" i="3"/>
  <c r="AB48" i="3"/>
  <c r="BI83" i="3" s="1"/>
  <c r="AA69" i="3"/>
  <c r="BH104" i="3" s="1"/>
  <c r="AB54" i="3"/>
  <c r="BI89" i="3" s="1"/>
  <c r="AB46" i="3"/>
  <c r="BI81" i="3" s="1"/>
  <c r="AB66" i="3"/>
  <c r="BI101" i="3" s="1"/>
  <c r="AC51" i="3"/>
  <c r="BJ86" i="3" s="1"/>
  <c r="AD43" i="3"/>
  <c r="BK78" i="3" s="1"/>
  <c r="AA60" i="3"/>
  <c r="BH95" i="3" s="1"/>
  <c r="AB64" i="3"/>
  <c r="BI99" i="3" s="1"/>
  <c r="AC57" i="3"/>
  <c r="BJ92" i="3" s="1"/>
  <c r="AB41" i="3"/>
  <c r="BI76" i="3" s="1"/>
  <c r="AB65" i="3"/>
  <c r="BI100" i="3" s="1"/>
  <c r="AC58" i="3"/>
  <c r="BJ93" i="3" s="1"/>
  <c r="AE25" i="1"/>
  <c r="W25" i="1"/>
  <c r="O25" i="1"/>
  <c r="K37" i="1"/>
  <c r="S37" i="1"/>
  <c r="AA37" i="1"/>
  <c r="AI37" i="1"/>
  <c r="O38" i="1"/>
  <c r="W38" i="1"/>
  <c r="AE38" i="1"/>
  <c r="AD25" i="1"/>
  <c r="P38" i="1"/>
  <c r="U25" i="1"/>
  <c r="M37" i="1"/>
  <c r="U37" i="1"/>
  <c r="AC37" i="1"/>
  <c r="I38" i="1"/>
  <c r="Q38" i="1"/>
  <c r="Y38" i="1"/>
  <c r="C14" i="1"/>
  <c r="C16" i="1"/>
  <c r="G27" i="1"/>
  <c r="H27" i="1" s="1"/>
  <c r="I27" i="1" s="1"/>
  <c r="J27" i="1" s="1"/>
  <c r="K27" i="1" s="1"/>
  <c r="L27" i="1" s="1"/>
  <c r="M27" i="1" s="1"/>
  <c r="N27" i="1" s="1"/>
  <c r="O27" i="1" s="1"/>
  <c r="P27" i="1" s="1"/>
  <c r="Q27" i="1" s="1"/>
  <c r="R27" i="1" s="1"/>
  <c r="S27" i="1" s="1"/>
  <c r="T27" i="1" s="1"/>
  <c r="U27" i="1" s="1"/>
  <c r="V27" i="1" s="1"/>
  <c r="W27" i="1" s="1"/>
  <c r="X27" i="1" s="1"/>
  <c r="Y27" i="1" s="1"/>
  <c r="Z27" i="1" s="1"/>
  <c r="AA27" i="1" s="1"/>
  <c r="AB27" i="1" s="1"/>
  <c r="AC27" i="1" s="1"/>
  <c r="AD27" i="1" s="1"/>
  <c r="AE27" i="1" s="1"/>
  <c r="AF27" i="1" s="1"/>
  <c r="AG27" i="1" s="1"/>
  <c r="AH27" i="1" s="1"/>
  <c r="AI27" i="1" s="1"/>
  <c r="AJ27" i="1" s="1"/>
  <c r="J4" i="1"/>
  <c r="F35" i="1"/>
  <c r="G38" i="1" s="1"/>
  <c r="L37" i="1"/>
  <c r="X38" i="1"/>
  <c r="T25" i="1"/>
  <c r="L25" i="1"/>
  <c r="N37" i="1"/>
  <c r="V37" i="1"/>
  <c r="AD37" i="1"/>
  <c r="J38" i="1"/>
  <c r="R38" i="1"/>
  <c r="Z38" i="1"/>
  <c r="AH38" i="1"/>
  <c r="H38" i="1"/>
  <c r="AC25" i="1"/>
  <c r="AI25" i="1"/>
  <c r="AA25" i="1"/>
  <c r="S25" i="1"/>
  <c r="K25" i="1"/>
  <c r="G34" i="1"/>
  <c r="H34" i="1" s="1"/>
  <c r="I34" i="1" s="1"/>
  <c r="J34" i="1" s="1"/>
  <c r="K34" i="1" s="1"/>
  <c r="L34" i="1" s="1"/>
  <c r="M34" i="1" s="1"/>
  <c r="N34" i="1" s="1"/>
  <c r="O34" i="1" s="1"/>
  <c r="P34" i="1" s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AB34" i="1" s="1"/>
  <c r="AC34" i="1" s="1"/>
  <c r="AD34" i="1" s="1"/>
  <c r="AE34" i="1" s="1"/>
  <c r="AF34" i="1" s="1"/>
  <c r="AG34" i="1" s="1"/>
  <c r="AH34" i="1" s="1"/>
  <c r="AI34" i="1" s="1"/>
  <c r="AJ34" i="1" s="1"/>
  <c r="O37" i="1"/>
  <c r="W37" i="1"/>
  <c r="AE37" i="1"/>
  <c r="K38" i="1"/>
  <c r="S38" i="1"/>
  <c r="AA38" i="1"/>
  <c r="AI38" i="1"/>
  <c r="AF38" i="1"/>
  <c r="G21" i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H25" i="1"/>
  <c r="R25" i="1"/>
  <c r="J25" i="1"/>
  <c r="H37" i="1"/>
  <c r="P37" i="1"/>
  <c r="X37" i="1"/>
  <c r="AF37" i="1"/>
  <c r="L38" i="1"/>
  <c r="T38" i="1"/>
  <c r="AB38" i="1"/>
  <c r="F41" i="1"/>
  <c r="N25" i="1"/>
  <c r="T37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B25" i="1"/>
  <c r="Z25" i="1"/>
  <c r="AG25" i="1"/>
  <c r="Y25" i="1"/>
  <c r="Q25" i="1"/>
  <c r="I25" i="1"/>
  <c r="I37" i="1"/>
  <c r="Q37" i="1"/>
  <c r="Y37" i="1"/>
  <c r="AG37" i="1"/>
  <c r="M38" i="1"/>
  <c r="U38" i="1"/>
  <c r="AC38" i="1"/>
  <c r="V25" i="1"/>
  <c r="AB37" i="1"/>
  <c r="M25" i="1"/>
  <c r="AF25" i="1"/>
  <c r="X25" i="1"/>
  <c r="P25" i="1"/>
  <c r="H25" i="1"/>
  <c r="J37" i="1"/>
  <c r="R37" i="1"/>
  <c r="Z37" i="1"/>
  <c r="AH37" i="1"/>
  <c r="N38" i="1"/>
  <c r="V38" i="1"/>
  <c r="AD38" i="1"/>
  <c r="EG186" i="4" l="1"/>
  <c r="EH187" i="4"/>
  <c r="BI188" i="4"/>
  <c r="EJ188" i="4" s="1"/>
  <c r="U124" i="4"/>
  <c r="X126" i="4"/>
  <c r="BL190" i="4"/>
  <c r="EM190" i="4" s="1"/>
  <c r="EM191" i="4" s="1"/>
  <c r="Y192" i="4" s="1"/>
  <c r="Y191" i="4" s="1"/>
  <c r="Y190" i="4" s="1"/>
  <c r="Y189" i="4" s="1"/>
  <c r="Y188" i="4" s="1"/>
  <c r="Y187" i="4" s="1"/>
  <c r="Y186" i="4" s="1"/>
  <c r="Y185" i="4" s="1"/>
  <c r="Y184" i="4" s="1"/>
  <c r="Y183" i="4" s="1"/>
  <c r="Y182" i="4" s="1"/>
  <c r="Y181" i="4" s="1"/>
  <c r="Y128" i="4"/>
  <c r="BM192" i="4"/>
  <c r="EN192" i="4" s="1"/>
  <c r="Q122" i="4"/>
  <c r="BE186" i="4"/>
  <c r="EF186" i="4" s="1"/>
  <c r="BD185" i="4"/>
  <c r="Q184" i="4"/>
  <c r="EE184" i="4" s="1"/>
  <c r="R123" i="4"/>
  <c r="BF187" i="4"/>
  <c r="V125" i="4"/>
  <c r="BJ189" i="4"/>
  <c r="EK189" i="4" s="1"/>
  <c r="W127" i="4"/>
  <c r="BK191" i="4"/>
  <c r="R76" i="4"/>
  <c r="BF140" i="4"/>
  <c r="EH140" i="4"/>
  <c r="EH141" i="4" s="1"/>
  <c r="EH142" i="4" s="1"/>
  <c r="EH143" i="4" s="1"/>
  <c r="EH144" i="4" s="1"/>
  <c r="EH145" i="4" s="1"/>
  <c r="EH146" i="4" s="1"/>
  <c r="EH147" i="4" s="1"/>
  <c r="EH148" i="4" s="1"/>
  <c r="Q78" i="4"/>
  <c r="BD142" i="4" s="1"/>
  <c r="BE142" i="4"/>
  <c r="R77" i="4"/>
  <c r="BF141" i="4"/>
  <c r="R75" i="4"/>
  <c r="BF139" i="4"/>
  <c r="EG139" i="4" s="1"/>
  <c r="AA52" i="3"/>
  <c r="BH87" i="3" s="1"/>
  <c r="AA67" i="3"/>
  <c r="BH102" i="3" s="1"/>
  <c r="AA50" i="3"/>
  <c r="BH85" i="3" s="1"/>
  <c r="DY102" i="3"/>
  <c r="DY101" i="3" s="1"/>
  <c r="DY100" i="3" s="1"/>
  <c r="DY99" i="3" s="1"/>
  <c r="DY98" i="3" s="1"/>
  <c r="Z55" i="3"/>
  <c r="BG90" i="3" s="1"/>
  <c r="EB74" i="3"/>
  <c r="AA68" i="3"/>
  <c r="BH103" i="3" s="1"/>
  <c r="DX103" i="3" s="1"/>
  <c r="AA45" i="3"/>
  <c r="BH80" i="3" s="1"/>
  <c r="BI96" i="3"/>
  <c r="AA61" i="3"/>
  <c r="AA59" i="3"/>
  <c r="BH94" i="3" s="1"/>
  <c r="Z42" i="3"/>
  <c r="BG77" i="3" s="1"/>
  <c r="AA49" i="3"/>
  <c r="BH84" i="3" s="1"/>
  <c r="AA39" i="3"/>
  <c r="BH74" i="3" s="1"/>
  <c r="AA63" i="3"/>
  <c r="BH98" i="3" s="1"/>
  <c r="BI75" i="3"/>
  <c r="AA40" i="3"/>
  <c r="BI88" i="3"/>
  <c r="AA53" i="3"/>
  <c r="DZ97" i="3"/>
  <c r="DZ96" i="3" s="1"/>
  <c r="DZ95" i="3" s="1"/>
  <c r="DZ94" i="3" s="1"/>
  <c r="DZ93" i="3" s="1"/>
  <c r="DZ92" i="3" s="1"/>
  <c r="DZ91" i="3" s="1"/>
  <c r="DZ90" i="3" s="1"/>
  <c r="DZ89" i="3" s="1"/>
  <c r="DZ88" i="3" s="1"/>
  <c r="DZ87" i="3" s="1"/>
  <c r="DZ86" i="3" s="1"/>
  <c r="DZ85" i="3" s="1"/>
  <c r="DZ84" i="3" s="1"/>
  <c r="DZ83" i="3" s="1"/>
  <c r="DZ82" i="3" s="1"/>
  <c r="DZ81" i="3" s="1"/>
  <c r="DZ80" i="3" s="1"/>
  <c r="DZ79" i="3" s="1"/>
  <c r="BI82" i="3"/>
  <c r="AA47" i="3"/>
  <c r="EA78" i="3"/>
  <c r="EA77" i="3" s="1"/>
  <c r="EA76" i="3" s="1"/>
  <c r="EA75" i="3" s="1"/>
  <c r="EA74" i="3" s="1"/>
  <c r="BI91" i="3"/>
  <c r="AA56" i="3"/>
  <c r="BI97" i="3"/>
  <c r="AA62" i="3"/>
  <c r="BI79" i="3"/>
  <c r="AA44" i="3"/>
  <c r="AA65" i="3"/>
  <c r="BH100" i="3" s="1"/>
  <c r="AC43" i="3"/>
  <c r="BJ78" i="3" s="1"/>
  <c r="AA46" i="3"/>
  <c r="BH81" i="3" s="1"/>
  <c r="Z69" i="3"/>
  <c r="BG104" i="3" s="1"/>
  <c r="AB58" i="3"/>
  <c r="BI93" i="3" s="1"/>
  <c r="AA48" i="3"/>
  <c r="BH83" i="3" s="1"/>
  <c r="AA64" i="3"/>
  <c r="BH99" i="3" s="1"/>
  <c r="AB51" i="3"/>
  <c r="BI86" i="3" s="1"/>
  <c r="AB57" i="3"/>
  <c r="BI92" i="3" s="1"/>
  <c r="AA41" i="3"/>
  <c r="BH76" i="3" s="1"/>
  <c r="Z60" i="3"/>
  <c r="BG95" i="3" s="1"/>
  <c r="AA66" i="3"/>
  <c r="BH101" i="3" s="1"/>
  <c r="AA54" i="3"/>
  <c r="BH89" i="3" s="1"/>
  <c r="G18" i="1"/>
  <c r="F28" i="1"/>
  <c r="G28" i="1" s="1"/>
  <c r="H28" i="1" s="1"/>
  <c r="I28" i="1" s="1"/>
  <c r="J28" i="1" s="1"/>
  <c r="K28" i="1" s="1"/>
  <c r="L28" i="1" s="1"/>
  <c r="M28" i="1" s="1"/>
  <c r="N28" i="1" s="1"/>
  <c r="O28" i="1" s="1"/>
  <c r="P28" i="1" s="1"/>
  <c r="Q28" i="1" s="1"/>
  <c r="R28" i="1" s="1"/>
  <c r="S28" i="1" s="1"/>
  <c r="T28" i="1" s="1"/>
  <c r="U28" i="1" s="1"/>
  <c r="V28" i="1" s="1"/>
  <c r="W28" i="1" s="1"/>
  <c r="X28" i="1" s="1"/>
  <c r="Y28" i="1" s="1"/>
  <c r="Z28" i="1" s="1"/>
  <c r="AA28" i="1" s="1"/>
  <c r="AB28" i="1" s="1"/>
  <c r="AC28" i="1" s="1"/>
  <c r="AD28" i="1" s="1"/>
  <c r="AE28" i="1" s="1"/>
  <c r="AF28" i="1" s="1"/>
  <c r="AG28" i="1" s="1"/>
  <c r="AH28" i="1" s="1"/>
  <c r="AI28" i="1" s="1"/>
  <c r="F26" i="1"/>
  <c r="G17" i="1"/>
  <c r="G37" i="1"/>
  <c r="EG187" i="4" l="1"/>
  <c r="EG140" i="4"/>
  <c r="EG141" i="4" s="1"/>
  <c r="EG142" i="4" s="1"/>
  <c r="EG143" i="4" s="1"/>
  <c r="EG144" i="4" s="1"/>
  <c r="EG145" i="4" s="1"/>
  <c r="EG146" i="4" s="1"/>
  <c r="T124" i="4"/>
  <c r="BH188" i="4"/>
  <c r="EI188" i="4" s="1"/>
  <c r="W126" i="4"/>
  <c r="BK190" i="4"/>
  <c r="EL190" i="4" s="1"/>
  <c r="EL191" i="4" s="1"/>
  <c r="X192" i="4" s="1"/>
  <c r="X191" i="4" s="1"/>
  <c r="X190" i="4" s="1"/>
  <c r="X189" i="4" s="1"/>
  <c r="X188" i="4" s="1"/>
  <c r="X187" i="4" s="1"/>
  <c r="X186" i="4" s="1"/>
  <c r="X185" i="4" s="1"/>
  <c r="X184" i="4" s="1"/>
  <c r="X183" i="4" s="1"/>
  <c r="X182" i="4" s="1"/>
  <c r="X181" i="4" s="1"/>
  <c r="X180" i="4" s="1"/>
  <c r="X179" i="4" s="1"/>
  <c r="X178" i="4" s="1"/>
  <c r="BL192" i="4"/>
  <c r="EM192" i="4" s="1"/>
  <c r="X128" i="4"/>
  <c r="U125" i="4"/>
  <c r="BI189" i="4"/>
  <c r="EJ189" i="4" s="1"/>
  <c r="V127" i="4"/>
  <c r="BJ191" i="4"/>
  <c r="P122" i="4"/>
  <c r="BD186" i="4"/>
  <c r="Q123" i="4"/>
  <c r="BE187" i="4"/>
  <c r="EF187" i="4" s="1"/>
  <c r="EE185" i="4"/>
  <c r="Q77" i="4"/>
  <c r="BD141" i="4" s="1"/>
  <c r="BE141" i="4"/>
  <c r="T147" i="4"/>
  <c r="T146" i="4" s="1"/>
  <c r="T145" i="4" s="1"/>
  <c r="T144" i="4" s="1"/>
  <c r="T143" i="4" s="1"/>
  <c r="T142" i="4" s="1"/>
  <c r="T141" i="4" s="1"/>
  <c r="T140" i="4" s="1"/>
  <c r="T139" i="4" s="1"/>
  <c r="Q76" i="4"/>
  <c r="BD140" i="4" s="1"/>
  <c r="BE140" i="4"/>
  <c r="Q75" i="4"/>
  <c r="BD139" i="4" s="1"/>
  <c r="EE139" i="4" s="1"/>
  <c r="BE139" i="4"/>
  <c r="EF139" i="4" s="1"/>
  <c r="Z52" i="3"/>
  <c r="BG87" i="3" s="1"/>
  <c r="DX102" i="3"/>
  <c r="DX101" i="3" s="1"/>
  <c r="DX100" i="3" s="1"/>
  <c r="DX99" i="3" s="1"/>
  <c r="DX98" i="3" s="1"/>
  <c r="Z67" i="3"/>
  <c r="BG102" i="3" s="1"/>
  <c r="Z50" i="3"/>
  <c r="BG85" i="3" s="1"/>
  <c r="Y55" i="3"/>
  <c r="BF90" i="3" s="1"/>
  <c r="Z45" i="3"/>
  <c r="BG80" i="3" s="1"/>
  <c r="Z68" i="3"/>
  <c r="BG103" i="3" s="1"/>
  <c r="DW103" i="3" s="1"/>
  <c r="DW102" i="3" s="1"/>
  <c r="DZ78" i="3"/>
  <c r="DZ77" i="3" s="1"/>
  <c r="DZ76" i="3" s="1"/>
  <c r="DZ75" i="3" s="1"/>
  <c r="DZ74" i="3" s="1"/>
  <c r="Z59" i="3"/>
  <c r="BG94" i="3" s="1"/>
  <c r="Y42" i="3"/>
  <c r="BF77" i="3" s="1"/>
  <c r="Z39" i="3"/>
  <c r="BG74" i="3" s="1"/>
  <c r="BH96" i="3"/>
  <c r="Z61" i="3"/>
  <c r="Z49" i="3"/>
  <c r="BG84" i="3" s="1"/>
  <c r="Z63" i="3"/>
  <c r="BG98" i="3" s="1"/>
  <c r="DY97" i="3"/>
  <c r="DY96" i="3" s="1"/>
  <c r="DY95" i="3" s="1"/>
  <c r="DY94" i="3" s="1"/>
  <c r="DY93" i="3" s="1"/>
  <c r="DY92" i="3" s="1"/>
  <c r="DY91" i="3" s="1"/>
  <c r="DY90" i="3" s="1"/>
  <c r="DY89" i="3" s="1"/>
  <c r="DY88" i="3" s="1"/>
  <c r="DY87" i="3" s="1"/>
  <c r="DY86" i="3" s="1"/>
  <c r="DY85" i="3" s="1"/>
  <c r="DY84" i="3" s="1"/>
  <c r="DY83" i="3" s="1"/>
  <c r="DY82" i="3" s="1"/>
  <c r="DY81" i="3" s="1"/>
  <c r="DY80" i="3" s="1"/>
  <c r="DY79" i="3" s="1"/>
  <c r="BH75" i="3"/>
  <c r="Z40" i="3"/>
  <c r="AD74" i="3"/>
  <c r="AD75" i="3" s="1"/>
  <c r="AD76" i="3" s="1"/>
  <c r="AD77" i="3" s="1"/>
  <c r="AD78" i="3" s="1"/>
  <c r="AD79" i="3" s="1"/>
  <c r="AD80" i="3" s="1"/>
  <c r="AD81" i="3" s="1"/>
  <c r="AD82" i="3" s="1"/>
  <c r="AD83" i="3" s="1"/>
  <c r="AD84" i="3" s="1"/>
  <c r="AD85" i="3" s="1"/>
  <c r="AD86" i="3" s="1"/>
  <c r="AD87" i="3" s="1"/>
  <c r="AD88" i="3" s="1"/>
  <c r="AD89" i="3" s="1"/>
  <c r="AD90" i="3" s="1"/>
  <c r="AD91" i="3" s="1"/>
  <c r="AD92" i="3" s="1"/>
  <c r="AD93" i="3" s="1"/>
  <c r="AD94" i="3" s="1"/>
  <c r="AD95" i="3" s="1"/>
  <c r="AD96" i="3" s="1"/>
  <c r="AD97" i="3" s="1"/>
  <c r="AD98" i="3" s="1"/>
  <c r="AD99" i="3" s="1"/>
  <c r="AD100" i="3" s="1"/>
  <c r="AD101" i="3" s="1"/>
  <c r="AD102" i="3" s="1"/>
  <c r="AD103" i="3" s="1"/>
  <c r="AD104" i="3" s="1"/>
  <c r="BH82" i="3"/>
  <c r="Z47" i="3"/>
  <c r="BH88" i="3"/>
  <c r="Z53" i="3"/>
  <c r="BH79" i="3"/>
  <c r="Z44" i="3"/>
  <c r="BH97" i="3"/>
  <c r="Z62" i="3"/>
  <c r="BH91" i="3"/>
  <c r="Z56" i="3"/>
  <c r="Y60" i="3"/>
  <c r="BF95" i="3" s="1"/>
  <c r="Y69" i="3"/>
  <c r="BF104" i="3" s="1"/>
  <c r="Z65" i="3"/>
  <c r="BG100" i="3" s="1"/>
  <c r="Z64" i="3"/>
  <c r="BG99" i="3" s="1"/>
  <c r="Z41" i="3"/>
  <c r="BG76" i="3" s="1"/>
  <c r="Z46" i="3"/>
  <c r="BG81" i="3" s="1"/>
  <c r="AA58" i="3"/>
  <c r="BH93" i="3" s="1"/>
  <c r="Z66" i="3"/>
  <c r="BG101" i="3" s="1"/>
  <c r="Z54" i="3"/>
  <c r="BG89" i="3" s="1"/>
  <c r="AA57" i="3"/>
  <c r="BH92" i="3" s="1"/>
  <c r="AA51" i="3"/>
  <c r="BH86" i="3" s="1"/>
  <c r="Z48" i="3"/>
  <c r="BG83" i="3" s="1"/>
  <c r="AB43" i="3"/>
  <c r="BI78" i="3" s="1"/>
  <c r="H18" i="1"/>
  <c r="H17" i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I17" i="1" s="1"/>
  <c r="AJ17" i="1" s="1"/>
  <c r="AJ28" i="1"/>
  <c r="AI24" i="1"/>
  <c r="AH24" i="1" s="1"/>
  <c r="AG24" i="1" s="1"/>
  <c r="AF24" i="1" s="1"/>
  <c r="AE24" i="1" s="1"/>
  <c r="AD24" i="1" s="1"/>
  <c r="AC24" i="1" s="1"/>
  <c r="AB24" i="1" s="1"/>
  <c r="AA24" i="1" s="1"/>
  <c r="Z24" i="1" s="1"/>
  <c r="Y24" i="1" s="1"/>
  <c r="X24" i="1" s="1"/>
  <c r="W24" i="1" s="1"/>
  <c r="V24" i="1" s="1"/>
  <c r="U24" i="1" s="1"/>
  <c r="T24" i="1" s="1"/>
  <c r="S24" i="1" s="1"/>
  <c r="R24" i="1" s="1"/>
  <c r="Q24" i="1" s="1"/>
  <c r="P24" i="1" s="1"/>
  <c r="O24" i="1" s="1"/>
  <c r="N24" i="1" s="1"/>
  <c r="M24" i="1" s="1"/>
  <c r="L24" i="1" s="1"/>
  <c r="K24" i="1" s="1"/>
  <c r="J24" i="1" s="1"/>
  <c r="I24" i="1" s="1"/>
  <c r="H24" i="1" s="1"/>
  <c r="G24" i="1" s="1"/>
  <c r="Y52" i="3" l="1"/>
  <c r="BF87" i="3" s="1"/>
  <c r="EE186" i="4"/>
  <c r="S145" i="4"/>
  <c r="S144" i="4" s="1"/>
  <c r="S143" i="4" s="1"/>
  <c r="S142" i="4" s="1"/>
  <c r="S141" i="4" s="1"/>
  <c r="S140" i="4" s="1"/>
  <c r="S139" i="4" s="1"/>
  <c r="S124" i="4"/>
  <c r="BG188" i="4"/>
  <c r="EH188" i="4" s="1"/>
  <c r="V126" i="4"/>
  <c r="BJ190" i="4"/>
  <c r="EK190" i="4" s="1"/>
  <c r="EK191" i="4" s="1"/>
  <c r="W192" i="4" s="1"/>
  <c r="W191" i="4" s="1"/>
  <c r="W190" i="4" s="1"/>
  <c r="W189" i="4" s="1"/>
  <c r="W188" i="4" s="1"/>
  <c r="W187" i="4" s="1"/>
  <c r="W186" i="4" s="1"/>
  <c r="W185" i="4" s="1"/>
  <c r="W184" i="4" s="1"/>
  <c r="W183" i="4" s="1"/>
  <c r="W182" i="4" s="1"/>
  <c r="W181" i="4" s="1"/>
  <c r="W180" i="4" s="1"/>
  <c r="W179" i="4" s="1"/>
  <c r="W178" i="4" s="1"/>
  <c r="W177" i="4" s="1"/>
  <c r="W176" i="4" s="1"/>
  <c r="W175" i="4" s="1"/>
  <c r="W174" i="4" s="1"/>
  <c r="W173" i="4" s="1"/>
  <c r="W172" i="4" s="1"/>
  <c r="W171" i="4" s="1"/>
  <c r="W170" i="4" s="1"/>
  <c r="W169" i="4" s="1"/>
  <c r="W168" i="4" s="1"/>
  <c r="W167" i="4" s="1"/>
  <c r="W166" i="4" s="1"/>
  <c r="W165" i="4" s="1"/>
  <c r="W164" i="4" s="1"/>
  <c r="W163" i="4" s="1"/>
  <c r="W162" i="4" s="1"/>
  <c r="W161" i="4" s="1"/>
  <c r="W160" i="4" s="1"/>
  <c r="W159" i="4" s="1"/>
  <c r="W158" i="4" s="1"/>
  <c r="W157" i="4" s="1"/>
  <c r="W156" i="4" s="1"/>
  <c r="W155" i="4" s="1"/>
  <c r="W154" i="4" s="1"/>
  <c r="W153" i="4" s="1"/>
  <c r="W152" i="4" s="1"/>
  <c r="W151" i="4" s="1"/>
  <c r="W150" i="4" s="1"/>
  <c r="W149" i="4" s="1"/>
  <c r="W148" i="4" s="1"/>
  <c r="W147" i="4" s="1"/>
  <c r="W146" i="4" s="1"/>
  <c r="W145" i="4" s="1"/>
  <c r="W144" i="4" s="1"/>
  <c r="W143" i="4" s="1"/>
  <c r="W142" i="4" s="1"/>
  <c r="W141" i="4" s="1"/>
  <c r="W140" i="4" s="1"/>
  <c r="W139" i="4" s="1"/>
  <c r="W128" i="4"/>
  <c r="BK192" i="4"/>
  <c r="EL192" i="4" s="1"/>
  <c r="BI191" i="4"/>
  <c r="U127" i="4"/>
  <c r="T125" i="4"/>
  <c r="BH189" i="4"/>
  <c r="EI189" i="4" s="1"/>
  <c r="P123" i="4"/>
  <c r="BD187" i="4"/>
  <c r="P185" i="4"/>
  <c r="ED185" i="4" s="1"/>
  <c r="BC186" i="4"/>
  <c r="EF140" i="4"/>
  <c r="EF141" i="4" s="1"/>
  <c r="EF142" i="4" s="1"/>
  <c r="EF143" i="4" s="1"/>
  <c r="EF144" i="4" s="1"/>
  <c r="R144" i="4" s="1"/>
  <c r="R143" i="4" s="1"/>
  <c r="R142" i="4" s="1"/>
  <c r="R141" i="4" s="1"/>
  <c r="R140" i="4" s="1"/>
  <c r="R139" i="4" s="1"/>
  <c r="EE140" i="4"/>
  <c r="EE141" i="4" s="1"/>
  <c r="EE142" i="4" s="1"/>
  <c r="EE143" i="4" s="1"/>
  <c r="EE144" i="4" s="1"/>
  <c r="Y50" i="3"/>
  <c r="BF85" i="3" s="1"/>
  <c r="Y67" i="3"/>
  <c r="BF102" i="3" s="1"/>
  <c r="X55" i="3"/>
  <c r="BE90" i="3" s="1"/>
  <c r="Y68" i="3"/>
  <c r="BF103" i="3" s="1"/>
  <c r="DV103" i="3" s="1"/>
  <c r="Y45" i="3"/>
  <c r="BF80" i="3" s="1"/>
  <c r="Y39" i="3"/>
  <c r="BF74" i="3" s="1"/>
  <c r="X42" i="3"/>
  <c r="BE77" i="3" s="1"/>
  <c r="AC74" i="3"/>
  <c r="AC75" i="3" s="1"/>
  <c r="AC76" i="3" s="1"/>
  <c r="AC77" i="3" s="1"/>
  <c r="AC78" i="3" s="1"/>
  <c r="AC79" i="3" s="1"/>
  <c r="AC80" i="3" s="1"/>
  <c r="AC81" i="3" s="1"/>
  <c r="AC82" i="3" s="1"/>
  <c r="AC83" i="3" s="1"/>
  <c r="AC84" i="3" s="1"/>
  <c r="AC85" i="3" s="1"/>
  <c r="AC86" i="3" s="1"/>
  <c r="AC87" i="3" s="1"/>
  <c r="AC88" i="3" s="1"/>
  <c r="AC89" i="3" s="1"/>
  <c r="AC90" i="3" s="1"/>
  <c r="AC91" i="3" s="1"/>
  <c r="AC92" i="3" s="1"/>
  <c r="AC93" i="3" s="1"/>
  <c r="AC94" i="3" s="1"/>
  <c r="AC95" i="3" s="1"/>
  <c r="AC96" i="3" s="1"/>
  <c r="AC97" i="3" s="1"/>
  <c r="AC98" i="3" s="1"/>
  <c r="AC99" i="3" s="1"/>
  <c r="AC100" i="3" s="1"/>
  <c r="AC101" i="3" s="1"/>
  <c r="AC102" i="3" s="1"/>
  <c r="AC103" i="3" s="1"/>
  <c r="AC104" i="3" s="1"/>
  <c r="Y63" i="3"/>
  <c r="BF98" i="3" s="1"/>
  <c r="Y59" i="3"/>
  <c r="BF94" i="3" s="1"/>
  <c r="Y49" i="3"/>
  <c r="BF84" i="3" s="1"/>
  <c r="BG96" i="3"/>
  <c r="Y61" i="3"/>
  <c r="DX97" i="3"/>
  <c r="DX96" i="3" s="1"/>
  <c r="DX95" i="3" s="1"/>
  <c r="DX94" i="3" s="1"/>
  <c r="DX93" i="3" s="1"/>
  <c r="DX92" i="3" s="1"/>
  <c r="DX91" i="3" s="1"/>
  <c r="DX90" i="3" s="1"/>
  <c r="DX89" i="3" s="1"/>
  <c r="DX88" i="3" s="1"/>
  <c r="DX87" i="3" s="1"/>
  <c r="DX86" i="3" s="1"/>
  <c r="DX85" i="3" s="1"/>
  <c r="DX84" i="3" s="1"/>
  <c r="DX83" i="3" s="1"/>
  <c r="DX82" i="3" s="1"/>
  <c r="DX81" i="3" s="1"/>
  <c r="DX80" i="3" s="1"/>
  <c r="DX79" i="3" s="1"/>
  <c r="DW101" i="3"/>
  <c r="DW100" i="3" s="1"/>
  <c r="DW99" i="3" s="1"/>
  <c r="DW98" i="3" s="1"/>
  <c r="BG75" i="3"/>
  <c r="Y40" i="3"/>
  <c r="BG88" i="3"/>
  <c r="Y53" i="3"/>
  <c r="BG82" i="3"/>
  <c r="Y47" i="3"/>
  <c r="BG97" i="3"/>
  <c r="Y62" i="3"/>
  <c r="BG79" i="3"/>
  <c r="Y44" i="3"/>
  <c r="DY78" i="3"/>
  <c r="DY77" i="3" s="1"/>
  <c r="DY76" i="3" s="1"/>
  <c r="DY75" i="3" s="1"/>
  <c r="AB74" i="3" s="1"/>
  <c r="AB75" i="3" s="1"/>
  <c r="AB76" i="3" s="1"/>
  <c r="AB77" i="3" s="1"/>
  <c r="AB78" i="3" s="1"/>
  <c r="AB79" i="3" s="1"/>
  <c r="AB80" i="3" s="1"/>
  <c r="AB81" i="3" s="1"/>
  <c r="AB82" i="3" s="1"/>
  <c r="AB83" i="3" s="1"/>
  <c r="AB84" i="3" s="1"/>
  <c r="AB85" i="3" s="1"/>
  <c r="AB86" i="3" s="1"/>
  <c r="AB87" i="3" s="1"/>
  <c r="AB88" i="3" s="1"/>
  <c r="AB89" i="3" s="1"/>
  <c r="AB90" i="3" s="1"/>
  <c r="AB91" i="3" s="1"/>
  <c r="AB92" i="3" s="1"/>
  <c r="AB93" i="3" s="1"/>
  <c r="AB94" i="3" s="1"/>
  <c r="AB95" i="3" s="1"/>
  <c r="AB96" i="3" s="1"/>
  <c r="AB97" i="3" s="1"/>
  <c r="AB98" i="3" s="1"/>
  <c r="AB99" i="3" s="1"/>
  <c r="AB100" i="3" s="1"/>
  <c r="AB101" i="3" s="1"/>
  <c r="AB102" i="3" s="1"/>
  <c r="AB103" i="3" s="1"/>
  <c r="AB104" i="3" s="1"/>
  <c r="BG91" i="3"/>
  <c r="Y56" i="3"/>
  <c r="Z51" i="3"/>
  <c r="BG86" i="3" s="1"/>
  <c r="Y54" i="3"/>
  <c r="BF89" i="3" s="1"/>
  <c r="Z58" i="3"/>
  <c r="BG93" i="3" s="1"/>
  <c r="X69" i="3"/>
  <c r="BE104" i="3" s="1"/>
  <c r="AA43" i="3"/>
  <c r="BH78" i="3" s="1"/>
  <c r="Z57" i="3"/>
  <c r="BG92" i="3" s="1"/>
  <c r="Y66" i="3"/>
  <c r="BF101" i="3" s="1"/>
  <c r="Y46" i="3"/>
  <c r="BF81" i="3" s="1"/>
  <c r="Y64" i="3"/>
  <c r="BF99" i="3" s="1"/>
  <c r="X60" i="3"/>
  <c r="BE95" i="3" s="1"/>
  <c r="Y48" i="3"/>
  <c r="BF83" i="3" s="1"/>
  <c r="Y41" i="3"/>
  <c r="BF76" i="3" s="1"/>
  <c r="Y65" i="3"/>
  <c r="BF100" i="3" s="1"/>
  <c r="I18" i="1"/>
  <c r="J18" i="1" s="1"/>
  <c r="K18" i="1" s="1"/>
  <c r="X52" i="3" l="1"/>
  <c r="BE87" i="3" s="1"/>
  <c r="EE187" i="4"/>
  <c r="Q143" i="4"/>
  <c r="Q142" i="4" s="1"/>
  <c r="Q141" i="4" s="1"/>
  <c r="Q140" i="4" s="1"/>
  <c r="Q139" i="4" s="1"/>
  <c r="EF145" i="4"/>
  <c r="R124" i="4"/>
  <c r="BF188" i="4"/>
  <c r="EG188" i="4" s="1"/>
  <c r="BI190" i="4"/>
  <c r="EJ190" i="4" s="1"/>
  <c r="EJ191" i="4" s="1"/>
  <c r="V192" i="4" s="1"/>
  <c r="V191" i="4" s="1"/>
  <c r="V190" i="4" s="1"/>
  <c r="V189" i="4" s="1"/>
  <c r="V188" i="4" s="1"/>
  <c r="V187" i="4" s="1"/>
  <c r="V186" i="4" s="1"/>
  <c r="V185" i="4" s="1"/>
  <c r="V184" i="4" s="1"/>
  <c r="V183" i="4" s="1"/>
  <c r="V182" i="4" s="1"/>
  <c r="V181" i="4" s="1"/>
  <c r="V180" i="4" s="1"/>
  <c r="V179" i="4" s="1"/>
  <c r="V178" i="4" s="1"/>
  <c r="V177" i="4" s="1"/>
  <c r="V176" i="4" s="1"/>
  <c r="V175" i="4" s="1"/>
  <c r="V174" i="4" s="1"/>
  <c r="V173" i="4" s="1"/>
  <c r="V172" i="4" s="1"/>
  <c r="V171" i="4" s="1"/>
  <c r="V170" i="4" s="1"/>
  <c r="V169" i="4" s="1"/>
  <c r="V168" i="4" s="1"/>
  <c r="V167" i="4" s="1"/>
  <c r="V166" i="4" s="1"/>
  <c r="V165" i="4" s="1"/>
  <c r="V164" i="4" s="1"/>
  <c r="V163" i="4" s="1"/>
  <c r="V162" i="4" s="1"/>
  <c r="V161" i="4" s="1"/>
  <c r="V160" i="4" s="1"/>
  <c r="V159" i="4" s="1"/>
  <c r="V158" i="4" s="1"/>
  <c r="V157" i="4" s="1"/>
  <c r="V156" i="4" s="1"/>
  <c r="V155" i="4" s="1"/>
  <c r="V154" i="4" s="1"/>
  <c r="V153" i="4" s="1"/>
  <c r="V152" i="4" s="1"/>
  <c r="V151" i="4" s="1"/>
  <c r="V150" i="4" s="1"/>
  <c r="V149" i="4" s="1"/>
  <c r="V148" i="4" s="1"/>
  <c r="V147" i="4" s="1"/>
  <c r="V146" i="4" s="1"/>
  <c r="V145" i="4" s="1"/>
  <c r="V144" i="4" s="1"/>
  <c r="V143" i="4" s="1"/>
  <c r="V142" i="4" s="1"/>
  <c r="V141" i="4" s="1"/>
  <c r="V140" i="4" s="1"/>
  <c r="V139" i="4" s="1"/>
  <c r="U126" i="4"/>
  <c r="V128" i="4"/>
  <c r="BJ192" i="4"/>
  <c r="EK192" i="4" s="1"/>
  <c r="O123" i="4"/>
  <c r="BC187" i="4"/>
  <c r="S125" i="4"/>
  <c r="BG189" i="4"/>
  <c r="EH189" i="4" s="1"/>
  <c r="T127" i="4"/>
  <c r="BH191" i="4"/>
  <c r="ED186" i="4"/>
  <c r="X67" i="3"/>
  <c r="BE102" i="3" s="1"/>
  <c r="X50" i="3"/>
  <c r="BE85" i="3" s="1"/>
  <c r="DV102" i="3"/>
  <c r="DV101" i="3" s="1"/>
  <c r="DV100" i="3" s="1"/>
  <c r="DV99" i="3" s="1"/>
  <c r="DV98" i="3" s="1"/>
  <c r="X39" i="3"/>
  <c r="BE74" i="3" s="1"/>
  <c r="W55" i="3"/>
  <c r="BD90" i="3" s="1"/>
  <c r="W42" i="3"/>
  <c r="BD77" i="3" s="1"/>
  <c r="X68" i="3"/>
  <c r="BE103" i="3" s="1"/>
  <c r="DU103" i="3" s="1"/>
  <c r="X59" i="3"/>
  <c r="BE94" i="3" s="1"/>
  <c r="X45" i="3"/>
  <c r="BE80" i="3" s="1"/>
  <c r="X63" i="3"/>
  <c r="BE98" i="3" s="1"/>
  <c r="X49" i="3"/>
  <c r="BE84" i="3" s="1"/>
  <c r="BF96" i="3"/>
  <c r="X61" i="3"/>
  <c r="DX78" i="3"/>
  <c r="DX77" i="3" s="1"/>
  <c r="DX76" i="3" s="1"/>
  <c r="DX75" i="3" s="1"/>
  <c r="DX74" i="3" s="1"/>
  <c r="BF75" i="3"/>
  <c r="X40" i="3"/>
  <c r="DW97" i="3"/>
  <c r="DW96" i="3" s="1"/>
  <c r="DW95" i="3" s="1"/>
  <c r="DW94" i="3" s="1"/>
  <c r="DW93" i="3" s="1"/>
  <c r="DW92" i="3" s="1"/>
  <c r="DW91" i="3" s="1"/>
  <c r="DW90" i="3" s="1"/>
  <c r="DW89" i="3" s="1"/>
  <c r="DW88" i="3" s="1"/>
  <c r="DW87" i="3" s="1"/>
  <c r="DW86" i="3" s="1"/>
  <c r="DW85" i="3" s="1"/>
  <c r="DW84" i="3" s="1"/>
  <c r="DW83" i="3" s="1"/>
  <c r="DW82" i="3" s="1"/>
  <c r="DW81" i="3" s="1"/>
  <c r="DW80" i="3" s="1"/>
  <c r="DW79" i="3" s="1"/>
  <c r="BF82" i="3"/>
  <c r="X47" i="3"/>
  <c r="BF88" i="3"/>
  <c r="X53" i="3"/>
  <c r="DY74" i="3"/>
  <c r="BF79" i="3"/>
  <c r="X44" i="3"/>
  <c r="BF97" i="3"/>
  <c r="X62" i="3"/>
  <c r="BF91" i="3"/>
  <c r="X56" i="3"/>
  <c r="X48" i="3"/>
  <c r="BE83" i="3" s="1"/>
  <c r="Y57" i="3"/>
  <c r="BF92" i="3" s="1"/>
  <c r="X54" i="3"/>
  <c r="BE89" i="3" s="1"/>
  <c r="X65" i="3"/>
  <c r="BE100" i="3" s="1"/>
  <c r="W69" i="3"/>
  <c r="BD104" i="3" s="1"/>
  <c r="X66" i="3"/>
  <c r="BE101" i="3" s="1"/>
  <c r="X41" i="3"/>
  <c r="BE76" i="3" s="1"/>
  <c r="W60" i="3"/>
  <c r="BD95" i="3" s="1"/>
  <c r="Z43" i="3"/>
  <c r="BG78" i="3" s="1"/>
  <c r="Y51" i="3"/>
  <c r="BF86" i="3" s="1"/>
  <c r="X46" i="3"/>
  <c r="BE81" i="3" s="1"/>
  <c r="Y58" i="3"/>
  <c r="BF93" i="3" s="1"/>
  <c r="X64" i="3"/>
  <c r="BE99" i="3" s="1"/>
  <c r="W50" i="3"/>
  <c r="BD85" i="3" s="1"/>
  <c r="L18" i="1"/>
  <c r="W52" i="3" l="1"/>
  <c r="BD87" i="3" s="1"/>
  <c r="ED187" i="4"/>
  <c r="BE188" i="4"/>
  <c r="EF188" i="4" s="1"/>
  <c r="Q124" i="4"/>
  <c r="T126" i="4"/>
  <c r="BH190" i="4"/>
  <c r="EI190" i="4" s="1"/>
  <c r="EI191" i="4" s="1"/>
  <c r="U192" i="4" s="1"/>
  <c r="U191" i="4" s="1"/>
  <c r="U190" i="4" s="1"/>
  <c r="U189" i="4" s="1"/>
  <c r="U188" i="4" s="1"/>
  <c r="U187" i="4" s="1"/>
  <c r="U186" i="4" s="1"/>
  <c r="U185" i="4" s="1"/>
  <c r="U184" i="4" s="1"/>
  <c r="U183" i="4" s="1"/>
  <c r="U182" i="4" s="1"/>
  <c r="U181" i="4" s="1"/>
  <c r="U180" i="4" s="1"/>
  <c r="U179" i="4" s="1"/>
  <c r="U178" i="4" s="1"/>
  <c r="U177" i="4" s="1"/>
  <c r="U176" i="4" s="1"/>
  <c r="U175" i="4" s="1"/>
  <c r="U174" i="4" s="1"/>
  <c r="U173" i="4" s="1"/>
  <c r="U172" i="4" s="1"/>
  <c r="U171" i="4" s="1"/>
  <c r="U170" i="4" s="1"/>
  <c r="U169" i="4" s="1"/>
  <c r="U168" i="4" s="1"/>
  <c r="U167" i="4" s="1"/>
  <c r="U166" i="4" s="1"/>
  <c r="U165" i="4" s="1"/>
  <c r="U164" i="4" s="1"/>
  <c r="U163" i="4" s="1"/>
  <c r="U162" i="4" s="1"/>
  <c r="U161" i="4" s="1"/>
  <c r="U160" i="4" s="1"/>
  <c r="U159" i="4" s="1"/>
  <c r="U158" i="4" s="1"/>
  <c r="U157" i="4" s="1"/>
  <c r="U156" i="4" s="1"/>
  <c r="U155" i="4" s="1"/>
  <c r="U154" i="4" s="1"/>
  <c r="U153" i="4" s="1"/>
  <c r="U152" i="4" s="1"/>
  <c r="U151" i="4" s="1"/>
  <c r="U150" i="4" s="1"/>
  <c r="U149" i="4" s="1"/>
  <c r="U148" i="4" s="1"/>
  <c r="U147" i="4" s="1"/>
  <c r="U146" i="4" s="1"/>
  <c r="U145" i="4" s="1"/>
  <c r="U144" i="4" s="1"/>
  <c r="U143" i="4" s="1"/>
  <c r="U142" i="4" s="1"/>
  <c r="U141" i="4" s="1"/>
  <c r="U140" i="4" s="1"/>
  <c r="U139" i="4" s="1"/>
  <c r="BI192" i="4"/>
  <c r="EJ192" i="4" s="1"/>
  <c r="U128" i="4"/>
  <c r="R125" i="4"/>
  <c r="BF189" i="4"/>
  <c r="EG189" i="4" s="1"/>
  <c r="S127" i="4"/>
  <c r="BG191" i="4"/>
  <c r="N123" i="4"/>
  <c r="BB187" i="4"/>
  <c r="O186" i="4"/>
  <c r="EC186" i="4" s="1"/>
  <c r="DU102" i="3"/>
  <c r="DU101" i="3" s="1"/>
  <c r="DU100" i="3" s="1"/>
  <c r="DU99" i="3" s="1"/>
  <c r="DU98" i="3" s="1"/>
  <c r="W67" i="3"/>
  <c r="BD102" i="3" s="1"/>
  <c r="W39" i="3"/>
  <c r="BD74" i="3" s="1"/>
  <c r="V42" i="3"/>
  <c r="BC77" i="3" s="1"/>
  <c r="V55" i="3"/>
  <c r="BC90" i="3" s="1"/>
  <c r="W45" i="3"/>
  <c r="BD80" i="3" s="1"/>
  <c r="W68" i="3"/>
  <c r="BD103" i="3" s="1"/>
  <c r="DT103" i="3" s="1"/>
  <c r="W59" i="3"/>
  <c r="BD94" i="3" s="1"/>
  <c r="W63" i="3"/>
  <c r="BD98" i="3" s="1"/>
  <c r="DW78" i="3"/>
  <c r="DW77" i="3" s="1"/>
  <c r="DW76" i="3" s="1"/>
  <c r="DW75" i="3" s="1"/>
  <c r="DW74" i="3" s="1"/>
  <c r="W49" i="3"/>
  <c r="BD84" i="3" s="1"/>
  <c r="BE96" i="3"/>
  <c r="W61" i="3"/>
  <c r="AA74" i="3"/>
  <c r="AA75" i="3" s="1"/>
  <c r="AA76" i="3" s="1"/>
  <c r="AA77" i="3" s="1"/>
  <c r="AA78" i="3" s="1"/>
  <c r="AA79" i="3" s="1"/>
  <c r="AA80" i="3" s="1"/>
  <c r="AA81" i="3" s="1"/>
  <c r="AA82" i="3" s="1"/>
  <c r="AA83" i="3" s="1"/>
  <c r="AA84" i="3" s="1"/>
  <c r="AA85" i="3" s="1"/>
  <c r="AA86" i="3" s="1"/>
  <c r="AA87" i="3" s="1"/>
  <c r="AA88" i="3" s="1"/>
  <c r="AA89" i="3" s="1"/>
  <c r="AA90" i="3" s="1"/>
  <c r="AA91" i="3" s="1"/>
  <c r="AA92" i="3" s="1"/>
  <c r="AA93" i="3" s="1"/>
  <c r="AA94" i="3" s="1"/>
  <c r="AA95" i="3" s="1"/>
  <c r="AA96" i="3" s="1"/>
  <c r="AA97" i="3" s="1"/>
  <c r="AA98" i="3" s="1"/>
  <c r="AA99" i="3" s="1"/>
  <c r="AA100" i="3" s="1"/>
  <c r="AA101" i="3" s="1"/>
  <c r="AA102" i="3" s="1"/>
  <c r="AA103" i="3" s="1"/>
  <c r="AA104" i="3" s="1"/>
  <c r="BE75" i="3"/>
  <c r="W40" i="3"/>
  <c r="BE88" i="3"/>
  <c r="W53" i="3"/>
  <c r="BE82" i="3"/>
  <c r="W47" i="3"/>
  <c r="BE97" i="3"/>
  <c r="W62" i="3"/>
  <c r="BE79" i="3"/>
  <c r="W44" i="3"/>
  <c r="DV97" i="3"/>
  <c r="DV96" i="3" s="1"/>
  <c r="DV95" i="3" s="1"/>
  <c r="DV94" i="3" s="1"/>
  <c r="DV93" i="3" s="1"/>
  <c r="DV92" i="3" s="1"/>
  <c r="DV91" i="3" s="1"/>
  <c r="DV90" i="3" s="1"/>
  <c r="DV89" i="3" s="1"/>
  <c r="DV88" i="3" s="1"/>
  <c r="DV87" i="3" s="1"/>
  <c r="DV86" i="3" s="1"/>
  <c r="DV85" i="3" s="1"/>
  <c r="DV84" i="3" s="1"/>
  <c r="DV83" i="3" s="1"/>
  <c r="DV82" i="3" s="1"/>
  <c r="DV81" i="3" s="1"/>
  <c r="DV80" i="3" s="1"/>
  <c r="DV79" i="3" s="1"/>
  <c r="BE91" i="3"/>
  <c r="W56" i="3"/>
  <c r="W41" i="3"/>
  <c r="BD76" i="3" s="1"/>
  <c r="V50" i="3"/>
  <c r="BC85" i="3" s="1"/>
  <c r="V69" i="3"/>
  <c r="BC104" i="3" s="1"/>
  <c r="W64" i="3"/>
  <c r="BD99" i="3" s="1"/>
  <c r="X51" i="3"/>
  <c r="BE86" i="3" s="1"/>
  <c r="V60" i="3"/>
  <c r="BC95" i="3" s="1"/>
  <c r="W66" i="3"/>
  <c r="BD101" i="3" s="1"/>
  <c r="W54" i="3"/>
  <c r="BD89" i="3" s="1"/>
  <c r="Y43" i="3"/>
  <c r="BF78" i="3" s="1"/>
  <c r="V52" i="3"/>
  <c r="BC87" i="3" s="1"/>
  <c r="X58" i="3"/>
  <c r="BE93" i="3" s="1"/>
  <c r="X57" i="3"/>
  <c r="BE92" i="3" s="1"/>
  <c r="W65" i="3"/>
  <c r="BD100" i="3" s="1"/>
  <c r="W46" i="3"/>
  <c r="BD81" i="3" s="1"/>
  <c r="W48" i="3"/>
  <c r="BD83" i="3" s="1"/>
  <c r="V39" i="3"/>
  <c r="BC74" i="3" s="1"/>
  <c r="M18" i="1"/>
  <c r="DT102" i="3" l="1"/>
  <c r="DT101" i="3" s="1"/>
  <c r="DT100" i="3" s="1"/>
  <c r="DT99" i="3" s="1"/>
  <c r="DT98" i="3" s="1"/>
  <c r="V67" i="3"/>
  <c r="BC102" i="3" s="1"/>
  <c r="EC187" i="4"/>
  <c r="BD188" i="4"/>
  <c r="EE188" i="4" s="1"/>
  <c r="P124" i="4"/>
  <c r="S126" i="4"/>
  <c r="BG190" i="4"/>
  <c r="EH190" i="4" s="1"/>
  <c r="EH191" i="4" s="1"/>
  <c r="T192" i="4" s="1"/>
  <c r="T191" i="4" s="1"/>
  <c r="T190" i="4" s="1"/>
  <c r="T189" i="4" s="1"/>
  <c r="T188" i="4" s="1"/>
  <c r="T187" i="4" s="1"/>
  <c r="T186" i="4" s="1"/>
  <c r="T185" i="4" s="1"/>
  <c r="T184" i="4" s="1"/>
  <c r="T183" i="4" s="1"/>
  <c r="T182" i="4" s="1"/>
  <c r="T181" i="4" s="1"/>
  <c r="T180" i="4" s="1"/>
  <c r="T179" i="4" s="1"/>
  <c r="T178" i="4" s="1"/>
  <c r="T128" i="4"/>
  <c r="BH192" i="4"/>
  <c r="EI192" i="4" s="1"/>
  <c r="Q125" i="4"/>
  <c r="BE189" i="4"/>
  <c r="EF189" i="4" s="1"/>
  <c r="R127" i="4"/>
  <c r="BF191" i="4"/>
  <c r="U42" i="3"/>
  <c r="BB77" i="3" s="1"/>
  <c r="U55" i="3"/>
  <c r="BB90" i="3" s="1"/>
  <c r="V45" i="3"/>
  <c r="BC80" i="3" s="1"/>
  <c r="V59" i="3"/>
  <c r="BC94" i="3" s="1"/>
  <c r="V49" i="3"/>
  <c r="BC84" i="3" s="1"/>
  <c r="V68" i="3"/>
  <c r="BC103" i="3" s="1"/>
  <c r="DS103" i="3" s="1"/>
  <c r="Z74" i="3"/>
  <c r="Z75" i="3" s="1"/>
  <c r="Z76" i="3" s="1"/>
  <c r="Z77" i="3" s="1"/>
  <c r="Z78" i="3" s="1"/>
  <c r="Z79" i="3" s="1"/>
  <c r="Z80" i="3" s="1"/>
  <c r="Z81" i="3" s="1"/>
  <c r="Z82" i="3" s="1"/>
  <c r="Z83" i="3" s="1"/>
  <c r="Z84" i="3" s="1"/>
  <c r="Z85" i="3" s="1"/>
  <c r="Z86" i="3" s="1"/>
  <c r="Z87" i="3" s="1"/>
  <c r="Z88" i="3" s="1"/>
  <c r="Z89" i="3" s="1"/>
  <c r="Z90" i="3" s="1"/>
  <c r="Z91" i="3" s="1"/>
  <c r="Z92" i="3" s="1"/>
  <c r="Z93" i="3" s="1"/>
  <c r="Z94" i="3" s="1"/>
  <c r="Z95" i="3" s="1"/>
  <c r="Z96" i="3" s="1"/>
  <c r="Z97" i="3" s="1"/>
  <c r="Z98" i="3" s="1"/>
  <c r="Z99" i="3" s="1"/>
  <c r="Z100" i="3" s="1"/>
  <c r="Z101" i="3" s="1"/>
  <c r="Z102" i="3" s="1"/>
  <c r="Z103" i="3" s="1"/>
  <c r="Z104" i="3" s="1"/>
  <c r="V63" i="3"/>
  <c r="BC98" i="3" s="1"/>
  <c r="DU97" i="3"/>
  <c r="DU96" i="3" s="1"/>
  <c r="DU95" i="3" s="1"/>
  <c r="DU94" i="3" s="1"/>
  <c r="DU93" i="3" s="1"/>
  <c r="DU92" i="3" s="1"/>
  <c r="DU91" i="3" s="1"/>
  <c r="DU90" i="3" s="1"/>
  <c r="DU89" i="3" s="1"/>
  <c r="DU88" i="3" s="1"/>
  <c r="DU87" i="3" s="1"/>
  <c r="DU86" i="3" s="1"/>
  <c r="DU85" i="3" s="1"/>
  <c r="DU84" i="3" s="1"/>
  <c r="DU83" i="3" s="1"/>
  <c r="DU82" i="3" s="1"/>
  <c r="DU81" i="3" s="1"/>
  <c r="DU80" i="3" s="1"/>
  <c r="DU79" i="3" s="1"/>
  <c r="BD96" i="3"/>
  <c r="V61" i="3"/>
  <c r="BD75" i="3"/>
  <c r="V40" i="3"/>
  <c r="BD82" i="3"/>
  <c r="V47" i="3"/>
  <c r="BD88" i="3"/>
  <c r="V53" i="3"/>
  <c r="DV78" i="3"/>
  <c r="DV77" i="3" s="1"/>
  <c r="DV76" i="3" s="1"/>
  <c r="DV75" i="3" s="1"/>
  <c r="Y74" i="3" s="1"/>
  <c r="Y75" i="3" s="1"/>
  <c r="Y76" i="3" s="1"/>
  <c r="Y77" i="3" s="1"/>
  <c r="Y78" i="3" s="1"/>
  <c r="Y79" i="3" s="1"/>
  <c r="Y80" i="3" s="1"/>
  <c r="Y81" i="3" s="1"/>
  <c r="Y82" i="3" s="1"/>
  <c r="Y83" i="3" s="1"/>
  <c r="Y84" i="3" s="1"/>
  <c r="Y85" i="3" s="1"/>
  <c r="Y86" i="3" s="1"/>
  <c r="Y87" i="3" s="1"/>
  <c r="Y88" i="3" s="1"/>
  <c r="Y89" i="3" s="1"/>
  <c r="Y90" i="3" s="1"/>
  <c r="Y91" i="3" s="1"/>
  <c r="Y92" i="3" s="1"/>
  <c r="Y93" i="3" s="1"/>
  <c r="Y94" i="3" s="1"/>
  <c r="Y95" i="3" s="1"/>
  <c r="Y96" i="3" s="1"/>
  <c r="Y97" i="3" s="1"/>
  <c r="Y98" i="3" s="1"/>
  <c r="Y99" i="3" s="1"/>
  <c r="Y100" i="3" s="1"/>
  <c r="Y101" i="3" s="1"/>
  <c r="Y102" i="3" s="1"/>
  <c r="Y103" i="3" s="1"/>
  <c r="Y104" i="3" s="1"/>
  <c r="BD79" i="3"/>
  <c r="V44" i="3"/>
  <c r="BD97" i="3"/>
  <c r="V62" i="3"/>
  <c r="BD91" i="3"/>
  <c r="V56" i="3"/>
  <c r="V65" i="3"/>
  <c r="BC100" i="3" s="1"/>
  <c r="X43" i="3"/>
  <c r="BE78" i="3" s="1"/>
  <c r="U60" i="3"/>
  <c r="BB95" i="3" s="1"/>
  <c r="U69" i="3"/>
  <c r="BB104" i="3" s="1"/>
  <c r="V48" i="3"/>
  <c r="BC83" i="3" s="1"/>
  <c r="W51" i="3"/>
  <c r="BD86" i="3" s="1"/>
  <c r="W58" i="3"/>
  <c r="BD93" i="3" s="1"/>
  <c r="V46" i="3"/>
  <c r="BC81" i="3" s="1"/>
  <c r="U52" i="3"/>
  <c r="BB87" i="3" s="1"/>
  <c r="V54" i="3"/>
  <c r="BC89" i="3" s="1"/>
  <c r="U50" i="3"/>
  <c r="BB85" i="3" s="1"/>
  <c r="W57" i="3"/>
  <c r="BD92" i="3" s="1"/>
  <c r="V41" i="3"/>
  <c r="BC76" i="3" s="1"/>
  <c r="V66" i="3"/>
  <c r="BC101" i="3" s="1"/>
  <c r="V64" i="3"/>
  <c r="BC99" i="3" s="1"/>
  <c r="U39" i="3"/>
  <c r="BB74" i="3" s="1"/>
  <c r="N18" i="1"/>
  <c r="U67" i="3" l="1"/>
  <c r="BB102" i="3" s="1"/>
  <c r="DS102" i="3"/>
  <c r="DS101" i="3" s="1"/>
  <c r="DS100" i="3" s="1"/>
  <c r="DS99" i="3" s="1"/>
  <c r="DS98" i="3" s="1"/>
  <c r="O124" i="4"/>
  <c r="BC188" i="4"/>
  <c r="ED188" i="4" s="1"/>
  <c r="R126" i="4"/>
  <c r="BF190" i="4"/>
  <c r="EG190" i="4" s="1"/>
  <c r="EG191" i="4" s="1"/>
  <c r="S192" i="4" s="1"/>
  <c r="S191" i="4" s="1"/>
  <c r="S190" i="4" s="1"/>
  <c r="S189" i="4" s="1"/>
  <c r="S188" i="4" s="1"/>
  <c r="S187" i="4" s="1"/>
  <c r="S186" i="4" s="1"/>
  <c r="S185" i="4" s="1"/>
  <c r="S184" i="4" s="1"/>
  <c r="S183" i="4" s="1"/>
  <c r="S182" i="4" s="1"/>
  <c r="S181" i="4" s="1"/>
  <c r="S128" i="4"/>
  <c r="BG192" i="4"/>
  <c r="EH192" i="4" s="1"/>
  <c r="P125" i="4"/>
  <c r="BD189" i="4"/>
  <c r="EE189" i="4" s="1"/>
  <c r="Q127" i="4"/>
  <c r="BE191" i="4"/>
  <c r="T55" i="3"/>
  <c r="BA90" i="3" s="1"/>
  <c r="T42" i="3"/>
  <c r="BA77" i="3" s="1"/>
  <c r="U45" i="3"/>
  <c r="BB80" i="3" s="1"/>
  <c r="U68" i="3"/>
  <c r="BB103" i="3" s="1"/>
  <c r="DR103" i="3" s="1"/>
  <c r="DR102" i="3" s="1"/>
  <c r="U49" i="3"/>
  <c r="BB84" i="3" s="1"/>
  <c r="U59" i="3"/>
  <c r="BB94" i="3" s="1"/>
  <c r="U63" i="3"/>
  <c r="BB98" i="3" s="1"/>
  <c r="BC96" i="3"/>
  <c r="U61" i="3"/>
  <c r="BC75" i="3"/>
  <c r="U40" i="3"/>
  <c r="DV74" i="3"/>
  <c r="BC88" i="3"/>
  <c r="U53" i="3"/>
  <c r="BC82" i="3"/>
  <c r="U47" i="3"/>
  <c r="DT97" i="3"/>
  <c r="DT96" i="3" s="1"/>
  <c r="DT95" i="3" s="1"/>
  <c r="DT94" i="3" s="1"/>
  <c r="DT93" i="3" s="1"/>
  <c r="DT92" i="3" s="1"/>
  <c r="DT91" i="3" s="1"/>
  <c r="DT90" i="3" s="1"/>
  <c r="DT89" i="3" s="1"/>
  <c r="DT88" i="3" s="1"/>
  <c r="DT87" i="3" s="1"/>
  <c r="DT86" i="3" s="1"/>
  <c r="DT85" i="3" s="1"/>
  <c r="DT84" i="3" s="1"/>
  <c r="DT83" i="3" s="1"/>
  <c r="DT82" i="3" s="1"/>
  <c r="DT81" i="3" s="1"/>
  <c r="DT80" i="3" s="1"/>
  <c r="DT79" i="3" s="1"/>
  <c r="BC79" i="3"/>
  <c r="U44" i="3"/>
  <c r="BC97" i="3"/>
  <c r="U62" i="3"/>
  <c r="DU78" i="3"/>
  <c r="DU77" i="3" s="1"/>
  <c r="DU76" i="3" s="1"/>
  <c r="DU75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X84" i="3" s="1"/>
  <c r="X85" i="3" s="1"/>
  <c r="X86" i="3" s="1"/>
  <c r="X87" i="3" s="1"/>
  <c r="X88" i="3" s="1"/>
  <c r="X89" i="3" s="1"/>
  <c r="X90" i="3" s="1"/>
  <c r="X91" i="3" s="1"/>
  <c r="X92" i="3" s="1"/>
  <c r="X93" i="3" s="1"/>
  <c r="X94" i="3" s="1"/>
  <c r="X95" i="3" s="1"/>
  <c r="X96" i="3" s="1"/>
  <c r="X97" i="3" s="1"/>
  <c r="X98" i="3" s="1"/>
  <c r="X99" i="3" s="1"/>
  <c r="X100" i="3" s="1"/>
  <c r="X101" i="3" s="1"/>
  <c r="X102" i="3" s="1"/>
  <c r="X103" i="3" s="1"/>
  <c r="X104" i="3" s="1"/>
  <c r="BC91" i="3"/>
  <c r="U56" i="3"/>
  <c r="T69" i="3"/>
  <c r="BA104" i="3" s="1"/>
  <c r="V57" i="3"/>
  <c r="BC92" i="3" s="1"/>
  <c r="V51" i="3"/>
  <c r="BC86" i="3" s="1"/>
  <c r="T60" i="3"/>
  <c r="BA95" i="3" s="1"/>
  <c r="W43" i="3"/>
  <c r="BD78" i="3" s="1"/>
  <c r="U41" i="3"/>
  <c r="BB76" i="3" s="1"/>
  <c r="U64" i="3"/>
  <c r="BB99" i="3" s="1"/>
  <c r="T50" i="3"/>
  <c r="BA85" i="3" s="1"/>
  <c r="U48" i="3"/>
  <c r="BB83" i="3" s="1"/>
  <c r="U65" i="3"/>
  <c r="BB100" i="3" s="1"/>
  <c r="V58" i="3"/>
  <c r="BC93" i="3" s="1"/>
  <c r="T67" i="3"/>
  <c r="BA102" i="3" s="1"/>
  <c r="T52" i="3"/>
  <c r="BA87" i="3" s="1"/>
  <c r="U66" i="3"/>
  <c r="BB101" i="3" s="1"/>
  <c r="U54" i="3"/>
  <c r="BB89" i="3" s="1"/>
  <c r="U46" i="3"/>
  <c r="BB81" i="3" s="1"/>
  <c r="T39" i="3"/>
  <c r="BA74" i="3" s="1"/>
  <c r="O18" i="1"/>
  <c r="P18" i="1" s="1"/>
  <c r="S42" i="3" l="1"/>
  <c r="AZ77" i="3" s="1"/>
  <c r="N124" i="4"/>
  <c r="BB188" i="4"/>
  <c r="EC188" i="4" s="1"/>
  <c r="BE190" i="4"/>
  <c r="EF190" i="4" s="1"/>
  <c r="EF191" i="4" s="1"/>
  <c r="R192" i="4" s="1"/>
  <c r="R191" i="4" s="1"/>
  <c r="R190" i="4" s="1"/>
  <c r="R189" i="4" s="1"/>
  <c r="R188" i="4" s="1"/>
  <c r="R187" i="4" s="1"/>
  <c r="R186" i="4" s="1"/>
  <c r="R185" i="4" s="1"/>
  <c r="R184" i="4" s="1"/>
  <c r="R183" i="4" s="1"/>
  <c r="Q126" i="4"/>
  <c r="R128" i="4"/>
  <c r="BF192" i="4"/>
  <c r="EG192" i="4" s="1"/>
  <c r="O125" i="4"/>
  <c r="BC189" i="4"/>
  <c r="ED189" i="4" s="1"/>
  <c r="P127" i="4"/>
  <c r="BD191" i="4"/>
  <c r="S55" i="3"/>
  <c r="AZ90" i="3" s="1"/>
  <c r="T59" i="3"/>
  <c r="BA94" i="3" s="1"/>
  <c r="T45" i="3"/>
  <c r="BA80" i="3" s="1"/>
  <c r="T49" i="3"/>
  <c r="BA84" i="3" s="1"/>
  <c r="T63" i="3"/>
  <c r="BA98" i="3" s="1"/>
  <c r="T68" i="3"/>
  <c r="BA103" i="3" s="1"/>
  <c r="DQ103" i="3" s="1"/>
  <c r="DQ102" i="3" s="1"/>
  <c r="BB96" i="3"/>
  <c r="T61" i="3"/>
  <c r="BB75" i="3"/>
  <c r="T40" i="3"/>
  <c r="BB88" i="3"/>
  <c r="T53" i="3"/>
  <c r="DS97" i="3"/>
  <c r="DS96" i="3" s="1"/>
  <c r="DS95" i="3" s="1"/>
  <c r="DS94" i="3" s="1"/>
  <c r="DS93" i="3" s="1"/>
  <c r="DS92" i="3" s="1"/>
  <c r="DS91" i="3" s="1"/>
  <c r="DS90" i="3" s="1"/>
  <c r="DS89" i="3" s="1"/>
  <c r="DS88" i="3" s="1"/>
  <c r="DS87" i="3" s="1"/>
  <c r="DS86" i="3" s="1"/>
  <c r="DS85" i="3" s="1"/>
  <c r="DS84" i="3" s="1"/>
  <c r="DS83" i="3" s="1"/>
  <c r="DS82" i="3" s="1"/>
  <c r="DS81" i="3" s="1"/>
  <c r="DS80" i="3" s="1"/>
  <c r="DS79" i="3" s="1"/>
  <c r="BB82" i="3"/>
  <c r="T47" i="3"/>
  <c r="BB97" i="3"/>
  <c r="T62" i="3"/>
  <c r="BB79" i="3"/>
  <c r="T44" i="3"/>
  <c r="DU74" i="3"/>
  <c r="BB91" i="3"/>
  <c r="T56" i="3"/>
  <c r="DT78" i="3"/>
  <c r="DT77" i="3" s="1"/>
  <c r="DT76" i="3" s="1"/>
  <c r="DT75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W84" i="3" s="1"/>
  <c r="W85" i="3" s="1"/>
  <c r="W86" i="3" s="1"/>
  <c r="W87" i="3" s="1"/>
  <c r="W88" i="3" s="1"/>
  <c r="W89" i="3" s="1"/>
  <c r="W90" i="3" s="1"/>
  <c r="W91" i="3" s="1"/>
  <c r="W92" i="3" s="1"/>
  <c r="W93" i="3" s="1"/>
  <c r="W94" i="3" s="1"/>
  <c r="W95" i="3" s="1"/>
  <c r="W96" i="3" s="1"/>
  <c r="W97" i="3" s="1"/>
  <c r="W98" i="3" s="1"/>
  <c r="W99" i="3" s="1"/>
  <c r="W100" i="3" s="1"/>
  <c r="W101" i="3" s="1"/>
  <c r="W102" i="3" s="1"/>
  <c r="W103" i="3" s="1"/>
  <c r="W104" i="3" s="1"/>
  <c r="DR101" i="3"/>
  <c r="DR100" i="3" s="1"/>
  <c r="DR99" i="3" s="1"/>
  <c r="DR98" i="3" s="1"/>
  <c r="DR97" i="3" s="1"/>
  <c r="S67" i="3"/>
  <c r="AZ102" i="3" s="1"/>
  <c r="S52" i="3"/>
  <c r="AZ87" i="3" s="1"/>
  <c r="T46" i="3"/>
  <c r="BA81" i="3" s="1"/>
  <c r="T48" i="3"/>
  <c r="BA83" i="3" s="1"/>
  <c r="V43" i="3"/>
  <c r="BC78" i="3" s="1"/>
  <c r="U51" i="3"/>
  <c r="BB86" i="3" s="1"/>
  <c r="T41" i="3"/>
  <c r="BA76" i="3" s="1"/>
  <c r="T54" i="3"/>
  <c r="BA89" i="3" s="1"/>
  <c r="U58" i="3"/>
  <c r="BB93" i="3" s="1"/>
  <c r="S50" i="3"/>
  <c r="AZ85" i="3" s="1"/>
  <c r="S69" i="3"/>
  <c r="AZ104" i="3" s="1"/>
  <c r="S60" i="3"/>
  <c r="AZ95" i="3" s="1"/>
  <c r="T66" i="3"/>
  <c r="BA101" i="3" s="1"/>
  <c r="U57" i="3"/>
  <c r="BB92" i="3" s="1"/>
  <c r="R42" i="3"/>
  <c r="AY77" i="3" s="1"/>
  <c r="T65" i="3"/>
  <c r="BA100" i="3" s="1"/>
  <c r="T64" i="3"/>
  <c r="BA99" i="3" s="1"/>
  <c r="S39" i="3"/>
  <c r="AZ74" i="3" s="1"/>
  <c r="Q18" i="1"/>
  <c r="R55" i="3" l="1"/>
  <c r="AY90" i="3" s="1"/>
  <c r="S49" i="3"/>
  <c r="AZ84" i="3" s="1"/>
  <c r="M124" i="4"/>
  <c r="BA188" i="4"/>
  <c r="N187" i="4"/>
  <c r="EB187" i="4" s="1"/>
  <c r="P126" i="4"/>
  <c r="BD190" i="4"/>
  <c r="EE190" i="4" s="1"/>
  <c r="EE191" i="4" s="1"/>
  <c r="Q192" i="4" s="1"/>
  <c r="Q191" i="4" s="1"/>
  <c r="Q190" i="4" s="1"/>
  <c r="Q189" i="4" s="1"/>
  <c r="Q188" i="4" s="1"/>
  <c r="Q187" i="4" s="1"/>
  <c r="Q186" i="4" s="1"/>
  <c r="Q185" i="4" s="1"/>
  <c r="BE192" i="4"/>
  <c r="EF192" i="4" s="1"/>
  <c r="Q128" i="4"/>
  <c r="N125" i="4"/>
  <c r="BB189" i="4"/>
  <c r="EC189" i="4" s="1"/>
  <c r="O127" i="4"/>
  <c r="BC191" i="4"/>
  <c r="S59" i="3"/>
  <c r="AZ94" i="3" s="1"/>
  <c r="S68" i="3"/>
  <c r="AZ103" i="3" s="1"/>
  <c r="DP103" i="3" s="1"/>
  <c r="DP102" i="3" s="1"/>
  <c r="S45" i="3"/>
  <c r="AZ80" i="3" s="1"/>
  <c r="S63" i="3"/>
  <c r="AZ98" i="3" s="1"/>
  <c r="DR96" i="3"/>
  <c r="DR95" i="3" s="1"/>
  <c r="DR94" i="3" s="1"/>
  <c r="DR93" i="3" s="1"/>
  <c r="DR92" i="3" s="1"/>
  <c r="DR91" i="3" s="1"/>
  <c r="DR90" i="3" s="1"/>
  <c r="DR89" i="3" s="1"/>
  <c r="DR88" i="3" s="1"/>
  <c r="DR87" i="3" s="1"/>
  <c r="DR86" i="3" s="1"/>
  <c r="DR85" i="3" s="1"/>
  <c r="DR84" i="3" s="1"/>
  <c r="DR83" i="3" s="1"/>
  <c r="DR82" i="3" s="1"/>
  <c r="DR81" i="3" s="1"/>
  <c r="DR80" i="3" s="1"/>
  <c r="DR79" i="3" s="1"/>
  <c r="BA96" i="3"/>
  <c r="S61" i="3"/>
  <c r="DQ101" i="3"/>
  <c r="DQ100" i="3" s="1"/>
  <c r="DQ99" i="3" s="1"/>
  <c r="DQ98" i="3" s="1"/>
  <c r="BA75" i="3"/>
  <c r="S40" i="3"/>
  <c r="BA82" i="3"/>
  <c r="S47" i="3"/>
  <c r="DS78" i="3"/>
  <c r="DS77" i="3" s="1"/>
  <c r="DS76" i="3" s="1"/>
  <c r="DS75" i="3" s="1"/>
  <c r="V74" i="3" s="1"/>
  <c r="V75" i="3" s="1"/>
  <c r="V76" i="3" s="1"/>
  <c r="V77" i="3" s="1"/>
  <c r="V78" i="3" s="1"/>
  <c r="V79" i="3" s="1"/>
  <c r="V80" i="3" s="1"/>
  <c r="V81" i="3" s="1"/>
  <c r="V82" i="3" s="1"/>
  <c r="V83" i="3" s="1"/>
  <c r="V84" i="3" s="1"/>
  <c r="V85" i="3" s="1"/>
  <c r="V86" i="3" s="1"/>
  <c r="V87" i="3" s="1"/>
  <c r="V88" i="3" s="1"/>
  <c r="V89" i="3" s="1"/>
  <c r="V90" i="3" s="1"/>
  <c r="V91" i="3" s="1"/>
  <c r="V92" i="3" s="1"/>
  <c r="V93" i="3" s="1"/>
  <c r="V94" i="3" s="1"/>
  <c r="V95" i="3" s="1"/>
  <c r="V96" i="3" s="1"/>
  <c r="V97" i="3" s="1"/>
  <c r="V98" i="3" s="1"/>
  <c r="V99" i="3" s="1"/>
  <c r="V100" i="3" s="1"/>
  <c r="V101" i="3" s="1"/>
  <c r="V102" i="3" s="1"/>
  <c r="V103" i="3" s="1"/>
  <c r="V104" i="3" s="1"/>
  <c r="BA88" i="3"/>
  <c r="S53" i="3"/>
  <c r="BA91" i="3"/>
  <c r="S56" i="3"/>
  <c r="BA79" i="3"/>
  <c r="S44" i="3"/>
  <c r="DT74" i="3"/>
  <c r="BA97" i="3"/>
  <c r="S62" i="3"/>
  <c r="S64" i="3"/>
  <c r="AZ99" i="3" s="1"/>
  <c r="T51" i="3"/>
  <c r="BA86" i="3" s="1"/>
  <c r="S65" i="3"/>
  <c r="AZ100" i="3" s="1"/>
  <c r="R69" i="3"/>
  <c r="AY104" i="3" s="1"/>
  <c r="R60" i="3"/>
  <c r="AY95" i="3" s="1"/>
  <c r="T57" i="3"/>
  <c r="BA92" i="3" s="1"/>
  <c r="S54" i="3"/>
  <c r="AZ89" i="3" s="1"/>
  <c r="U43" i="3"/>
  <c r="BB78" i="3" s="1"/>
  <c r="R52" i="3"/>
  <c r="AY87" i="3" s="1"/>
  <c r="S66" i="3"/>
  <c r="AZ101" i="3" s="1"/>
  <c r="S41" i="3"/>
  <c r="AZ76" i="3" s="1"/>
  <c r="S48" i="3"/>
  <c r="AZ83" i="3" s="1"/>
  <c r="R67" i="3"/>
  <c r="AY102" i="3" s="1"/>
  <c r="R50" i="3"/>
  <c r="AY85" i="3" s="1"/>
  <c r="T58" i="3"/>
  <c r="BA93" i="3" s="1"/>
  <c r="Q42" i="3"/>
  <c r="AX77" i="3" s="1"/>
  <c r="S46" i="3"/>
  <c r="AZ81" i="3" s="1"/>
  <c r="R39" i="3"/>
  <c r="AY74" i="3" s="1"/>
  <c r="R18" i="1"/>
  <c r="Q55" i="3" l="1"/>
  <c r="AX90" i="3" s="1"/>
  <c r="R59" i="3"/>
  <c r="AY94" i="3" s="1"/>
  <c r="R49" i="3"/>
  <c r="AY84" i="3" s="1"/>
  <c r="R68" i="3"/>
  <c r="AY103" i="3" s="1"/>
  <c r="DO103" i="3" s="1"/>
  <c r="DO102" i="3" s="1"/>
  <c r="EB188" i="4"/>
  <c r="L124" i="4"/>
  <c r="AZ188" i="4"/>
  <c r="M187" i="4"/>
  <c r="EA187" i="4" s="1"/>
  <c r="BC190" i="4"/>
  <c r="ED190" i="4" s="1"/>
  <c r="ED191" i="4" s="1"/>
  <c r="P192" i="4" s="1"/>
  <c r="P191" i="4" s="1"/>
  <c r="P190" i="4" s="1"/>
  <c r="P189" i="4" s="1"/>
  <c r="P188" i="4" s="1"/>
  <c r="P187" i="4" s="1"/>
  <c r="P186" i="4" s="1"/>
  <c r="O126" i="4"/>
  <c r="P128" i="4"/>
  <c r="BD192" i="4"/>
  <c r="EE192" i="4" s="1"/>
  <c r="N127" i="4"/>
  <c r="BB191" i="4"/>
  <c r="M125" i="4"/>
  <c r="BA189" i="4"/>
  <c r="R63" i="3"/>
  <c r="AY98" i="3" s="1"/>
  <c r="R45" i="3"/>
  <c r="AY80" i="3" s="1"/>
  <c r="AZ96" i="3"/>
  <c r="R61" i="3"/>
  <c r="DR78" i="3"/>
  <c r="DR77" i="3" s="1"/>
  <c r="DR76" i="3" s="1"/>
  <c r="DR75" i="3" s="1"/>
  <c r="DR74" i="3" s="1"/>
  <c r="AZ75" i="3"/>
  <c r="R40" i="3"/>
  <c r="DS74" i="3"/>
  <c r="AZ88" i="3"/>
  <c r="R53" i="3"/>
  <c r="AZ82" i="3"/>
  <c r="R47" i="3"/>
  <c r="AZ97" i="3"/>
  <c r="R62" i="3"/>
  <c r="DQ97" i="3"/>
  <c r="DQ96" i="3" s="1"/>
  <c r="DQ95" i="3" s="1"/>
  <c r="DQ94" i="3" s="1"/>
  <c r="DQ93" i="3" s="1"/>
  <c r="DQ92" i="3" s="1"/>
  <c r="DQ91" i="3" s="1"/>
  <c r="DQ90" i="3" s="1"/>
  <c r="DQ89" i="3" s="1"/>
  <c r="DQ88" i="3" s="1"/>
  <c r="DQ87" i="3" s="1"/>
  <c r="DQ86" i="3" s="1"/>
  <c r="DQ85" i="3" s="1"/>
  <c r="DQ84" i="3" s="1"/>
  <c r="DQ83" i="3" s="1"/>
  <c r="DQ82" i="3" s="1"/>
  <c r="DQ81" i="3" s="1"/>
  <c r="DQ80" i="3" s="1"/>
  <c r="DQ79" i="3" s="1"/>
  <c r="AZ79" i="3"/>
  <c r="R44" i="3"/>
  <c r="AZ91" i="3"/>
  <c r="R56" i="3"/>
  <c r="DP101" i="3"/>
  <c r="DP100" i="3" s="1"/>
  <c r="DP99" i="3" s="1"/>
  <c r="DP98" i="3" s="1"/>
  <c r="S58" i="3"/>
  <c r="AZ93" i="3" s="1"/>
  <c r="R48" i="3"/>
  <c r="AY83" i="3" s="1"/>
  <c r="S51" i="3"/>
  <c r="AZ86" i="3" s="1"/>
  <c r="Q60" i="3"/>
  <c r="AX95" i="3" s="1"/>
  <c r="R41" i="3"/>
  <c r="AY76" i="3" s="1"/>
  <c r="P42" i="3"/>
  <c r="AW77" i="3" s="1"/>
  <c r="Q52" i="3"/>
  <c r="AX87" i="3" s="1"/>
  <c r="R54" i="3"/>
  <c r="AY89" i="3" s="1"/>
  <c r="Q69" i="3"/>
  <c r="AX104" i="3" s="1"/>
  <c r="Q68" i="3"/>
  <c r="AX103" i="3" s="1"/>
  <c r="DN103" i="3" s="1"/>
  <c r="T43" i="3"/>
  <c r="BA78" i="3" s="1"/>
  <c r="Q67" i="3"/>
  <c r="AX102" i="3" s="1"/>
  <c r="R66" i="3"/>
  <c r="AY101" i="3" s="1"/>
  <c r="Q50" i="3"/>
  <c r="AX85" i="3" s="1"/>
  <c r="R46" i="3"/>
  <c r="AY81" i="3" s="1"/>
  <c r="S57" i="3"/>
  <c r="AZ92" i="3" s="1"/>
  <c r="R65" i="3"/>
  <c r="AY100" i="3" s="1"/>
  <c r="R64" i="3"/>
  <c r="AY99" i="3" s="1"/>
  <c r="Q39" i="3"/>
  <c r="AX74" i="3" s="1"/>
  <c r="S18" i="1"/>
  <c r="Q49" i="3" l="1"/>
  <c r="AX84" i="3" s="1"/>
  <c r="P55" i="3"/>
  <c r="AW90" i="3" s="1"/>
  <c r="Q59" i="3"/>
  <c r="AX94" i="3" s="1"/>
  <c r="Q45" i="3"/>
  <c r="AX80" i="3" s="1"/>
  <c r="EB189" i="4"/>
  <c r="EA188" i="4"/>
  <c r="N126" i="4"/>
  <c r="BB190" i="4"/>
  <c r="EC190" i="4" s="1"/>
  <c r="EC191" i="4" s="1"/>
  <c r="O192" i="4" s="1"/>
  <c r="O191" i="4" s="1"/>
  <c r="O190" i="4" s="1"/>
  <c r="O189" i="4" s="1"/>
  <c r="O188" i="4" s="1"/>
  <c r="O187" i="4" s="1"/>
  <c r="O128" i="4"/>
  <c r="BC192" i="4"/>
  <c r="ED192" i="4" s="1"/>
  <c r="L125" i="4"/>
  <c r="AZ189" i="4"/>
  <c r="M127" i="4"/>
  <c r="BA191" i="4"/>
  <c r="Q63" i="3"/>
  <c r="AX98" i="3" s="1"/>
  <c r="AY96" i="3"/>
  <c r="Q61" i="3"/>
  <c r="U74" i="3"/>
  <c r="U75" i="3" s="1"/>
  <c r="U76" i="3" s="1"/>
  <c r="U77" i="3" s="1"/>
  <c r="U78" i="3" s="1"/>
  <c r="U79" i="3" s="1"/>
  <c r="U80" i="3" s="1"/>
  <c r="U81" i="3" s="1"/>
  <c r="U82" i="3" s="1"/>
  <c r="U83" i="3" s="1"/>
  <c r="U84" i="3" s="1"/>
  <c r="U85" i="3" s="1"/>
  <c r="U86" i="3" s="1"/>
  <c r="U87" i="3" s="1"/>
  <c r="U88" i="3" s="1"/>
  <c r="U89" i="3" s="1"/>
  <c r="U90" i="3" s="1"/>
  <c r="U91" i="3" s="1"/>
  <c r="U92" i="3" s="1"/>
  <c r="U93" i="3" s="1"/>
  <c r="U94" i="3" s="1"/>
  <c r="U95" i="3" s="1"/>
  <c r="U96" i="3" s="1"/>
  <c r="U97" i="3" s="1"/>
  <c r="U98" i="3" s="1"/>
  <c r="U99" i="3" s="1"/>
  <c r="U100" i="3" s="1"/>
  <c r="U101" i="3" s="1"/>
  <c r="U102" i="3" s="1"/>
  <c r="U103" i="3" s="1"/>
  <c r="U104" i="3" s="1"/>
  <c r="DP97" i="3"/>
  <c r="DP96" i="3" s="1"/>
  <c r="DP95" i="3" s="1"/>
  <c r="DP94" i="3" s="1"/>
  <c r="DP93" i="3" s="1"/>
  <c r="DP92" i="3" s="1"/>
  <c r="DP91" i="3" s="1"/>
  <c r="DP90" i="3" s="1"/>
  <c r="DP89" i="3" s="1"/>
  <c r="DP88" i="3" s="1"/>
  <c r="DP87" i="3" s="1"/>
  <c r="DP86" i="3" s="1"/>
  <c r="DP85" i="3" s="1"/>
  <c r="DP84" i="3" s="1"/>
  <c r="DP83" i="3" s="1"/>
  <c r="DP82" i="3" s="1"/>
  <c r="DP81" i="3" s="1"/>
  <c r="DP80" i="3" s="1"/>
  <c r="DP79" i="3" s="1"/>
  <c r="AY75" i="3"/>
  <c r="Q40" i="3"/>
  <c r="AY82" i="3"/>
  <c r="Q47" i="3"/>
  <c r="AY88" i="3"/>
  <c r="Q53" i="3"/>
  <c r="DQ78" i="3"/>
  <c r="DQ77" i="3" s="1"/>
  <c r="DQ76" i="3" s="1"/>
  <c r="DQ75" i="3" s="1"/>
  <c r="T74" i="3" s="1"/>
  <c r="T75" i="3" s="1"/>
  <c r="T76" i="3" s="1"/>
  <c r="T77" i="3" s="1"/>
  <c r="T78" i="3" s="1"/>
  <c r="T79" i="3" s="1"/>
  <c r="T80" i="3" s="1"/>
  <c r="T81" i="3" s="1"/>
  <c r="T82" i="3" s="1"/>
  <c r="T83" i="3" s="1"/>
  <c r="T84" i="3" s="1"/>
  <c r="T85" i="3" s="1"/>
  <c r="T86" i="3" s="1"/>
  <c r="T87" i="3" s="1"/>
  <c r="T88" i="3" s="1"/>
  <c r="T89" i="3" s="1"/>
  <c r="T90" i="3" s="1"/>
  <c r="T91" i="3" s="1"/>
  <c r="T92" i="3" s="1"/>
  <c r="T93" i="3" s="1"/>
  <c r="T94" i="3" s="1"/>
  <c r="T95" i="3" s="1"/>
  <c r="T96" i="3" s="1"/>
  <c r="T97" i="3" s="1"/>
  <c r="T98" i="3" s="1"/>
  <c r="T99" i="3" s="1"/>
  <c r="T100" i="3" s="1"/>
  <c r="T101" i="3" s="1"/>
  <c r="T102" i="3" s="1"/>
  <c r="T103" i="3" s="1"/>
  <c r="T104" i="3" s="1"/>
  <c r="AY91" i="3"/>
  <c r="Q56" i="3"/>
  <c r="AY79" i="3"/>
  <c r="Q44" i="3"/>
  <c r="AY97" i="3"/>
  <c r="Q62" i="3"/>
  <c r="DO101" i="3"/>
  <c r="DO100" i="3" s="1"/>
  <c r="DO99" i="3" s="1"/>
  <c r="DO98" i="3" s="1"/>
  <c r="DN102" i="3"/>
  <c r="R57" i="3"/>
  <c r="AY92" i="3" s="1"/>
  <c r="S43" i="3"/>
  <c r="AZ78" i="3" s="1"/>
  <c r="R51" i="3"/>
  <c r="AY86" i="3" s="1"/>
  <c r="Q48" i="3"/>
  <c r="AX83" i="3" s="1"/>
  <c r="P52" i="3"/>
  <c r="AW87" i="3" s="1"/>
  <c r="R58" i="3"/>
  <c r="AY93" i="3" s="1"/>
  <c r="Q64" i="3"/>
  <c r="AX99" i="3" s="1"/>
  <c r="P69" i="3"/>
  <c r="AW104" i="3" s="1"/>
  <c r="O42" i="3"/>
  <c r="AV77" i="3" s="1"/>
  <c r="P49" i="3"/>
  <c r="AW84" i="3" s="1"/>
  <c r="Q46" i="3"/>
  <c r="AX81" i="3" s="1"/>
  <c r="Q65" i="3"/>
  <c r="AX100" i="3" s="1"/>
  <c r="Q54" i="3"/>
  <c r="AX89" i="3" s="1"/>
  <c r="O55" i="3"/>
  <c r="AV90" i="3" s="1"/>
  <c r="P68" i="3"/>
  <c r="AW103" i="3" s="1"/>
  <c r="DM103" i="3" s="1"/>
  <c r="Q41" i="3"/>
  <c r="AX76" i="3" s="1"/>
  <c r="Q66" i="3"/>
  <c r="AX101" i="3" s="1"/>
  <c r="P50" i="3"/>
  <c r="AW85" i="3" s="1"/>
  <c r="P67" i="3"/>
  <c r="AW102" i="3" s="1"/>
  <c r="P60" i="3"/>
  <c r="AW95" i="3" s="1"/>
  <c r="P39" i="3"/>
  <c r="AW74" i="3" s="1"/>
  <c r="T18" i="1"/>
  <c r="P45" i="3" l="1"/>
  <c r="AW80" i="3" s="1"/>
  <c r="P59" i="3"/>
  <c r="AW94" i="3" s="1"/>
  <c r="P63" i="3"/>
  <c r="AW98" i="3" s="1"/>
  <c r="EA189" i="4"/>
  <c r="M126" i="4"/>
  <c r="BA190" i="4"/>
  <c r="EB190" i="4" s="1"/>
  <c r="EB191" i="4" s="1"/>
  <c r="N128" i="4"/>
  <c r="BB192" i="4"/>
  <c r="EC192" i="4" s="1"/>
  <c r="L127" i="4"/>
  <c r="AZ191" i="4"/>
  <c r="K125" i="4"/>
  <c r="AY189" i="4"/>
  <c r="L188" i="4"/>
  <c r="DZ188" i="4" s="1"/>
  <c r="AX96" i="3"/>
  <c r="P61" i="3"/>
  <c r="DP78" i="3"/>
  <c r="DP77" i="3" s="1"/>
  <c r="DP76" i="3" s="1"/>
  <c r="DP75" i="3" s="1"/>
  <c r="S74" i="3" s="1"/>
  <c r="S75" i="3" s="1"/>
  <c r="S76" i="3" s="1"/>
  <c r="S77" i="3" s="1"/>
  <c r="S78" i="3" s="1"/>
  <c r="S79" i="3" s="1"/>
  <c r="S80" i="3" s="1"/>
  <c r="S81" i="3" s="1"/>
  <c r="S82" i="3" s="1"/>
  <c r="S83" i="3" s="1"/>
  <c r="S84" i="3" s="1"/>
  <c r="S85" i="3" s="1"/>
  <c r="S86" i="3" s="1"/>
  <c r="S87" i="3" s="1"/>
  <c r="S88" i="3" s="1"/>
  <c r="S89" i="3" s="1"/>
  <c r="S90" i="3" s="1"/>
  <c r="S91" i="3" s="1"/>
  <c r="S92" i="3" s="1"/>
  <c r="S93" i="3" s="1"/>
  <c r="S94" i="3" s="1"/>
  <c r="S95" i="3" s="1"/>
  <c r="S96" i="3" s="1"/>
  <c r="S97" i="3" s="1"/>
  <c r="S98" i="3" s="1"/>
  <c r="S99" i="3" s="1"/>
  <c r="S100" i="3" s="1"/>
  <c r="S101" i="3" s="1"/>
  <c r="S102" i="3" s="1"/>
  <c r="S103" i="3" s="1"/>
  <c r="S104" i="3" s="1"/>
  <c r="AX75" i="3"/>
  <c r="P40" i="3"/>
  <c r="DQ74" i="3"/>
  <c r="AX88" i="3"/>
  <c r="P53" i="3"/>
  <c r="DM102" i="3"/>
  <c r="AX82" i="3"/>
  <c r="P47" i="3"/>
  <c r="AX97" i="3"/>
  <c r="P62" i="3"/>
  <c r="AX79" i="3"/>
  <c r="P44" i="3"/>
  <c r="AX91" i="3"/>
  <c r="P56" i="3"/>
  <c r="DO97" i="3"/>
  <c r="DO96" i="3" s="1"/>
  <c r="DO95" i="3" s="1"/>
  <c r="DO94" i="3" s="1"/>
  <c r="DO93" i="3" s="1"/>
  <c r="DO92" i="3" s="1"/>
  <c r="DO91" i="3" s="1"/>
  <c r="DO90" i="3" s="1"/>
  <c r="DO89" i="3" s="1"/>
  <c r="DO88" i="3" s="1"/>
  <c r="DO87" i="3" s="1"/>
  <c r="DO86" i="3" s="1"/>
  <c r="DO85" i="3" s="1"/>
  <c r="DO84" i="3" s="1"/>
  <c r="DO83" i="3" s="1"/>
  <c r="DO82" i="3" s="1"/>
  <c r="DO81" i="3" s="1"/>
  <c r="DO80" i="3" s="1"/>
  <c r="DO79" i="3" s="1"/>
  <c r="DN101" i="3"/>
  <c r="DN100" i="3" s="1"/>
  <c r="DN99" i="3" s="1"/>
  <c r="DN98" i="3" s="1"/>
  <c r="P41" i="3"/>
  <c r="AW76" i="3" s="1"/>
  <c r="O68" i="3"/>
  <c r="AV103" i="3" s="1"/>
  <c r="DL103" i="3" s="1"/>
  <c r="P46" i="3"/>
  <c r="AW81" i="3" s="1"/>
  <c r="R43" i="3"/>
  <c r="AY78" i="3" s="1"/>
  <c r="P65" i="3"/>
  <c r="AW100" i="3" s="1"/>
  <c r="Q58" i="3"/>
  <c r="AX93" i="3" s="1"/>
  <c r="O50" i="3"/>
  <c r="AV85" i="3" s="1"/>
  <c r="N55" i="3"/>
  <c r="AU90" i="3" s="1"/>
  <c r="N42" i="3"/>
  <c r="AU77" i="3" s="1"/>
  <c r="P48" i="3"/>
  <c r="AW83" i="3" s="1"/>
  <c r="O45" i="3"/>
  <c r="AV80" i="3" s="1"/>
  <c r="O69" i="3"/>
  <c r="AV104" i="3" s="1"/>
  <c r="Q57" i="3"/>
  <c r="AX92" i="3" s="1"/>
  <c r="O52" i="3"/>
  <c r="AV87" i="3" s="1"/>
  <c r="P64" i="3"/>
  <c r="AW99" i="3" s="1"/>
  <c r="O67" i="3"/>
  <c r="AV102" i="3" s="1"/>
  <c r="O60" i="3"/>
  <c r="AV95" i="3" s="1"/>
  <c r="P66" i="3"/>
  <c r="AW101" i="3" s="1"/>
  <c r="P54" i="3"/>
  <c r="AW89" i="3" s="1"/>
  <c r="O49" i="3"/>
  <c r="AV84" i="3" s="1"/>
  <c r="Q51" i="3"/>
  <c r="AX86" i="3" s="1"/>
  <c r="O39" i="3"/>
  <c r="AV74" i="3" s="1"/>
  <c r="U18" i="1"/>
  <c r="O59" i="3" l="1"/>
  <c r="AV94" i="3" s="1"/>
  <c r="O63" i="3"/>
  <c r="AV98" i="3" s="1"/>
  <c r="DZ189" i="4"/>
  <c r="AZ190" i="4"/>
  <c r="EA190" i="4" s="1"/>
  <c r="EA191" i="4" s="1"/>
  <c r="L126" i="4"/>
  <c r="M128" i="4"/>
  <c r="BA192" i="4"/>
  <c r="EB192" i="4" s="1"/>
  <c r="AX189" i="4"/>
  <c r="K188" i="4"/>
  <c r="DY188" i="4" s="1"/>
  <c r="K127" i="4"/>
  <c r="AY191" i="4"/>
  <c r="N192" i="4"/>
  <c r="N191" i="4" s="1"/>
  <c r="N190" i="4" s="1"/>
  <c r="N189" i="4" s="1"/>
  <c r="N188" i="4" s="1"/>
  <c r="DO78" i="3"/>
  <c r="DO77" i="3" s="1"/>
  <c r="DO76" i="3" s="1"/>
  <c r="DO75" i="3" s="1"/>
  <c r="R74" i="3" s="1"/>
  <c r="R75" i="3" s="1"/>
  <c r="R76" i="3" s="1"/>
  <c r="R77" i="3" s="1"/>
  <c r="R78" i="3" s="1"/>
  <c r="R79" i="3" s="1"/>
  <c r="R80" i="3" s="1"/>
  <c r="R81" i="3" s="1"/>
  <c r="R82" i="3" s="1"/>
  <c r="R83" i="3" s="1"/>
  <c r="R84" i="3" s="1"/>
  <c r="R85" i="3" s="1"/>
  <c r="R86" i="3" s="1"/>
  <c r="R87" i="3" s="1"/>
  <c r="R88" i="3" s="1"/>
  <c r="R89" i="3" s="1"/>
  <c r="R90" i="3" s="1"/>
  <c r="R91" i="3" s="1"/>
  <c r="R92" i="3" s="1"/>
  <c r="R93" i="3" s="1"/>
  <c r="R94" i="3" s="1"/>
  <c r="R95" i="3" s="1"/>
  <c r="R96" i="3" s="1"/>
  <c r="R97" i="3" s="1"/>
  <c r="R98" i="3" s="1"/>
  <c r="R99" i="3" s="1"/>
  <c r="R100" i="3" s="1"/>
  <c r="R101" i="3" s="1"/>
  <c r="R102" i="3" s="1"/>
  <c r="R103" i="3" s="1"/>
  <c r="R104" i="3" s="1"/>
  <c r="DN97" i="3"/>
  <c r="DN96" i="3" s="1"/>
  <c r="DN95" i="3" s="1"/>
  <c r="DN94" i="3" s="1"/>
  <c r="DN93" i="3" s="1"/>
  <c r="DN92" i="3" s="1"/>
  <c r="DN91" i="3" s="1"/>
  <c r="DN90" i="3" s="1"/>
  <c r="DN89" i="3" s="1"/>
  <c r="DN88" i="3" s="1"/>
  <c r="DN87" i="3" s="1"/>
  <c r="DN86" i="3" s="1"/>
  <c r="DN85" i="3" s="1"/>
  <c r="DN84" i="3" s="1"/>
  <c r="DN83" i="3" s="1"/>
  <c r="DN82" i="3" s="1"/>
  <c r="DN81" i="3" s="1"/>
  <c r="DN80" i="3" s="1"/>
  <c r="DN79" i="3" s="1"/>
  <c r="AW96" i="3"/>
  <c r="O61" i="3"/>
  <c r="DM101" i="3"/>
  <c r="DM100" i="3" s="1"/>
  <c r="DM99" i="3" s="1"/>
  <c r="DM98" i="3" s="1"/>
  <c r="DP74" i="3"/>
  <c r="AW75" i="3"/>
  <c r="O40" i="3"/>
  <c r="AW82" i="3"/>
  <c r="O47" i="3"/>
  <c r="AW88" i="3"/>
  <c r="O53" i="3"/>
  <c r="AW91" i="3"/>
  <c r="O56" i="3"/>
  <c r="AW79" i="3"/>
  <c r="O44" i="3"/>
  <c r="AW97" i="3"/>
  <c r="O62" i="3"/>
  <c r="DL102" i="3"/>
  <c r="P57" i="3"/>
  <c r="AW92" i="3" s="1"/>
  <c r="N50" i="3"/>
  <c r="AU85" i="3" s="1"/>
  <c r="O65" i="3"/>
  <c r="AV100" i="3" s="1"/>
  <c r="N49" i="3"/>
  <c r="AU84" i="3" s="1"/>
  <c r="O54" i="3"/>
  <c r="AV89" i="3" s="1"/>
  <c r="N67" i="3"/>
  <c r="AU102" i="3" s="1"/>
  <c r="N69" i="3"/>
  <c r="AU104" i="3" s="1"/>
  <c r="O46" i="3"/>
  <c r="AV81" i="3" s="1"/>
  <c r="M55" i="3"/>
  <c r="AT90" i="3" s="1"/>
  <c r="O66" i="3"/>
  <c r="AV101" i="3" s="1"/>
  <c r="O64" i="3"/>
  <c r="AV99" i="3" s="1"/>
  <c r="M42" i="3"/>
  <c r="AT77" i="3" s="1"/>
  <c r="P58" i="3"/>
  <c r="AW93" i="3" s="1"/>
  <c r="Q43" i="3"/>
  <c r="AX78" i="3" s="1"/>
  <c r="N68" i="3"/>
  <c r="AU103" i="3" s="1"/>
  <c r="DK103" i="3" s="1"/>
  <c r="O48" i="3"/>
  <c r="AV83" i="3" s="1"/>
  <c r="N60" i="3"/>
  <c r="AU95" i="3" s="1"/>
  <c r="N52" i="3"/>
  <c r="AU87" i="3" s="1"/>
  <c r="N45" i="3"/>
  <c r="AU80" i="3" s="1"/>
  <c r="P51" i="3"/>
  <c r="AW86" i="3" s="1"/>
  <c r="O41" i="3"/>
  <c r="AV76" i="3" s="1"/>
  <c r="N39" i="3"/>
  <c r="AU74" i="3" s="1"/>
  <c r="V18" i="1"/>
  <c r="N59" i="3" l="1"/>
  <c r="AU94" i="3" s="1"/>
  <c r="N63" i="3"/>
  <c r="AU98" i="3" s="1"/>
  <c r="DY189" i="4"/>
  <c r="AY190" i="4"/>
  <c r="DZ190" i="4" s="1"/>
  <c r="DZ191" i="4" s="1"/>
  <c r="L192" i="4" s="1"/>
  <c r="L191" i="4" s="1"/>
  <c r="L190" i="4" s="1"/>
  <c r="L189" i="4" s="1"/>
  <c r="K126" i="4"/>
  <c r="AX190" i="4" s="1"/>
  <c r="L128" i="4"/>
  <c r="AZ192" i="4"/>
  <c r="EA192" i="4" s="1"/>
  <c r="J127" i="4"/>
  <c r="AW191" i="4" s="1"/>
  <c r="DX191" i="4" s="1"/>
  <c r="AX191" i="4"/>
  <c r="M192" i="4"/>
  <c r="M191" i="4" s="1"/>
  <c r="M190" i="4" s="1"/>
  <c r="M189" i="4" s="1"/>
  <c r="M188" i="4" s="1"/>
  <c r="DO74" i="3"/>
  <c r="AV96" i="3"/>
  <c r="N61" i="3"/>
  <c r="DN78" i="3"/>
  <c r="DN77" i="3" s="1"/>
  <c r="DN76" i="3" s="1"/>
  <c r="DN75" i="3" s="1"/>
  <c r="DN74" i="3" s="1"/>
  <c r="DM97" i="3"/>
  <c r="DM96" i="3" s="1"/>
  <c r="DM95" i="3" s="1"/>
  <c r="DM94" i="3" s="1"/>
  <c r="DM93" i="3" s="1"/>
  <c r="DM92" i="3" s="1"/>
  <c r="DM91" i="3" s="1"/>
  <c r="DM90" i="3" s="1"/>
  <c r="DM89" i="3" s="1"/>
  <c r="DM88" i="3" s="1"/>
  <c r="DM87" i="3" s="1"/>
  <c r="DM86" i="3" s="1"/>
  <c r="DM85" i="3" s="1"/>
  <c r="DM84" i="3" s="1"/>
  <c r="DM83" i="3" s="1"/>
  <c r="DM82" i="3" s="1"/>
  <c r="DM81" i="3" s="1"/>
  <c r="DM80" i="3" s="1"/>
  <c r="DM79" i="3" s="1"/>
  <c r="AV75" i="3"/>
  <c r="N40" i="3"/>
  <c r="AV88" i="3"/>
  <c r="N53" i="3"/>
  <c r="AV82" i="3"/>
  <c r="N47" i="3"/>
  <c r="AV97" i="3"/>
  <c r="N62" i="3"/>
  <c r="AV79" i="3"/>
  <c r="N44" i="3"/>
  <c r="AV91" i="3"/>
  <c r="N56" i="3"/>
  <c r="DL101" i="3"/>
  <c r="DL100" i="3" s="1"/>
  <c r="DL99" i="3" s="1"/>
  <c r="DL98" i="3" s="1"/>
  <c r="DK102" i="3"/>
  <c r="N48" i="3"/>
  <c r="AU83" i="3" s="1"/>
  <c r="M69" i="3"/>
  <c r="AT104" i="3" s="1"/>
  <c r="M49" i="3"/>
  <c r="AT84" i="3" s="1"/>
  <c r="N65" i="3"/>
  <c r="AU100" i="3" s="1"/>
  <c r="M45" i="3"/>
  <c r="AT80" i="3" s="1"/>
  <c r="M68" i="3"/>
  <c r="AT103" i="3" s="1"/>
  <c r="DJ103" i="3" s="1"/>
  <c r="L55" i="3"/>
  <c r="AS90" i="3" s="1"/>
  <c r="M67" i="3"/>
  <c r="AT102" i="3" s="1"/>
  <c r="N46" i="3"/>
  <c r="AU81" i="3" s="1"/>
  <c r="L42" i="3"/>
  <c r="AS77" i="3" s="1"/>
  <c r="P43" i="3"/>
  <c r="AW78" i="3" s="1"/>
  <c r="N64" i="3"/>
  <c r="AU99" i="3" s="1"/>
  <c r="N54" i="3"/>
  <c r="AU89" i="3" s="1"/>
  <c r="M50" i="3"/>
  <c r="AT85" i="3" s="1"/>
  <c r="O51" i="3"/>
  <c r="AV86" i="3" s="1"/>
  <c r="N41" i="3"/>
  <c r="AU76" i="3" s="1"/>
  <c r="M60" i="3"/>
  <c r="AT95" i="3" s="1"/>
  <c r="M52" i="3"/>
  <c r="AT87" i="3" s="1"/>
  <c r="O58" i="3"/>
  <c r="AV93" i="3" s="1"/>
  <c r="M59" i="3"/>
  <c r="AT94" i="3" s="1"/>
  <c r="N66" i="3"/>
  <c r="AU101" i="3" s="1"/>
  <c r="O57" i="3"/>
  <c r="AV92" i="3" s="1"/>
  <c r="M39" i="3"/>
  <c r="AT74" i="3" s="1"/>
  <c r="W18" i="1"/>
  <c r="M63" i="3" l="1"/>
  <c r="AT98" i="3" s="1"/>
  <c r="DY190" i="4"/>
  <c r="DY191" i="4" s="1"/>
  <c r="K192" i="4" s="1"/>
  <c r="K191" i="4" s="1"/>
  <c r="K190" i="4" s="1"/>
  <c r="K189" i="4" s="1"/>
  <c r="K128" i="4"/>
  <c r="AY192" i="4"/>
  <c r="DZ192" i="4" s="1"/>
  <c r="J192" i="4"/>
  <c r="J191" i="4" s="1"/>
  <c r="J190" i="4" s="1"/>
  <c r="AU96" i="3"/>
  <c r="M61" i="3"/>
  <c r="Q74" i="3"/>
  <c r="Q75" i="3" s="1"/>
  <c r="Q76" i="3" s="1"/>
  <c r="Q77" i="3" s="1"/>
  <c r="Q78" i="3" s="1"/>
  <c r="Q79" i="3" s="1"/>
  <c r="Q80" i="3" s="1"/>
  <c r="Q81" i="3" s="1"/>
  <c r="Q82" i="3" s="1"/>
  <c r="Q83" i="3" s="1"/>
  <c r="Q84" i="3" s="1"/>
  <c r="Q85" i="3" s="1"/>
  <c r="Q86" i="3" s="1"/>
  <c r="Q87" i="3" s="1"/>
  <c r="Q88" i="3" s="1"/>
  <c r="Q89" i="3" s="1"/>
  <c r="Q90" i="3" s="1"/>
  <c r="Q91" i="3" s="1"/>
  <c r="Q92" i="3" s="1"/>
  <c r="Q93" i="3" s="1"/>
  <c r="Q94" i="3" s="1"/>
  <c r="Q95" i="3" s="1"/>
  <c r="Q96" i="3" s="1"/>
  <c r="Q97" i="3" s="1"/>
  <c r="Q98" i="3" s="1"/>
  <c r="Q99" i="3" s="1"/>
  <c r="Q100" i="3" s="1"/>
  <c r="Q101" i="3" s="1"/>
  <c r="Q102" i="3" s="1"/>
  <c r="Q103" i="3" s="1"/>
  <c r="Q104" i="3" s="1"/>
  <c r="DL97" i="3"/>
  <c r="DL96" i="3" s="1"/>
  <c r="DL95" i="3" s="1"/>
  <c r="DL94" i="3" s="1"/>
  <c r="DL93" i="3" s="1"/>
  <c r="DL92" i="3" s="1"/>
  <c r="DL91" i="3" s="1"/>
  <c r="DL90" i="3" s="1"/>
  <c r="DL89" i="3" s="1"/>
  <c r="DL88" i="3" s="1"/>
  <c r="DL87" i="3" s="1"/>
  <c r="DL86" i="3" s="1"/>
  <c r="DL85" i="3" s="1"/>
  <c r="DL84" i="3" s="1"/>
  <c r="DL83" i="3" s="1"/>
  <c r="DL82" i="3" s="1"/>
  <c r="DL81" i="3" s="1"/>
  <c r="DL80" i="3" s="1"/>
  <c r="DL79" i="3" s="1"/>
  <c r="AU75" i="3"/>
  <c r="M40" i="3"/>
  <c r="AU82" i="3"/>
  <c r="M47" i="3"/>
  <c r="AU88" i="3"/>
  <c r="M53" i="3"/>
  <c r="AU91" i="3"/>
  <c r="M56" i="3"/>
  <c r="DJ102" i="3"/>
  <c r="AU79" i="3"/>
  <c r="M44" i="3"/>
  <c r="DK101" i="3"/>
  <c r="DK100" i="3" s="1"/>
  <c r="DK99" i="3" s="1"/>
  <c r="DK98" i="3" s="1"/>
  <c r="DM78" i="3"/>
  <c r="DM77" i="3" s="1"/>
  <c r="DM76" i="3" s="1"/>
  <c r="DM75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AU97" i="3"/>
  <c r="M62" i="3"/>
  <c r="L63" i="3"/>
  <c r="AS98" i="3" s="1"/>
  <c r="N51" i="3"/>
  <c r="AU86" i="3" s="1"/>
  <c r="L67" i="3"/>
  <c r="AS102" i="3" s="1"/>
  <c r="L69" i="3"/>
  <c r="AS104" i="3" s="1"/>
  <c r="M65" i="3"/>
  <c r="AT100" i="3" s="1"/>
  <c r="M64" i="3"/>
  <c r="AT99" i="3" s="1"/>
  <c r="L50" i="3"/>
  <c r="AS85" i="3" s="1"/>
  <c r="K42" i="3"/>
  <c r="AR77" i="3" s="1"/>
  <c r="K55" i="3"/>
  <c r="AR90" i="3" s="1"/>
  <c r="M48" i="3"/>
  <c r="AT83" i="3" s="1"/>
  <c r="M41" i="3"/>
  <c r="AT76" i="3" s="1"/>
  <c r="M66" i="3"/>
  <c r="AT101" i="3" s="1"/>
  <c r="N57" i="3"/>
  <c r="AU92" i="3" s="1"/>
  <c r="L68" i="3"/>
  <c r="AS103" i="3" s="1"/>
  <c r="DI103" i="3" s="1"/>
  <c r="N58" i="3"/>
  <c r="AU93" i="3" s="1"/>
  <c r="L45" i="3"/>
  <c r="AS80" i="3" s="1"/>
  <c r="O43" i="3"/>
  <c r="AV78" i="3" s="1"/>
  <c r="L52" i="3"/>
  <c r="AS87" i="3" s="1"/>
  <c r="L59" i="3"/>
  <c r="AS94" i="3" s="1"/>
  <c r="L60" i="3"/>
  <c r="AS95" i="3" s="1"/>
  <c r="M54" i="3"/>
  <c r="AT89" i="3" s="1"/>
  <c r="M46" i="3"/>
  <c r="AT81" i="3" s="1"/>
  <c r="L49" i="3"/>
  <c r="AS84" i="3" s="1"/>
  <c r="L39" i="3"/>
  <c r="AS74" i="3" s="1"/>
  <c r="X18" i="1"/>
  <c r="J128" i="4" l="1"/>
  <c r="AW192" i="4" s="1"/>
  <c r="DX192" i="4" s="1"/>
  <c r="AX192" i="4"/>
  <c r="DY192" i="4" s="1"/>
  <c r="AT96" i="3"/>
  <c r="L61" i="3"/>
  <c r="DL78" i="3"/>
  <c r="DL77" i="3" s="1"/>
  <c r="DL76" i="3" s="1"/>
  <c r="DL75" i="3" s="1"/>
  <c r="O74" i="3" s="1"/>
  <c r="O75" i="3" s="1"/>
  <c r="O76" i="3" s="1"/>
  <c r="O77" i="3" s="1"/>
  <c r="O78" i="3" s="1"/>
  <c r="O79" i="3" s="1"/>
  <c r="O80" i="3" s="1"/>
  <c r="O81" i="3" s="1"/>
  <c r="O82" i="3" s="1"/>
  <c r="O83" i="3" s="1"/>
  <c r="O84" i="3" s="1"/>
  <c r="O85" i="3" s="1"/>
  <c r="O86" i="3" s="1"/>
  <c r="O87" i="3" s="1"/>
  <c r="O88" i="3" s="1"/>
  <c r="O89" i="3" s="1"/>
  <c r="O90" i="3" s="1"/>
  <c r="O91" i="3" s="1"/>
  <c r="O92" i="3" s="1"/>
  <c r="O93" i="3" s="1"/>
  <c r="O94" i="3" s="1"/>
  <c r="O95" i="3" s="1"/>
  <c r="O96" i="3" s="1"/>
  <c r="O97" i="3" s="1"/>
  <c r="O98" i="3" s="1"/>
  <c r="O99" i="3" s="1"/>
  <c r="O100" i="3" s="1"/>
  <c r="O101" i="3" s="1"/>
  <c r="O102" i="3" s="1"/>
  <c r="O103" i="3" s="1"/>
  <c r="O104" i="3" s="1"/>
  <c r="AT75" i="3"/>
  <c r="L40" i="3"/>
  <c r="DI102" i="3"/>
  <c r="DJ101" i="3"/>
  <c r="DJ100" i="3" s="1"/>
  <c r="DJ99" i="3" s="1"/>
  <c r="DJ98" i="3" s="1"/>
  <c r="AT88" i="3"/>
  <c r="L53" i="3"/>
  <c r="DK97" i="3"/>
  <c r="DK96" i="3" s="1"/>
  <c r="DK95" i="3" s="1"/>
  <c r="DK94" i="3" s="1"/>
  <c r="DK93" i="3" s="1"/>
  <c r="DK92" i="3" s="1"/>
  <c r="DK91" i="3" s="1"/>
  <c r="DK90" i="3" s="1"/>
  <c r="DK89" i="3" s="1"/>
  <c r="DK88" i="3" s="1"/>
  <c r="DK87" i="3" s="1"/>
  <c r="DK86" i="3" s="1"/>
  <c r="DK85" i="3" s="1"/>
  <c r="DK84" i="3" s="1"/>
  <c r="DK83" i="3" s="1"/>
  <c r="DK82" i="3" s="1"/>
  <c r="DK81" i="3" s="1"/>
  <c r="DK80" i="3" s="1"/>
  <c r="DK79" i="3" s="1"/>
  <c r="AT82" i="3"/>
  <c r="L47" i="3"/>
  <c r="AT79" i="3"/>
  <c r="L44" i="3"/>
  <c r="DM74" i="3"/>
  <c r="AT91" i="3"/>
  <c r="L56" i="3"/>
  <c r="AT97" i="3"/>
  <c r="L62" i="3"/>
  <c r="L46" i="3"/>
  <c r="AS81" i="3" s="1"/>
  <c r="K50" i="3"/>
  <c r="AR85" i="3" s="1"/>
  <c r="K67" i="3"/>
  <c r="AR102" i="3" s="1"/>
  <c r="K52" i="3"/>
  <c r="AR87" i="3" s="1"/>
  <c r="K68" i="3"/>
  <c r="AR103" i="3" s="1"/>
  <c r="DH103" i="3" s="1"/>
  <c r="L48" i="3"/>
  <c r="AS83" i="3" s="1"/>
  <c r="L65" i="3"/>
  <c r="AS100" i="3" s="1"/>
  <c r="M51" i="3"/>
  <c r="AT86" i="3" s="1"/>
  <c r="K60" i="3"/>
  <c r="AR95" i="3" s="1"/>
  <c r="K69" i="3"/>
  <c r="AR104" i="3" s="1"/>
  <c r="K63" i="3"/>
  <c r="AR98" i="3" s="1"/>
  <c r="L41" i="3"/>
  <c r="AS76" i="3" s="1"/>
  <c r="M58" i="3"/>
  <c r="AT93" i="3" s="1"/>
  <c r="L54" i="3"/>
  <c r="AS89" i="3" s="1"/>
  <c r="N43" i="3"/>
  <c r="AU78" i="3" s="1"/>
  <c r="J55" i="3"/>
  <c r="AQ90" i="3" s="1"/>
  <c r="M57" i="3"/>
  <c r="AT92" i="3" s="1"/>
  <c r="K49" i="3"/>
  <c r="AR84" i="3" s="1"/>
  <c r="K59" i="3"/>
  <c r="AR94" i="3" s="1"/>
  <c r="K45" i="3"/>
  <c r="AR80" i="3" s="1"/>
  <c r="L66" i="3"/>
  <c r="AS101" i="3" s="1"/>
  <c r="J42" i="3"/>
  <c r="AQ77" i="3" s="1"/>
  <c r="L64" i="3"/>
  <c r="AS99" i="3" s="1"/>
  <c r="K39" i="3"/>
  <c r="AR74" i="3" s="1"/>
  <c r="Y18" i="1"/>
  <c r="AS96" i="3" l="1"/>
  <c r="K61" i="3"/>
  <c r="DI101" i="3"/>
  <c r="DI100" i="3" s="1"/>
  <c r="DI99" i="3" s="1"/>
  <c r="DI98" i="3" s="1"/>
  <c r="DH102" i="3"/>
  <c r="DL74" i="3"/>
  <c r="DJ97" i="3"/>
  <c r="DJ96" i="3" s="1"/>
  <c r="DJ95" i="3" s="1"/>
  <c r="DJ94" i="3" s="1"/>
  <c r="DJ93" i="3" s="1"/>
  <c r="DJ92" i="3" s="1"/>
  <c r="DJ91" i="3" s="1"/>
  <c r="DJ90" i="3" s="1"/>
  <c r="DJ89" i="3" s="1"/>
  <c r="DJ88" i="3" s="1"/>
  <c r="DJ87" i="3" s="1"/>
  <c r="DJ86" i="3" s="1"/>
  <c r="DJ85" i="3" s="1"/>
  <c r="DJ84" i="3" s="1"/>
  <c r="DJ83" i="3" s="1"/>
  <c r="DJ82" i="3" s="1"/>
  <c r="DJ81" i="3" s="1"/>
  <c r="DJ80" i="3" s="1"/>
  <c r="DJ79" i="3" s="1"/>
  <c r="AS75" i="3"/>
  <c r="K40" i="3"/>
  <c r="AS82" i="3"/>
  <c r="K47" i="3"/>
  <c r="AS88" i="3"/>
  <c r="K53" i="3"/>
  <c r="DK78" i="3"/>
  <c r="DK77" i="3" s="1"/>
  <c r="DK76" i="3" s="1"/>
  <c r="DK75" i="3" s="1"/>
  <c r="N74" i="3" s="1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N96" i="3" s="1"/>
  <c r="N97" i="3" s="1"/>
  <c r="N98" i="3" s="1"/>
  <c r="N99" i="3" s="1"/>
  <c r="N100" i="3" s="1"/>
  <c r="N101" i="3" s="1"/>
  <c r="N102" i="3" s="1"/>
  <c r="N103" i="3" s="1"/>
  <c r="N104" i="3" s="1"/>
  <c r="AS97" i="3"/>
  <c r="K62" i="3"/>
  <c r="AS91" i="3"/>
  <c r="K56" i="3"/>
  <c r="AS79" i="3"/>
  <c r="K44" i="3"/>
  <c r="J60" i="3"/>
  <c r="AQ95" i="3" s="1"/>
  <c r="J67" i="3"/>
  <c r="AQ102" i="3" s="1"/>
  <c r="K54" i="3"/>
  <c r="AR89" i="3" s="1"/>
  <c r="K48" i="3"/>
  <c r="AR83" i="3" s="1"/>
  <c r="K64" i="3"/>
  <c r="AR99" i="3" s="1"/>
  <c r="J50" i="3"/>
  <c r="AQ85" i="3" s="1"/>
  <c r="J59" i="3"/>
  <c r="AQ94" i="3" s="1"/>
  <c r="L57" i="3"/>
  <c r="AS92" i="3" s="1"/>
  <c r="L58" i="3"/>
  <c r="AS93" i="3" s="1"/>
  <c r="J63" i="3"/>
  <c r="AQ98" i="3" s="1"/>
  <c r="L51" i="3"/>
  <c r="AS86" i="3" s="1"/>
  <c r="J68" i="3"/>
  <c r="AQ103" i="3" s="1"/>
  <c r="DG103" i="3" s="1"/>
  <c r="M43" i="3"/>
  <c r="AT78" i="3" s="1"/>
  <c r="I42" i="3"/>
  <c r="AP77" i="3" s="1"/>
  <c r="K66" i="3"/>
  <c r="AR101" i="3" s="1"/>
  <c r="J52" i="3"/>
  <c r="AQ87" i="3" s="1"/>
  <c r="J49" i="3"/>
  <c r="AQ84" i="3" s="1"/>
  <c r="J45" i="3"/>
  <c r="AQ80" i="3" s="1"/>
  <c r="I55" i="3"/>
  <c r="AP90" i="3" s="1"/>
  <c r="K41" i="3"/>
  <c r="AR76" i="3" s="1"/>
  <c r="J69" i="3"/>
  <c r="AQ104" i="3" s="1"/>
  <c r="K65" i="3"/>
  <c r="AR100" i="3" s="1"/>
  <c r="K46" i="3"/>
  <c r="AR81" i="3" s="1"/>
  <c r="J39" i="3"/>
  <c r="AQ74" i="3" s="1"/>
  <c r="Z18" i="1"/>
  <c r="AR96" i="3" l="1"/>
  <c r="J61" i="3"/>
  <c r="DH101" i="3"/>
  <c r="DH100" i="3" s="1"/>
  <c r="DH99" i="3" s="1"/>
  <c r="DH98" i="3" s="1"/>
  <c r="DI97" i="3"/>
  <c r="DI96" i="3" s="1"/>
  <c r="DI95" i="3" s="1"/>
  <c r="DI94" i="3" s="1"/>
  <c r="DI93" i="3" s="1"/>
  <c r="DI92" i="3" s="1"/>
  <c r="DI91" i="3" s="1"/>
  <c r="DI90" i="3" s="1"/>
  <c r="DI89" i="3" s="1"/>
  <c r="DI88" i="3" s="1"/>
  <c r="DI87" i="3" s="1"/>
  <c r="DI86" i="3" s="1"/>
  <c r="DI85" i="3" s="1"/>
  <c r="DI84" i="3" s="1"/>
  <c r="DI83" i="3" s="1"/>
  <c r="DI82" i="3" s="1"/>
  <c r="DI81" i="3" s="1"/>
  <c r="DI80" i="3" s="1"/>
  <c r="DI79" i="3" s="1"/>
  <c r="AR75" i="3"/>
  <c r="J40" i="3"/>
  <c r="DK74" i="3"/>
  <c r="AR88" i="3"/>
  <c r="J53" i="3"/>
  <c r="AR82" i="3"/>
  <c r="J47" i="3"/>
  <c r="AR79" i="3"/>
  <c r="J44" i="3"/>
  <c r="AR91" i="3"/>
  <c r="J56" i="3"/>
  <c r="DG102" i="3"/>
  <c r="DJ78" i="3"/>
  <c r="DJ77" i="3" s="1"/>
  <c r="DJ76" i="3" s="1"/>
  <c r="DJ75" i="3" s="1"/>
  <c r="DJ74" i="3" s="1"/>
  <c r="AR97" i="3"/>
  <c r="J62" i="3"/>
  <c r="I59" i="3"/>
  <c r="AP94" i="3" s="1"/>
  <c r="J54" i="3"/>
  <c r="AQ89" i="3" s="1"/>
  <c r="I50" i="3"/>
  <c r="AP85" i="3" s="1"/>
  <c r="I69" i="3"/>
  <c r="AP104" i="3" s="1"/>
  <c r="H42" i="3"/>
  <c r="AO77" i="3" s="1"/>
  <c r="J46" i="3"/>
  <c r="AQ81" i="3" s="1"/>
  <c r="L43" i="3"/>
  <c r="AS78" i="3" s="1"/>
  <c r="J41" i="3"/>
  <c r="AQ76" i="3" s="1"/>
  <c r="I63" i="3"/>
  <c r="AP98" i="3" s="1"/>
  <c r="H55" i="3"/>
  <c r="AO90" i="3" s="1"/>
  <c r="K58" i="3"/>
  <c r="AR93" i="3" s="1"/>
  <c r="J64" i="3"/>
  <c r="AQ99" i="3" s="1"/>
  <c r="I60" i="3"/>
  <c r="AP95" i="3" s="1"/>
  <c r="K51" i="3"/>
  <c r="AR86" i="3" s="1"/>
  <c r="I49" i="3"/>
  <c r="AP84" i="3" s="1"/>
  <c r="I67" i="3"/>
  <c r="AP102" i="3" s="1"/>
  <c r="I52" i="3"/>
  <c r="AP87" i="3" s="1"/>
  <c r="J65" i="3"/>
  <c r="AQ100" i="3" s="1"/>
  <c r="I45" i="3"/>
  <c r="AP80" i="3" s="1"/>
  <c r="J66" i="3"/>
  <c r="AQ101" i="3" s="1"/>
  <c r="I68" i="3"/>
  <c r="AP103" i="3" s="1"/>
  <c r="DF103" i="3" s="1"/>
  <c r="K57" i="3"/>
  <c r="AR92" i="3" s="1"/>
  <c r="J48" i="3"/>
  <c r="AQ83" i="3" s="1"/>
  <c r="I39" i="3"/>
  <c r="H39" i="3" s="1"/>
  <c r="AA18" i="1"/>
  <c r="AQ96" i="3" l="1"/>
  <c r="I61" i="3"/>
  <c r="DG101" i="3"/>
  <c r="DG100" i="3" s="1"/>
  <c r="DG99" i="3" s="1"/>
  <c r="DG98" i="3" s="1"/>
  <c r="AQ75" i="3"/>
  <c r="I40" i="3"/>
  <c r="DI78" i="3"/>
  <c r="DI77" i="3" s="1"/>
  <c r="DI76" i="3" s="1"/>
  <c r="DI75" i="3" s="1"/>
  <c r="DI74" i="3" s="1"/>
  <c r="AQ82" i="3"/>
  <c r="I47" i="3"/>
  <c r="AQ88" i="3"/>
  <c r="I53" i="3"/>
  <c r="AQ91" i="3"/>
  <c r="I56" i="3"/>
  <c r="DH97" i="3"/>
  <c r="DH96" i="3" s="1"/>
  <c r="DH95" i="3" s="1"/>
  <c r="DH94" i="3" s="1"/>
  <c r="DH93" i="3" s="1"/>
  <c r="DH92" i="3" s="1"/>
  <c r="DH91" i="3" s="1"/>
  <c r="DH90" i="3" s="1"/>
  <c r="DH89" i="3" s="1"/>
  <c r="DH88" i="3" s="1"/>
  <c r="DH87" i="3" s="1"/>
  <c r="DH86" i="3" s="1"/>
  <c r="DH85" i="3" s="1"/>
  <c r="DH84" i="3" s="1"/>
  <c r="DH83" i="3" s="1"/>
  <c r="DH82" i="3" s="1"/>
  <c r="DH81" i="3" s="1"/>
  <c r="DH80" i="3" s="1"/>
  <c r="DH79" i="3" s="1"/>
  <c r="M74" i="3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M93" i="3" s="1"/>
  <c r="M94" i="3" s="1"/>
  <c r="M95" i="3" s="1"/>
  <c r="M96" i="3" s="1"/>
  <c r="M97" i="3" s="1"/>
  <c r="M98" i="3" s="1"/>
  <c r="M99" i="3" s="1"/>
  <c r="M100" i="3" s="1"/>
  <c r="M101" i="3" s="1"/>
  <c r="M102" i="3" s="1"/>
  <c r="M103" i="3" s="1"/>
  <c r="M104" i="3" s="1"/>
  <c r="AQ79" i="3"/>
  <c r="I44" i="3"/>
  <c r="AQ97" i="3"/>
  <c r="I62" i="3"/>
  <c r="DF102" i="3"/>
  <c r="AP74" i="3"/>
  <c r="AO74" i="3"/>
  <c r="I41" i="3"/>
  <c r="AP76" i="3" s="1"/>
  <c r="I46" i="3"/>
  <c r="AP81" i="3" s="1"/>
  <c r="H45" i="3"/>
  <c r="AO80" i="3" s="1"/>
  <c r="J57" i="3"/>
  <c r="AQ92" i="3" s="1"/>
  <c r="I65" i="3"/>
  <c r="AP100" i="3" s="1"/>
  <c r="H49" i="3"/>
  <c r="AO84" i="3" s="1"/>
  <c r="J58" i="3"/>
  <c r="AQ93" i="3" s="1"/>
  <c r="H68" i="3"/>
  <c r="AO103" i="3" s="1"/>
  <c r="DE103" i="3" s="1"/>
  <c r="I64" i="3"/>
  <c r="AP99" i="3" s="1"/>
  <c r="H69" i="3"/>
  <c r="AO104" i="3" s="1"/>
  <c r="I54" i="3"/>
  <c r="AP89" i="3" s="1"/>
  <c r="J51" i="3"/>
  <c r="AQ86" i="3" s="1"/>
  <c r="H52" i="3"/>
  <c r="AO87" i="3" s="1"/>
  <c r="I66" i="3"/>
  <c r="AP101" i="3" s="1"/>
  <c r="I48" i="3"/>
  <c r="AP83" i="3" s="1"/>
  <c r="H67" i="3"/>
  <c r="AO102" i="3" s="1"/>
  <c r="H60" i="3"/>
  <c r="AO95" i="3" s="1"/>
  <c r="H63" i="3"/>
  <c r="AO98" i="3" s="1"/>
  <c r="K43" i="3"/>
  <c r="AR78" i="3" s="1"/>
  <c r="H50" i="3"/>
  <c r="AO85" i="3" s="1"/>
  <c r="H59" i="3"/>
  <c r="AO94" i="3" s="1"/>
  <c r="AB18" i="1"/>
  <c r="AP96" i="3" l="1"/>
  <c r="H61" i="3"/>
  <c r="AO96" i="3" s="1"/>
  <c r="DG97" i="3"/>
  <c r="DG96" i="3" s="1"/>
  <c r="DG95" i="3" s="1"/>
  <c r="DG94" i="3" s="1"/>
  <c r="DG93" i="3" s="1"/>
  <c r="DG92" i="3" s="1"/>
  <c r="DG91" i="3" s="1"/>
  <c r="DG90" i="3" s="1"/>
  <c r="DG89" i="3" s="1"/>
  <c r="DG88" i="3" s="1"/>
  <c r="DG87" i="3" s="1"/>
  <c r="DG86" i="3" s="1"/>
  <c r="DG85" i="3" s="1"/>
  <c r="DG84" i="3" s="1"/>
  <c r="DG83" i="3" s="1"/>
  <c r="DG82" i="3" s="1"/>
  <c r="DG81" i="3" s="1"/>
  <c r="DG80" i="3" s="1"/>
  <c r="DG79" i="3" s="1"/>
  <c r="L74" i="3"/>
  <c r="L75" i="3" s="1"/>
  <c r="L76" i="3" s="1"/>
  <c r="L77" i="3" s="1"/>
  <c r="L78" i="3" s="1"/>
  <c r="L79" i="3" s="1"/>
  <c r="L80" i="3" s="1"/>
  <c r="L81" i="3" s="1"/>
  <c r="L82" i="3" s="1"/>
  <c r="L83" i="3" s="1"/>
  <c r="L84" i="3" s="1"/>
  <c r="L85" i="3" s="1"/>
  <c r="L86" i="3" s="1"/>
  <c r="L87" i="3" s="1"/>
  <c r="L88" i="3" s="1"/>
  <c r="L89" i="3" s="1"/>
  <c r="L90" i="3" s="1"/>
  <c r="L91" i="3" s="1"/>
  <c r="L92" i="3" s="1"/>
  <c r="L93" i="3" s="1"/>
  <c r="L94" i="3" s="1"/>
  <c r="L95" i="3" s="1"/>
  <c r="L96" i="3" s="1"/>
  <c r="L97" i="3" s="1"/>
  <c r="L98" i="3" s="1"/>
  <c r="L99" i="3" s="1"/>
  <c r="L100" i="3" s="1"/>
  <c r="L101" i="3" s="1"/>
  <c r="L102" i="3" s="1"/>
  <c r="L103" i="3" s="1"/>
  <c r="L104" i="3" s="1"/>
  <c r="AP75" i="3"/>
  <c r="H40" i="3"/>
  <c r="AO75" i="3" s="1"/>
  <c r="AP88" i="3"/>
  <c r="H53" i="3"/>
  <c r="AO88" i="3" s="1"/>
  <c r="AP82" i="3"/>
  <c r="H47" i="3"/>
  <c r="AO82" i="3" s="1"/>
  <c r="AP79" i="3"/>
  <c r="H44" i="3"/>
  <c r="AO79" i="3" s="1"/>
  <c r="DH78" i="3"/>
  <c r="DH77" i="3" s="1"/>
  <c r="DH76" i="3" s="1"/>
  <c r="DH75" i="3" s="1"/>
  <c r="K74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1" i="3" s="1"/>
  <c r="K92" i="3" s="1"/>
  <c r="K93" i="3" s="1"/>
  <c r="K94" i="3" s="1"/>
  <c r="K95" i="3" s="1"/>
  <c r="K96" i="3" s="1"/>
  <c r="K97" i="3" s="1"/>
  <c r="K98" i="3" s="1"/>
  <c r="K99" i="3" s="1"/>
  <c r="K100" i="3" s="1"/>
  <c r="K101" i="3" s="1"/>
  <c r="K102" i="3" s="1"/>
  <c r="K103" i="3" s="1"/>
  <c r="K104" i="3" s="1"/>
  <c r="AP97" i="3"/>
  <c r="H62" i="3"/>
  <c r="AO97" i="3" s="1"/>
  <c r="AP91" i="3"/>
  <c r="H56" i="3"/>
  <c r="AO91" i="3" s="1"/>
  <c r="DE102" i="3"/>
  <c r="DF101" i="3"/>
  <c r="DF100" i="3" s="1"/>
  <c r="DF99" i="3" s="1"/>
  <c r="DF98" i="3" s="1"/>
  <c r="I57" i="3"/>
  <c r="AP92" i="3" s="1"/>
  <c r="H54" i="3"/>
  <c r="AO89" i="3" s="1"/>
  <c r="J43" i="3"/>
  <c r="AQ78" i="3" s="1"/>
  <c r="H66" i="3"/>
  <c r="AO101" i="3" s="1"/>
  <c r="I58" i="3"/>
  <c r="AP93" i="3" s="1"/>
  <c r="H46" i="3"/>
  <c r="AO81" i="3" s="1"/>
  <c r="I51" i="3"/>
  <c r="AP86" i="3" s="1"/>
  <c r="H48" i="3"/>
  <c r="AO83" i="3" s="1"/>
  <c r="H64" i="3"/>
  <c r="AO99" i="3" s="1"/>
  <c r="H65" i="3"/>
  <c r="AO100" i="3" s="1"/>
  <c r="H41" i="3"/>
  <c r="AO76" i="3" s="1"/>
  <c r="AC18" i="1"/>
  <c r="DF97" i="3" l="1"/>
  <c r="DF96" i="3" s="1"/>
  <c r="DF95" i="3" s="1"/>
  <c r="DF94" i="3" s="1"/>
  <c r="DF93" i="3" s="1"/>
  <c r="DF92" i="3" s="1"/>
  <c r="DF91" i="3" s="1"/>
  <c r="DF90" i="3" s="1"/>
  <c r="DF89" i="3" s="1"/>
  <c r="DF88" i="3" s="1"/>
  <c r="DF87" i="3" s="1"/>
  <c r="DF86" i="3" s="1"/>
  <c r="DF85" i="3" s="1"/>
  <c r="DF84" i="3" s="1"/>
  <c r="DF83" i="3" s="1"/>
  <c r="DF82" i="3" s="1"/>
  <c r="DF81" i="3" s="1"/>
  <c r="DF80" i="3" s="1"/>
  <c r="DF79" i="3" s="1"/>
  <c r="DG78" i="3"/>
  <c r="DG77" i="3" s="1"/>
  <c r="DG76" i="3" s="1"/>
  <c r="DG75" i="3" s="1"/>
  <c r="DG74" i="3" s="1"/>
  <c r="DE101" i="3"/>
  <c r="DE100" i="3" s="1"/>
  <c r="DE99" i="3" s="1"/>
  <c r="DE98" i="3" s="1"/>
  <c r="DE97" i="3" s="1"/>
  <c r="DE96" i="3" s="1"/>
  <c r="DE95" i="3" s="1"/>
  <c r="DE94" i="3" s="1"/>
  <c r="DH74" i="3"/>
  <c r="H51" i="3"/>
  <c r="AO86" i="3" s="1"/>
  <c r="H57" i="3"/>
  <c r="AO92" i="3" s="1"/>
  <c r="I43" i="3"/>
  <c r="AP78" i="3" s="1"/>
  <c r="H58" i="3"/>
  <c r="AO93" i="3" s="1"/>
  <c r="AD18" i="1"/>
  <c r="DF78" i="3" l="1"/>
  <c r="DF77" i="3" s="1"/>
  <c r="DF76" i="3" s="1"/>
  <c r="DF75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I98" i="3" s="1"/>
  <c r="I99" i="3" s="1"/>
  <c r="I100" i="3" s="1"/>
  <c r="I101" i="3" s="1"/>
  <c r="I102" i="3" s="1"/>
  <c r="I103" i="3" s="1"/>
  <c r="I104" i="3" s="1"/>
  <c r="DE93" i="3"/>
  <c r="DE92" i="3" s="1"/>
  <c r="DE91" i="3" s="1"/>
  <c r="DE90" i="3" s="1"/>
  <c r="DE89" i="3" s="1"/>
  <c r="DE88" i="3" s="1"/>
  <c r="DE87" i="3" s="1"/>
  <c r="DE86" i="3" s="1"/>
  <c r="DE85" i="3" s="1"/>
  <c r="DE84" i="3" s="1"/>
  <c r="DE83" i="3" s="1"/>
  <c r="DE82" i="3" s="1"/>
  <c r="DE81" i="3" s="1"/>
  <c r="DE80" i="3" s="1"/>
  <c r="DE79" i="3" s="1"/>
  <c r="J74" i="3"/>
  <c r="J75" i="3" s="1"/>
  <c r="J76" i="3" s="1"/>
  <c r="J77" i="3" s="1"/>
  <c r="J78" i="3" s="1"/>
  <c r="J79" i="3" s="1"/>
  <c r="J80" i="3" s="1"/>
  <c r="J81" i="3" s="1"/>
  <c r="J82" i="3" s="1"/>
  <c r="J83" i="3" s="1"/>
  <c r="J84" i="3" s="1"/>
  <c r="J85" i="3" s="1"/>
  <c r="J86" i="3" s="1"/>
  <c r="J87" i="3" s="1"/>
  <c r="J88" i="3" s="1"/>
  <c r="J89" i="3" s="1"/>
  <c r="J90" i="3" s="1"/>
  <c r="J91" i="3" s="1"/>
  <c r="J92" i="3" s="1"/>
  <c r="J93" i="3" s="1"/>
  <c r="J94" i="3" s="1"/>
  <c r="J95" i="3" s="1"/>
  <c r="J96" i="3" s="1"/>
  <c r="J97" i="3" s="1"/>
  <c r="J98" i="3" s="1"/>
  <c r="J99" i="3" s="1"/>
  <c r="J100" i="3" s="1"/>
  <c r="J101" i="3" s="1"/>
  <c r="J102" i="3" s="1"/>
  <c r="J103" i="3" s="1"/>
  <c r="J104" i="3" s="1"/>
  <c r="H43" i="3"/>
  <c r="AO78" i="3" s="1"/>
  <c r="AE18" i="1"/>
  <c r="DF74" i="3" l="1"/>
  <c r="DE78" i="3"/>
  <c r="DE77" i="3" s="1"/>
  <c r="DE76" i="3" s="1"/>
  <c r="DE75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H98" i="3" s="1"/>
  <c r="H99" i="3" s="1"/>
  <c r="H100" i="3" s="1"/>
  <c r="H101" i="3" s="1"/>
  <c r="H102" i="3" s="1"/>
  <c r="H103" i="3" s="1"/>
  <c r="H104" i="3" s="1"/>
  <c r="AF18" i="1"/>
  <c r="DE74" i="3" l="1"/>
  <c r="AG18" i="1"/>
  <c r="AH18" i="1" l="1"/>
  <c r="AI18" i="1" l="1"/>
  <c r="AI15" i="1" s="1"/>
  <c r="AH15" i="1" l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G15" i="1" s="1"/>
  <c r="AJ18" i="1"/>
</calcChain>
</file>

<file path=xl/sharedStrings.xml><?xml version="1.0" encoding="utf-8"?>
<sst xmlns="http://schemas.openxmlformats.org/spreadsheetml/2006/main" count="201" uniqueCount="77">
  <si>
    <t>L</t>
  </si>
  <si>
    <t>dx</t>
  </si>
  <si>
    <t>dt</t>
  </si>
  <si>
    <t>t</t>
  </si>
  <si>
    <t>Cp</t>
  </si>
  <si>
    <t>ro</t>
  </si>
  <si>
    <t>lamda</t>
  </si>
  <si>
    <t>T</t>
  </si>
  <si>
    <t>tstart</t>
  </si>
  <si>
    <t>tend</t>
  </si>
  <si>
    <t>Ti</t>
  </si>
  <si>
    <t>q_start</t>
  </si>
  <si>
    <t>T_iter</t>
  </si>
  <si>
    <t>q</t>
  </si>
  <si>
    <t>T_gas</t>
  </si>
  <si>
    <t>alpha</t>
  </si>
  <si>
    <t xml:space="preserve"> </t>
  </si>
  <si>
    <t>dtzapas</t>
  </si>
  <si>
    <t>dt&lt;dx^2</t>
  </si>
  <si>
    <t>A</t>
  </si>
  <si>
    <t>B</t>
  </si>
  <si>
    <t>C</t>
  </si>
  <si>
    <t>F</t>
  </si>
  <si>
    <t>Alpha</t>
  </si>
  <si>
    <t>Betta</t>
  </si>
  <si>
    <t>доп метод расчета + 2 гр усл</t>
  </si>
  <si>
    <t>Макрос DZno2</t>
  </si>
  <si>
    <t>Параметры расчетной области</t>
  </si>
  <si>
    <t>H</t>
  </si>
  <si>
    <t>dy</t>
  </si>
  <si>
    <t>Физические параметры</t>
  </si>
  <si>
    <t>Гр. Усл</t>
  </si>
  <si>
    <t>Х</t>
  </si>
  <si>
    <t>У</t>
  </si>
  <si>
    <t>Прошло:</t>
  </si>
  <si>
    <t>lambda</t>
  </si>
  <si>
    <t>T_start</t>
  </si>
  <si>
    <t>T_end</t>
  </si>
  <si>
    <t>Точка</t>
  </si>
  <si>
    <t>Координата</t>
  </si>
  <si>
    <t>n+0.5</t>
  </si>
  <si>
    <t>Fi</t>
  </si>
  <si>
    <r>
      <rPr>
        <sz val="18"/>
        <color theme="1"/>
        <rFont val="Calibri"/>
        <family val="2"/>
        <charset val="204"/>
      </rPr>
      <t>β</t>
    </r>
    <r>
      <rPr>
        <sz val="18"/>
        <color theme="1"/>
        <rFont val="Calibri"/>
        <family val="2"/>
        <charset val="204"/>
        <scheme val="minor"/>
      </rPr>
      <t>i</t>
    </r>
  </si>
  <si>
    <r>
      <rPr>
        <sz val="18"/>
        <color theme="1"/>
        <rFont val="Calibri"/>
        <family val="2"/>
        <charset val="204"/>
      </rPr>
      <t>α</t>
    </r>
    <r>
      <rPr>
        <sz val="18"/>
        <color theme="1"/>
        <rFont val="Calibri"/>
        <family val="2"/>
        <charset val="204"/>
        <scheme val="minor"/>
      </rPr>
      <t>i</t>
    </r>
  </si>
  <si>
    <t>n+1</t>
  </si>
  <si>
    <t>Fj</t>
  </si>
  <si>
    <t>αj</t>
  </si>
  <si>
    <t>βj</t>
  </si>
  <si>
    <t xml:space="preserve">     </t>
  </si>
  <si>
    <t xml:space="preserve">  </t>
  </si>
  <si>
    <t>Температура:</t>
  </si>
  <si>
    <t>Слева</t>
  </si>
  <si>
    <t>Справа:</t>
  </si>
  <si>
    <t>Сверху:</t>
  </si>
  <si>
    <r>
      <rPr>
        <sz val="36"/>
        <color theme="1"/>
        <rFont val="Calibri"/>
        <family val="2"/>
        <charset val="204"/>
      </rPr>
      <t>α</t>
    </r>
    <r>
      <rPr>
        <sz val="36"/>
        <color theme="1"/>
        <rFont val="Calibri"/>
        <family val="2"/>
        <charset val="204"/>
        <scheme val="minor"/>
      </rPr>
      <t>i</t>
    </r>
  </si>
  <si>
    <r>
      <rPr>
        <sz val="36"/>
        <color theme="1"/>
        <rFont val="Calibri"/>
        <family val="2"/>
        <charset val="204"/>
      </rPr>
      <t>β</t>
    </r>
    <r>
      <rPr>
        <sz val="36"/>
        <color theme="1"/>
        <rFont val="Calibri"/>
        <family val="2"/>
        <charset val="204"/>
        <scheme val="minor"/>
      </rPr>
      <t>i</t>
    </r>
  </si>
  <si>
    <t>alpha1</t>
  </si>
  <si>
    <t>alpha2</t>
  </si>
  <si>
    <t>dx=dy</t>
  </si>
  <si>
    <t>Vвходная</t>
  </si>
  <si>
    <t>Vвыходная</t>
  </si>
  <si>
    <t>pвыходная</t>
  </si>
  <si>
    <t>n_iter</t>
  </si>
  <si>
    <t>N_L</t>
  </si>
  <si>
    <t>N_H</t>
  </si>
  <si>
    <t>start_Row</t>
  </si>
  <si>
    <t>start_Column</t>
  </si>
  <si>
    <t>ϕ</t>
  </si>
  <si>
    <t>ψ</t>
  </si>
  <si>
    <t>U</t>
  </si>
  <si>
    <t>V</t>
  </si>
  <si>
    <t>Абс.скор.</t>
  </si>
  <si>
    <t>x</t>
  </si>
  <si>
    <t>y</t>
  </si>
  <si>
    <t>p</t>
  </si>
  <si>
    <t>Нижн. Граница</t>
  </si>
  <si>
    <t>Верхн. Граница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</si>
</sst>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000"/>
    <numFmt numFmtId="165" formatCode="0.000_ ;\-0.000\ "/>
    <numFmt numFmtId="166" formatCode="0_ ;\-0\ "/>
    <numFmt numFmtId="167" formatCode="0.00_ ;\-0.00\ "/>
    <numFmt numFmtId="169" formatCode="0.000"/>
  </numFmts>
  <fonts count="1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36"/>
      <color theme="1"/>
      <name val="Calibri"/>
      <family val="2"/>
      <charset val="204"/>
      <scheme val="minor"/>
    </font>
    <font>
      <sz val="36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20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7">
    <xf numFmtId="0" fontId="0" fillId="0" borderId="0"/>
    <xf numFmtId="0" fontId="2" fillId="2" borderId="3" applyNumberFormat="0" applyAlignment="0" applyProtection="0"/>
    <xf numFmtId="0" fontId="1" fillId="3" borderId="4" applyNumberFormat="0" applyFont="0" applyAlignment="0" applyProtection="0"/>
    <xf numFmtId="0" fontId="3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112">
    <xf numFmtId="0" fontId="0" fillId="0" borderId="0" xfId="0"/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1" fontId="0" fillId="0" borderId="0" xfId="0" applyNumberFormat="1"/>
    <xf numFmtId="166" fontId="0" fillId="0" borderId="0" xfId="0" applyNumberFormat="1"/>
    <xf numFmtId="0" fontId="0" fillId="0" borderId="1" xfId="0" applyFill="1" applyBorder="1"/>
    <xf numFmtId="0" fontId="0" fillId="0" borderId="2" xfId="0" applyFill="1" applyBorder="1"/>
    <xf numFmtId="167" fontId="0" fillId="0" borderId="0" xfId="0" applyNumberFormat="1"/>
    <xf numFmtId="167" fontId="0" fillId="0" borderId="1" xfId="0" applyNumberFormat="1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7" borderId="1" xfId="6" applyBorder="1" applyAlignment="1">
      <alignment horizontal="center" vertical="center"/>
    </xf>
    <xf numFmtId="0" fontId="2" fillId="2" borderId="5" xfId="1" applyBorder="1"/>
    <xf numFmtId="0" fontId="0" fillId="3" borderId="1" xfId="2" applyFont="1" applyBorder="1" applyAlignment="1">
      <alignment horizontal="center" vertical="center"/>
    </xf>
    <xf numFmtId="0" fontId="0" fillId="3" borderId="1" xfId="2" applyFont="1" applyBorder="1" applyAlignment="1">
      <alignment horizontal="center"/>
    </xf>
    <xf numFmtId="0" fontId="0" fillId="6" borderId="1" xfId="5" applyFont="1" applyBorder="1" applyAlignment="1">
      <alignment horizontal="center" vertical="center"/>
    </xf>
    <xf numFmtId="0" fontId="1" fillId="6" borderId="1" xfId="5" applyBorder="1" applyAlignment="1">
      <alignment horizontal="center" vertical="center"/>
    </xf>
    <xf numFmtId="0" fontId="0" fillId="7" borderId="1" xfId="6" applyFont="1" applyBorder="1" applyAlignment="1">
      <alignment horizontal="center" vertical="center"/>
    </xf>
    <xf numFmtId="0" fontId="0" fillId="5" borderId="1" xfId="4" applyFont="1" applyBorder="1" applyAlignment="1">
      <alignment horizontal="center" vertical="center"/>
    </xf>
    <xf numFmtId="0" fontId="1" fillId="5" borderId="1" xfId="4" applyBorder="1" applyAlignment="1">
      <alignment horizontal="center" vertical="center"/>
    </xf>
    <xf numFmtId="0" fontId="3" fillId="4" borderId="1" xfId="3" applyBorder="1" applyAlignment="1">
      <alignment horizontal="center" vertical="center"/>
    </xf>
    <xf numFmtId="0" fontId="0" fillId="8" borderId="0" xfId="0" applyFill="1"/>
    <xf numFmtId="0" fontId="0" fillId="8" borderId="1" xfId="0" applyFill="1" applyBorder="1" applyAlignment="1">
      <alignment horizontal="center" vertical="center"/>
    </xf>
    <xf numFmtId="164" fontId="0" fillId="8" borderId="1" xfId="0" applyNumberForma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0" xfId="0" applyBorder="1"/>
    <xf numFmtId="0" fontId="0" fillId="8" borderId="6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0" xfId="0" applyFill="1" applyBorder="1"/>
    <xf numFmtId="0" fontId="0" fillId="8" borderId="8" xfId="0" applyFill="1" applyBorder="1"/>
    <xf numFmtId="0" fontId="0" fillId="8" borderId="7" xfId="0" applyFill="1" applyBorder="1"/>
    <xf numFmtId="164" fontId="0" fillId="3" borderId="1" xfId="2" applyNumberFormat="1" applyFont="1" applyBorder="1" applyAlignment="1">
      <alignment horizontal="center"/>
    </xf>
    <xf numFmtId="0" fontId="3" fillId="4" borderId="1" xfId="3" applyBorder="1" applyAlignment="1">
      <alignment horizontal="center" vertical="center"/>
    </xf>
    <xf numFmtId="0" fontId="1" fillId="5" borderId="1" xfId="4" applyBorder="1" applyAlignment="1">
      <alignment horizontal="center" vertical="center"/>
    </xf>
    <xf numFmtId="0" fontId="1" fillId="7" borderId="1" xfId="6" applyBorder="1" applyAlignment="1">
      <alignment horizontal="center" vertical="center"/>
    </xf>
    <xf numFmtId="0" fontId="1" fillId="6" borderId="1" xfId="5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8" borderId="13" xfId="0" applyFill="1" applyBorder="1" applyAlignment="1">
      <alignment horizontal="center" vertical="center"/>
    </xf>
    <xf numFmtId="0" fontId="0" fillId="8" borderId="9" xfId="0" applyFill="1" applyBorder="1"/>
    <xf numFmtId="0" fontId="0" fillId="8" borderId="6" xfId="0" applyFill="1" applyBorder="1"/>
    <xf numFmtId="167" fontId="0" fillId="10" borderId="1" xfId="0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11" borderId="1" xfId="0" applyFill="1" applyBorder="1" applyAlignment="1">
      <alignment vertical="center"/>
    </xf>
    <xf numFmtId="164" fontId="0" fillId="3" borderId="1" xfId="2" applyNumberFormat="1" applyFont="1" applyBorder="1" applyAlignment="1">
      <alignment horizontal="center" vertical="center"/>
    </xf>
    <xf numFmtId="0" fontId="2" fillId="2" borderId="5" xfId="1" applyBorder="1" applyAlignment="1">
      <alignment vertical="center"/>
    </xf>
    <xf numFmtId="0" fontId="0" fillId="12" borderId="1" xfId="0" applyFill="1" applyBorder="1" applyAlignment="1">
      <alignment horizontal="center" vertical="center"/>
    </xf>
    <xf numFmtId="0" fontId="0" fillId="12" borderId="0" xfId="0" applyFill="1"/>
    <xf numFmtId="164" fontId="0" fillId="8" borderId="11" xfId="0" applyNumberForma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64" fontId="0" fillId="8" borderId="13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8" borderId="14" xfId="0" applyFill="1" applyBorder="1" applyAlignment="1">
      <alignment horizontal="center" vertical="center"/>
    </xf>
    <xf numFmtId="164" fontId="0" fillId="8" borderId="14" xfId="0" applyNumberForma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0" fillId="0" borderId="0" xfId="0" applyFont="1"/>
    <xf numFmtId="0" fontId="10" fillId="0" borderId="1" xfId="0" applyFont="1" applyBorder="1"/>
    <xf numFmtId="0" fontId="0" fillId="0" borderId="1" xfId="0" applyBorder="1" applyAlignment="1">
      <alignment horizontal="right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horizontal="center" vertical="center"/>
    </xf>
    <xf numFmtId="0" fontId="0" fillId="16" borderId="9" xfId="0" applyFill="1" applyBorder="1"/>
    <xf numFmtId="0" fontId="0" fillId="16" borderId="6" xfId="0" applyFill="1" applyBorder="1"/>
    <xf numFmtId="0" fontId="0" fillId="16" borderId="10" xfId="0" applyFill="1" applyBorder="1"/>
    <xf numFmtId="0" fontId="0" fillId="16" borderId="0" xfId="0" applyFill="1"/>
    <xf numFmtId="0" fontId="0" fillId="16" borderId="16" xfId="0" applyFill="1" applyBorder="1"/>
    <xf numFmtId="0" fontId="0" fillId="16" borderId="7" xfId="0" applyFill="1" applyBorder="1"/>
    <xf numFmtId="0" fontId="11" fillId="16" borderId="9" xfId="0" applyFont="1" applyFill="1" applyBorder="1" applyAlignment="1">
      <alignment horizontal="center" vertical="center"/>
    </xf>
    <xf numFmtId="0" fontId="11" fillId="16" borderId="6" xfId="0" applyFont="1" applyFill="1" applyBorder="1" applyAlignment="1">
      <alignment horizontal="center" vertical="center"/>
    </xf>
    <xf numFmtId="0" fontId="11" fillId="16" borderId="10" xfId="0" applyFont="1" applyFill="1" applyBorder="1" applyAlignment="1">
      <alignment horizontal="center" vertical="center"/>
    </xf>
    <xf numFmtId="0" fontId="11" fillId="16" borderId="7" xfId="0" applyFont="1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0" fillId="3" borderId="1" xfId="2" applyFont="1" applyBorder="1" applyAlignment="1">
      <alignment horizontal="center" vertical="center" wrapText="1"/>
    </xf>
    <xf numFmtId="0" fontId="1" fillId="6" borderId="1" xfId="5" applyBorder="1" applyAlignment="1">
      <alignment horizontal="center" vertical="center"/>
    </xf>
    <xf numFmtId="0" fontId="1" fillId="7" borderId="1" xfId="6" applyBorder="1" applyAlignment="1">
      <alignment horizontal="center" vertical="center"/>
    </xf>
    <xf numFmtId="0" fontId="1" fillId="5" borderId="1" xfId="4" applyBorder="1" applyAlignment="1">
      <alignment horizontal="center" vertical="center"/>
    </xf>
    <xf numFmtId="0" fontId="3" fillId="4" borderId="1" xfId="3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2" fontId="0" fillId="15" borderId="1" xfId="0" applyNumberForma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13" borderId="1" xfId="0" applyNumberFormat="1" applyFill="1" applyBorder="1" applyAlignment="1">
      <alignment horizontal="center" vertical="center"/>
    </xf>
    <xf numFmtId="169" fontId="0" fillId="15" borderId="1" xfId="0" applyNumberFormat="1" applyFill="1" applyBorder="1" applyAlignment="1">
      <alignment horizontal="center" vertical="center"/>
    </xf>
    <xf numFmtId="169" fontId="0" fillId="13" borderId="1" xfId="0" applyNumberFormat="1" applyFill="1" applyBorder="1" applyAlignment="1">
      <alignment horizontal="center" vertical="center"/>
    </xf>
    <xf numFmtId="169" fontId="0" fillId="0" borderId="1" xfId="0" applyNumberFormat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/>
    </xf>
    <xf numFmtId="0" fontId="10" fillId="17" borderId="1" xfId="0" applyFont="1" applyFill="1" applyBorder="1" applyAlignment="1">
      <alignment horizontal="center"/>
    </xf>
    <xf numFmtId="0" fontId="0" fillId="17" borderId="1" xfId="0" applyFill="1" applyBorder="1" applyAlignment="1">
      <alignment horizontal="center" vertical="center"/>
    </xf>
    <xf numFmtId="0" fontId="12" fillId="16" borderId="9" xfId="0" applyFont="1" applyFill="1" applyBorder="1" applyAlignment="1">
      <alignment horizontal="center" vertical="center"/>
    </xf>
    <xf numFmtId="0" fontId="12" fillId="16" borderId="6" xfId="0" applyFont="1" applyFill="1" applyBorder="1" applyAlignment="1">
      <alignment horizontal="center" vertical="center"/>
    </xf>
    <xf numFmtId="0" fontId="12" fillId="16" borderId="10" xfId="0" applyFont="1" applyFill="1" applyBorder="1" applyAlignment="1">
      <alignment horizontal="center" vertical="center"/>
    </xf>
    <xf numFmtId="0" fontId="12" fillId="16" borderId="7" xfId="0" applyFont="1" applyFill="1" applyBorder="1" applyAlignment="1">
      <alignment horizontal="center" vertical="center"/>
    </xf>
  </cellXfs>
  <cellStyles count="7">
    <cellStyle name="40% — акцент2" xfId="4" builtinId="35"/>
    <cellStyle name="40% — акцент3" xfId="5" builtinId="39"/>
    <cellStyle name="40% — акцент5" xfId="6" builtinId="47"/>
    <cellStyle name="Акцент2" xfId="3" builtinId="33"/>
    <cellStyle name="Вывод" xfId="1" builtinId="21"/>
    <cellStyle name="Обычный" xfId="0" builtinId="0"/>
    <cellStyle name="Примечание" xfId="2" builtinId="1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17168725468949"/>
          <c:y val="0.10331553059888962"/>
          <c:w val="0.55009031410191789"/>
          <c:h val="0.77549583781920017"/>
        </c:manualLayout>
      </c:layout>
      <c:scatterChart>
        <c:scatterStyle val="smoothMarker"/>
        <c:varyColors val="0"/>
        <c:ser>
          <c:idx val="0"/>
          <c:order val="0"/>
          <c:tx>
            <c:v> Верхняя граница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'Потенциальное течение'!$Y$15:$AM$15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1.2000000000000002</c:v>
                </c:pt>
                <c:pt idx="7">
                  <c:v>1.4000000000000001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2.4000000000000004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'Потенциальное течение'!$Y$22:$AM$22</c:f>
              <c:numCache>
                <c:formatCode>0.000</c:formatCode>
                <c:ptCount val="15"/>
                <c:pt idx="0">
                  <c:v>0</c:v>
                </c:pt>
                <c:pt idx="1">
                  <c:v>2.8143792815972121E-2</c:v>
                </c:pt>
                <c:pt idx="2">
                  <c:v>6.3816188339842483E-2</c:v>
                </c:pt>
                <c:pt idx="3">
                  <c:v>0.11458769853430567</c:v>
                </c:pt>
                <c:pt idx="4">
                  <c:v>0.18568974215537309</c:v>
                </c:pt>
                <c:pt idx="5">
                  <c:v>0.27485148536332416</c:v>
                </c:pt>
                <c:pt idx="6">
                  <c:v>0.36820608354144496</c:v>
                </c:pt>
                <c:pt idx="7">
                  <c:v>0.45398916747246404</c:v>
                </c:pt>
                <c:pt idx="8">
                  <c:v>0.52678679978649601</c:v>
                </c:pt>
                <c:pt idx="9">
                  <c:v>0.58591185904777376</c:v>
                </c:pt>
                <c:pt idx="10">
                  <c:v>0.63302381629124282</c:v>
                </c:pt>
                <c:pt idx="11">
                  <c:v>0.67058627308026186</c:v>
                </c:pt>
                <c:pt idx="12">
                  <c:v>0.70112117564480281</c:v>
                </c:pt>
                <c:pt idx="13">
                  <c:v>0.72692519267497113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55-47C7-B0DF-21DAF777CFAD}"/>
            </c:ext>
          </c:extLst>
        </c:ser>
        <c:ser>
          <c:idx val="1"/>
          <c:order val="1"/>
          <c:tx>
            <c:v>Нижняя граница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'Потенциальное течение'!$Y$15:$AM$15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1.2000000000000002</c:v>
                </c:pt>
                <c:pt idx="7">
                  <c:v>1.4000000000000001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2.4000000000000004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'Потенциальное течение'!$Y$11:$AM$11</c:f>
              <c:numCache>
                <c:formatCode>General</c:formatCode>
                <c:ptCount val="15"/>
                <c:pt idx="0">
                  <c:v>0</c:v>
                </c:pt>
                <c:pt idx="1">
                  <c:v>-3.5737081709085031E-2</c:v>
                </c:pt>
                <c:pt idx="2">
                  <c:v>-9.1033940065535723E-2</c:v>
                </c:pt>
                <c:pt idx="3">
                  <c:v>-0.20357092308375285</c:v>
                </c:pt>
                <c:pt idx="4">
                  <c:v>-0.59334652345452921</c:v>
                </c:pt>
                <c:pt idx="5">
                  <c:v>0.30864060408581279</c:v>
                </c:pt>
                <c:pt idx="6">
                  <c:v>0.58970056073856536</c:v>
                </c:pt>
                <c:pt idx="7">
                  <c:v>0.74184415389492642</c:v>
                </c:pt>
                <c:pt idx="8">
                  <c:v>0.85363226476387355</c:v>
                </c:pt>
                <c:pt idx="9">
                  <c:v>0.95233497102919495</c:v>
                </c:pt>
                <c:pt idx="10">
                  <c:v>0.89241444793005942</c:v>
                </c:pt>
                <c:pt idx="11">
                  <c:v>0.84549091843771751</c:v>
                </c:pt>
                <c:pt idx="12">
                  <c:v>0.80891510741959793</c:v>
                </c:pt>
                <c:pt idx="13">
                  <c:v>0.77836960702436042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D55-47C7-B0DF-21DAF777C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24192"/>
        <c:axId val="1816728768"/>
      </c:scatterChart>
      <c:valAx>
        <c:axId val="1816724192"/>
        <c:scaling>
          <c:orientation val="minMax"/>
          <c:max val="2.8"/>
          <c:min val="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x,</a:t>
                </a:r>
                <a:r>
                  <a:rPr lang="en-US" sz="1200" baseline="0"/>
                  <a:t> </a:t>
                </a:r>
                <a:r>
                  <a:rPr lang="ru-RU" sz="1200" baseline="0"/>
                  <a:t>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78207785904429084"/>
              <c:y val="0.5749686517067403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16728768"/>
        <c:crosses val="autoZero"/>
        <c:crossBetween val="midCat"/>
        <c:majorUnit val="0.2"/>
      </c:valAx>
      <c:valAx>
        <c:axId val="181672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600"/>
                  <a:t>Ср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1038193269937986"/>
              <c:y val="3.5370726112319069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16724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607131755376867E-2"/>
          <c:y val="3.1760383990935101E-2"/>
          <c:w val="0.76891278232984672"/>
          <c:h val="0.9286900157821939"/>
        </c:manualLayout>
      </c:layout>
      <c:lineChart>
        <c:grouping val="standard"/>
        <c:varyColors val="0"/>
        <c:ser>
          <c:idx val="1"/>
          <c:order val="0"/>
          <c:tx>
            <c:v>Явный</c:v>
          </c:tx>
          <c:marker>
            <c:symbol val="none"/>
          </c:marker>
          <c:val>
            <c:numRef>
              <c:f>Явный!$F$13:$AJ$13</c:f>
              <c:numCache>
                <c:formatCode>0.00_ ;\-0.00\ </c:formatCode>
                <c:ptCount val="31"/>
                <c:pt idx="0">
                  <c:v>300</c:v>
                </c:pt>
                <c:pt idx="1">
                  <c:v>280.33248702411498</c:v>
                </c:pt>
                <c:pt idx="2">
                  <c:v>260.82943111125104</c:v>
                </c:pt>
                <c:pt idx="3">
                  <c:v>241.65241041627974</c:v>
                </c:pt>
                <c:pt idx="4">
                  <c:v>222.95733520467056</c:v>
                </c:pt>
                <c:pt idx="5">
                  <c:v>204.89183406861548</c:v>
                </c:pt>
                <c:pt idx="6">
                  <c:v>187.59289162100396</c:v>
                </c:pt>
                <c:pt idx="7">
                  <c:v>171.18480124452063</c:v>
                </c:pt>
                <c:pt idx="8">
                  <c:v>155.77748092073821</c:v>
                </c:pt>
                <c:pt idx="9">
                  <c:v>141.46518280387318</c:v>
                </c:pt>
                <c:pt idx="10">
                  <c:v>128.32560916526384</c:v>
                </c:pt>
                <c:pt idx="11">
                  <c:v>116.41942975288697</c:v>
                </c:pt>
                <c:pt idx="12">
                  <c:v>105.79017953158954</c:v>
                </c:pt>
                <c:pt idx="13">
                  <c:v>96.464502083957584</c:v>
                </c:pt>
                <c:pt idx="14">
                  <c:v>88.452693321787663</c:v>
                </c:pt>
                <c:pt idx="15">
                  <c:v>81.749492991935327</c:v>
                </c:pt>
                <c:pt idx="16">
                  <c:v>76.335067884064244</c:v>
                </c:pt>
                <c:pt idx="17">
                  <c:v>72.176130526888727</c:v>
                </c:pt>
                <c:pt idx="18">
                  <c:v>69.227140117118267</c:v>
                </c:pt>
                <c:pt idx="19">
                  <c:v>67.431537904562404</c:v>
                </c:pt>
                <c:pt idx="20">
                  <c:v>66.722976570188905</c:v>
                </c:pt>
                <c:pt idx="21">
                  <c:v>67.026511544344075</c:v>
                </c:pt>
                <c:pt idx="22">
                  <c:v>68.259730989291498</c:v>
                </c:pt>
                <c:pt idx="23">
                  <c:v>70.333809663175956</c:v>
                </c:pt>
                <c:pt idx="24">
                  <c:v>73.154479558885129</c:v>
                </c:pt>
                <c:pt idx="25">
                  <c:v>76.622916700669137</c:v>
                </c:pt>
                <c:pt idx="26">
                  <c:v>80.636548580288988</c:v>
                </c:pt>
                <c:pt idx="27">
                  <c:v>85.089790392026359</c:v>
                </c:pt>
                <c:pt idx="28">
                  <c:v>89.874720594298054</c:v>
                </c:pt>
                <c:pt idx="29">
                  <c:v>94.881707612924288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2D-4241-9BD4-6ECA95466625}"/>
            </c:ext>
          </c:extLst>
        </c:ser>
        <c:ser>
          <c:idx val="2"/>
          <c:order val="1"/>
          <c:tx>
            <c:v>Неявный</c:v>
          </c:tx>
          <c:marker>
            <c:symbol val="none"/>
          </c:marker>
          <c:val>
            <c:numRef>
              <c:f>Неявный!$F$13:$AJ$13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09-4C2E-8E19-DB40C7CC8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299264"/>
        <c:axId val="74300800"/>
      </c:lineChart>
      <c:catAx>
        <c:axId val="74299264"/>
        <c:scaling>
          <c:orientation val="minMax"/>
        </c:scaling>
        <c:delete val="0"/>
        <c:axPos val="b"/>
        <c:majorTickMark val="out"/>
        <c:minorTickMark val="none"/>
        <c:tickLblPos val="nextTo"/>
        <c:crossAx val="74300800"/>
        <c:crosses val="autoZero"/>
        <c:auto val="1"/>
        <c:lblAlgn val="ctr"/>
        <c:lblOffset val="100"/>
        <c:noMultiLvlLbl val="0"/>
      </c:catAx>
      <c:valAx>
        <c:axId val="74300800"/>
        <c:scaling>
          <c:orientation val="minMax"/>
        </c:scaling>
        <c:delete val="0"/>
        <c:axPos val="l"/>
        <c:majorGridlines/>
        <c:numFmt formatCode="0.00_ ;\-0.00\ " sourceLinked="1"/>
        <c:majorTickMark val="out"/>
        <c:minorTickMark val="none"/>
        <c:tickLblPos val="nextTo"/>
        <c:crossAx val="742992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Второй род в неявном виде</a:t>
            </a:r>
          </a:p>
          <a:p>
            <a:pPr>
              <a:defRPr/>
            </a:pPr>
            <a:endParaRPr lang="ru-RU"/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Неявный!$F$22</c:f>
              <c:strCache>
                <c:ptCount val="1"/>
                <c:pt idx="0">
                  <c:v>247,6442251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Неявный!$F$21:$AJ$21</c:f>
              <c:numCache>
                <c:formatCode>0.000_ ;\-0.000\ 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Неявный!$F$22:$AJ$22</c:f>
              <c:numCache>
                <c:formatCode>General</c:formatCode>
                <c:ptCount val="31"/>
                <c:pt idx="0">
                  <c:v>247.64422507446139</c:v>
                </c:pt>
                <c:pt idx="1">
                  <c:v>240.97755840779473</c:v>
                </c:pt>
                <c:pt idx="2">
                  <c:v>235.31029114824543</c:v>
                </c:pt>
                <c:pt idx="3">
                  <c:v>229.7212091003725</c:v>
                </c:pt>
                <c:pt idx="4">
                  <c:v>224.20867174518264</c:v>
                </c:pt>
                <c:pt idx="5">
                  <c:v>218.77092203170392</c:v>
                </c:pt>
                <c:pt idx="6">
                  <c:v>213.40608905190356</c:v>
                </c:pt>
                <c:pt idx="7">
                  <c:v>208.11219088894143</c:v>
                </c:pt>
                <c:pt idx="8">
                  <c:v>202.88713763442394</c:v>
                </c:pt>
                <c:pt idx="9">
                  <c:v>197.72873457006492</c:v>
                </c:pt>
                <c:pt idx="10">
                  <c:v>192.63468550891042</c:v>
                </c:pt>
                <c:pt idx="11">
                  <c:v>187.6025962910411</c:v>
                </c:pt>
                <c:pt idx="12">
                  <c:v>182.62997842843041</c:v>
                </c:pt>
                <c:pt idx="13">
                  <c:v>177.71425289341039</c:v>
                </c:pt>
                <c:pt idx="14">
                  <c:v>172.85275404497793</c:v>
                </c:pt>
                <c:pt idx="15">
                  <c:v>168.0427336869638</c:v>
                </c:pt>
                <c:pt idx="16">
                  <c:v>163.28136525188734</c:v>
                </c:pt>
                <c:pt idx="17">
                  <c:v>158.56574810412664</c:v>
                </c:pt>
                <c:pt idx="18">
                  <c:v>153.89291195585406</c:v>
                </c:pt>
                <c:pt idx="19">
                  <c:v>149.25982138901384</c:v>
                </c:pt>
                <c:pt idx="20">
                  <c:v>144.66338047645772</c:v>
                </c:pt>
                <c:pt idx="21">
                  <c:v>140.10043749520338</c:v>
                </c:pt>
                <c:pt idx="22">
                  <c:v>135.56778972464014</c:v>
                </c:pt>
                <c:pt idx="23">
                  <c:v>131.06218832237701</c:v>
                </c:pt>
                <c:pt idx="24">
                  <c:v>126.58034327030994</c:v>
                </c:pt>
                <c:pt idx="25">
                  <c:v>122.11892838337812</c:v>
                </c:pt>
                <c:pt idx="26">
                  <c:v>117.67458637338373</c:v>
                </c:pt>
                <c:pt idx="27">
                  <c:v>113.24393396016569</c:v>
                </c:pt>
                <c:pt idx="28">
                  <c:v>108.82356702234567</c:v>
                </c:pt>
                <c:pt idx="29">
                  <c:v>104.41006577980471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A3-4C67-97D2-7E0BC1170F4A}"/>
            </c:ext>
          </c:extLst>
        </c:ser>
        <c:ser>
          <c:idx val="1"/>
          <c:order val="1"/>
          <c:tx>
            <c:v>Явная схема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Явный!$F$22:$AJ$22</c:f>
              <c:numCache>
                <c:formatCode>0.00_ ;\-0.00\ </c:formatCode>
                <c:ptCount val="31"/>
                <c:pt idx="0">
                  <c:v>289.14551881260553</c:v>
                </c:pt>
                <c:pt idx="1">
                  <c:v>282.47885214593884</c:v>
                </c:pt>
                <c:pt idx="2">
                  <c:v>275.84295376549903</c:v>
                </c:pt>
                <c:pt idx="3">
                  <c:v>269.23773613614185</c:v>
                </c:pt>
                <c:pt idx="4">
                  <c:v>262.66302570846733</c:v>
                </c:pt>
                <c:pt idx="5">
                  <c:v>256.11856087966436</c:v>
                </c:pt>
                <c:pt idx="6">
                  <c:v>249.60399649581322</c:v>
                </c:pt>
                <c:pt idx="7">
                  <c:v>243.11889988245093</c:v>
                </c:pt>
                <c:pt idx="8">
                  <c:v>236.66275814983416</c:v>
                </c:pt>
                <c:pt idx="9">
                  <c:v>230.23497250586695</c:v>
                </c:pt>
                <c:pt idx="10">
                  <c:v>223.83486807556034</c:v>
                </c:pt>
                <c:pt idx="11">
                  <c:v>217.46168680274295</c:v>
                </c:pt>
                <c:pt idx="12">
                  <c:v>211.11459939722539</c:v>
                </c:pt>
                <c:pt idx="13">
                  <c:v>204.79269721108508</c:v>
                </c:pt>
                <c:pt idx="14">
                  <c:v>198.49500584613287</c:v>
                </c:pt>
                <c:pt idx="15">
                  <c:v>192.22047645176292</c:v>
                </c:pt>
                <c:pt idx="16">
                  <c:v>185.96800046470983</c:v>
                </c:pt>
                <c:pt idx="17">
                  <c:v>179.73640081554817</c:v>
                </c:pt>
                <c:pt idx="18">
                  <c:v>173.52444723499667</c:v>
                </c:pt>
                <c:pt idx="19">
                  <c:v>167.33084787316977</c:v>
                </c:pt>
                <c:pt idx="20">
                  <c:v>161.15426459338431</c:v>
                </c:pt>
                <c:pt idx="21">
                  <c:v>154.9933055012923</c:v>
                </c:pt>
                <c:pt idx="22">
                  <c:v>148.84653965873562</c:v>
                </c:pt>
                <c:pt idx="23">
                  <c:v>142.71249098910911</c:v>
                </c:pt>
                <c:pt idx="24">
                  <c:v>136.58965187964165</c:v>
                </c:pt>
                <c:pt idx="25">
                  <c:v>130.47647887602361</c:v>
                </c:pt>
                <c:pt idx="26">
                  <c:v>124.37140469984179</c:v>
                </c:pt>
                <c:pt idx="27">
                  <c:v>118.27283607196378</c:v>
                </c:pt>
                <c:pt idx="28">
                  <c:v>112.17916374998953</c:v>
                </c:pt>
                <c:pt idx="29">
                  <c:v>106.08876272935932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64-414E-A97D-3FFD6D5C0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6369535"/>
        <c:axId val="536368287"/>
      </c:lineChart>
      <c:catAx>
        <c:axId val="536369535"/>
        <c:scaling>
          <c:orientation val="minMax"/>
        </c:scaling>
        <c:delete val="0"/>
        <c:axPos val="b"/>
        <c:numFmt formatCode="0.000_ ;\-0.00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6368287"/>
        <c:crosses val="autoZero"/>
        <c:auto val="1"/>
        <c:lblAlgn val="ctr"/>
        <c:lblOffset val="100"/>
        <c:noMultiLvlLbl val="0"/>
      </c:catAx>
      <c:valAx>
        <c:axId val="536368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6369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[1]Лист1!$F$12:$AJ$12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03-4F8B-A14C-5AD0BC91FA70}"/>
            </c:ext>
          </c:extLst>
        </c:ser>
        <c:ser>
          <c:idx val="1"/>
          <c:order val="1"/>
          <c:marker>
            <c:symbol val="none"/>
          </c:marker>
          <c:val>
            <c:numRef>
              <c:f>[1]Лист1!$F$13:$AJ$13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280.50947535568343</c:v>
                </c:pt>
                <c:pt idx="2">
                  <c:v>261.34019768006675</c:v>
                </c:pt>
                <c:pt idx="3">
                  <c:v>242.17092000445004</c:v>
                </c:pt>
                <c:pt idx="4">
                  <c:v>223.94348784691761</c:v>
                </c:pt>
                <c:pt idx="5">
                  <c:v>205.71605568938512</c:v>
                </c:pt>
                <c:pt idx="6">
                  <c:v>188.98798976713792</c:v>
                </c:pt>
                <c:pt idx="7">
                  <c:v>172.25992384489069</c:v>
                </c:pt>
                <c:pt idx="8">
                  <c:v>157.4917970899659</c:v>
                </c:pt>
                <c:pt idx="9">
                  <c:v>142.72367033504111</c:v>
                </c:pt>
                <c:pt idx="10">
                  <c:v>130.25585219566563</c:v>
                </c:pt>
                <c:pt idx="11">
                  <c:v>117.78803405629017</c:v>
                </c:pt>
                <c:pt idx="12">
                  <c:v>107.82942130675656</c:v>
                </c:pt>
                <c:pt idx="13">
                  <c:v>97.870808557222944</c:v>
                </c:pt>
                <c:pt idx="14">
                  <c:v>90.498936030544343</c:v>
                </c:pt>
                <c:pt idx="15">
                  <c:v>83.127063503865742</c:v>
                </c:pt>
                <c:pt idx="16">
                  <c:v>78.297409442647279</c:v>
                </c:pt>
                <c:pt idx="17">
                  <c:v>73.467755381428844</c:v>
                </c:pt>
                <c:pt idx="18">
                  <c:v>71.029173463903746</c:v>
                </c:pt>
                <c:pt idx="19">
                  <c:v>68.590591546378676</c:v>
                </c:pt>
                <c:pt idx="20">
                  <c:v>68.30369074500706</c:v>
                </c:pt>
                <c:pt idx="21">
                  <c:v>68.016789943635459</c:v>
                </c:pt>
                <c:pt idx="22">
                  <c:v>69.572608509723267</c:v>
                </c:pt>
                <c:pt idx="23">
                  <c:v>71.128427075811075</c:v>
                </c:pt>
                <c:pt idx="24">
                  <c:v>74.165635391039984</c:v>
                </c:pt>
                <c:pt idx="25">
                  <c:v>77.202843706268908</c:v>
                </c:pt>
                <c:pt idx="26">
                  <c:v>81.322660058722235</c:v>
                </c:pt>
                <c:pt idx="27">
                  <c:v>85.442476411175562</c:v>
                </c:pt>
                <c:pt idx="28">
                  <c:v>90.221256942685855</c:v>
                </c:pt>
                <c:pt idx="29">
                  <c:v>95.000037474196134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03-4F8B-A14C-5AD0BC91F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299264"/>
        <c:axId val="74300800"/>
      </c:lineChart>
      <c:catAx>
        <c:axId val="74299264"/>
        <c:scaling>
          <c:orientation val="minMax"/>
        </c:scaling>
        <c:delete val="0"/>
        <c:axPos val="b"/>
        <c:majorTickMark val="out"/>
        <c:minorTickMark val="none"/>
        <c:tickLblPos val="nextTo"/>
        <c:crossAx val="74300800"/>
        <c:crosses val="autoZero"/>
        <c:auto val="1"/>
        <c:lblAlgn val="ctr"/>
        <c:lblOffset val="100"/>
        <c:noMultiLvlLbl val="0"/>
      </c:catAx>
      <c:valAx>
        <c:axId val="74300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42992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температура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Явный!$F$22:$AJ$22</c:f>
              <c:numCache>
                <c:formatCode>0.00_ ;\-0.00\ </c:formatCode>
                <c:ptCount val="31"/>
                <c:pt idx="0">
                  <c:v>289.14551881260553</c:v>
                </c:pt>
                <c:pt idx="1">
                  <c:v>282.47885214593884</c:v>
                </c:pt>
                <c:pt idx="2">
                  <c:v>275.84295376549903</c:v>
                </c:pt>
                <c:pt idx="3">
                  <c:v>269.23773613614185</c:v>
                </c:pt>
                <c:pt idx="4">
                  <c:v>262.66302570846733</c:v>
                </c:pt>
                <c:pt idx="5">
                  <c:v>256.11856087966436</c:v>
                </c:pt>
                <c:pt idx="6">
                  <c:v>249.60399649581322</c:v>
                </c:pt>
                <c:pt idx="7">
                  <c:v>243.11889988245093</c:v>
                </c:pt>
                <c:pt idx="8">
                  <c:v>236.66275814983416</c:v>
                </c:pt>
                <c:pt idx="9">
                  <c:v>230.23497250586695</c:v>
                </c:pt>
                <c:pt idx="10">
                  <c:v>223.83486807556034</c:v>
                </c:pt>
                <c:pt idx="11">
                  <c:v>217.46168680274295</c:v>
                </c:pt>
                <c:pt idx="12">
                  <c:v>211.11459939722539</c:v>
                </c:pt>
                <c:pt idx="13">
                  <c:v>204.79269721108508</c:v>
                </c:pt>
                <c:pt idx="14">
                  <c:v>198.49500584613287</c:v>
                </c:pt>
                <c:pt idx="15">
                  <c:v>192.22047645176292</c:v>
                </c:pt>
                <c:pt idx="16">
                  <c:v>185.96800046470983</c:v>
                </c:pt>
                <c:pt idx="17">
                  <c:v>179.73640081554817</c:v>
                </c:pt>
                <c:pt idx="18">
                  <c:v>173.52444723499667</c:v>
                </c:pt>
                <c:pt idx="19">
                  <c:v>167.33084787316977</c:v>
                </c:pt>
                <c:pt idx="20">
                  <c:v>161.15426459338431</c:v>
                </c:pt>
                <c:pt idx="21">
                  <c:v>154.9933055012923</c:v>
                </c:pt>
                <c:pt idx="22">
                  <c:v>148.84653965873562</c:v>
                </c:pt>
                <c:pt idx="23">
                  <c:v>142.71249098910911</c:v>
                </c:pt>
                <c:pt idx="24">
                  <c:v>136.58965187964165</c:v>
                </c:pt>
                <c:pt idx="25">
                  <c:v>130.47647887602361</c:v>
                </c:pt>
                <c:pt idx="26">
                  <c:v>124.37140469984179</c:v>
                </c:pt>
                <c:pt idx="27">
                  <c:v>118.27283607196378</c:v>
                </c:pt>
                <c:pt idx="28">
                  <c:v>112.17916374998953</c:v>
                </c:pt>
                <c:pt idx="29">
                  <c:v>106.08876272935932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66-4714-9FC2-12A1211BD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1751487"/>
        <c:axId val="861752319"/>
      </c:lineChart>
      <c:catAx>
        <c:axId val="8617514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1752319"/>
        <c:crosses val="autoZero"/>
        <c:auto val="1"/>
        <c:lblAlgn val="ctr"/>
        <c:lblOffset val="100"/>
        <c:noMultiLvlLbl val="0"/>
      </c:catAx>
      <c:valAx>
        <c:axId val="861752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;\-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1751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57150</xdr:rowOff>
        </xdr:from>
        <xdr:to>
          <xdr:col>2</xdr:col>
          <xdr:colOff>438150</xdr:colOff>
          <xdr:row>19</xdr:row>
          <xdr:rowOff>152400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22</xdr:row>
          <xdr:rowOff>104775</xdr:rowOff>
        </xdr:from>
        <xdr:to>
          <xdr:col>1</xdr:col>
          <xdr:colOff>561975</xdr:colOff>
          <xdr:row>24</xdr:row>
          <xdr:rowOff>142875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Занулить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447674</xdr:colOff>
      <xdr:row>22</xdr:row>
      <xdr:rowOff>114299</xdr:rowOff>
    </xdr:from>
    <xdr:to>
      <xdr:col>34</xdr:col>
      <xdr:colOff>9524</xdr:colOff>
      <xdr:row>41</xdr:row>
      <xdr:rowOff>47624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276225</xdr:colOff>
          <xdr:row>1</xdr:row>
          <xdr:rowOff>104775</xdr:rowOff>
        </xdr:from>
        <xdr:to>
          <xdr:col>25</xdr:col>
          <xdr:colOff>466725</xdr:colOff>
          <xdr:row>3</xdr:row>
          <xdr:rowOff>95250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Интеграл снизу вверх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200025</xdr:colOff>
          <xdr:row>3</xdr:row>
          <xdr:rowOff>152400</xdr:rowOff>
        </xdr:from>
        <xdr:to>
          <xdr:col>29</xdr:col>
          <xdr:colOff>514350</xdr:colOff>
          <xdr:row>5</xdr:row>
          <xdr:rowOff>9525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381000</xdr:colOff>
          <xdr:row>4</xdr:row>
          <xdr:rowOff>95250</xdr:rowOff>
        </xdr:from>
        <xdr:to>
          <xdr:col>25</xdr:col>
          <xdr:colOff>323850</xdr:colOff>
          <xdr:row>6</xdr:row>
          <xdr:rowOff>9525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Интеграл сверху вниз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31</xdr:row>
          <xdr:rowOff>95250</xdr:rowOff>
        </xdr:from>
        <xdr:to>
          <xdr:col>2</xdr:col>
          <xdr:colOff>95250</xdr:colOff>
          <xdr:row>32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29</xdr:row>
          <xdr:rowOff>123825</xdr:rowOff>
        </xdr:from>
        <xdr:to>
          <xdr:col>2</xdr:col>
          <xdr:colOff>76200</xdr:colOff>
          <xdr:row>30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271462</xdr:colOff>
      <xdr:row>6</xdr:row>
      <xdr:rowOff>109537</xdr:rowOff>
    </xdr:from>
    <xdr:to>
      <xdr:col>49</xdr:col>
      <xdr:colOff>464342</xdr:colOff>
      <xdr:row>40</xdr:row>
      <xdr:rowOff>71439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166686</xdr:colOff>
      <xdr:row>39</xdr:row>
      <xdr:rowOff>92869</xdr:rowOff>
    </xdr:from>
    <xdr:to>
      <xdr:col>21</xdr:col>
      <xdr:colOff>226219</xdr:colOff>
      <xdr:row>56</xdr:row>
      <xdr:rowOff>154781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521494</xdr:colOff>
      <xdr:row>0</xdr:row>
      <xdr:rowOff>169067</xdr:rowOff>
    </xdr:from>
    <xdr:to>
      <xdr:col>42</xdr:col>
      <xdr:colOff>454818</xdr:colOff>
      <xdr:row>16</xdr:row>
      <xdr:rowOff>159542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85725</xdr:colOff>
      <xdr:row>35</xdr:row>
      <xdr:rowOff>123825</xdr:rowOff>
    </xdr:from>
    <xdr:to>
      <xdr:col>13</xdr:col>
      <xdr:colOff>390525</xdr:colOff>
      <xdr:row>50</xdr:row>
      <xdr:rowOff>9525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leb/Desktop/Prk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280.50947535568343</v>
          </cell>
          <cell r="H13">
            <v>261.34019768006675</v>
          </cell>
          <cell r="I13">
            <v>242.17092000445004</v>
          </cell>
          <cell r="J13">
            <v>223.94348784691761</v>
          </cell>
          <cell r="K13">
            <v>205.71605568938512</v>
          </cell>
          <cell r="L13">
            <v>188.98798976713792</v>
          </cell>
          <cell r="M13">
            <v>172.25992384489069</v>
          </cell>
          <cell r="N13">
            <v>157.4917970899659</v>
          </cell>
          <cell r="O13">
            <v>142.72367033504111</v>
          </cell>
          <cell r="P13">
            <v>130.25585219566563</v>
          </cell>
          <cell r="Q13">
            <v>117.78803405629017</v>
          </cell>
          <cell r="R13">
            <v>107.82942130675656</v>
          </cell>
          <cell r="S13">
            <v>97.870808557222944</v>
          </cell>
          <cell r="T13">
            <v>90.498936030544343</v>
          </cell>
          <cell r="U13">
            <v>83.127063503865742</v>
          </cell>
          <cell r="V13">
            <v>78.297409442647279</v>
          </cell>
          <cell r="W13">
            <v>73.467755381428844</v>
          </cell>
          <cell r="X13">
            <v>71.029173463903746</v>
          </cell>
          <cell r="Y13">
            <v>68.590591546378676</v>
          </cell>
          <cell r="Z13">
            <v>68.30369074500706</v>
          </cell>
          <cell r="AA13">
            <v>68.016789943635459</v>
          </cell>
          <cell r="AB13">
            <v>69.572608509723267</v>
          </cell>
          <cell r="AC13">
            <v>71.128427075811075</v>
          </cell>
          <cell r="AD13">
            <v>74.165635391039984</v>
          </cell>
          <cell r="AE13">
            <v>77.202843706268908</v>
          </cell>
          <cell r="AF13">
            <v>81.322660058722235</v>
          </cell>
          <cell r="AG13">
            <v>85.442476411175562</v>
          </cell>
          <cell r="AH13">
            <v>90.221256942685855</v>
          </cell>
          <cell r="AI13">
            <v>95.000037474196134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2:AM87"/>
  <sheetViews>
    <sheetView tabSelected="1" topLeftCell="T1" workbookViewId="0">
      <selection activeCell="AK33" sqref="AK33"/>
    </sheetView>
  </sheetViews>
  <sheetFormatPr defaultRowHeight="15" x14ac:dyDescent="0.25"/>
  <cols>
    <col min="1" max="1" width="13" customWidth="1"/>
    <col min="4" max="5" width="5.7109375" customWidth="1"/>
    <col min="6" max="19" width="6.7109375" customWidth="1"/>
    <col min="20" max="20" width="7.42578125" customWidth="1"/>
    <col min="21" max="22" width="5.7109375" customWidth="1"/>
    <col min="24" max="24" width="15.5703125" customWidth="1"/>
  </cols>
  <sheetData>
    <row r="2" spans="1:39" x14ac:dyDescent="0.25">
      <c r="A2" s="2" t="s">
        <v>58</v>
      </c>
      <c r="B2" s="69">
        <v>0.2</v>
      </c>
    </row>
    <row r="3" spans="1:39" x14ac:dyDescent="0.25">
      <c r="A3" s="2"/>
      <c r="B3" s="69"/>
      <c r="D3" s="78" t="s">
        <v>68</v>
      </c>
      <c r="E3" s="79"/>
      <c r="F3" s="13">
        <v>1</v>
      </c>
      <c r="G3" s="13">
        <v>2</v>
      </c>
      <c r="H3" s="13">
        <v>3</v>
      </c>
      <c r="I3" s="13">
        <v>4</v>
      </c>
      <c r="J3" s="13">
        <v>5</v>
      </c>
      <c r="K3" s="13">
        <v>6</v>
      </c>
      <c r="L3" s="13">
        <v>7</v>
      </c>
      <c r="M3" s="13">
        <v>8</v>
      </c>
      <c r="N3" s="13">
        <v>9</v>
      </c>
      <c r="O3" s="13">
        <v>10</v>
      </c>
      <c r="P3" s="13">
        <v>11</v>
      </c>
      <c r="Q3" s="13">
        <v>12</v>
      </c>
      <c r="R3" s="13">
        <v>13</v>
      </c>
      <c r="S3" s="13">
        <v>14</v>
      </c>
      <c r="T3" s="13">
        <v>15</v>
      </c>
      <c r="U3" s="72"/>
      <c r="V3" s="73"/>
      <c r="X3" s="2" t="s">
        <v>75</v>
      </c>
      <c r="Y3" s="107">
        <v>1</v>
      </c>
      <c r="Z3" s="107">
        <v>2</v>
      </c>
      <c r="AA3" s="107">
        <v>3</v>
      </c>
      <c r="AB3" s="107">
        <v>4</v>
      </c>
      <c r="AC3" s="107">
        <v>5</v>
      </c>
      <c r="AD3" s="107">
        <v>6</v>
      </c>
      <c r="AE3" s="107">
        <v>7</v>
      </c>
      <c r="AF3" s="107">
        <v>8</v>
      </c>
      <c r="AG3" s="107">
        <v>9</v>
      </c>
      <c r="AH3" s="107">
        <v>10</v>
      </c>
      <c r="AI3" s="107">
        <v>11</v>
      </c>
      <c r="AJ3" s="107">
        <v>12</v>
      </c>
      <c r="AK3" s="107">
        <v>13</v>
      </c>
      <c r="AL3" s="107">
        <v>14</v>
      </c>
      <c r="AM3" s="107">
        <v>15</v>
      </c>
    </row>
    <row r="4" spans="1:39" x14ac:dyDescent="0.25">
      <c r="A4" s="2" t="s">
        <v>59</v>
      </c>
      <c r="B4" s="69">
        <v>10</v>
      </c>
      <c r="D4" s="80"/>
      <c r="E4" s="81"/>
      <c r="F4" s="71">
        <f>$B$2*(F3-1)</f>
        <v>0</v>
      </c>
      <c r="G4" s="71">
        <f t="shared" ref="G4:T4" si="0">$B$2*(G3-1)</f>
        <v>0.2</v>
      </c>
      <c r="H4" s="71">
        <f t="shared" si="0"/>
        <v>0.4</v>
      </c>
      <c r="I4" s="71">
        <f t="shared" si="0"/>
        <v>0.60000000000000009</v>
      </c>
      <c r="J4" s="71">
        <f t="shared" si="0"/>
        <v>0.8</v>
      </c>
      <c r="K4" s="71">
        <f t="shared" si="0"/>
        <v>1</v>
      </c>
      <c r="L4" s="71">
        <f t="shared" si="0"/>
        <v>1.2000000000000002</v>
      </c>
      <c r="M4" s="71">
        <f t="shared" si="0"/>
        <v>1.4000000000000001</v>
      </c>
      <c r="N4" s="71">
        <f t="shared" si="0"/>
        <v>1.6</v>
      </c>
      <c r="O4" s="71">
        <f t="shared" si="0"/>
        <v>1.8</v>
      </c>
      <c r="P4" s="71">
        <f t="shared" si="0"/>
        <v>2</v>
      </c>
      <c r="Q4" s="71">
        <f t="shared" si="0"/>
        <v>2.2000000000000002</v>
      </c>
      <c r="R4" s="71">
        <f t="shared" si="0"/>
        <v>2.4000000000000004</v>
      </c>
      <c r="S4" s="71">
        <f t="shared" si="0"/>
        <v>2.6</v>
      </c>
      <c r="T4" s="71">
        <f t="shared" si="0"/>
        <v>2.8000000000000003</v>
      </c>
      <c r="U4" s="75"/>
      <c r="V4" s="77"/>
      <c r="X4" s="105" t="s">
        <v>72</v>
      </c>
      <c r="Y4" s="103">
        <f>$B$2*(Y3-1)</f>
        <v>0</v>
      </c>
      <c r="Z4" s="104">
        <f t="shared" ref="Z4:AM4" si="1">$B$2*(Z3-1)</f>
        <v>0.2</v>
      </c>
      <c r="AA4" s="104">
        <f t="shared" si="1"/>
        <v>0.4</v>
      </c>
      <c r="AB4" s="104">
        <f t="shared" si="1"/>
        <v>0.60000000000000009</v>
      </c>
      <c r="AC4" s="104">
        <f t="shared" si="1"/>
        <v>0.8</v>
      </c>
      <c r="AD4" s="104">
        <f t="shared" si="1"/>
        <v>1</v>
      </c>
      <c r="AE4" s="104">
        <f t="shared" si="1"/>
        <v>1.2000000000000002</v>
      </c>
      <c r="AF4" s="104">
        <f t="shared" si="1"/>
        <v>1.4000000000000001</v>
      </c>
      <c r="AG4" s="104">
        <f t="shared" si="1"/>
        <v>1.6</v>
      </c>
      <c r="AH4" s="104">
        <f t="shared" si="1"/>
        <v>1.8</v>
      </c>
      <c r="AI4" s="104">
        <f t="shared" si="1"/>
        <v>2</v>
      </c>
      <c r="AJ4" s="104">
        <f t="shared" si="1"/>
        <v>2.2000000000000002</v>
      </c>
      <c r="AK4" s="104">
        <f t="shared" si="1"/>
        <v>2.4000000000000004</v>
      </c>
      <c r="AL4" s="104">
        <f t="shared" si="1"/>
        <v>2.6</v>
      </c>
      <c r="AM4" s="104">
        <f t="shared" si="1"/>
        <v>2.8000000000000003</v>
      </c>
    </row>
    <row r="5" spans="1:39" x14ac:dyDescent="0.25">
      <c r="A5" s="2" t="s">
        <v>61</v>
      </c>
      <c r="B5" s="69">
        <v>101325</v>
      </c>
      <c r="D5" s="27">
        <v>11</v>
      </c>
      <c r="E5" s="70">
        <f t="shared" ref="E5:E13" si="2">$B$2*(D5-1)</f>
        <v>2</v>
      </c>
      <c r="F5" s="98">
        <f t="shared" ref="F5:F8" si="3">F6+$B$4*$B$2</f>
        <v>10</v>
      </c>
      <c r="G5" s="98">
        <f>F5</f>
        <v>10</v>
      </c>
      <c r="H5" s="98">
        <f t="shared" ref="H5:S5" si="4">G5</f>
        <v>10</v>
      </c>
      <c r="I5" s="98">
        <f t="shared" si="4"/>
        <v>10</v>
      </c>
      <c r="J5" s="98">
        <f t="shared" si="4"/>
        <v>10</v>
      </c>
      <c r="K5" s="98">
        <f t="shared" si="4"/>
        <v>10</v>
      </c>
      <c r="L5" s="98">
        <f t="shared" si="4"/>
        <v>10</v>
      </c>
      <c r="M5" s="98">
        <f t="shared" si="4"/>
        <v>10</v>
      </c>
      <c r="N5" s="98">
        <f t="shared" si="4"/>
        <v>10</v>
      </c>
      <c r="O5" s="98">
        <f t="shared" si="4"/>
        <v>10</v>
      </c>
      <c r="P5" s="98">
        <f t="shared" si="4"/>
        <v>10</v>
      </c>
      <c r="Q5" s="98">
        <f t="shared" si="4"/>
        <v>10</v>
      </c>
      <c r="R5" s="98">
        <f t="shared" si="4"/>
        <v>10</v>
      </c>
      <c r="S5" s="98">
        <f t="shared" si="4"/>
        <v>10</v>
      </c>
      <c r="T5" s="98">
        <f t="shared" ref="T5:T13" si="5">T6+$B$6*$B$2</f>
        <v>10</v>
      </c>
      <c r="U5" s="70">
        <f t="shared" ref="U5:U13" si="6">$B$2*(V5-1)</f>
        <v>2</v>
      </c>
      <c r="V5" s="13">
        <v>11</v>
      </c>
      <c r="X5" s="105" t="s">
        <v>73</v>
      </c>
      <c r="Y5" s="13">
        <v>1</v>
      </c>
      <c r="Z5" s="13">
        <v>1</v>
      </c>
      <c r="AA5" s="13">
        <v>1</v>
      </c>
      <c r="AB5" s="13">
        <v>1</v>
      </c>
      <c r="AC5" s="13">
        <v>1</v>
      </c>
      <c r="AD5" s="13">
        <v>0.8</v>
      </c>
      <c r="AE5" s="13">
        <v>0.6</v>
      </c>
      <c r="AF5" s="13">
        <v>0.4</v>
      </c>
      <c r="AG5" s="13">
        <v>0.2</v>
      </c>
      <c r="AH5" s="13">
        <v>0</v>
      </c>
      <c r="AI5" s="13">
        <v>0</v>
      </c>
      <c r="AJ5" s="13">
        <v>0</v>
      </c>
      <c r="AK5" s="13">
        <v>0</v>
      </c>
      <c r="AL5" s="13">
        <v>0</v>
      </c>
      <c r="AM5" s="13">
        <v>0</v>
      </c>
    </row>
    <row r="6" spans="1:39" x14ac:dyDescent="0.25">
      <c r="A6" s="2" t="s">
        <v>60</v>
      </c>
      <c r="B6" s="69">
        <f>((E5-E10)*B4)/(U5-U15)</f>
        <v>5</v>
      </c>
      <c r="D6" s="27">
        <v>10</v>
      </c>
      <c r="E6" s="70">
        <f t="shared" si="2"/>
        <v>1.8</v>
      </c>
      <c r="F6" s="98">
        <f t="shared" si="3"/>
        <v>8</v>
      </c>
      <c r="G6" s="98">
        <f>0.25*(G25+H24+G23+F24)</f>
        <v>8.0283446475775762</v>
      </c>
      <c r="H6" s="98">
        <f t="shared" ref="H6:S6" si="7">0.25*(H25+I24+H23+G24)</f>
        <v>8.0648681578145425</v>
      </c>
      <c r="I6" s="98">
        <f t="shared" si="7"/>
        <v>8.1180730072973564</v>
      </c>
      <c r="J6" s="98">
        <f t="shared" si="7"/>
        <v>8.1952171788887327</v>
      </c>
      <c r="K6" s="98">
        <f t="shared" si="7"/>
        <v>8.2968869507438043</v>
      </c>
      <c r="L6" s="98">
        <f t="shared" si="7"/>
        <v>8.4102906976953555</v>
      </c>
      <c r="M6" s="98">
        <f t="shared" si="7"/>
        <v>8.522149083936462</v>
      </c>
      <c r="N6" s="98">
        <f t="shared" si="7"/>
        <v>8.6241901291043916</v>
      </c>
      <c r="O6" s="98">
        <f t="shared" si="7"/>
        <v>8.7130063854824922</v>
      </c>
      <c r="P6" s="98">
        <f t="shared" si="7"/>
        <v>8.7884288156138464</v>
      </c>
      <c r="Q6" s="98">
        <f t="shared" si="7"/>
        <v>8.852108494813784</v>
      </c>
      <c r="R6" s="98">
        <f t="shared" si="7"/>
        <v>8.9066037783946648</v>
      </c>
      <c r="S6" s="98">
        <f t="shared" si="7"/>
        <v>8.9548687980446644</v>
      </c>
      <c r="T6" s="98">
        <f t="shared" si="5"/>
        <v>9</v>
      </c>
      <c r="U6" s="70">
        <f t="shared" si="6"/>
        <v>1.8</v>
      </c>
      <c r="V6" s="13">
        <v>10</v>
      </c>
      <c r="X6" s="106" t="s">
        <v>68</v>
      </c>
      <c r="Y6" s="98">
        <f>F10</f>
        <v>0</v>
      </c>
      <c r="Z6" s="98">
        <f t="shared" ref="Z6:AC6" si="8">G10</f>
        <v>0</v>
      </c>
      <c r="AA6" s="98">
        <f t="shared" si="8"/>
        <v>0</v>
      </c>
      <c r="AB6" s="98">
        <f t="shared" si="8"/>
        <v>0</v>
      </c>
      <c r="AC6" s="98">
        <f t="shared" si="8"/>
        <v>0</v>
      </c>
      <c r="AD6" s="98">
        <f>K11</f>
        <v>0</v>
      </c>
      <c r="AE6" s="98">
        <f>L12</f>
        <v>0</v>
      </c>
      <c r="AF6" s="98">
        <f>M13</f>
        <v>0</v>
      </c>
      <c r="AG6" s="98">
        <f>N14</f>
        <v>0</v>
      </c>
      <c r="AH6" s="98">
        <f>O15</f>
        <v>0</v>
      </c>
      <c r="AI6" s="98">
        <f t="shared" ref="AI6:AM6" si="9">P15</f>
        <v>0</v>
      </c>
      <c r="AJ6" s="98">
        <f t="shared" si="9"/>
        <v>0</v>
      </c>
      <c r="AK6" s="98">
        <f t="shared" si="9"/>
        <v>0</v>
      </c>
      <c r="AL6" s="98">
        <f t="shared" si="9"/>
        <v>0</v>
      </c>
      <c r="AM6" s="98">
        <f t="shared" si="9"/>
        <v>0</v>
      </c>
    </row>
    <row r="7" spans="1:39" x14ac:dyDescent="0.25">
      <c r="A7" s="2"/>
      <c r="B7" s="69"/>
      <c r="D7" s="27">
        <v>9</v>
      </c>
      <c r="E7" s="70">
        <f t="shared" si="2"/>
        <v>1.6</v>
      </c>
      <c r="F7" s="98">
        <f t="shared" si="3"/>
        <v>6</v>
      </c>
      <c r="G7" s="98">
        <f t="shared" ref="G7:S7" si="10">0.25*(G26+H25+G24+F25)</f>
        <v>6.0485104337996116</v>
      </c>
      <c r="H7" s="98">
        <f t="shared" si="10"/>
        <v>6.1130549792627988</v>
      </c>
      <c r="I7" s="98">
        <f t="shared" si="10"/>
        <v>6.2122066970587335</v>
      </c>
      <c r="J7" s="98">
        <f t="shared" si="10"/>
        <v>6.3659087645670134</v>
      </c>
      <c r="K7" s="98">
        <f t="shared" si="10"/>
        <v>6.582039935815394</v>
      </c>
      <c r="L7" s="98">
        <f t="shared" si="10"/>
        <v>6.8221267687261165</v>
      </c>
      <c r="M7" s="98">
        <f t="shared" si="10"/>
        <v>7.0541155235577797</v>
      </c>
      <c r="N7" s="98">
        <f t="shared" si="10"/>
        <v>7.2616050638939642</v>
      </c>
      <c r="O7" s="98">
        <f t="shared" si="10"/>
        <v>7.4394066140184556</v>
      </c>
      <c r="P7" s="98">
        <f t="shared" si="10"/>
        <v>7.5886003986738952</v>
      </c>
      <c r="Q7" s="98">
        <f t="shared" si="10"/>
        <v>7.7134013988153143</v>
      </c>
      <c r="R7" s="98">
        <f t="shared" si="10"/>
        <v>7.8194378309812489</v>
      </c>
      <c r="S7" s="98">
        <f t="shared" si="10"/>
        <v>7.9128714189986269</v>
      </c>
      <c r="T7" s="98">
        <f t="shared" si="5"/>
        <v>8</v>
      </c>
      <c r="U7" s="70">
        <f t="shared" si="6"/>
        <v>1.6</v>
      </c>
      <c r="V7" s="13">
        <v>9</v>
      </c>
      <c r="X7" s="106" t="s">
        <v>69</v>
      </c>
      <c r="Y7" s="102">
        <f>F46</f>
        <v>10</v>
      </c>
      <c r="Z7" s="102">
        <f t="shared" ref="Z7:AM7" si="11">G46</f>
        <v>10.177116888928248</v>
      </c>
      <c r="AA7" s="102">
        <f t="shared" si="11"/>
        <v>10.445257010076951</v>
      </c>
      <c r="AB7" s="102">
        <f t="shared" si="11"/>
        <v>10.970738001993556</v>
      </c>
      <c r="AC7" s="102">
        <f t="shared" si="11"/>
        <v>12.178744801215542</v>
      </c>
      <c r="AD7" s="102">
        <f>K47</f>
        <v>6.6371160641700362</v>
      </c>
      <c r="AE7" s="102">
        <f>L48</f>
        <v>5.0084558440859395</v>
      </c>
      <c r="AF7" s="102">
        <f>M49</f>
        <v>3.9931583970554505</v>
      </c>
      <c r="AG7" s="102">
        <f>N50</f>
        <v>3.1416986848708706</v>
      </c>
      <c r="AH7" s="102">
        <f>O51</f>
        <v>2.1832322132770687</v>
      </c>
      <c r="AI7" s="102">
        <f t="shared" ref="AI7:AM7" si="12">P51</f>
        <v>3.2800236595186902</v>
      </c>
      <c r="AJ7" s="102">
        <f t="shared" si="12"/>
        <v>3.930764322142978</v>
      </c>
      <c r="AK7" s="102">
        <f t="shared" si="12"/>
        <v>4.3713258009488056</v>
      </c>
      <c r="AL7" s="102">
        <f t="shared" si="12"/>
        <v>4.7077637257588139</v>
      </c>
      <c r="AM7" s="102">
        <f t="shared" si="12"/>
        <v>5</v>
      </c>
    </row>
    <row r="8" spans="1:39" x14ac:dyDescent="0.25">
      <c r="A8" s="2" t="s">
        <v>62</v>
      </c>
      <c r="B8" s="69">
        <v>50</v>
      </c>
      <c r="D8" s="27">
        <v>8</v>
      </c>
      <c r="E8" s="70">
        <f t="shared" si="2"/>
        <v>1.4000000000000001</v>
      </c>
      <c r="F8" s="98">
        <f t="shared" si="3"/>
        <v>4</v>
      </c>
      <c r="G8" s="98">
        <f t="shared" ref="G8:S8" si="13">0.25*(G27+H26+G25+F26)</f>
        <v>4.052642110591008</v>
      </c>
      <c r="H8" s="98">
        <f t="shared" si="13"/>
        <v>4.1266346329950432</v>
      </c>
      <c r="I8" s="98">
        <f t="shared" si="13"/>
        <v>4.2517900451044142</v>
      </c>
      <c r="J8" s="98">
        <f t="shared" si="13"/>
        <v>4.4741712582104771</v>
      </c>
      <c r="K8" s="98">
        <f t="shared" si="13"/>
        <v>4.84323727649973</v>
      </c>
      <c r="L8" s="98">
        <f t="shared" si="13"/>
        <v>5.2420609398055493</v>
      </c>
      <c r="M8" s="98">
        <f t="shared" si="13"/>
        <v>5.6105812054478088</v>
      </c>
      <c r="N8" s="98">
        <f t="shared" si="13"/>
        <v>5.9287080190437429</v>
      </c>
      <c r="O8" s="98">
        <f t="shared" si="13"/>
        <v>6.1944146405138198</v>
      </c>
      <c r="P8" s="98">
        <f t="shared" si="13"/>
        <v>6.4131647960526799</v>
      </c>
      <c r="Q8" s="98">
        <f t="shared" si="13"/>
        <v>6.5934588972203922</v>
      </c>
      <c r="R8" s="98">
        <f t="shared" si="13"/>
        <v>6.7448747463244567</v>
      </c>
      <c r="S8" s="98">
        <f t="shared" si="13"/>
        <v>6.8771790571545433</v>
      </c>
      <c r="T8" s="98">
        <f t="shared" si="5"/>
        <v>7</v>
      </c>
      <c r="U8" s="70">
        <f t="shared" si="6"/>
        <v>1.4000000000000001</v>
      </c>
      <c r="V8" s="13">
        <v>8</v>
      </c>
      <c r="X8" s="106" t="s">
        <v>70</v>
      </c>
      <c r="Y8" s="102">
        <f>F63</f>
        <v>0</v>
      </c>
      <c r="Z8" s="102">
        <f t="shared" ref="Z8:AH8" si="14">G63</f>
        <v>0</v>
      </c>
      <c r="AA8" s="102">
        <f t="shared" si="14"/>
        <v>0</v>
      </c>
      <c r="AB8" s="102">
        <f t="shared" si="14"/>
        <v>0</v>
      </c>
      <c r="AC8" s="102">
        <f t="shared" si="14"/>
        <v>-3.3185580320850181</v>
      </c>
      <c r="AD8" s="102">
        <f>K64</f>
        <v>-5.0084558440859395</v>
      </c>
      <c r="AE8" s="102">
        <f>L65</f>
        <v>-3.9931583970554505</v>
      </c>
      <c r="AF8" s="102">
        <f>M66</f>
        <v>-3.1416986848708706</v>
      </c>
      <c r="AG8" s="102">
        <f>N67</f>
        <v>-2.1832322132770687</v>
      </c>
      <c r="AH8" s="102">
        <f>O68</f>
        <v>0</v>
      </c>
      <c r="AI8" s="102">
        <f t="shared" ref="AI8:AM8" si="15">P68</f>
        <v>0</v>
      </c>
      <c r="AJ8" s="102">
        <f t="shared" si="15"/>
        <v>0</v>
      </c>
      <c r="AK8" s="102">
        <f t="shared" si="15"/>
        <v>0</v>
      </c>
      <c r="AL8" s="102">
        <f t="shared" si="15"/>
        <v>0</v>
      </c>
      <c r="AM8" s="102">
        <f t="shared" si="15"/>
        <v>0</v>
      </c>
    </row>
    <row r="9" spans="1:39" x14ac:dyDescent="0.25">
      <c r="A9" s="2"/>
      <c r="B9" s="69"/>
      <c r="D9" s="27">
        <v>7</v>
      </c>
      <c r="E9" s="70">
        <f t="shared" si="2"/>
        <v>1.2000000000000002</v>
      </c>
      <c r="F9" s="98">
        <f>F10+$B$4*$B$2</f>
        <v>2</v>
      </c>
      <c r="G9" s="98">
        <f t="shared" ref="G9:S10" si="16">0.25*(G28+H27+G26+F27)</f>
        <v>2.0354233777856496</v>
      </c>
      <c r="H9" s="98">
        <f t="shared" si="16"/>
        <v>2.0890514020153903</v>
      </c>
      <c r="I9" s="98">
        <f t="shared" si="16"/>
        <v>2.1941476003987113</v>
      </c>
      <c r="J9" s="98">
        <f t="shared" si="16"/>
        <v>2.4357489602431084</v>
      </c>
      <c r="K9" s="98">
        <f t="shared" si="16"/>
        <v>3.074676992019016</v>
      </c>
      <c r="L9" s="98">
        <f t="shared" si="16"/>
        <v>3.6922985370198327</v>
      </c>
      <c r="M9" s="98">
        <f t="shared" si="16"/>
        <v>4.2174403738604589</v>
      </c>
      <c r="N9" s="98">
        <f t="shared" si="16"/>
        <v>4.6482312073751206</v>
      </c>
      <c r="O9" s="98">
        <f t="shared" si="16"/>
        <v>4.9963791745757975</v>
      </c>
      <c r="P9" s="98">
        <f t="shared" si="16"/>
        <v>5.2761852892360368</v>
      </c>
      <c r="Q9" s="98">
        <f t="shared" si="16"/>
        <v>5.5023946820119454</v>
      </c>
      <c r="R9" s="98">
        <f t="shared" si="16"/>
        <v>5.6894232260302546</v>
      </c>
      <c r="S9" s="98">
        <f t="shared" si="16"/>
        <v>5.8509700765901549</v>
      </c>
      <c r="T9" s="98">
        <f t="shared" si="5"/>
        <v>6</v>
      </c>
      <c r="U9" s="70">
        <f t="shared" si="6"/>
        <v>1.2000000000000002</v>
      </c>
      <c r="V9" s="13">
        <v>7</v>
      </c>
      <c r="X9" s="106" t="s">
        <v>71</v>
      </c>
      <c r="Y9" s="102">
        <f>F80</f>
        <v>10</v>
      </c>
      <c r="Z9" s="102">
        <f t="shared" ref="Z9:AH9" si="17">G80</f>
        <v>10.177116888928248</v>
      </c>
      <c r="AA9" s="102">
        <f t="shared" si="17"/>
        <v>10.445257010076951</v>
      </c>
      <c r="AB9" s="102">
        <f t="shared" si="17"/>
        <v>10.970738001993556</v>
      </c>
      <c r="AC9" s="102">
        <f t="shared" si="17"/>
        <v>12.622783066560663</v>
      </c>
      <c r="AD9" s="102">
        <f>K81</f>
        <v>8.3148024385082397</v>
      </c>
      <c r="AE9" s="102">
        <f>L82</f>
        <v>6.4054620384585101</v>
      </c>
      <c r="AF9" s="102">
        <f>M83</f>
        <v>5.0809039166760286</v>
      </c>
      <c r="AG9" s="102">
        <f>N84</f>
        <v>3.8258036441524341</v>
      </c>
      <c r="AH9" s="102">
        <f>O85</f>
        <v>2.1832322132770687</v>
      </c>
      <c r="AI9" s="102">
        <f t="shared" ref="AI9:AL9" si="18">P85</f>
        <v>3.2800236595186902</v>
      </c>
      <c r="AJ9" s="102">
        <f t="shared" si="18"/>
        <v>3.930764322142978</v>
      </c>
      <c r="AK9" s="102">
        <f t="shared" si="18"/>
        <v>4.3713258009488056</v>
      </c>
      <c r="AL9" s="102">
        <f t="shared" si="18"/>
        <v>4.7077637257588139</v>
      </c>
      <c r="AM9" s="102">
        <f>T85</f>
        <v>5</v>
      </c>
    </row>
    <row r="10" spans="1:39" x14ac:dyDescent="0.25">
      <c r="A10" s="2" t="s">
        <v>63</v>
      </c>
      <c r="B10" s="69">
        <v>15</v>
      </c>
      <c r="D10" s="27">
        <v>6</v>
      </c>
      <c r="E10" s="70">
        <f t="shared" si="2"/>
        <v>1</v>
      </c>
      <c r="F10" s="98">
        <f>$B$14</f>
        <v>0</v>
      </c>
      <c r="G10" s="98">
        <f t="shared" ref="G10:T15" si="19">$B$14</f>
        <v>0</v>
      </c>
      <c r="H10" s="98">
        <f t="shared" si="19"/>
        <v>0</v>
      </c>
      <c r="I10" s="98">
        <f t="shared" si="19"/>
        <v>0</v>
      </c>
      <c r="J10" s="98">
        <f t="shared" si="19"/>
        <v>0</v>
      </c>
      <c r="K10" s="98">
        <f t="shared" si="16"/>
        <v>1.3274232128340073</v>
      </c>
      <c r="L10" s="98">
        <f t="shared" si="16"/>
        <v>2.2350158698467197</v>
      </c>
      <c r="M10" s="98">
        <f t="shared" ref="M10:N10" si="20">0.25*(M29+N28+M27+L28)</f>
        <v>2.9186505834830427</v>
      </c>
      <c r="N10" s="98">
        <f t="shared" si="20"/>
        <v>3.4503973053680688</v>
      </c>
      <c r="O10" s="98">
        <f t="shared" ref="O10:S10" si="21">0.25*(O29+P28+O27+N28)</f>
        <v>3.8666856094543394</v>
      </c>
      <c r="P10" s="98">
        <f t="shared" si="21"/>
        <v>4.1928025495248455</v>
      </c>
      <c r="Q10" s="98">
        <f t="shared" si="21"/>
        <v>4.4505113561934797</v>
      </c>
      <c r="R10" s="98">
        <f t="shared" si="21"/>
        <v>4.6594534280358202</v>
      </c>
      <c r="S10" s="98">
        <f t="shared" si="21"/>
        <v>4.8372780390322649</v>
      </c>
      <c r="T10" s="98">
        <f t="shared" si="5"/>
        <v>5</v>
      </c>
      <c r="U10" s="70">
        <f t="shared" si="6"/>
        <v>1</v>
      </c>
      <c r="V10" s="13">
        <v>6</v>
      </c>
      <c r="X10" s="106" t="s">
        <v>74</v>
      </c>
      <c r="Y10" s="13">
        <f>B5</f>
        <v>101325</v>
      </c>
      <c r="Z10" s="13">
        <f>(Y10+(Y9^2)/2)-(Z9^2)/2</f>
        <v>101323.21314591455</v>
      </c>
      <c r="AA10" s="13">
        <f t="shared" ref="AA10:AM10" si="22">(Z10+(Z9^2)/2)-(AA9^2)/2</f>
        <v>101320.44830299672</v>
      </c>
      <c r="AB10" s="13">
        <f t="shared" si="22"/>
        <v>101314.82145384581</v>
      </c>
      <c r="AC10" s="13">
        <f t="shared" si="22"/>
        <v>101295.33267382727</v>
      </c>
      <c r="AD10" s="13">
        <f t="shared" si="22"/>
        <v>101340.43203020429</v>
      </c>
      <c r="AE10" s="13">
        <f t="shared" si="22"/>
        <v>101354.48502803693</v>
      </c>
      <c r="AF10" s="13">
        <f t="shared" si="22"/>
        <v>101362.09220769475</v>
      </c>
      <c r="AG10" s="13">
        <f t="shared" si="22"/>
        <v>101367.68161323819</v>
      </c>
      <c r="AH10" s="13">
        <f t="shared" si="22"/>
        <v>101372.61674855146</v>
      </c>
      <c r="AI10" s="13">
        <f t="shared" si="22"/>
        <v>101369.6207223965</v>
      </c>
      <c r="AJ10" s="13">
        <f t="shared" si="22"/>
        <v>101367.27454592189</v>
      </c>
      <c r="AK10" s="13">
        <f t="shared" si="22"/>
        <v>101365.44575537098</v>
      </c>
      <c r="AL10" s="13">
        <f t="shared" si="22"/>
        <v>101363.91848035122</v>
      </c>
      <c r="AM10" s="13">
        <f t="shared" si="22"/>
        <v>101362.5</v>
      </c>
    </row>
    <row r="11" spans="1:39" x14ac:dyDescent="0.25">
      <c r="A11" s="2" t="s">
        <v>64</v>
      </c>
      <c r="B11" s="69">
        <v>11</v>
      </c>
      <c r="D11" s="27">
        <v>5</v>
      </c>
      <c r="E11" s="70">
        <f t="shared" si="2"/>
        <v>0.8</v>
      </c>
      <c r="F11" s="99"/>
      <c r="G11" s="99"/>
      <c r="H11" s="99"/>
      <c r="I11" s="99"/>
      <c r="J11" s="99"/>
      <c r="K11" s="98">
        <f t="shared" si="19"/>
        <v>0</v>
      </c>
      <c r="L11" s="98">
        <f>0.25*(L30+M29+L28+K29)</f>
        <v>1.0016911688171879</v>
      </c>
      <c r="M11" s="98">
        <f t="shared" ref="M11:N11" si="23">0.25*(M30+N29+M28+L29)</f>
        <v>1.7717488176304177</v>
      </c>
      <c r="N11" s="98">
        <f t="shared" si="23"/>
        <v>2.3680218639131994</v>
      </c>
      <c r="O11" s="98">
        <f t="shared" ref="O11:S11" si="24">0.25*(O30+P29+O28+N29)</f>
        <v>2.8271634540635118</v>
      </c>
      <c r="P11" s="98">
        <f t="shared" si="24"/>
        <v>3.1778279901891406</v>
      </c>
      <c r="Q11" s="98">
        <f t="shared" si="24"/>
        <v>3.4473948048810472</v>
      </c>
      <c r="R11" s="98">
        <f t="shared" si="24"/>
        <v>3.6606011213990675</v>
      </c>
      <c r="S11" s="98">
        <f t="shared" si="24"/>
        <v>3.8386886671477884</v>
      </c>
      <c r="T11" s="98">
        <f t="shared" si="5"/>
        <v>4</v>
      </c>
      <c r="U11" s="70">
        <f t="shared" si="6"/>
        <v>0.8</v>
      </c>
      <c r="V11" s="13">
        <v>5</v>
      </c>
      <c r="X11" s="106" t="s">
        <v>4</v>
      </c>
      <c r="Y11" s="102">
        <f>(Y10-$B$5)/(($B$4^2)/2)</f>
        <v>0</v>
      </c>
      <c r="Z11" s="102">
        <f>(Z10-$B$5)/(($B$4^2)/2)</f>
        <v>-3.5737081709085031E-2</v>
      </c>
      <c r="AA11" s="102">
        <f t="shared" ref="AA11:AM11" si="25">(AA10-$B$5)/(($B$4^2)/2)</f>
        <v>-9.1033940065535723E-2</v>
      </c>
      <c r="AB11" s="102">
        <f t="shared" si="25"/>
        <v>-0.20357092308375285</v>
      </c>
      <c r="AC11" s="102">
        <f t="shared" si="25"/>
        <v>-0.59334652345452921</v>
      </c>
      <c r="AD11" s="102">
        <f t="shared" si="25"/>
        <v>0.30864060408581279</v>
      </c>
      <c r="AE11" s="102">
        <f t="shared" si="25"/>
        <v>0.58970056073856536</v>
      </c>
      <c r="AF11" s="102">
        <f t="shared" si="25"/>
        <v>0.74184415389492642</v>
      </c>
      <c r="AG11" s="102">
        <f t="shared" si="25"/>
        <v>0.85363226476387355</v>
      </c>
      <c r="AH11" s="102">
        <f t="shared" si="25"/>
        <v>0.95233497102919495</v>
      </c>
      <c r="AI11" s="102">
        <f t="shared" si="25"/>
        <v>0.89241444793005942</v>
      </c>
      <c r="AJ11" s="102">
        <f t="shared" si="25"/>
        <v>0.84549091843771751</v>
      </c>
      <c r="AK11" s="102">
        <f t="shared" si="25"/>
        <v>0.80891510741959793</v>
      </c>
      <c r="AL11" s="102">
        <f t="shared" si="25"/>
        <v>0.77836960702436042</v>
      </c>
      <c r="AM11" s="102">
        <f t="shared" si="25"/>
        <v>0.75</v>
      </c>
    </row>
    <row r="12" spans="1:39" x14ac:dyDescent="0.25">
      <c r="A12" s="2" t="s">
        <v>65</v>
      </c>
      <c r="B12" s="69"/>
      <c r="D12" s="27">
        <v>4</v>
      </c>
      <c r="E12" s="70">
        <f t="shared" si="2"/>
        <v>0.60000000000000009</v>
      </c>
      <c r="F12" s="99"/>
      <c r="G12" s="99"/>
      <c r="H12" s="99"/>
      <c r="I12" s="99"/>
      <c r="J12" s="99"/>
      <c r="K12" s="99"/>
      <c r="L12" s="98">
        <f t="shared" si="19"/>
        <v>0</v>
      </c>
      <c r="M12" s="98">
        <f t="shared" ref="M12:N12" si="26">0.25*(M31+N30+M29+L30)</f>
        <v>0.79863167941109015</v>
      </c>
      <c r="N12" s="98">
        <f t="shared" si="26"/>
        <v>1.4227779125490176</v>
      </c>
      <c r="O12" s="98">
        <f t="shared" ref="O12:S12" si="27">0.25*(O31+P30+O29+N30)</f>
        <v>1.8961183939457682</v>
      </c>
      <c r="P12" s="98">
        <f t="shared" si="27"/>
        <v>2.2439511928440217</v>
      </c>
      <c r="Q12" s="98">
        <f t="shared" si="27"/>
        <v>2.5006387892120867</v>
      </c>
      <c r="R12" s="98">
        <f t="shared" si="27"/>
        <v>2.6968676125512392</v>
      </c>
      <c r="S12" s="98">
        <f t="shared" si="27"/>
        <v>2.8568755231356939</v>
      </c>
      <c r="T12" s="98">
        <f t="shared" si="5"/>
        <v>3</v>
      </c>
      <c r="U12" s="70">
        <f t="shared" si="6"/>
        <v>0.60000000000000009</v>
      </c>
      <c r="V12" s="13">
        <v>4</v>
      </c>
    </row>
    <row r="13" spans="1:39" x14ac:dyDescent="0.25">
      <c r="A13" s="2" t="s">
        <v>66</v>
      </c>
      <c r="B13" s="69"/>
      <c r="D13" s="27">
        <v>3</v>
      </c>
      <c r="E13" s="70">
        <f t="shared" si="2"/>
        <v>0.4</v>
      </c>
      <c r="F13" s="99"/>
      <c r="G13" s="99"/>
      <c r="H13" s="99"/>
      <c r="I13" s="99"/>
      <c r="J13" s="99"/>
      <c r="K13" s="99"/>
      <c r="L13" s="99"/>
      <c r="M13" s="98">
        <f t="shared" si="19"/>
        <v>0</v>
      </c>
      <c r="N13" s="98">
        <f t="shared" ref="N13" si="28">0.25*(N32+O31+N30+M31)</f>
        <v>0.62833973697417411</v>
      </c>
      <c r="O13" s="98">
        <f t="shared" ref="O13:S13" si="29">0.25*(O32+P31+O30+N31)</f>
        <v>1.0905810464063928</v>
      </c>
      <c r="P13" s="98">
        <f t="shared" si="29"/>
        <v>1.4012196313641345</v>
      </c>
      <c r="Q13" s="98">
        <f t="shared" si="29"/>
        <v>1.6143415758555597</v>
      </c>
      <c r="R13" s="98">
        <f t="shared" si="29"/>
        <v>1.7693550394469417</v>
      </c>
      <c r="S13" s="98">
        <f t="shared" si="29"/>
        <v>1.8919458247517371</v>
      </c>
      <c r="T13" s="98">
        <f t="shared" si="5"/>
        <v>2</v>
      </c>
      <c r="U13" s="70">
        <f t="shared" si="6"/>
        <v>0.4</v>
      </c>
      <c r="V13" s="13">
        <v>3</v>
      </c>
    </row>
    <row r="14" spans="1:39" x14ac:dyDescent="0.25">
      <c r="A14" s="68" t="s">
        <v>68</v>
      </c>
      <c r="B14" s="69">
        <v>0</v>
      </c>
      <c r="D14" s="27">
        <v>2</v>
      </c>
      <c r="E14" s="70">
        <f>$B$2*(D14-1)</f>
        <v>0.2</v>
      </c>
      <c r="F14" s="99"/>
      <c r="G14" s="99"/>
      <c r="H14" s="99"/>
      <c r="I14" s="99"/>
      <c r="J14" s="99"/>
      <c r="K14" s="99"/>
      <c r="L14" s="99"/>
      <c r="M14" s="99"/>
      <c r="N14" s="98">
        <f t="shared" si="19"/>
        <v>0</v>
      </c>
      <c r="O14" s="98">
        <f t="shared" ref="O14:S14" si="30">0.25*(O33+P32+O31+N32)</f>
        <v>0.43664644265541375</v>
      </c>
      <c r="P14" s="98">
        <f t="shared" si="30"/>
        <v>0.65600473190373809</v>
      </c>
      <c r="Q14" s="98">
        <f t="shared" si="30"/>
        <v>0.78615286442859567</v>
      </c>
      <c r="R14" s="98">
        <f t="shared" si="30"/>
        <v>0.87426516018976119</v>
      </c>
      <c r="S14" s="98">
        <f t="shared" si="30"/>
        <v>0.9415527451517629</v>
      </c>
      <c r="T14" s="98">
        <f>T15+$B$6*$B$2</f>
        <v>1</v>
      </c>
      <c r="U14" s="70">
        <f>$B$2*(V14-1)</f>
        <v>0.2</v>
      </c>
      <c r="V14" s="13">
        <v>2</v>
      </c>
      <c r="X14" s="2" t="s">
        <v>76</v>
      </c>
      <c r="Y14" s="107">
        <v>1</v>
      </c>
      <c r="Z14" s="107">
        <v>2</v>
      </c>
      <c r="AA14" s="107">
        <v>3</v>
      </c>
      <c r="AB14" s="107">
        <v>4</v>
      </c>
      <c r="AC14" s="107">
        <v>5</v>
      </c>
      <c r="AD14" s="107">
        <v>6</v>
      </c>
      <c r="AE14" s="107">
        <v>7</v>
      </c>
      <c r="AF14" s="107">
        <v>8</v>
      </c>
      <c r="AG14" s="107">
        <v>9</v>
      </c>
      <c r="AH14" s="107">
        <v>10</v>
      </c>
      <c r="AI14" s="107">
        <v>11</v>
      </c>
      <c r="AJ14" s="107">
        <v>12</v>
      </c>
      <c r="AK14" s="107">
        <v>13</v>
      </c>
      <c r="AL14" s="107">
        <v>14</v>
      </c>
      <c r="AM14" s="107">
        <v>15</v>
      </c>
    </row>
    <row r="15" spans="1:39" x14ac:dyDescent="0.25">
      <c r="A15" s="67" t="s">
        <v>67</v>
      </c>
      <c r="D15" s="27">
        <v>1</v>
      </c>
      <c r="E15" s="70">
        <v>0</v>
      </c>
      <c r="F15" s="99"/>
      <c r="G15" s="99"/>
      <c r="H15" s="99"/>
      <c r="I15" s="99"/>
      <c r="J15" s="99"/>
      <c r="K15" s="99"/>
      <c r="L15" s="99"/>
      <c r="M15" s="99"/>
      <c r="N15" s="99"/>
      <c r="O15" s="98">
        <f t="shared" si="19"/>
        <v>0</v>
      </c>
      <c r="P15" s="98">
        <f t="shared" si="19"/>
        <v>0</v>
      </c>
      <c r="Q15" s="98">
        <f t="shared" si="19"/>
        <v>0</v>
      </c>
      <c r="R15" s="98">
        <f t="shared" si="19"/>
        <v>0</v>
      </c>
      <c r="S15" s="98">
        <f t="shared" si="19"/>
        <v>0</v>
      </c>
      <c r="T15" s="98">
        <f t="shared" si="19"/>
        <v>0</v>
      </c>
      <c r="U15" s="70">
        <v>0</v>
      </c>
      <c r="V15" s="13">
        <v>1</v>
      </c>
      <c r="X15" s="105" t="s">
        <v>72</v>
      </c>
      <c r="Y15" s="103">
        <f>$B$2*(Y14-1)</f>
        <v>0</v>
      </c>
      <c r="Z15" s="104">
        <f t="shared" ref="Z15:AM15" si="31">$B$2*(Z14-1)</f>
        <v>0.2</v>
      </c>
      <c r="AA15" s="104">
        <f t="shared" si="31"/>
        <v>0.4</v>
      </c>
      <c r="AB15" s="104">
        <f t="shared" si="31"/>
        <v>0.60000000000000009</v>
      </c>
      <c r="AC15" s="104">
        <f t="shared" si="31"/>
        <v>0.8</v>
      </c>
      <c r="AD15" s="104">
        <f t="shared" si="31"/>
        <v>1</v>
      </c>
      <c r="AE15" s="104">
        <f t="shared" si="31"/>
        <v>1.2000000000000002</v>
      </c>
      <c r="AF15" s="104">
        <f t="shared" si="31"/>
        <v>1.4000000000000001</v>
      </c>
      <c r="AG15" s="104">
        <f t="shared" si="31"/>
        <v>1.6</v>
      </c>
      <c r="AH15" s="104">
        <f t="shared" si="31"/>
        <v>1.8</v>
      </c>
      <c r="AI15" s="104">
        <f t="shared" si="31"/>
        <v>2</v>
      </c>
      <c r="AJ15" s="104">
        <f t="shared" si="31"/>
        <v>2.2000000000000002</v>
      </c>
      <c r="AK15" s="104">
        <f t="shared" si="31"/>
        <v>2.4000000000000004</v>
      </c>
      <c r="AL15" s="104">
        <f t="shared" si="31"/>
        <v>2.6</v>
      </c>
      <c r="AM15" s="104">
        <f t="shared" si="31"/>
        <v>2.8000000000000003</v>
      </c>
    </row>
    <row r="16" spans="1:39" x14ac:dyDescent="0.25">
      <c r="D16" s="72"/>
      <c r="E16" s="75"/>
      <c r="F16" s="71">
        <f>$B$2*(F17-1)</f>
        <v>0</v>
      </c>
      <c r="G16" s="71">
        <f t="shared" ref="G16:T16" si="32">$B$2*(G17-1)</f>
        <v>0.2</v>
      </c>
      <c r="H16" s="71">
        <f t="shared" si="32"/>
        <v>0.4</v>
      </c>
      <c r="I16" s="71">
        <f t="shared" si="32"/>
        <v>0.60000000000000009</v>
      </c>
      <c r="J16" s="71">
        <f t="shared" si="32"/>
        <v>0.8</v>
      </c>
      <c r="K16" s="71">
        <f t="shared" si="32"/>
        <v>1</v>
      </c>
      <c r="L16" s="71">
        <f t="shared" si="32"/>
        <v>1.2000000000000002</v>
      </c>
      <c r="M16" s="71">
        <f t="shared" si="32"/>
        <v>1.4000000000000001</v>
      </c>
      <c r="N16" s="71">
        <f t="shared" si="32"/>
        <v>1.6</v>
      </c>
      <c r="O16" s="71">
        <f t="shared" si="32"/>
        <v>1.8</v>
      </c>
      <c r="P16" s="71">
        <f t="shared" si="32"/>
        <v>2</v>
      </c>
      <c r="Q16" s="71">
        <f t="shared" si="32"/>
        <v>2.2000000000000002</v>
      </c>
      <c r="R16" s="71">
        <f t="shared" si="32"/>
        <v>2.4000000000000004</v>
      </c>
      <c r="S16" s="71">
        <f t="shared" si="32"/>
        <v>2.6</v>
      </c>
      <c r="T16" s="71">
        <f t="shared" si="32"/>
        <v>2.8000000000000003</v>
      </c>
      <c r="U16" s="75"/>
      <c r="V16" s="73"/>
      <c r="X16" s="105" t="s">
        <v>73</v>
      </c>
      <c r="Y16" s="13">
        <v>1</v>
      </c>
      <c r="Z16" s="13">
        <v>1</v>
      </c>
      <c r="AA16" s="13">
        <v>1</v>
      </c>
      <c r="AB16" s="13">
        <v>1</v>
      </c>
      <c r="AC16" s="13">
        <v>1</v>
      </c>
      <c r="AD16" s="13">
        <v>0.8</v>
      </c>
      <c r="AE16" s="13">
        <v>0.6</v>
      </c>
      <c r="AF16" s="13">
        <v>0.4</v>
      </c>
      <c r="AG16" s="13">
        <v>0.2</v>
      </c>
      <c r="AH16" s="13">
        <v>0</v>
      </c>
      <c r="AI16" s="13">
        <v>0</v>
      </c>
      <c r="AJ16" s="13">
        <v>0</v>
      </c>
      <c r="AK16" s="13">
        <v>0</v>
      </c>
      <c r="AL16" s="13">
        <v>0</v>
      </c>
      <c r="AM16" s="13">
        <v>0</v>
      </c>
    </row>
    <row r="17" spans="4:39" x14ac:dyDescent="0.25">
      <c r="D17" s="74"/>
      <c r="E17" s="76"/>
      <c r="F17" s="13">
        <v>1</v>
      </c>
      <c r="G17" s="13">
        <v>2</v>
      </c>
      <c r="H17" s="13">
        <v>3</v>
      </c>
      <c r="I17" s="13">
        <v>4</v>
      </c>
      <c r="J17" s="13">
        <v>5</v>
      </c>
      <c r="K17" s="13">
        <v>6</v>
      </c>
      <c r="L17" s="13">
        <v>7</v>
      </c>
      <c r="M17" s="13">
        <v>8</v>
      </c>
      <c r="N17" s="13">
        <v>9</v>
      </c>
      <c r="O17" s="13">
        <v>10</v>
      </c>
      <c r="P17" s="13">
        <v>11</v>
      </c>
      <c r="Q17" s="13">
        <v>12</v>
      </c>
      <c r="R17" s="13">
        <v>13</v>
      </c>
      <c r="S17" s="13">
        <v>14</v>
      </c>
      <c r="T17" s="13">
        <v>15</v>
      </c>
      <c r="U17" s="74"/>
      <c r="V17" s="77"/>
      <c r="X17" s="106" t="s">
        <v>68</v>
      </c>
      <c r="Y17" s="98">
        <f>F5</f>
        <v>10</v>
      </c>
      <c r="Z17" s="98">
        <f t="shared" ref="Z17:AM17" si="33">G5</f>
        <v>10</v>
      </c>
      <c r="AA17" s="98">
        <f t="shared" si="33"/>
        <v>10</v>
      </c>
      <c r="AB17" s="98">
        <f t="shared" si="33"/>
        <v>10</v>
      </c>
      <c r="AC17" s="98">
        <f t="shared" si="33"/>
        <v>10</v>
      </c>
      <c r="AD17" s="98">
        <f t="shared" si="33"/>
        <v>10</v>
      </c>
      <c r="AE17" s="98">
        <f t="shared" si="33"/>
        <v>10</v>
      </c>
      <c r="AF17" s="98">
        <f t="shared" si="33"/>
        <v>10</v>
      </c>
      <c r="AG17" s="98">
        <f t="shared" si="33"/>
        <v>10</v>
      </c>
      <c r="AH17" s="98">
        <f t="shared" si="33"/>
        <v>10</v>
      </c>
      <c r="AI17" s="98">
        <f t="shared" si="33"/>
        <v>10</v>
      </c>
      <c r="AJ17" s="98">
        <f t="shared" si="33"/>
        <v>10</v>
      </c>
      <c r="AK17" s="98">
        <f t="shared" si="33"/>
        <v>10</v>
      </c>
      <c r="AL17" s="98">
        <f t="shared" si="33"/>
        <v>10</v>
      </c>
      <c r="AM17" s="98">
        <f t="shared" si="33"/>
        <v>10</v>
      </c>
    </row>
    <row r="18" spans="4:39" x14ac:dyDescent="0.25">
      <c r="X18" s="106" t="s">
        <v>69</v>
      </c>
      <c r="Y18" s="102">
        <f>F41</f>
        <v>10</v>
      </c>
      <c r="Z18" s="102">
        <f t="shared" ref="Z18:AM18" si="34">G41</f>
        <v>9.8582767621121192</v>
      </c>
      <c r="AA18" s="102">
        <f t="shared" si="34"/>
        <v>9.6756592109272876</v>
      </c>
      <c r="AB18" s="102">
        <f>I41</f>
        <v>9.4096349635132182</v>
      </c>
      <c r="AC18" s="102">
        <f t="shared" si="34"/>
        <v>9.0239141055563366</v>
      </c>
      <c r="AD18" s="102">
        <f t="shared" si="34"/>
        <v>8.5155652462809783</v>
      </c>
      <c r="AE18" s="102">
        <f t="shared" si="34"/>
        <v>7.9485465115232223</v>
      </c>
      <c r="AF18" s="102">
        <f t="shared" si="34"/>
        <v>7.3892545803176901</v>
      </c>
      <c r="AG18" s="102">
        <f t="shared" si="34"/>
        <v>6.8790493544780418</v>
      </c>
      <c r="AH18" s="102">
        <f t="shared" si="34"/>
        <v>6.4349680725875391</v>
      </c>
      <c r="AI18" s="102">
        <f t="shared" si="34"/>
        <v>6.0578559219307682</v>
      </c>
      <c r="AJ18" s="102">
        <f t="shared" si="34"/>
        <v>5.7394575259310798</v>
      </c>
      <c r="AK18" s="102">
        <f t="shared" si="34"/>
        <v>5.4669811080266761</v>
      </c>
      <c r="AL18" s="102">
        <f t="shared" si="34"/>
        <v>5.225656009776678</v>
      </c>
      <c r="AM18" s="102">
        <f t="shared" si="34"/>
        <v>5</v>
      </c>
    </row>
    <row r="19" spans="4:39" x14ac:dyDescent="0.25">
      <c r="X19" s="106" t="s">
        <v>70</v>
      </c>
      <c r="Y19" s="102">
        <f>F58</f>
        <v>0</v>
      </c>
      <c r="Z19" s="102">
        <f t="shared" ref="Z19:AM19" si="35">G58</f>
        <v>0</v>
      </c>
      <c r="AA19" s="102">
        <f t="shared" si="35"/>
        <v>0</v>
      </c>
      <c r="AB19" s="102">
        <f t="shared" si="35"/>
        <v>0</v>
      </c>
      <c r="AC19" s="102">
        <f t="shared" si="35"/>
        <v>0</v>
      </c>
      <c r="AD19" s="102">
        <f t="shared" si="35"/>
        <v>0</v>
      </c>
      <c r="AE19" s="102">
        <f t="shared" si="35"/>
        <v>0</v>
      </c>
      <c r="AF19" s="102">
        <f t="shared" si="35"/>
        <v>0</v>
      </c>
      <c r="AG19" s="102">
        <f t="shared" si="35"/>
        <v>0</v>
      </c>
      <c r="AH19" s="102">
        <f t="shared" si="35"/>
        <v>0</v>
      </c>
      <c r="AI19" s="102">
        <f t="shared" si="35"/>
        <v>0</v>
      </c>
      <c r="AJ19" s="102">
        <f t="shared" si="35"/>
        <v>0</v>
      </c>
      <c r="AK19" s="102">
        <f t="shared" si="35"/>
        <v>0</v>
      </c>
      <c r="AL19" s="102">
        <f t="shared" si="35"/>
        <v>0</v>
      </c>
      <c r="AM19" s="102">
        <f t="shared" si="35"/>
        <v>0</v>
      </c>
    </row>
    <row r="20" spans="4:39" x14ac:dyDescent="0.25">
      <c r="X20" s="106" t="s">
        <v>71</v>
      </c>
      <c r="Y20" s="102">
        <f>F75</f>
        <v>10</v>
      </c>
      <c r="Z20" s="102">
        <f t="shared" ref="Z20:AM20" si="36">G75</f>
        <v>9.8582767621121192</v>
      </c>
      <c r="AA20" s="102">
        <f t="shared" si="36"/>
        <v>9.6756592109272876</v>
      </c>
      <c r="AB20" s="102">
        <f t="shared" si="36"/>
        <v>9.4096349635132182</v>
      </c>
      <c r="AC20" s="102">
        <f t="shared" si="36"/>
        <v>9.0239141055563366</v>
      </c>
      <c r="AD20" s="102">
        <f t="shared" si="36"/>
        <v>8.5155652462809783</v>
      </c>
      <c r="AE20" s="102">
        <f t="shared" si="36"/>
        <v>7.9485465115232223</v>
      </c>
      <c r="AF20" s="102">
        <f t="shared" si="36"/>
        <v>7.3892545803176901</v>
      </c>
      <c r="AG20" s="102">
        <f t="shared" si="36"/>
        <v>6.8790493544780418</v>
      </c>
      <c r="AH20" s="102">
        <f t="shared" si="36"/>
        <v>6.4349680725875391</v>
      </c>
      <c r="AI20" s="102">
        <f t="shared" si="36"/>
        <v>6.0578559219307682</v>
      </c>
      <c r="AJ20" s="102">
        <f t="shared" si="36"/>
        <v>5.7394575259310798</v>
      </c>
      <c r="AK20" s="102">
        <f t="shared" si="36"/>
        <v>5.4669811080266761</v>
      </c>
      <c r="AL20" s="102">
        <f t="shared" si="36"/>
        <v>5.225656009776678</v>
      </c>
      <c r="AM20" s="102">
        <f t="shared" si="36"/>
        <v>5</v>
      </c>
    </row>
    <row r="21" spans="4:39" x14ac:dyDescent="0.25">
      <c r="D21" s="78" t="s">
        <v>68</v>
      </c>
      <c r="E21" s="79"/>
      <c r="F21" s="13">
        <v>1</v>
      </c>
      <c r="G21" s="13">
        <v>2</v>
      </c>
      <c r="H21" s="13">
        <v>3</v>
      </c>
      <c r="I21" s="13">
        <v>4</v>
      </c>
      <c r="J21" s="13">
        <v>5</v>
      </c>
      <c r="K21" s="13">
        <v>6</v>
      </c>
      <c r="L21" s="13">
        <v>7</v>
      </c>
      <c r="M21" s="13">
        <v>8</v>
      </c>
      <c r="N21" s="13">
        <v>9</v>
      </c>
      <c r="O21" s="13">
        <v>10</v>
      </c>
      <c r="P21" s="13">
        <v>11</v>
      </c>
      <c r="Q21" s="13">
        <v>12</v>
      </c>
      <c r="R21" s="13">
        <v>13</v>
      </c>
      <c r="S21" s="13">
        <v>14</v>
      </c>
      <c r="T21" s="13">
        <v>15</v>
      </c>
      <c r="U21" s="72"/>
      <c r="V21" s="73"/>
      <c r="X21" s="106" t="s">
        <v>74</v>
      </c>
      <c r="Y21" s="13">
        <f>B5</f>
        <v>101325</v>
      </c>
      <c r="Z21" s="13">
        <f>(Y21+(Y20^2)/2)-(Z20^2)/2</f>
        <v>101326.4071896408</v>
      </c>
      <c r="AA21" s="13">
        <f t="shared" ref="AA21" si="37">(Z21+(Z20^2)/2)-(AA20^2)/2</f>
        <v>101328.19080941699</v>
      </c>
      <c r="AB21" s="13">
        <f t="shared" ref="AB21" si="38">(AA21+(AA20^2)/2)-(AB20^2)/2</f>
        <v>101330.72938492672</v>
      </c>
      <c r="AC21" s="13">
        <f t="shared" ref="AC21" si="39">(AB21+(AB20^2)/2)-(AC20^2)/2</f>
        <v>101334.28448710777</v>
      </c>
      <c r="AD21" s="13">
        <f t="shared" ref="AD21" si="40">(AC21+(AC20^2)/2)-(AD20^2)/2</f>
        <v>101338.74257426817</v>
      </c>
      <c r="AE21" s="13">
        <f t="shared" ref="AE21" si="41">(AD21+(AD20^2)/2)-(AE20^2)/2</f>
        <v>101343.41030417707</v>
      </c>
      <c r="AF21" s="13">
        <f t="shared" ref="AF21" si="42">(AE21+(AE20^2)/2)-(AF20^2)/2</f>
        <v>101347.69945837362</v>
      </c>
      <c r="AG21" s="13">
        <f t="shared" ref="AG21" si="43">(AF21+(AF20^2)/2)-(AG20^2)/2</f>
        <v>101351.33933998932</v>
      </c>
      <c r="AH21" s="13">
        <f>(AG21+(AG20^2)/2)-(AH20^2)/2</f>
        <v>101354.29559295239</v>
      </c>
      <c r="AI21" s="13">
        <f t="shared" ref="AI21" si="44">(AH21+(AH20^2)/2)-(AI20^2)/2</f>
        <v>101356.65119081456</v>
      </c>
      <c r="AJ21" s="13">
        <f t="shared" ref="AJ21" si="45">(AI21+(AI20^2)/2)-(AJ20^2)/2</f>
        <v>101358.52931365401</v>
      </c>
      <c r="AK21" s="13">
        <f t="shared" ref="AK21" si="46">(AJ21+(AJ20^2)/2)-(AK20^2)/2</f>
        <v>101360.05605878224</v>
      </c>
      <c r="AL21" s="13">
        <f t="shared" ref="AL21" si="47">(AK21+(AK20^2)/2)-(AL20^2)/2</f>
        <v>101361.34625963375</v>
      </c>
      <c r="AM21" s="13">
        <f t="shared" ref="AM21" si="48">(AL21+(AL20^2)/2)-(AM20^2)/2</f>
        <v>101362.5</v>
      </c>
    </row>
    <row r="22" spans="4:39" x14ac:dyDescent="0.25">
      <c r="D22" s="80"/>
      <c r="E22" s="81"/>
      <c r="F22" s="71">
        <f>$B$2*(F21-1)</f>
        <v>0</v>
      </c>
      <c r="G22" s="71">
        <f t="shared" ref="G22" si="49">$B$2*(G21-1)</f>
        <v>0.2</v>
      </c>
      <c r="H22" s="71">
        <f t="shared" ref="H22" si="50">$B$2*(H21-1)</f>
        <v>0.4</v>
      </c>
      <c r="I22" s="71">
        <f t="shared" ref="I22" si="51">$B$2*(I21-1)</f>
        <v>0.60000000000000009</v>
      </c>
      <c r="J22" s="71">
        <f t="shared" ref="J22" si="52">$B$2*(J21-1)</f>
        <v>0.8</v>
      </c>
      <c r="K22" s="71">
        <f t="shared" ref="K22" si="53">$B$2*(K21-1)</f>
        <v>1</v>
      </c>
      <c r="L22" s="71">
        <f t="shared" ref="L22" si="54">$B$2*(L21-1)</f>
        <v>1.2000000000000002</v>
      </c>
      <c r="M22" s="71">
        <f t="shared" ref="M22" si="55">$B$2*(M21-1)</f>
        <v>1.4000000000000001</v>
      </c>
      <c r="N22" s="71">
        <f t="shared" ref="N22" si="56">$B$2*(N21-1)</f>
        <v>1.6</v>
      </c>
      <c r="O22" s="71">
        <f t="shared" ref="O22" si="57">$B$2*(O21-1)</f>
        <v>1.8</v>
      </c>
      <c r="P22" s="71">
        <f t="shared" ref="P22" si="58">$B$2*(P21-1)</f>
        <v>2</v>
      </c>
      <c r="Q22" s="71">
        <f t="shared" ref="Q22" si="59">$B$2*(Q21-1)</f>
        <v>2.2000000000000002</v>
      </c>
      <c r="R22" s="71">
        <f t="shared" ref="R22" si="60">$B$2*(R21-1)</f>
        <v>2.4000000000000004</v>
      </c>
      <c r="S22" s="71">
        <f t="shared" ref="S22" si="61">$B$2*(S21-1)</f>
        <v>2.6</v>
      </c>
      <c r="T22" s="71">
        <f t="shared" ref="T22" si="62">$B$2*(T21-1)</f>
        <v>2.8000000000000003</v>
      </c>
      <c r="U22" s="75"/>
      <c r="V22" s="77"/>
      <c r="X22" s="106" t="s">
        <v>4</v>
      </c>
      <c r="Y22" s="102">
        <f>(Y21-$B$5)/(($B$4^2)/2)</f>
        <v>0</v>
      </c>
      <c r="Z22" s="102">
        <f>(Z21-$B$5)/(($B$4^2)/2)</f>
        <v>2.8143792815972121E-2</v>
      </c>
      <c r="AA22" s="102">
        <f t="shared" ref="AA22" si="63">(AA21-$B$5)/(($B$4^2)/2)</f>
        <v>6.3816188339842483E-2</v>
      </c>
      <c r="AB22" s="102">
        <f t="shared" ref="AB22" si="64">(AB21-$B$5)/(($B$4^2)/2)</f>
        <v>0.11458769853430567</v>
      </c>
      <c r="AC22" s="102">
        <f t="shared" ref="AC22" si="65">(AC21-$B$5)/(($B$4^2)/2)</f>
        <v>0.18568974215537309</v>
      </c>
      <c r="AD22" s="102">
        <f t="shared" ref="AD22" si="66">(AD21-$B$5)/(($B$4^2)/2)</f>
        <v>0.27485148536332416</v>
      </c>
      <c r="AE22" s="102">
        <f t="shared" ref="AE22" si="67">(AE21-$B$5)/(($B$4^2)/2)</f>
        <v>0.36820608354144496</v>
      </c>
      <c r="AF22" s="102">
        <f t="shared" ref="AF22" si="68">(AF21-$B$5)/(($B$4^2)/2)</f>
        <v>0.45398916747246404</v>
      </c>
      <c r="AG22" s="102">
        <f t="shared" ref="AG22" si="69">(AG21-$B$5)/(($B$4^2)/2)</f>
        <v>0.52678679978649601</v>
      </c>
      <c r="AH22" s="102">
        <f t="shared" ref="AH22" si="70">(AH21-$B$5)/(($B$4^2)/2)</f>
        <v>0.58591185904777376</v>
      </c>
      <c r="AI22" s="102">
        <f t="shared" ref="AI22" si="71">(AI21-$B$5)/(($B$4^2)/2)</f>
        <v>0.63302381629124282</v>
      </c>
      <c r="AJ22" s="102">
        <f t="shared" ref="AJ22" si="72">(AJ21-$B$5)/(($B$4^2)/2)</f>
        <v>0.67058627308026186</v>
      </c>
      <c r="AK22" s="102">
        <f t="shared" ref="AK22" si="73">(AK21-$B$5)/(($B$4^2)/2)</f>
        <v>0.70112117564480281</v>
      </c>
      <c r="AL22" s="102">
        <f t="shared" ref="AL22" si="74">(AL21-$B$5)/(($B$4^2)/2)</f>
        <v>0.72692519267497113</v>
      </c>
      <c r="AM22" s="102">
        <f t="shared" ref="AM22" si="75">(AM21-$B$5)/(($B$4^2)/2)</f>
        <v>0.75</v>
      </c>
    </row>
    <row r="23" spans="4:39" x14ac:dyDescent="0.25">
      <c r="D23" s="27">
        <v>11</v>
      </c>
      <c r="E23" s="70">
        <f t="shared" ref="E23:E31" si="76">$B$2*(D23-1)</f>
        <v>2</v>
      </c>
      <c r="F23" s="97">
        <v>10</v>
      </c>
      <c r="G23" s="97">
        <v>10</v>
      </c>
      <c r="H23" s="97">
        <v>10</v>
      </c>
      <c r="I23" s="97">
        <v>10</v>
      </c>
      <c r="J23" s="97">
        <v>10</v>
      </c>
      <c r="K23" s="97">
        <v>10</v>
      </c>
      <c r="L23" s="97">
        <v>10</v>
      </c>
      <c r="M23" s="97">
        <v>10</v>
      </c>
      <c r="N23" s="97">
        <v>10</v>
      </c>
      <c r="O23" s="97">
        <v>10</v>
      </c>
      <c r="P23" s="97">
        <v>10</v>
      </c>
      <c r="Q23" s="97">
        <v>10</v>
      </c>
      <c r="R23" s="97">
        <v>10</v>
      </c>
      <c r="S23" s="97">
        <v>10</v>
      </c>
      <c r="T23" s="97">
        <v>10</v>
      </c>
      <c r="U23" s="70">
        <f t="shared" ref="U23:U31" si="77">$B$2*(V23-1)</f>
        <v>2</v>
      </c>
      <c r="V23" s="13">
        <v>11</v>
      </c>
    </row>
    <row r="24" spans="4:39" x14ac:dyDescent="0.25">
      <c r="D24" s="27">
        <v>10</v>
      </c>
      <c r="E24" s="70">
        <f t="shared" si="76"/>
        <v>1.8</v>
      </c>
      <c r="F24" s="97">
        <v>8</v>
      </c>
      <c r="G24" s="98">
        <v>8.0283446472197699</v>
      </c>
      <c r="H24" s="98">
        <v>8.0648681570801628</v>
      </c>
      <c r="I24" s="98">
        <v>8.1180730060425361</v>
      </c>
      <c r="J24" s="98">
        <v>8.1952171770899298</v>
      </c>
      <c r="K24" s="98">
        <v>8.2968869481575709</v>
      </c>
      <c r="L24" s="98">
        <v>8.410290694475588</v>
      </c>
      <c r="M24" s="98">
        <v>8.5221490799266881</v>
      </c>
      <c r="N24" s="98">
        <v>8.6241901247955397</v>
      </c>
      <c r="O24" s="98">
        <v>8.7130063808703486</v>
      </c>
      <c r="P24" s="98">
        <v>8.788428811402051</v>
      </c>
      <c r="Q24" s="98">
        <v>8.852108491090231</v>
      </c>
      <c r="R24" s="98">
        <v>8.9066037757777732</v>
      </c>
      <c r="S24" s="98">
        <v>8.9548687966136509</v>
      </c>
      <c r="T24" s="97">
        <v>9</v>
      </c>
      <c r="U24" s="70">
        <f t="shared" si="77"/>
        <v>1.8</v>
      </c>
      <c r="V24" s="13">
        <v>10</v>
      </c>
    </row>
    <row r="25" spans="4:39" x14ac:dyDescent="0.25">
      <c r="D25" s="27">
        <v>9</v>
      </c>
      <c r="E25" s="70">
        <f t="shared" si="76"/>
        <v>1.6</v>
      </c>
      <c r="F25" s="97">
        <v>6</v>
      </c>
      <c r="G25" s="98">
        <v>6.0485104332301409</v>
      </c>
      <c r="H25" s="98">
        <v>6.1130549779958621</v>
      </c>
      <c r="I25" s="98">
        <v>6.2122066950193329</v>
      </c>
      <c r="J25" s="98">
        <v>6.3659087613548193</v>
      </c>
      <c r="K25" s="98">
        <v>6.5820399314096978</v>
      </c>
      <c r="L25" s="98">
        <v>6.8221267626971596</v>
      </c>
      <c r="M25" s="98">
        <v>7.0541155164747193</v>
      </c>
      <c r="N25" s="98">
        <v>7.2616050556205334</v>
      </c>
      <c r="O25" s="98">
        <v>7.4394066057323798</v>
      </c>
      <c r="P25" s="98">
        <v>7.5886003904948094</v>
      </c>
      <c r="Q25" s="98">
        <v>7.7134013920753137</v>
      </c>
      <c r="R25" s="98">
        <v>7.8194378258747772</v>
      </c>
      <c r="S25" s="98">
        <v>7.9128714164008844</v>
      </c>
      <c r="T25" s="97">
        <v>8</v>
      </c>
      <c r="U25" s="70">
        <f t="shared" si="77"/>
        <v>1.6</v>
      </c>
      <c r="V25" s="13">
        <v>9</v>
      </c>
    </row>
    <row r="26" spans="4:39" x14ac:dyDescent="0.25">
      <c r="D26" s="27">
        <v>8</v>
      </c>
      <c r="E26" s="70">
        <f t="shared" si="76"/>
        <v>1.4000000000000001</v>
      </c>
      <c r="F26" s="97">
        <v>4</v>
      </c>
      <c r="G26" s="98">
        <v>4.0526421099828136</v>
      </c>
      <c r="H26" s="98">
        <v>4.1266346317215579</v>
      </c>
      <c r="I26" s="98">
        <v>4.2517900428417148</v>
      </c>
      <c r="J26" s="98">
        <v>4.4741712547490931</v>
      </c>
      <c r="K26" s="98">
        <v>4.8432372710520273</v>
      </c>
      <c r="L26" s="98">
        <v>5.2420609325444625</v>
      </c>
      <c r="M26" s="98">
        <v>5.6105811959867378</v>
      </c>
      <c r="N26" s="98">
        <v>5.9287080085732171</v>
      </c>
      <c r="O26" s="98">
        <v>6.1944146290881283</v>
      </c>
      <c r="P26" s="98">
        <v>6.4131647854858347</v>
      </c>
      <c r="Q26" s="98">
        <v>6.593458887801436</v>
      </c>
      <c r="R26" s="98">
        <v>6.7448747396710287</v>
      </c>
      <c r="S26" s="98">
        <v>6.8771790535060759</v>
      </c>
      <c r="T26" s="97">
        <v>7</v>
      </c>
      <c r="U26" s="70">
        <f t="shared" si="77"/>
        <v>1.4000000000000001</v>
      </c>
      <c r="V26" s="13">
        <v>8</v>
      </c>
    </row>
    <row r="27" spans="4:39" x14ac:dyDescent="0.25">
      <c r="D27" s="27">
        <v>7</v>
      </c>
      <c r="E27" s="70">
        <f t="shared" si="76"/>
        <v>1.2000000000000002</v>
      </c>
      <c r="F27" s="97">
        <v>2</v>
      </c>
      <c r="G27" s="98">
        <v>2.0354233774123331</v>
      </c>
      <c r="H27" s="98">
        <v>2.089051401159784</v>
      </c>
      <c r="I27" s="98">
        <v>2.1941475989276706</v>
      </c>
      <c r="J27" s="98">
        <v>2.4357489575933466</v>
      </c>
      <c r="K27" s="98">
        <v>3.074676987295669</v>
      </c>
      <c r="L27" s="98">
        <v>3.6922985294862714</v>
      </c>
      <c r="M27" s="98">
        <v>4.2174403641988381</v>
      </c>
      <c r="N27" s="98">
        <v>4.6482311954795676</v>
      </c>
      <c r="O27" s="98">
        <v>4.996379162263846</v>
      </c>
      <c r="P27" s="98">
        <v>5.276185276826344</v>
      </c>
      <c r="Q27" s="98">
        <v>5.5023946716493919</v>
      </c>
      <c r="R27" s="98">
        <v>5.689423218115536</v>
      </c>
      <c r="S27" s="98">
        <v>5.8509700725462563</v>
      </c>
      <c r="T27" s="97">
        <v>6</v>
      </c>
      <c r="U27" s="70">
        <f t="shared" si="77"/>
        <v>1.2000000000000002</v>
      </c>
      <c r="V27" s="13">
        <v>7</v>
      </c>
    </row>
    <row r="28" spans="4:39" x14ac:dyDescent="0.25">
      <c r="D28" s="27">
        <v>6</v>
      </c>
      <c r="E28" s="70">
        <f t="shared" si="76"/>
        <v>1</v>
      </c>
      <c r="F28" s="97">
        <v>0</v>
      </c>
      <c r="G28" s="97">
        <v>0</v>
      </c>
      <c r="H28" s="97">
        <v>0</v>
      </c>
      <c r="I28" s="97">
        <v>0</v>
      </c>
      <c r="J28" s="97">
        <v>0</v>
      </c>
      <c r="K28" s="97">
        <v>1.3274232099444183</v>
      </c>
      <c r="L28" s="97">
        <v>2.2350158640403603</v>
      </c>
      <c r="M28" s="97">
        <v>2.9186505744892575</v>
      </c>
      <c r="N28" s="97">
        <v>3.4503972944645813</v>
      </c>
      <c r="O28" s="97">
        <v>3.8666855969091509</v>
      </c>
      <c r="P28" s="97">
        <v>4.1928025375450764</v>
      </c>
      <c r="Q28" s="97">
        <v>4.4505113453044656</v>
      </c>
      <c r="R28" s="97">
        <v>4.6594534202543425</v>
      </c>
      <c r="S28" s="97">
        <v>4.8372780347390067</v>
      </c>
      <c r="T28" s="97">
        <v>5</v>
      </c>
      <c r="U28" s="70">
        <f t="shared" si="77"/>
        <v>1</v>
      </c>
      <c r="V28" s="13">
        <v>6</v>
      </c>
    </row>
    <row r="29" spans="4:39" x14ac:dyDescent="0.25">
      <c r="D29" s="27">
        <v>5</v>
      </c>
      <c r="E29" s="70">
        <f t="shared" si="76"/>
        <v>0.8</v>
      </c>
      <c r="F29" s="99"/>
      <c r="G29" s="99"/>
      <c r="H29" s="99"/>
      <c r="I29" s="99"/>
      <c r="J29" s="99"/>
      <c r="K29" s="97">
        <v>0</v>
      </c>
      <c r="L29" s="98">
        <v>1.0016911654669314</v>
      </c>
      <c r="M29" s="98">
        <v>1.7717488112283912</v>
      </c>
      <c r="N29" s="98">
        <v>2.368021854594299</v>
      </c>
      <c r="O29" s="97">
        <v>2.8271634435438546</v>
      </c>
      <c r="P29" s="97">
        <v>3.1778279790594235</v>
      </c>
      <c r="Q29" s="97">
        <v>3.447394795325109</v>
      </c>
      <c r="R29" s="97">
        <v>3.6606011139842729</v>
      </c>
      <c r="S29" s="97">
        <v>3.8386886633284627</v>
      </c>
      <c r="T29" s="97">
        <v>4</v>
      </c>
      <c r="U29" s="70">
        <f t="shared" si="77"/>
        <v>0.8</v>
      </c>
      <c r="V29" s="13">
        <v>5</v>
      </c>
    </row>
    <row r="30" spans="4:39" x14ac:dyDescent="0.25">
      <c r="D30" s="27">
        <v>4</v>
      </c>
      <c r="E30" s="70">
        <f t="shared" si="76"/>
        <v>0.60000000000000009</v>
      </c>
      <c r="F30" s="99"/>
      <c r="G30" s="99"/>
      <c r="H30" s="99"/>
      <c r="I30" s="99"/>
      <c r="J30" s="99"/>
      <c r="K30" s="99"/>
      <c r="L30" s="97">
        <v>0</v>
      </c>
      <c r="M30" s="98">
        <v>0.79863167597118334</v>
      </c>
      <c r="N30" s="98">
        <v>1.4227779064159696</v>
      </c>
      <c r="O30" s="97">
        <v>1.8961183856911745</v>
      </c>
      <c r="P30" s="97">
        <v>2.2439511843425217</v>
      </c>
      <c r="Q30" s="97">
        <v>2.5006387811760287</v>
      </c>
      <c r="R30" s="97">
        <v>2.6968676066883539</v>
      </c>
      <c r="S30" s="97">
        <v>2.8568755198678737</v>
      </c>
      <c r="T30" s="97">
        <v>3</v>
      </c>
      <c r="U30" s="70">
        <f t="shared" si="77"/>
        <v>0.60000000000000009</v>
      </c>
      <c r="V30" s="13">
        <v>4</v>
      </c>
    </row>
    <row r="31" spans="4:39" x14ac:dyDescent="0.25">
      <c r="D31" s="27">
        <v>3</v>
      </c>
      <c r="E31" s="70">
        <f t="shared" si="76"/>
        <v>0.4</v>
      </c>
      <c r="F31" s="99"/>
      <c r="G31" s="99"/>
      <c r="H31" s="99"/>
      <c r="I31" s="99"/>
      <c r="J31" s="99"/>
      <c r="K31" s="99"/>
      <c r="L31" s="99"/>
      <c r="M31" s="97">
        <v>0</v>
      </c>
      <c r="N31" s="98">
        <v>0.62833973393941411</v>
      </c>
      <c r="O31" s="97">
        <v>1.0905810414807267</v>
      </c>
      <c r="P31" s="97">
        <v>1.4012196254494591</v>
      </c>
      <c r="Q31" s="97">
        <v>1.6143415704923618</v>
      </c>
      <c r="R31" s="97">
        <v>1.7693550351767817</v>
      </c>
      <c r="S31" s="97">
        <v>1.8919458225259589</v>
      </c>
      <c r="T31" s="97">
        <v>2</v>
      </c>
      <c r="U31" s="70">
        <f t="shared" si="77"/>
        <v>0.4</v>
      </c>
      <c r="V31" s="13">
        <v>3</v>
      </c>
    </row>
    <row r="32" spans="4:39" x14ac:dyDescent="0.25">
      <c r="D32" s="27">
        <v>2</v>
      </c>
      <c r="E32" s="70">
        <f>$B$2*(D32-1)</f>
        <v>0.2</v>
      </c>
      <c r="F32" s="99"/>
      <c r="G32" s="99"/>
      <c r="H32" s="99"/>
      <c r="I32" s="99"/>
      <c r="J32" s="99"/>
      <c r="K32" s="99"/>
      <c r="L32" s="99"/>
      <c r="M32" s="99"/>
      <c r="N32" s="97">
        <v>0</v>
      </c>
      <c r="O32" s="97">
        <v>0.4366464405455231</v>
      </c>
      <c r="P32" s="97">
        <v>0.65600472914092833</v>
      </c>
      <c r="Q32" s="97">
        <v>0.78615286161997</v>
      </c>
      <c r="R32" s="97">
        <v>0.8742651580810924</v>
      </c>
      <c r="S32" s="97">
        <v>0.94155274396229305</v>
      </c>
      <c r="T32" s="97">
        <v>1</v>
      </c>
      <c r="U32" s="70">
        <f>$B$2*(V32-1)</f>
        <v>0.2</v>
      </c>
      <c r="V32" s="13">
        <v>2</v>
      </c>
    </row>
    <row r="33" spans="4:22" x14ac:dyDescent="0.25">
      <c r="D33" s="27">
        <v>1</v>
      </c>
      <c r="E33" s="70">
        <v>0</v>
      </c>
      <c r="F33" s="99"/>
      <c r="G33" s="99"/>
      <c r="H33" s="99"/>
      <c r="I33" s="99"/>
      <c r="J33" s="99"/>
      <c r="K33" s="99"/>
      <c r="L33" s="99"/>
      <c r="M33" s="99"/>
      <c r="N33" s="99"/>
      <c r="O33" s="97">
        <v>0</v>
      </c>
      <c r="P33" s="97">
        <v>0</v>
      </c>
      <c r="Q33" s="97">
        <v>0</v>
      </c>
      <c r="R33" s="97">
        <v>0</v>
      </c>
      <c r="S33" s="97">
        <v>0</v>
      </c>
      <c r="T33" s="97">
        <v>0</v>
      </c>
      <c r="U33" s="70">
        <v>0</v>
      </c>
      <c r="V33" s="13">
        <v>1</v>
      </c>
    </row>
    <row r="34" spans="4:22" x14ac:dyDescent="0.25">
      <c r="D34" s="72"/>
      <c r="E34" s="75"/>
      <c r="F34" s="71">
        <f>$B$2*(F35-1)</f>
        <v>0</v>
      </c>
      <c r="G34" s="71">
        <f t="shared" ref="G34" si="78">$B$2*(G35-1)</f>
        <v>0.2</v>
      </c>
      <c r="H34" s="71">
        <f t="shared" ref="H34" si="79">$B$2*(H35-1)</f>
        <v>0.4</v>
      </c>
      <c r="I34" s="71">
        <f t="shared" ref="I34" si="80">$B$2*(I35-1)</f>
        <v>0.60000000000000009</v>
      </c>
      <c r="J34" s="71">
        <f t="shared" ref="J34" si="81">$B$2*(J35-1)</f>
        <v>0.8</v>
      </c>
      <c r="K34" s="71">
        <f t="shared" ref="K34" si="82">$B$2*(K35-1)</f>
        <v>1</v>
      </c>
      <c r="L34" s="71">
        <f t="shared" ref="L34" si="83">$B$2*(L35-1)</f>
        <v>1.2000000000000002</v>
      </c>
      <c r="M34" s="71">
        <f t="shared" ref="M34" si="84">$B$2*(M35-1)</f>
        <v>1.4000000000000001</v>
      </c>
      <c r="N34" s="71">
        <f t="shared" ref="N34" si="85">$B$2*(N35-1)</f>
        <v>1.6</v>
      </c>
      <c r="O34" s="71">
        <f t="shared" ref="O34" si="86">$B$2*(O35-1)</f>
        <v>1.8</v>
      </c>
      <c r="P34" s="71">
        <f t="shared" ref="P34" si="87">$B$2*(P35-1)</f>
        <v>2</v>
      </c>
      <c r="Q34" s="71">
        <f t="shared" ref="Q34" si="88">$B$2*(Q35-1)</f>
        <v>2.2000000000000002</v>
      </c>
      <c r="R34" s="71">
        <f t="shared" ref="R34" si="89">$B$2*(R35-1)</f>
        <v>2.4000000000000004</v>
      </c>
      <c r="S34" s="71">
        <f t="shared" ref="S34" si="90">$B$2*(S35-1)</f>
        <v>2.6</v>
      </c>
      <c r="T34" s="71">
        <f t="shared" ref="T34" si="91">$B$2*(T35-1)</f>
        <v>2.8000000000000003</v>
      </c>
      <c r="U34" s="75"/>
      <c r="V34" s="73"/>
    </row>
    <row r="35" spans="4:22" x14ac:dyDescent="0.25">
      <c r="D35" s="74"/>
      <c r="E35" s="76"/>
      <c r="F35" s="13">
        <v>1</v>
      </c>
      <c r="G35" s="13">
        <v>2</v>
      </c>
      <c r="H35" s="13">
        <v>3</v>
      </c>
      <c r="I35" s="13">
        <v>4</v>
      </c>
      <c r="J35" s="13">
        <v>5</v>
      </c>
      <c r="K35" s="13">
        <v>6</v>
      </c>
      <c r="L35" s="13">
        <v>7</v>
      </c>
      <c r="M35" s="13">
        <v>8</v>
      </c>
      <c r="N35" s="13">
        <v>9</v>
      </c>
      <c r="O35" s="13">
        <v>10</v>
      </c>
      <c r="P35" s="13">
        <v>11</v>
      </c>
      <c r="Q35" s="13">
        <v>12</v>
      </c>
      <c r="R35" s="13">
        <v>13</v>
      </c>
      <c r="S35" s="13">
        <v>14</v>
      </c>
      <c r="T35" s="13">
        <v>15</v>
      </c>
      <c r="U35" s="74"/>
      <c r="V35" s="77"/>
    </row>
    <row r="39" spans="4:22" x14ac:dyDescent="0.25">
      <c r="D39" s="78" t="s">
        <v>69</v>
      </c>
      <c r="E39" s="79"/>
      <c r="F39" s="13">
        <v>1</v>
      </c>
      <c r="G39" s="13">
        <v>2</v>
      </c>
      <c r="H39" s="13">
        <v>3</v>
      </c>
      <c r="I39" s="13">
        <v>4</v>
      </c>
      <c r="J39" s="13">
        <v>5</v>
      </c>
      <c r="K39" s="13">
        <v>6</v>
      </c>
      <c r="L39" s="13">
        <v>7</v>
      </c>
      <c r="M39" s="13">
        <v>8</v>
      </c>
      <c r="N39" s="13">
        <v>9</v>
      </c>
      <c r="O39" s="13">
        <v>10</v>
      </c>
      <c r="P39" s="13">
        <v>11</v>
      </c>
      <c r="Q39" s="13">
        <v>12</v>
      </c>
      <c r="R39" s="13">
        <v>13</v>
      </c>
      <c r="S39" s="13">
        <v>14</v>
      </c>
      <c r="T39" s="13">
        <v>15</v>
      </c>
      <c r="U39" s="72"/>
      <c r="V39" s="73"/>
    </row>
    <row r="40" spans="4:22" x14ac:dyDescent="0.25">
      <c r="D40" s="80"/>
      <c r="E40" s="81"/>
      <c r="F40" s="71">
        <f>$B$2*(F39-1)</f>
        <v>0</v>
      </c>
      <c r="G40" s="71">
        <f t="shared" ref="G40" si="92">$B$2*(G39-1)</f>
        <v>0.2</v>
      </c>
      <c r="H40" s="71">
        <f t="shared" ref="H40" si="93">$B$2*(H39-1)</f>
        <v>0.4</v>
      </c>
      <c r="I40" s="71">
        <f t="shared" ref="I40" si="94">$B$2*(I39-1)</f>
        <v>0.60000000000000009</v>
      </c>
      <c r="J40" s="71">
        <f t="shared" ref="J40" si="95">$B$2*(J39-1)</f>
        <v>0.8</v>
      </c>
      <c r="K40" s="71">
        <f t="shared" ref="K40" si="96">$B$2*(K39-1)</f>
        <v>1</v>
      </c>
      <c r="L40" s="71">
        <f t="shared" ref="L40" si="97">$B$2*(L39-1)</f>
        <v>1.2000000000000002</v>
      </c>
      <c r="M40" s="71">
        <f t="shared" ref="M40" si="98">$B$2*(M39-1)</f>
        <v>1.4000000000000001</v>
      </c>
      <c r="N40" s="71">
        <f t="shared" ref="N40" si="99">$B$2*(N39-1)</f>
        <v>1.6</v>
      </c>
      <c r="O40" s="71">
        <f t="shared" ref="O40" si="100">$B$2*(O39-1)</f>
        <v>1.8</v>
      </c>
      <c r="P40" s="71">
        <f t="shared" ref="P40" si="101">$B$2*(P39-1)</f>
        <v>2</v>
      </c>
      <c r="Q40" s="71">
        <f t="shared" ref="Q40" si="102">$B$2*(Q39-1)</f>
        <v>2.2000000000000002</v>
      </c>
      <c r="R40" s="71">
        <f t="shared" ref="R40" si="103">$B$2*(R39-1)</f>
        <v>2.4000000000000004</v>
      </c>
      <c r="S40" s="71">
        <f t="shared" ref="S40" si="104">$B$2*(S39-1)</f>
        <v>2.6</v>
      </c>
      <c r="T40" s="71">
        <f t="shared" ref="T40" si="105">$B$2*(T39-1)</f>
        <v>2.8000000000000003</v>
      </c>
      <c r="U40" s="75"/>
      <c r="V40" s="77"/>
    </row>
    <row r="41" spans="4:22" x14ac:dyDescent="0.25">
      <c r="D41" s="27">
        <v>11</v>
      </c>
      <c r="E41" s="70">
        <f t="shared" ref="E41:E49" si="106">$B$2*(D41-1)</f>
        <v>2</v>
      </c>
      <c r="F41" s="100">
        <f>(F23-F24)/$B$2</f>
        <v>10</v>
      </c>
      <c r="G41" s="100">
        <f>(G5-G6)/$B$2</f>
        <v>9.8582767621121192</v>
      </c>
      <c r="H41" s="100">
        <f t="shared" ref="H41:T41" si="107">(H5-H6)/$B$2</f>
        <v>9.6756592109272876</v>
      </c>
      <c r="I41" s="100">
        <f t="shared" si="107"/>
        <v>9.4096349635132182</v>
      </c>
      <c r="J41" s="100">
        <f t="shared" si="107"/>
        <v>9.0239141055563366</v>
      </c>
      <c r="K41" s="100">
        <f t="shared" si="107"/>
        <v>8.5155652462809783</v>
      </c>
      <c r="L41" s="100">
        <f t="shared" si="107"/>
        <v>7.9485465115232223</v>
      </c>
      <c r="M41" s="100">
        <f t="shared" si="107"/>
        <v>7.3892545803176901</v>
      </c>
      <c r="N41" s="100">
        <f t="shared" si="107"/>
        <v>6.8790493544780418</v>
      </c>
      <c r="O41" s="100">
        <f t="shared" si="107"/>
        <v>6.4349680725875391</v>
      </c>
      <c r="P41" s="100">
        <f t="shared" si="107"/>
        <v>6.0578559219307682</v>
      </c>
      <c r="Q41" s="100">
        <f t="shared" si="107"/>
        <v>5.7394575259310798</v>
      </c>
      <c r="R41" s="100">
        <f t="shared" si="107"/>
        <v>5.4669811080266761</v>
      </c>
      <c r="S41" s="100">
        <f t="shared" si="107"/>
        <v>5.225656009776678</v>
      </c>
      <c r="T41" s="100">
        <f t="shared" si="107"/>
        <v>5</v>
      </c>
      <c r="U41" s="70">
        <f t="shared" ref="U41:U49" si="108">$B$2*(V41-1)</f>
        <v>2</v>
      </c>
      <c r="V41" s="13">
        <v>11</v>
      </c>
    </row>
    <row r="42" spans="4:22" x14ac:dyDescent="0.25">
      <c r="D42" s="27">
        <v>10</v>
      </c>
      <c r="E42" s="70">
        <f t="shared" si="106"/>
        <v>1.8</v>
      </c>
      <c r="F42" s="100">
        <f t="shared" ref="F42:S50" si="109">(F6-F7)/$B$2</f>
        <v>10</v>
      </c>
      <c r="G42" s="100">
        <f>(G5-G7)/(2*$B$2)</f>
        <v>9.8787239155009701</v>
      </c>
      <c r="H42" s="100">
        <f t="shared" ref="H42:S42" si="110">(H5-H7)/(2*$B$2)</f>
        <v>9.7173625518430029</v>
      </c>
      <c r="I42" s="100">
        <f t="shared" si="110"/>
        <v>9.4694832573531649</v>
      </c>
      <c r="J42" s="100">
        <f t="shared" si="110"/>
        <v>9.0852280885824666</v>
      </c>
      <c r="K42" s="100">
        <f t="shared" si="110"/>
        <v>8.5449001604615145</v>
      </c>
      <c r="L42" s="100">
        <f t="shared" si="110"/>
        <v>7.9446830781847089</v>
      </c>
      <c r="M42" s="100">
        <f t="shared" si="110"/>
        <v>7.3647111911055507</v>
      </c>
      <c r="N42" s="100">
        <f t="shared" si="110"/>
        <v>6.845987340265089</v>
      </c>
      <c r="O42" s="100">
        <f t="shared" si="110"/>
        <v>6.401483464953861</v>
      </c>
      <c r="P42" s="100">
        <f t="shared" si="110"/>
        <v>6.0284990033152619</v>
      </c>
      <c r="Q42" s="100">
        <f t="shared" si="110"/>
        <v>5.7164965029617143</v>
      </c>
      <c r="R42" s="100">
        <f t="shared" si="110"/>
        <v>5.4514054225468778</v>
      </c>
      <c r="S42" s="100">
        <f t="shared" si="110"/>
        <v>5.2178214525034328</v>
      </c>
      <c r="T42" s="100">
        <f t="shared" ref="T42" si="111">(T6-T7)/$B$2</f>
        <v>5</v>
      </c>
      <c r="U42" s="70">
        <f t="shared" si="108"/>
        <v>1.8</v>
      </c>
      <c r="V42" s="13">
        <v>10</v>
      </c>
    </row>
    <row r="43" spans="4:22" x14ac:dyDescent="0.25">
      <c r="D43" s="27">
        <v>9</v>
      </c>
      <c r="E43" s="70">
        <f t="shared" si="106"/>
        <v>1.6</v>
      </c>
      <c r="F43" s="100">
        <f t="shared" si="109"/>
        <v>10</v>
      </c>
      <c r="G43" s="100">
        <f t="shared" ref="G43:S43" si="112">(G6-G8)/(2*$B$2)</f>
        <v>9.93925634246642</v>
      </c>
      <c r="H43" s="100">
        <f t="shared" si="112"/>
        <v>9.8455838120487478</v>
      </c>
      <c r="I43" s="100">
        <f t="shared" si="112"/>
        <v>9.6657074054823546</v>
      </c>
      <c r="J43" s="100">
        <f t="shared" si="112"/>
        <v>9.302614801695638</v>
      </c>
      <c r="K43" s="100">
        <f t="shared" si="112"/>
        <v>8.6341241856101849</v>
      </c>
      <c r="L43" s="100">
        <f t="shared" si="112"/>
        <v>7.9205743947245155</v>
      </c>
      <c r="M43" s="100">
        <f t="shared" si="112"/>
        <v>7.2789196962216325</v>
      </c>
      <c r="N43" s="100">
        <f t="shared" si="112"/>
        <v>6.7387052751516219</v>
      </c>
      <c r="O43" s="100">
        <f t="shared" si="112"/>
        <v>6.2964793624216808</v>
      </c>
      <c r="P43" s="100">
        <f t="shared" si="112"/>
        <v>5.9381600489029163</v>
      </c>
      <c r="Q43" s="100">
        <f t="shared" si="112"/>
        <v>5.6466239939834795</v>
      </c>
      <c r="R43" s="100">
        <f t="shared" si="112"/>
        <v>5.4043225801755197</v>
      </c>
      <c r="S43" s="100">
        <f t="shared" si="112"/>
        <v>5.1942243522253024</v>
      </c>
      <c r="T43" s="100">
        <f t="shared" ref="T43" si="113">(T7-T8)/$B$2</f>
        <v>5</v>
      </c>
      <c r="U43" s="70">
        <f t="shared" si="108"/>
        <v>1.6</v>
      </c>
      <c r="V43" s="13">
        <v>9</v>
      </c>
    </row>
    <row r="44" spans="4:22" x14ac:dyDescent="0.25">
      <c r="D44" s="27">
        <v>8</v>
      </c>
      <c r="E44" s="70">
        <f t="shared" si="106"/>
        <v>1.4000000000000001</v>
      </c>
      <c r="F44" s="100">
        <f t="shared" si="109"/>
        <v>10</v>
      </c>
      <c r="G44" s="100">
        <f t="shared" ref="G44:S44" si="114">(G7-G9)/(2*$B$2)</f>
        <v>10.032717640034905</v>
      </c>
      <c r="H44" s="100">
        <f t="shared" si="114"/>
        <v>10.06000894311852</v>
      </c>
      <c r="I44" s="100">
        <f t="shared" si="114"/>
        <v>10.045147741650055</v>
      </c>
      <c r="J44" s="100">
        <f t="shared" si="114"/>
        <v>9.8253995108097616</v>
      </c>
      <c r="K44" s="100">
        <f t="shared" si="114"/>
        <v>8.7684073594909453</v>
      </c>
      <c r="L44" s="100">
        <f t="shared" si="114"/>
        <v>7.8245705792657088</v>
      </c>
      <c r="M44" s="100">
        <f t="shared" si="114"/>
        <v>7.091687874243302</v>
      </c>
      <c r="N44" s="100">
        <f t="shared" si="114"/>
        <v>6.5334346412971085</v>
      </c>
      <c r="O44" s="100">
        <f t="shared" si="114"/>
        <v>6.1075685986066448</v>
      </c>
      <c r="P44" s="100">
        <f t="shared" si="114"/>
        <v>5.7810377735946457</v>
      </c>
      <c r="Q44" s="100">
        <f t="shared" si="114"/>
        <v>5.5275167920084218</v>
      </c>
      <c r="R44" s="100">
        <f t="shared" si="114"/>
        <v>5.3250365123774852</v>
      </c>
      <c r="S44" s="100">
        <f t="shared" si="114"/>
        <v>5.15475335602118</v>
      </c>
      <c r="T44" s="100">
        <f t="shared" ref="T44" si="115">(T8-T9)/$B$2</f>
        <v>5</v>
      </c>
      <c r="U44" s="70">
        <f t="shared" si="108"/>
        <v>1.4000000000000001</v>
      </c>
      <c r="V44" s="13">
        <v>8</v>
      </c>
    </row>
    <row r="45" spans="4:22" x14ac:dyDescent="0.25">
      <c r="D45" s="27">
        <v>7</v>
      </c>
      <c r="E45" s="70">
        <f t="shared" si="106"/>
        <v>1.2000000000000002</v>
      </c>
      <c r="F45" s="100">
        <f t="shared" si="109"/>
        <v>10</v>
      </c>
      <c r="G45" s="100">
        <f t="shared" ref="G45:S50" si="116">(G8-G10)/(2*$B$2)</f>
        <v>10.131605276477519</v>
      </c>
      <c r="H45" s="100">
        <f t="shared" si="116"/>
        <v>10.316586582487608</v>
      </c>
      <c r="I45" s="100">
        <f t="shared" si="116"/>
        <v>10.629475112761035</v>
      </c>
      <c r="J45" s="100">
        <f t="shared" si="116"/>
        <v>11.185428145526192</v>
      </c>
      <c r="K45" s="100">
        <f t="shared" si="116"/>
        <v>8.7895351591643056</v>
      </c>
      <c r="L45" s="100">
        <f t="shared" si="116"/>
        <v>7.517612674897074</v>
      </c>
      <c r="M45" s="100">
        <f t="shared" si="116"/>
        <v>6.7298265549119147</v>
      </c>
      <c r="N45" s="100">
        <f t="shared" si="116"/>
        <v>6.1957767841891851</v>
      </c>
      <c r="O45" s="100">
        <f t="shared" si="116"/>
        <v>5.819322577648701</v>
      </c>
      <c r="P45" s="100">
        <f t="shared" si="116"/>
        <v>5.5509056163195858</v>
      </c>
      <c r="Q45" s="100">
        <f t="shared" si="116"/>
        <v>5.3573688525672809</v>
      </c>
      <c r="R45" s="100">
        <f t="shared" si="116"/>
        <v>5.2135532957215913</v>
      </c>
      <c r="S45" s="100">
        <f t="shared" si="116"/>
        <v>5.0997525453056953</v>
      </c>
      <c r="T45" s="100">
        <f t="shared" ref="T45" si="117">(T9-T10)/$B$2</f>
        <v>5</v>
      </c>
      <c r="U45" s="70">
        <f t="shared" si="108"/>
        <v>1.2000000000000002</v>
      </c>
      <c r="V45" s="13">
        <v>7</v>
      </c>
    </row>
    <row r="46" spans="4:22" x14ac:dyDescent="0.25">
      <c r="D46" s="27">
        <v>6</v>
      </c>
      <c r="E46" s="70">
        <f t="shared" si="106"/>
        <v>1</v>
      </c>
      <c r="F46" s="100">
        <f>$B$4</f>
        <v>10</v>
      </c>
      <c r="G46" s="100">
        <f>(G9-G10)/$B$2</f>
        <v>10.177116888928248</v>
      </c>
      <c r="H46" s="100">
        <f t="shared" ref="H46:T51" si="118">(H9-H10)/$B$2</f>
        <v>10.445257010076951</v>
      </c>
      <c r="I46" s="100">
        <f t="shared" si="118"/>
        <v>10.970738001993556</v>
      </c>
      <c r="J46" s="100">
        <f t="shared" si="118"/>
        <v>12.178744801215542</v>
      </c>
      <c r="K46" s="100">
        <f t="shared" si="116"/>
        <v>7.6866924800475394</v>
      </c>
      <c r="L46" s="100">
        <f t="shared" si="116"/>
        <v>6.7265184205066113</v>
      </c>
      <c r="M46" s="100">
        <f t="shared" si="116"/>
        <v>6.1142288905751023</v>
      </c>
      <c r="N46" s="100">
        <f t="shared" si="116"/>
        <v>5.7005233586548032</v>
      </c>
      <c r="O46" s="100">
        <f t="shared" si="116"/>
        <v>5.4230393012807143</v>
      </c>
      <c r="P46" s="100">
        <f t="shared" si="116"/>
        <v>5.2458932476172402</v>
      </c>
      <c r="Q46" s="100">
        <f t="shared" si="116"/>
        <v>5.1374996928272454</v>
      </c>
      <c r="R46" s="100">
        <f t="shared" si="116"/>
        <v>5.0720552615779679</v>
      </c>
      <c r="S46" s="100">
        <f t="shared" si="116"/>
        <v>5.0307035236059159</v>
      </c>
      <c r="T46" s="100">
        <f t="shared" ref="T46" si="119">(T10-T11)/$B$2</f>
        <v>5</v>
      </c>
      <c r="U46" s="70">
        <f t="shared" si="108"/>
        <v>1</v>
      </c>
      <c r="V46" s="13">
        <v>6</v>
      </c>
    </row>
    <row r="47" spans="4:22" x14ac:dyDescent="0.25">
      <c r="D47" s="27">
        <v>5</v>
      </c>
      <c r="E47" s="70">
        <f t="shared" si="106"/>
        <v>0.8</v>
      </c>
      <c r="F47" s="101"/>
      <c r="G47" s="101"/>
      <c r="H47" s="101"/>
      <c r="I47" s="101"/>
      <c r="J47" s="101"/>
      <c r="K47" s="100">
        <f t="shared" si="118"/>
        <v>6.6371160641700362</v>
      </c>
      <c r="L47" s="100">
        <f t="shared" si="116"/>
        <v>5.5875396746167993</v>
      </c>
      <c r="M47" s="100">
        <f t="shared" si="116"/>
        <v>5.3000472601798805</v>
      </c>
      <c r="N47" s="100">
        <f t="shared" si="116"/>
        <v>5.0690484820476271</v>
      </c>
      <c r="O47" s="100">
        <f t="shared" si="116"/>
        <v>4.9264180387714278</v>
      </c>
      <c r="P47" s="100">
        <f t="shared" si="116"/>
        <v>4.8721283917020592</v>
      </c>
      <c r="Q47" s="100">
        <f t="shared" si="116"/>
        <v>4.8746814174534823</v>
      </c>
      <c r="R47" s="100">
        <f t="shared" si="116"/>
        <v>4.9064645387114521</v>
      </c>
      <c r="S47" s="100">
        <f t="shared" si="116"/>
        <v>4.9510062897414269</v>
      </c>
      <c r="T47" s="100">
        <f t="shared" ref="T47" si="120">(T11-T12)/$B$2</f>
        <v>5</v>
      </c>
      <c r="U47" s="70">
        <f t="shared" si="108"/>
        <v>0.8</v>
      </c>
      <c r="V47" s="13">
        <v>5</v>
      </c>
    </row>
    <row r="48" spans="4:22" x14ac:dyDescent="0.25">
      <c r="D48" s="27">
        <v>4</v>
      </c>
      <c r="E48" s="70">
        <f t="shared" si="106"/>
        <v>0.60000000000000009</v>
      </c>
      <c r="F48" s="101"/>
      <c r="G48" s="101"/>
      <c r="H48" s="101"/>
      <c r="I48" s="101"/>
      <c r="J48" s="101"/>
      <c r="K48" s="101"/>
      <c r="L48" s="100">
        <f t="shared" si="118"/>
        <v>5.0084558440859395</v>
      </c>
      <c r="M48" s="100">
        <f t="shared" si="116"/>
        <v>4.429372044076044</v>
      </c>
      <c r="N48" s="100">
        <f t="shared" si="116"/>
        <v>4.3492053173475629</v>
      </c>
      <c r="O48" s="100">
        <f t="shared" si="116"/>
        <v>4.3414560191427976</v>
      </c>
      <c r="P48" s="100">
        <f t="shared" si="116"/>
        <v>4.4415208970625146</v>
      </c>
      <c r="Q48" s="100">
        <f t="shared" si="116"/>
        <v>4.5826330725637181</v>
      </c>
      <c r="R48" s="100">
        <f t="shared" si="116"/>
        <v>4.7281152048803143</v>
      </c>
      <c r="S48" s="100">
        <f t="shared" si="116"/>
        <v>4.8668571059901282</v>
      </c>
      <c r="T48" s="100">
        <f t="shared" ref="T48" si="121">(T12-T13)/$B$2</f>
        <v>5</v>
      </c>
      <c r="U48" s="70">
        <f t="shared" si="108"/>
        <v>0.60000000000000009</v>
      </c>
      <c r="V48" s="13">
        <v>4</v>
      </c>
    </row>
    <row r="49" spans="4:22" x14ac:dyDescent="0.25">
      <c r="D49" s="27">
        <v>3</v>
      </c>
      <c r="E49" s="70">
        <f t="shared" si="106"/>
        <v>0.4</v>
      </c>
      <c r="F49" s="101"/>
      <c r="G49" s="101"/>
      <c r="H49" s="101"/>
      <c r="I49" s="101"/>
      <c r="J49" s="101"/>
      <c r="K49" s="101"/>
      <c r="L49" s="101"/>
      <c r="M49" s="100">
        <f t="shared" si="118"/>
        <v>3.9931583970554505</v>
      </c>
      <c r="N49" s="100">
        <f t="shared" si="116"/>
        <v>3.5569447813725441</v>
      </c>
      <c r="O49" s="100">
        <f t="shared" si="116"/>
        <v>3.6486798782258858</v>
      </c>
      <c r="P49" s="100">
        <f t="shared" si="116"/>
        <v>3.9698661523507086</v>
      </c>
      <c r="Q49" s="100">
        <f t="shared" si="116"/>
        <v>4.2862148119587271</v>
      </c>
      <c r="R49" s="100">
        <f t="shared" si="116"/>
        <v>4.5565061309036947</v>
      </c>
      <c r="S49" s="100">
        <f t="shared" si="116"/>
        <v>4.7883069449598272</v>
      </c>
      <c r="T49" s="100">
        <f t="shared" ref="T49" si="122">(T13-T14)/$B$2</f>
        <v>5</v>
      </c>
      <c r="U49" s="70">
        <f t="shared" si="108"/>
        <v>0.4</v>
      </c>
      <c r="V49" s="13">
        <v>3</v>
      </c>
    </row>
    <row r="50" spans="4:22" x14ac:dyDescent="0.25">
      <c r="D50" s="27">
        <v>2</v>
      </c>
      <c r="E50" s="70">
        <f>$B$2*(D50-1)</f>
        <v>0.2</v>
      </c>
      <c r="F50" s="101"/>
      <c r="G50" s="101"/>
      <c r="H50" s="101"/>
      <c r="I50" s="101"/>
      <c r="J50" s="101"/>
      <c r="K50" s="101"/>
      <c r="L50" s="101"/>
      <c r="M50" s="101"/>
      <c r="N50" s="100">
        <f t="shared" si="118"/>
        <v>3.1416986848708706</v>
      </c>
      <c r="O50" s="100">
        <f t="shared" si="116"/>
        <v>2.7264526160159819</v>
      </c>
      <c r="P50" s="100">
        <f t="shared" si="116"/>
        <v>3.5030490784103363</v>
      </c>
      <c r="Q50" s="100">
        <f t="shared" si="116"/>
        <v>4.0358539396388986</v>
      </c>
      <c r="R50" s="100">
        <f t="shared" si="116"/>
        <v>4.4233875986173539</v>
      </c>
      <c r="S50" s="100">
        <f t="shared" si="116"/>
        <v>4.7298645618793422</v>
      </c>
      <c r="T50" s="100">
        <f t="shared" ref="T50" si="123">(T14-T15)/$B$2</f>
        <v>5</v>
      </c>
      <c r="U50" s="70">
        <f>$B$2*(V50-1)</f>
        <v>0.2</v>
      </c>
      <c r="V50" s="13">
        <v>2</v>
      </c>
    </row>
    <row r="51" spans="4:22" x14ac:dyDescent="0.25">
      <c r="D51" s="27">
        <v>1</v>
      </c>
      <c r="E51" s="70">
        <v>0</v>
      </c>
      <c r="F51" s="101"/>
      <c r="G51" s="101"/>
      <c r="H51" s="101"/>
      <c r="I51" s="101"/>
      <c r="J51" s="101"/>
      <c r="K51" s="101"/>
      <c r="L51" s="101"/>
      <c r="M51" s="101"/>
      <c r="N51" s="101"/>
      <c r="O51" s="100">
        <f t="shared" si="118"/>
        <v>2.1832322132770687</v>
      </c>
      <c r="P51" s="100">
        <f t="shared" si="118"/>
        <v>3.2800236595186902</v>
      </c>
      <c r="Q51" s="100">
        <f t="shared" si="118"/>
        <v>3.930764322142978</v>
      </c>
      <c r="R51" s="100">
        <f t="shared" si="118"/>
        <v>4.3713258009488056</v>
      </c>
      <c r="S51" s="100">
        <f t="shared" si="118"/>
        <v>4.7077637257588139</v>
      </c>
      <c r="T51" s="100">
        <f t="shared" si="118"/>
        <v>5</v>
      </c>
      <c r="U51" s="70">
        <v>0</v>
      </c>
      <c r="V51" s="13">
        <v>1</v>
      </c>
    </row>
    <row r="52" spans="4:22" x14ac:dyDescent="0.25">
      <c r="D52" s="72"/>
      <c r="E52" s="75"/>
      <c r="F52" s="71">
        <f>$B$2*(F53-1)</f>
        <v>0</v>
      </c>
      <c r="G52" s="71">
        <f t="shared" ref="G52" si="124">$B$2*(G53-1)</f>
        <v>0.2</v>
      </c>
      <c r="H52" s="71">
        <f t="shared" ref="H52" si="125">$B$2*(H53-1)</f>
        <v>0.4</v>
      </c>
      <c r="I52" s="71">
        <f t="shared" ref="I52" si="126">$B$2*(I53-1)</f>
        <v>0.60000000000000009</v>
      </c>
      <c r="J52" s="71">
        <f t="shared" ref="J52" si="127">$B$2*(J53-1)</f>
        <v>0.8</v>
      </c>
      <c r="K52" s="71">
        <f t="shared" ref="K52" si="128">$B$2*(K53-1)</f>
        <v>1</v>
      </c>
      <c r="L52" s="71">
        <f t="shared" ref="L52" si="129">$B$2*(L53-1)</f>
        <v>1.2000000000000002</v>
      </c>
      <c r="M52" s="71">
        <f t="shared" ref="M52" si="130">$B$2*(M53-1)</f>
        <v>1.4000000000000001</v>
      </c>
      <c r="N52" s="71">
        <f t="shared" ref="N52" si="131">$B$2*(N53-1)</f>
        <v>1.6</v>
      </c>
      <c r="O52" s="71">
        <f t="shared" ref="O52" si="132">$B$2*(O53-1)</f>
        <v>1.8</v>
      </c>
      <c r="P52" s="71">
        <f t="shared" ref="P52" si="133">$B$2*(P53-1)</f>
        <v>2</v>
      </c>
      <c r="Q52" s="71">
        <f t="shared" ref="Q52" si="134">$B$2*(Q53-1)</f>
        <v>2.2000000000000002</v>
      </c>
      <c r="R52" s="71">
        <f t="shared" ref="R52" si="135">$B$2*(R53-1)</f>
        <v>2.4000000000000004</v>
      </c>
      <c r="S52" s="71">
        <f t="shared" ref="S52" si="136">$B$2*(S53-1)</f>
        <v>2.6</v>
      </c>
      <c r="T52" s="71">
        <f t="shared" ref="T52" si="137">$B$2*(T53-1)</f>
        <v>2.8000000000000003</v>
      </c>
      <c r="U52" s="75"/>
      <c r="V52" s="73"/>
    </row>
    <row r="53" spans="4:22" x14ac:dyDescent="0.25">
      <c r="D53" s="74"/>
      <c r="E53" s="76"/>
      <c r="F53" s="13">
        <v>1</v>
      </c>
      <c r="G53" s="13">
        <v>2</v>
      </c>
      <c r="H53" s="13">
        <v>3</v>
      </c>
      <c r="I53" s="13">
        <v>4</v>
      </c>
      <c r="J53" s="13">
        <v>5</v>
      </c>
      <c r="K53" s="13">
        <v>6</v>
      </c>
      <c r="L53" s="13">
        <v>7</v>
      </c>
      <c r="M53" s="13">
        <v>8</v>
      </c>
      <c r="N53" s="13">
        <v>9</v>
      </c>
      <c r="O53" s="13">
        <v>10</v>
      </c>
      <c r="P53" s="13">
        <v>11</v>
      </c>
      <c r="Q53" s="13">
        <v>12</v>
      </c>
      <c r="R53" s="13">
        <v>13</v>
      </c>
      <c r="S53" s="13">
        <v>14</v>
      </c>
      <c r="T53" s="13">
        <v>15</v>
      </c>
      <c r="U53" s="74"/>
      <c r="V53" s="77"/>
    </row>
    <row r="56" spans="4:22" x14ac:dyDescent="0.25">
      <c r="D56" s="78" t="s">
        <v>70</v>
      </c>
      <c r="E56" s="79"/>
      <c r="F56" s="13">
        <v>1</v>
      </c>
      <c r="G56" s="13">
        <v>2</v>
      </c>
      <c r="H56" s="13">
        <v>3</v>
      </c>
      <c r="I56" s="13">
        <v>4</v>
      </c>
      <c r="J56" s="13">
        <v>5</v>
      </c>
      <c r="K56" s="13">
        <v>6</v>
      </c>
      <c r="L56" s="13">
        <v>7</v>
      </c>
      <c r="M56" s="13">
        <v>8</v>
      </c>
      <c r="N56" s="13">
        <v>9</v>
      </c>
      <c r="O56" s="13">
        <v>10</v>
      </c>
      <c r="P56" s="13">
        <v>11</v>
      </c>
      <c r="Q56" s="13">
        <v>12</v>
      </c>
      <c r="R56" s="13">
        <v>13</v>
      </c>
      <c r="S56" s="13">
        <v>14</v>
      </c>
      <c r="T56" s="13">
        <v>15</v>
      </c>
      <c r="U56" s="72"/>
      <c r="V56" s="73"/>
    </row>
    <row r="57" spans="4:22" x14ac:dyDescent="0.25">
      <c r="D57" s="80"/>
      <c r="E57" s="81"/>
      <c r="F57" s="71">
        <f>$B$2*(F56-1)</f>
        <v>0</v>
      </c>
      <c r="G57" s="71">
        <f t="shared" ref="G57" si="138">$B$2*(G56-1)</f>
        <v>0.2</v>
      </c>
      <c r="H57" s="71">
        <f t="shared" ref="H57" si="139">$B$2*(H56-1)</f>
        <v>0.4</v>
      </c>
      <c r="I57" s="71">
        <f t="shared" ref="I57" si="140">$B$2*(I56-1)</f>
        <v>0.60000000000000009</v>
      </c>
      <c r="J57" s="71">
        <f t="shared" ref="J57" si="141">$B$2*(J56-1)</f>
        <v>0.8</v>
      </c>
      <c r="K57" s="71">
        <f t="shared" ref="K57" si="142">$B$2*(K56-1)</f>
        <v>1</v>
      </c>
      <c r="L57" s="71">
        <f t="shared" ref="L57" si="143">$B$2*(L56-1)</f>
        <v>1.2000000000000002</v>
      </c>
      <c r="M57" s="71">
        <f t="shared" ref="M57" si="144">$B$2*(M56-1)</f>
        <v>1.4000000000000001</v>
      </c>
      <c r="N57" s="71">
        <f t="shared" ref="N57" si="145">$B$2*(N56-1)</f>
        <v>1.6</v>
      </c>
      <c r="O57" s="71">
        <f t="shared" ref="O57" si="146">$B$2*(O56-1)</f>
        <v>1.8</v>
      </c>
      <c r="P57" s="71">
        <f t="shared" ref="P57" si="147">$B$2*(P56-1)</f>
        <v>2</v>
      </c>
      <c r="Q57" s="71">
        <f t="shared" ref="Q57" si="148">$B$2*(Q56-1)</f>
        <v>2.2000000000000002</v>
      </c>
      <c r="R57" s="71">
        <f t="shared" ref="R57" si="149">$B$2*(R56-1)</f>
        <v>2.4000000000000004</v>
      </c>
      <c r="S57" s="71">
        <f t="shared" ref="S57" si="150">$B$2*(S56-1)</f>
        <v>2.6</v>
      </c>
      <c r="T57" s="71">
        <f t="shared" ref="T57" si="151">$B$2*(T56-1)</f>
        <v>2.8000000000000003</v>
      </c>
      <c r="U57" s="75"/>
      <c r="V57" s="77"/>
    </row>
    <row r="58" spans="4:22" x14ac:dyDescent="0.25">
      <c r="D58" s="27">
        <v>11</v>
      </c>
      <c r="E58" s="70">
        <f t="shared" ref="E58:E66" si="152">$B$2*(D58-1)</f>
        <v>2</v>
      </c>
      <c r="F58" s="100">
        <f>-(G5-F5)/$B$2</f>
        <v>0</v>
      </c>
      <c r="G58" s="100">
        <f>-(H5-F5)/(2*$B$2)</f>
        <v>0</v>
      </c>
      <c r="H58" s="100">
        <f t="shared" ref="H58:S58" si="153">-(I5-G5)/(2*$B$2)</f>
        <v>0</v>
      </c>
      <c r="I58" s="100">
        <f t="shared" si="153"/>
        <v>0</v>
      </c>
      <c r="J58" s="100">
        <f t="shared" si="153"/>
        <v>0</v>
      </c>
      <c r="K58" s="100">
        <f t="shared" si="153"/>
        <v>0</v>
      </c>
      <c r="L58" s="100">
        <f t="shared" si="153"/>
        <v>0</v>
      </c>
      <c r="M58" s="100">
        <f t="shared" si="153"/>
        <v>0</v>
      </c>
      <c r="N58" s="100">
        <f t="shared" si="153"/>
        <v>0</v>
      </c>
      <c r="O58" s="100">
        <f t="shared" si="153"/>
        <v>0</v>
      </c>
      <c r="P58" s="100">
        <f t="shared" si="153"/>
        <v>0</v>
      </c>
      <c r="Q58" s="100">
        <f t="shared" si="153"/>
        <v>0</v>
      </c>
      <c r="R58" s="100">
        <f t="shared" si="153"/>
        <v>0</v>
      </c>
      <c r="S58" s="100">
        <f t="shared" si="153"/>
        <v>0</v>
      </c>
      <c r="T58" s="100">
        <f>-(T5-S5)/$B$2</f>
        <v>0</v>
      </c>
      <c r="U58" s="70">
        <f t="shared" ref="U58:U66" si="154">$B$2*(V58-1)</f>
        <v>2</v>
      </c>
      <c r="V58" s="13">
        <v>11</v>
      </c>
    </row>
    <row r="59" spans="4:22" x14ac:dyDescent="0.25">
      <c r="D59" s="27">
        <v>10</v>
      </c>
      <c r="E59" s="70">
        <f t="shared" si="152"/>
        <v>1.8</v>
      </c>
      <c r="F59" s="100">
        <f t="shared" ref="F59:F63" si="155">-(G6-F6)/$B$2</f>
        <v>-0.14172323788788077</v>
      </c>
      <c r="G59" s="100">
        <f t="shared" ref="G59:S59" si="156">-(H6-F6)/(2*$B$2)</f>
        <v>-0.16217039453635618</v>
      </c>
      <c r="H59" s="100">
        <f t="shared" si="156"/>
        <v>-0.22432089929945054</v>
      </c>
      <c r="I59" s="100">
        <f t="shared" si="156"/>
        <v>-0.32587255268547555</v>
      </c>
      <c r="J59" s="100">
        <f t="shared" si="156"/>
        <v>-0.44703485861611991</v>
      </c>
      <c r="K59" s="100">
        <f t="shared" si="156"/>
        <v>-0.53768379701655711</v>
      </c>
      <c r="L59" s="100">
        <f t="shared" si="156"/>
        <v>-0.56315533298164411</v>
      </c>
      <c r="M59" s="100">
        <f t="shared" si="156"/>
        <v>-0.53474857852259028</v>
      </c>
      <c r="N59" s="100">
        <f t="shared" si="156"/>
        <v>-0.4771432538650755</v>
      </c>
      <c r="O59" s="100">
        <f t="shared" si="156"/>
        <v>-0.41059671627363681</v>
      </c>
      <c r="P59" s="100">
        <f t="shared" si="156"/>
        <v>-0.34775527332822964</v>
      </c>
      <c r="Q59" s="100">
        <f t="shared" si="156"/>
        <v>-0.29543740695204601</v>
      </c>
      <c r="R59" s="100">
        <f t="shared" si="156"/>
        <v>-0.25690075807720092</v>
      </c>
      <c r="S59" s="100">
        <f t="shared" si="156"/>
        <v>-0.23349055401333807</v>
      </c>
      <c r="T59" s="100">
        <f t="shared" ref="T59:T68" si="157">-(T6-S6)/$B$2</f>
        <v>-0.22565600977667799</v>
      </c>
      <c r="U59" s="70">
        <f t="shared" si="154"/>
        <v>1.8</v>
      </c>
      <c r="V59" s="13">
        <v>10</v>
      </c>
    </row>
    <row r="60" spans="4:22" x14ac:dyDescent="0.25">
      <c r="D60" s="27">
        <v>9</v>
      </c>
      <c r="E60" s="70">
        <f t="shared" si="152"/>
        <v>1.6</v>
      </c>
      <c r="F60" s="100">
        <f t="shared" si="155"/>
        <v>-0.24255216899805809</v>
      </c>
      <c r="G60" s="100">
        <f t="shared" ref="G60:S60" si="158">-(H7-F7)/(2*$B$2)</f>
        <v>-0.2826374481569971</v>
      </c>
      <c r="H60" s="100">
        <f t="shared" si="158"/>
        <v>-0.40924065814780475</v>
      </c>
      <c r="I60" s="100">
        <f t="shared" si="158"/>
        <v>-0.63213446326053635</v>
      </c>
      <c r="J60" s="100">
        <f t="shared" si="158"/>
        <v>-0.9245830968916513</v>
      </c>
      <c r="K60" s="100">
        <f t="shared" si="158"/>
        <v>-1.1405450103977577</v>
      </c>
      <c r="L60" s="100">
        <f t="shared" si="158"/>
        <v>-1.1801889693559642</v>
      </c>
      <c r="M60" s="100">
        <f t="shared" si="158"/>
        <v>-1.0986957379196194</v>
      </c>
      <c r="N60" s="100">
        <f t="shared" si="158"/>
        <v>-0.96322772615168972</v>
      </c>
      <c r="O60" s="100">
        <f t="shared" si="158"/>
        <v>-0.81748833694982759</v>
      </c>
      <c r="P60" s="100">
        <f t="shared" si="158"/>
        <v>-0.6849869619921467</v>
      </c>
      <c r="Q60" s="100">
        <f t="shared" si="158"/>
        <v>-0.57709358076838413</v>
      </c>
      <c r="R60" s="100">
        <f t="shared" si="158"/>
        <v>-0.49867505045828153</v>
      </c>
      <c r="S60" s="100">
        <f t="shared" si="158"/>
        <v>-0.45140542254687777</v>
      </c>
      <c r="T60" s="100">
        <f t="shared" si="157"/>
        <v>-0.43564290500686553</v>
      </c>
      <c r="U60" s="70">
        <f t="shared" si="154"/>
        <v>1.6</v>
      </c>
      <c r="V60" s="13">
        <v>9</v>
      </c>
    </row>
    <row r="61" spans="4:22" x14ac:dyDescent="0.25">
      <c r="D61" s="27">
        <v>8</v>
      </c>
      <c r="E61" s="70">
        <f t="shared" si="152"/>
        <v>1.4000000000000001</v>
      </c>
      <c r="F61" s="100">
        <f t="shared" si="155"/>
        <v>-0.26321055295503992</v>
      </c>
      <c r="G61" s="100">
        <f t="shared" ref="G61:S61" si="159">-(H8-F8)/(2*$B$2)</f>
        <v>-0.31658658248760796</v>
      </c>
      <c r="H61" s="100">
        <f t="shared" si="159"/>
        <v>-0.49786983628351544</v>
      </c>
      <c r="I61" s="100">
        <f t="shared" si="159"/>
        <v>-0.86884156303858484</v>
      </c>
      <c r="J61" s="100">
        <f t="shared" si="159"/>
        <v>-1.4786180784882896</v>
      </c>
      <c r="K61" s="100">
        <f t="shared" si="159"/>
        <v>-1.9197242039876805</v>
      </c>
      <c r="L61" s="100">
        <f t="shared" si="159"/>
        <v>-1.918359822370197</v>
      </c>
      <c r="M61" s="100">
        <f t="shared" si="159"/>
        <v>-1.7166176980954839</v>
      </c>
      <c r="N61" s="100">
        <f t="shared" si="159"/>
        <v>-1.4595835876650276</v>
      </c>
      <c r="O61" s="100">
        <f t="shared" si="159"/>
        <v>-1.2111419425223424</v>
      </c>
      <c r="P61" s="100">
        <f t="shared" si="159"/>
        <v>-0.99761064176643099</v>
      </c>
      <c r="Q61" s="100">
        <f t="shared" si="159"/>
        <v>-0.82927487567944214</v>
      </c>
      <c r="R61" s="100">
        <f t="shared" si="159"/>
        <v>-0.70930039983537752</v>
      </c>
      <c r="S61" s="100">
        <f t="shared" si="159"/>
        <v>-0.63781313418885821</v>
      </c>
      <c r="T61" s="100">
        <f t="shared" si="157"/>
        <v>-0.61410471422728374</v>
      </c>
      <c r="U61" s="70">
        <f t="shared" si="154"/>
        <v>1.4000000000000001</v>
      </c>
      <c r="V61" s="13">
        <v>8</v>
      </c>
    </row>
    <row r="62" spans="4:22" x14ac:dyDescent="0.25">
      <c r="D62" s="27">
        <v>7</v>
      </c>
      <c r="E62" s="70">
        <f t="shared" si="152"/>
        <v>1.2000000000000002</v>
      </c>
      <c r="F62" s="100">
        <f t="shared" si="155"/>
        <v>-0.17711688892824817</v>
      </c>
      <c r="G62" s="100">
        <f t="shared" ref="G62:S62" si="160">-(H9-F9)/(2*$B$2)</f>
        <v>-0.22262850503847575</v>
      </c>
      <c r="H62" s="100">
        <f t="shared" si="160"/>
        <v>-0.39681055653265407</v>
      </c>
      <c r="I62" s="100">
        <f t="shared" si="160"/>
        <v>-0.86674389556929521</v>
      </c>
      <c r="J62" s="100">
        <f t="shared" si="160"/>
        <v>-2.2013234790507616</v>
      </c>
      <c r="K62" s="100">
        <f t="shared" si="160"/>
        <v>-3.1413739419418105</v>
      </c>
      <c r="L62" s="100">
        <f t="shared" si="160"/>
        <v>-2.856908454603607</v>
      </c>
      <c r="M62" s="100">
        <f t="shared" si="160"/>
        <v>-2.3898316758882197</v>
      </c>
      <c r="N62" s="100">
        <f t="shared" si="160"/>
        <v>-1.9473470017883465</v>
      </c>
      <c r="O62" s="100">
        <f t="shared" si="160"/>
        <v>-1.5698852046522904</v>
      </c>
      <c r="P62" s="100">
        <f t="shared" si="160"/>
        <v>-1.2650387685903697</v>
      </c>
      <c r="Q62" s="100">
        <f t="shared" si="160"/>
        <v>-1.0330948419855446</v>
      </c>
      <c r="R62" s="100">
        <f t="shared" si="160"/>
        <v>-0.8714384864455238</v>
      </c>
      <c r="S62" s="100">
        <f t="shared" si="160"/>
        <v>-0.77644193492436342</v>
      </c>
      <c r="T62" s="100">
        <f t="shared" si="157"/>
        <v>-0.74514961704922555</v>
      </c>
      <c r="U62" s="70">
        <f t="shared" si="154"/>
        <v>1.2000000000000002</v>
      </c>
      <c r="V62" s="13">
        <v>7</v>
      </c>
    </row>
    <row r="63" spans="4:22" x14ac:dyDescent="0.25">
      <c r="D63" s="27">
        <v>6</v>
      </c>
      <c r="E63" s="70">
        <f t="shared" si="152"/>
        <v>1</v>
      </c>
      <c r="F63" s="100">
        <f t="shared" si="155"/>
        <v>0</v>
      </c>
      <c r="G63" s="100">
        <f t="shared" ref="G63:S68" si="161">-(H10-F10)/(2*$B$2)</f>
        <v>0</v>
      </c>
      <c r="H63" s="100">
        <f t="shared" si="161"/>
        <v>0</v>
      </c>
      <c r="I63" s="100">
        <f t="shared" si="161"/>
        <v>0</v>
      </c>
      <c r="J63" s="100">
        <f t="shared" si="161"/>
        <v>-3.3185580320850181</v>
      </c>
      <c r="K63" s="100">
        <f t="shared" si="161"/>
        <v>-5.5875396746167993</v>
      </c>
      <c r="L63" s="100">
        <f t="shared" si="161"/>
        <v>-3.9780684266225883</v>
      </c>
      <c r="M63" s="100">
        <f t="shared" si="161"/>
        <v>-3.0384535888033724</v>
      </c>
      <c r="N63" s="100">
        <f t="shared" si="161"/>
        <v>-2.3700875649282414</v>
      </c>
      <c r="O63" s="100">
        <f t="shared" si="161"/>
        <v>-1.8560131103919419</v>
      </c>
      <c r="P63" s="100">
        <f t="shared" si="161"/>
        <v>-1.4595643668478508</v>
      </c>
      <c r="Q63" s="100">
        <f t="shared" si="161"/>
        <v>-1.1666271962774366</v>
      </c>
      <c r="R63" s="100">
        <f t="shared" si="161"/>
        <v>-0.96691670709696309</v>
      </c>
      <c r="S63" s="100">
        <f t="shared" si="161"/>
        <v>-0.85136642991044953</v>
      </c>
      <c r="T63" s="100">
        <f t="shared" si="157"/>
        <v>-0.81360980483867529</v>
      </c>
      <c r="U63" s="70">
        <f t="shared" si="154"/>
        <v>1</v>
      </c>
      <c r="V63" s="13">
        <v>6</v>
      </c>
    </row>
    <row r="64" spans="4:22" x14ac:dyDescent="0.25">
      <c r="D64" s="27">
        <v>5</v>
      </c>
      <c r="E64" s="70">
        <f t="shared" si="152"/>
        <v>0.8</v>
      </c>
      <c r="F64" s="101"/>
      <c r="G64" s="101"/>
      <c r="H64" s="101"/>
      <c r="I64" s="101"/>
      <c r="J64" s="101"/>
      <c r="K64" s="100">
        <f>-(L11-K11)/$B$2</f>
        <v>-5.0084558440859395</v>
      </c>
      <c r="L64" s="100">
        <f t="shared" si="161"/>
        <v>-4.429372044076044</v>
      </c>
      <c r="M64" s="100">
        <f t="shared" si="161"/>
        <v>-3.4158267377400287</v>
      </c>
      <c r="N64" s="100">
        <f t="shared" si="161"/>
        <v>-2.638536591082735</v>
      </c>
      <c r="O64" s="100">
        <f t="shared" si="161"/>
        <v>-2.024515315689853</v>
      </c>
      <c r="P64" s="100">
        <f t="shared" si="161"/>
        <v>-1.5505783770438386</v>
      </c>
      <c r="Q64" s="100">
        <f t="shared" si="161"/>
        <v>-1.2069328280248171</v>
      </c>
      <c r="R64" s="100">
        <f t="shared" si="161"/>
        <v>-0.97823465566685308</v>
      </c>
      <c r="S64" s="100">
        <f t="shared" si="161"/>
        <v>-0.84849719650233135</v>
      </c>
      <c r="T64" s="100">
        <f t="shared" si="157"/>
        <v>-0.80655666426105777</v>
      </c>
      <c r="U64" s="70">
        <f t="shared" si="154"/>
        <v>0.8</v>
      </c>
      <c r="V64" s="13">
        <v>5</v>
      </c>
    </row>
    <row r="65" spans="4:22" x14ac:dyDescent="0.25">
      <c r="D65" s="27">
        <v>4</v>
      </c>
      <c r="E65" s="70">
        <f t="shared" si="152"/>
        <v>0.60000000000000009</v>
      </c>
      <c r="F65" s="101"/>
      <c r="G65" s="101"/>
      <c r="H65" s="101"/>
      <c r="I65" s="101"/>
      <c r="J65" s="101"/>
      <c r="K65" s="101"/>
      <c r="L65" s="100">
        <f>-(M12-L12)/$B$2</f>
        <v>-3.9931583970554505</v>
      </c>
      <c r="M65" s="100">
        <f t="shared" si="161"/>
        <v>-3.5569447813725441</v>
      </c>
      <c r="N65" s="100">
        <f t="shared" si="161"/>
        <v>-2.7437167863366949</v>
      </c>
      <c r="O65" s="100">
        <f t="shared" si="161"/>
        <v>-2.0529332007375101</v>
      </c>
      <c r="P65" s="100">
        <f t="shared" si="161"/>
        <v>-1.5113009881657962</v>
      </c>
      <c r="Q65" s="100">
        <f t="shared" si="161"/>
        <v>-1.1322910492680438</v>
      </c>
      <c r="R65" s="100">
        <f t="shared" si="161"/>
        <v>-0.89059183480901805</v>
      </c>
      <c r="S65" s="100">
        <f t="shared" si="161"/>
        <v>-0.75783096862190202</v>
      </c>
      <c r="T65" s="100">
        <f t="shared" si="157"/>
        <v>-0.71562238432153036</v>
      </c>
      <c r="U65" s="70">
        <f t="shared" si="154"/>
        <v>0.60000000000000009</v>
      </c>
      <c r="V65" s="13">
        <v>4</v>
      </c>
    </row>
    <row r="66" spans="4:22" x14ac:dyDescent="0.25">
      <c r="D66" s="27">
        <v>3</v>
      </c>
      <c r="E66" s="70">
        <f t="shared" si="152"/>
        <v>0.4</v>
      </c>
      <c r="F66" s="101"/>
      <c r="G66" s="101"/>
      <c r="H66" s="101"/>
      <c r="I66" s="101"/>
      <c r="J66" s="101"/>
      <c r="K66" s="101"/>
      <c r="L66" s="101"/>
      <c r="M66" s="100">
        <f>-(N13-M13)/$B$2</f>
        <v>-3.1416986848708706</v>
      </c>
      <c r="N66" s="100">
        <f t="shared" si="161"/>
        <v>-2.7264526160159819</v>
      </c>
      <c r="O66" s="100">
        <f t="shared" si="161"/>
        <v>-1.932199735974901</v>
      </c>
      <c r="P66" s="100">
        <f t="shared" si="161"/>
        <v>-1.3094013236229174</v>
      </c>
      <c r="Q66" s="100">
        <f t="shared" si="161"/>
        <v>-0.92033852020701801</v>
      </c>
      <c r="R66" s="100">
        <f t="shared" si="161"/>
        <v>-0.69401062224044352</v>
      </c>
      <c r="S66" s="100">
        <f t="shared" si="161"/>
        <v>-0.57661240138264569</v>
      </c>
      <c r="T66" s="100">
        <f t="shared" si="157"/>
        <v>-0.54027087624131442</v>
      </c>
      <c r="U66" s="70">
        <f t="shared" si="154"/>
        <v>0.4</v>
      </c>
      <c r="V66" s="13">
        <v>3</v>
      </c>
    </row>
    <row r="67" spans="4:22" x14ac:dyDescent="0.25">
      <c r="D67" s="27">
        <v>2</v>
      </c>
      <c r="E67" s="70">
        <f>$B$2*(D67-1)</f>
        <v>0.2</v>
      </c>
      <c r="F67" s="101"/>
      <c r="G67" s="101"/>
      <c r="H67" s="101"/>
      <c r="I67" s="101"/>
      <c r="J67" s="101"/>
      <c r="K67" s="101"/>
      <c r="L67" s="101"/>
      <c r="M67" s="101"/>
      <c r="N67" s="100">
        <f>-(O14-N14)/$B$2</f>
        <v>-2.1832322132770687</v>
      </c>
      <c r="O67" s="100">
        <f t="shared" si="161"/>
        <v>-1.6400118297593451</v>
      </c>
      <c r="P67" s="100">
        <f>-(Q14-O14)/(2*$B$2)</f>
        <v>-0.87376605443295474</v>
      </c>
      <c r="Q67" s="100">
        <f t="shared" si="161"/>
        <v>-0.5456510707150577</v>
      </c>
      <c r="R67" s="100">
        <f t="shared" si="161"/>
        <v>-0.3884997018079181</v>
      </c>
      <c r="S67" s="100">
        <f t="shared" si="161"/>
        <v>-0.31433709952559702</v>
      </c>
      <c r="T67" s="100">
        <f t="shared" si="157"/>
        <v>-0.29223627424118548</v>
      </c>
      <c r="U67" s="70">
        <f>$B$2*(V67-1)</f>
        <v>0.2</v>
      </c>
      <c r="V67" s="13">
        <v>2</v>
      </c>
    </row>
    <row r="68" spans="4:22" x14ac:dyDescent="0.25">
      <c r="D68" s="27">
        <v>1</v>
      </c>
      <c r="E68" s="70">
        <v>0</v>
      </c>
      <c r="F68" s="101"/>
      <c r="G68" s="101"/>
      <c r="H68" s="101"/>
      <c r="I68" s="101"/>
      <c r="J68" s="101"/>
      <c r="K68" s="101"/>
      <c r="L68" s="101"/>
      <c r="M68" s="101"/>
      <c r="N68" s="101"/>
      <c r="O68" s="100">
        <f>-(P15-O15)/$B$2</f>
        <v>0</v>
      </c>
      <c r="P68" s="100">
        <f>-(Q15-O15)/(2*$B$2)</f>
        <v>0</v>
      </c>
      <c r="Q68" s="100">
        <f t="shared" si="161"/>
        <v>0</v>
      </c>
      <c r="R68" s="100">
        <f t="shared" si="161"/>
        <v>0</v>
      </c>
      <c r="S68" s="100">
        <f t="shared" si="161"/>
        <v>0</v>
      </c>
      <c r="T68" s="100">
        <f t="shared" si="157"/>
        <v>0</v>
      </c>
      <c r="U68" s="70">
        <v>0</v>
      </c>
      <c r="V68" s="13">
        <v>1</v>
      </c>
    </row>
    <row r="69" spans="4:22" x14ac:dyDescent="0.25">
      <c r="D69" s="72"/>
      <c r="E69" s="75"/>
      <c r="F69" s="71">
        <f>$B$2*(F70-1)</f>
        <v>0</v>
      </c>
      <c r="G69" s="71">
        <f t="shared" ref="G69" si="162">$B$2*(G70-1)</f>
        <v>0.2</v>
      </c>
      <c r="H69" s="71">
        <f t="shared" ref="H69" si="163">$B$2*(H70-1)</f>
        <v>0.4</v>
      </c>
      <c r="I69" s="71">
        <f t="shared" ref="I69" si="164">$B$2*(I70-1)</f>
        <v>0.60000000000000009</v>
      </c>
      <c r="J69" s="71">
        <f t="shared" ref="J69" si="165">$B$2*(J70-1)</f>
        <v>0.8</v>
      </c>
      <c r="K69" s="71">
        <f t="shared" ref="K69" si="166">$B$2*(K70-1)</f>
        <v>1</v>
      </c>
      <c r="L69" s="71">
        <f t="shared" ref="L69" si="167">$B$2*(L70-1)</f>
        <v>1.2000000000000002</v>
      </c>
      <c r="M69" s="71">
        <f t="shared" ref="M69" si="168">$B$2*(M70-1)</f>
        <v>1.4000000000000001</v>
      </c>
      <c r="N69" s="71">
        <f t="shared" ref="N69" si="169">$B$2*(N70-1)</f>
        <v>1.6</v>
      </c>
      <c r="O69" s="71">
        <f t="shared" ref="O69" si="170">$B$2*(O70-1)</f>
        <v>1.8</v>
      </c>
      <c r="P69" s="71">
        <f t="shared" ref="P69" si="171">$B$2*(P70-1)</f>
        <v>2</v>
      </c>
      <c r="Q69" s="71">
        <f t="shared" ref="Q69" si="172">$B$2*(Q70-1)</f>
        <v>2.2000000000000002</v>
      </c>
      <c r="R69" s="71">
        <f t="shared" ref="R69" si="173">$B$2*(R70-1)</f>
        <v>2.4000000000000004</v>
      </c>
      <c r="S69" s="71">
        <f t="shared" ref="S69" si="174">$B$2*(S70-1)</f>
        <v>2.6</v>
      </c>
      <c r="T69" s="71">
        <f t="shared" ref="T69" si="175">$B$2*(T70-1)</f>
        <v>2.8000000000000003</v>
      </c>
      <c r="U69" s="75"/>
      <c r="V69" s="73"/>
    </row>
    <row r="70" spans="4:22" x14ac:dyDescent="0.25">
      <c r="D70" s="74"/>
      <c r="E70" s="76"/>
      <c r="F70" s="13">
        <v>1</v>
      </c>
      <c r="G70" s="13">
        <v>2</v>
      </c>
      <c r="H70" s="13">
        <v>3</v>
      </c>
      <c r="I70" s="13">
        <v>4</v>
      </c>
      <c r="J70" s="13">
        <v>5</v>
      </c>
      <c r="K70" s="13">
        <v>6</v>
      </c>
      <c r="L70" s="13">
        <v>7</v>
      </c>
      <c r="M70" s="13">
        <v>8</v>
      </c>
      <c r="N70" s="13">
        <v>9</v>
      </c>
      <c r="O70" s="13">
        <v>10</v>
      </c>
      <c r="P70" s="13">
        <v>11</v>
      </c>
      <c r="Q70" s="13">
        <v>12</v>
      </c>
      <c r="R70" s="13">
        <v>13</v>
      </c>
      <c r="S70" s="13">
        <v>14</v>
      </c>
      <c r="T70" s="13">
        <v>15</v>
      </c>
      <c r="U70" s="74"/>
      <c r="V70" s="77"/>
    </row>
    <row r="73" spans="4:22" x14ac:dyDescent="0.25">
      <c r="D73" s="108" t="s">
        <v>71</v>
      </c>
      <c r="E73" s="109"/>
      <c r="F73" s="13">
        <v>1</v>
      </c>
      <c r="G73" s="13">
        <v>2</v>
      </c>
      <c r="H73" s="13">
        <v>3</v>
      </c>
      <c r="I73" s="13">
        <v>4</v>
      </c>
      <c r="J73" s="13">
        <v>5</v>
      </c>
      <c r="K73" s="13">
        <v>6</v>
      </c>
      <c r="L73" s="13">
        <v>7</v>
      </c>
      <c r="M73" s="13">
        <v>8</v>
      </c>
      <c r="N73" s="13">
        <v>9</v>
      </c>
      <c r="O73" s="13">
        <v>10</v>
      </c>
      <c r="P73" s="13">
        <v>11</v>
      </c>
      <c r="Q73" s="13">
        <v>12</v>
      </c>
      <c r="R73" s="13">
        <v>13</v>
      </c>
      <c r="S73" s="13">
        <v>14</v>
      </c>
      <c r="T73" s="13">
        <v>15</v>
      </c>
      <c r="U73" s="72"/>
      <c r="V73" s="73"/>
    </row>
    <row r="74" spans="4:22" x14ac:dyDescent="0.25">
      <c r="D74" s="110"/>
      <c r="E74" s="111"/>
      <c r="F74" s="71">
        <f>$B$2*(F73-1)</f>
        <v>0</v>
      </c>
      <c r="G74" s="71">
        <f t="shared" ref="G74" si="176">$B$2*(G73-1)</f>
        <v>0.2</v>
      </c>
      <c r="H74" s="71">
        <f t="shared" ref="H74" si="177">$B$2*(H73-1)</f>
        <v>0.4</v>
      </c>
      <c r="I74" s="71">
        <f t="shared" ref="I74" si="178">$B$2*(I73-1)</f>
        <v>0.60000000000000009</v>
      </c>
      <c r="J74" s="71">
        <f t="shared" ref="J74" si="179">$B$2*(J73-1)</f>
        <v>0.8</v>
      </c>
      <c r="K74" s="71">
        <f t="shared" ref="K74" si="180">$B$2*(K73-1)</f>
        <v>1</v>
      </c>
      <c r="L74" s="71">
        <f t="shared" ref="L74" si="181">$B$2*(L73-1)</f>
        <v>1.2000000000000002</v>
      </c>
      <c r="M74" s="71">
        <f t="shared" ref="M74" si="182">$B$2*(M73-1)</f>
        <v>1.4000000000000001</v>
      </c>
      <c r="N74" s="71">
        <f t="shared" ref="N74" si="183">$B$2*(N73-1)</f>
        <v>1.6</v>
      </c>
      <c r="O74" s="71">
        <f t="shared" ref="O74" si="184">$B$2*(O73-1)</f>
        <v>1.8</v>
      </c>
      <c r="P74" s="71">
        <f t="shared" ref="P74" si="185">$B$2*(P73-1)</f>
        <v>2</v>
      </c>
      <c r="Q74" s="71">
        <f t="shared" ref="Q74" si="186">$B$2*(Q73-1)</f>
        <v>2.2000000000000002</v>
      </c>
      <c r="R74" s="71">
        <f t="shared" ref="R74" si="187">$B$2*(R73-1)</f>
        <v>2.4000000000000004</v>
      </c>
      <c r="S74" s="71">
        <f t="shared" ref="S74" si="188">$B$2*(S73-1)</f>
        <v>2.6</v>
      </c>
      <c r="T74" s="71">
        <f t="shared" ref="T74" si="189">$B$2*(T73-1)</f>
        <v>2.8000000000000003</v>
      </c>
      <c r="U74" s="75"/>
      <c r="V74" s="77"/>
    </row>
    <row r="75" spans="4:22" x14ac:dyDescent="0.25">
      <c r="D75" s="27">
        <v>11</v>
      </c>
      <c r="E75" s="70">
        <f t="shared" ref="E75:E83" si="190">$B$2*(D75-1)</f>
        <v>2</v>
      </c>
      <c r="F75" s="100">
        <f>(F58^2+F41^2)^0.5</f>
        <v>10</v>
      </c>
      <c r="G75" s="100">
        <f t="shared" ref="G75:T75" si="191">(G58^2+G41^2)^0.5</f>
        <v>9.8582767621121192</v>
      </c>
      <c r="H75" s="100">
        <f t="shared" si="191"/>
        <v>9.6756592109272876</v>
      </c>
      <c r="I75" s="100">
        <f t="shared" si="191"/>
        <v>9.4096349635132182</v>
      </c>
      <c r="J75" s="100">
        <f t="shared" si="191"/>
        <v>9.0239141055563366</v>
      </c>
      <c r="K75" s="100">
        <f t="shared" si="191"/>
        <v>8.5155652462809783</v>
      </c>
      <c r="L75" s="100">
        <f t="shared" si="191"/>
        <v>7.9485465115232223</v>
      </c>
      <c r="M75" s="100">
        <f t="shared" si="191"/>
        <v>7.3892545803176901</v>
      </c>
      <c r="N75" s="100">
        <f t="shared" si="191"/>
        <v>6.8790493544780418</v>
      </c>
      <c r="O75" s="100">
        <f t="shared" si="191"/>
        <v>6.4349680725875391</v>
      </c>
      <c r="P75" s="100">
        <f t="shared" si="191"/>
        <v>6.0578559219307682</v>
      </c>
      <c r="Q75" s="100">
        <f t="shared" si="191"/>
        <v>5.7394575259310798</v>
      </c>
      <c r="R75" s="100">
        <f t="shared" si="191"/>
        <v>5.4669811080266761</v>
      </c>
      <c r="S75" s="100">
        <f t="shared" si="191"/>
        <v>5.225656009776678</v>
      </c>
      <c r="T75" s="100">
        <f t="shared" si="191"/>
        <v>5</v>
      </c>
      <c r="U75" s="70">
        <f t="shared" ref="U75:U83" si="192">$B$2*(V75-1)</f>
        <v>2</v>
      </c>
      <c r="V75" s="13">
        <v>11</v>
      </c>
    </row>
    <row r="76" spans="4:22" x14ac:dyDescent="0.25">
      <c r="D76" s="27">
        <v>10</v>
      </c>
      <c r="E76" s="70">
        <f t="shared" si="190"/>
        <v>1.8</v>
      </c>
      <c r="F76" s="100">
        <f t="shared" ref="F76:T76" si="193">(F59^2+F42^2)^0.5</f>
        <v>10.001004223384641</v>
      </c>
      <c r="G76" s="100">
        <f t="shared" si="193"/>
        <v>9.8800549307964314</v>
      </c>
      <c r="H76" s="100">
        <f t="shared" si="193"/>
        <v>9.7199513800133417</v>
      </c>
      <c r="I76" s="100">
        <f t="shared" si="193"/>
        <v>9.4750887110298674</v>
      </c>
      <c r="J76" s="100">
        <f t="shared" si="193"/>
        <v>9.0962195216686457</v>
      </c>
      <c r="K76" s="100">
        <f t="shared" si="193"/>
        <v>8.5618001972616344</v>
      </c>
      <c r="L76" s="100">
        <f t="shared" si="193"/>
        <v>7.9646175766235086</v>
      </c>
      <c r="M76" s="100">
        <f t="shared" si="193"/>
        <v>7.3840996045981981</v>
      </c>
      <c r="N76" s="100">
        <f t="shared" si="193"/>
        <v>6.862594869856359</v>
      </c>
      <c r="O76" s="100">
        <f t="shared" si="193"/>
        <v>6.414637964491245</v>
      </c>
      <c r="P76" s="100">
        <f t="shared" si="193"/>
        <v>6.0385208423173218</v>
      </c>
      <c r="Q76" s="100">
        <f t="shared" si="193"/>
        <v>5.7241257437096937</v>
      </c>
      <c r="R76" s="100">
        <f t="shared" si="193"/>
        <v>5.4574553667871752</v>
      </c>
      <c r="S76" s="100">
        <f t="shared" si="193"/>
        <v>5.2230430353404609</v>
      </c>
      <c r="T76" s="100">
        <f t="shared" si="193"/>
        <v>5.0050894732010871</v>
      </c>
      <c r="U76" s="70">
        <f t="shared" si="192"/>
        <v>1.8</v>
      </c>
      <c r="V76" s="13">
        <v>10</v>
      </c>
    </row>
    <row r="77" spans="4:22" x14ac:dyDescent="0.25">
      <c r="D77" s="27">
        <v>9</v>
      </c>
      <c r="E77" s="70">
        <f t="shared" si="190"/>
        <v>1.6</v>
      </c>
      <c r="F77" s="100">
        <f t="shared" ref="F77:T77" si="194">(F60^2+F43^2)^0.5</f>
        <v>10.002941145217523</v>
      </c>
      <c r="G77" s="100">
        <f t="shared" si="194"/>
        <v>9.9432741372427049</v>
      </c>
      <c r="H77" s="100">
        <f t="shared" si="194"/>
        <v>9.8540853718829524</v>
      </c>
      <c r="I77" s="100">
        <f t="shared" si="194"/>
        <v>9.6863560551963062</v>
      </c>
      <c r="J77" s="100">
        <f t="shared" si="194"/>
        <v>9.3484488580611345</v>
      </c>
      <c r="K77" s="100">
        <f t="shared" si="194"/>
        <v>8.7091298861184718</v>
      </c>
      <c r="L77" s="100">
        <f t="shared" si="194"/>
        <v>8.0080175290614282</v>
      </c>
      <c r="M77" s="100">
        <f t="shared" si="194"/>
        <v>7.3613724446305504</v>
      </c>
      <c r="N77" s="100">
        <f t="shared" si="194"/>
        <v>6.8071988686818639</v>
      </c>
      <c r="O77" s="100">
        <f t="shared" si="194"/>
        <v>6.3493259124454413</v>
      </c>
      <c r="P77" s="100">
        <f t="shared" si="194"/>
        <v>5.9775372775488327</v>
      </c>
      <c r="Q77" s="100">
        <f t="shared" si="194"/>
        <v>5.6760373087563494</v>
      </c>
      <c r="R77" s="100">
        <f t="shared" si="194"/>
        <v>5.4272810279682915</v>
      </c>
      <c r="S77" s="100">
        <f t="shared" si="194"/>
        <v>5.2138022092092342</v>
      </c>
      <c r="T77" s="100">
        <f t="shared" si="194"/>
        <v>5.018942591889533</v>
      </c>
      <c r="U77" s="70">
        <f t="shared" si="192"/>
        <v>1.6</v>
      </c>
      <c r="V77" s="13">
        <v>9</v>
      </c>
    </row>
    <row r="78" spans="4:22" x14ac:dyDescent="0.25">
      <c r="D78" s="27">
        <v>8</v>
      </c>
      <c r="E78" s="70">
        <f t="shared" si="190"/>
        <v>1.4000000000000001</v>
      </c>
      <c r="F78" s="100">
        <f t="shared" ref="F78:T78" si="195">(F61^2+F44^2)^0.5</f>
        <v>10.003463390005829</v>
      </c>
      <c r="G78" s="100">
        <f t="shared" si="195"/>
        <v>10.037711407929535</v>
      </c>
      <c r="H78" s="100">
        <f t="shared" si="195"/>
        <v>10.072321197693487</v>
      </c>
      <c r="I78" s="100">
        <f t="shared" si="195"/>
        <v>10.082652369949116</v>
      </c>
      <c r="J78" s="100">
        <f t="shared" si="195"/>
        <v>9.9360347709261312</v>
      </c>
      <c r="K78" s="100">
        <f t="shared" si="195"/>
        <v>8.9760965147078888</v>
      </c>
      <c r="L78" s="100">
        <f t="shared" si="195"/>
        <v>8.0563024495108628</v>
      </c>
      <c r="M78" s="100">
        <f t="shared" si="195"/>
        <v>7.2964932143533252</v>
      </c>
      <c r="N78" s="100">
        <f t="shared" si="195"/>
        <v>6.6944867212865686</v>
      </c>
      <c r="O78" s="100">
        <f t="shared" si="195"/>
        <v>6.2264965262676188</v>
      </c>
      <c r="P78" s="100">
        <f>(P61^2+P44^2)^0.5</f>
        <v>5.8664831656021788</v>
      </c>
      <c r="Q78" s="100">
        <f t="shared" si="195"/>
        <v>5.5893773092687375</v>
      </c>
      <c r="R78" s="100">
        <f t="shared" si="195"/>
        <v>5.37206858811017</v>
      </c>
      <c r="S78" s="100">
        <f t="shared" si="195"/>
        <v>5.1940627408181577</v>
      </c>
      <c r="T78" s="100">
        <f t="shared" si="195"/>
        <v>5.0375712997471478</v>
      </c>
      <c r="U78" s="70">
        <f t="shared" si="192"/>
        <v>1.4000000000000001</v>
      </c>
      <c r="V78" s="13">
        <v>8</v>
      </c>
    </row>
    <row r="79" spans="4:22" x14ac:dyDescent="0.25">
      <c r="D79" s="27">
        <v>7</v>
      </c>
      <c r="E79" s="70">
        <f t="shared" si="190"/>
        <v>1.2000000000000002</v>
      </c>
      <c r="F79" s="100">
        <f t="shared" ref="F79:T79" si="196">(F62^2+F45^2)^0.5</f>
        <v>10.001568396623782</v>
      </c>
      <c r="G79" s="100">
        <f t="shared" si="196"/>
        <v>10.134050963440176</v>
      </c>
      <c r="H79" s="100">
        <f t="shared" si="196"/>
        <v>10.324215095189517</v>
      </c>
      <c r="I79" s="100">
        <f t="shared" si="196"/>
        <v>10.664754387856894</v>
      </c>
      <c r="J79" s="100">
        <f t="shared" si="196"/>
        <v>11.399983677977335</v>
      </c>
      <c r="K79" s="100">
        <f t="shared" si="196"/>
        <v>9.3340322774938222</v>
      </c>
      <c r="L79" s="100">
        <f t="shared" si="196"/>
        <v>8.0421655197937021</v>
      </c>
      <c r="M79" s="100">
        <f t="shared" si="196"/>
        <v>7.141558716294103</v>
      </c>
      <c r="N79" s="100">
        <f t="shared" si="196"/>
        <v>6.494598548399412</v>
      </c>
      <c r="O79" s="100">
        <f t="shared" si="196"/>
        <v>6.02735885927809</v>
      </c>
      <c r="P79" s="100">
        <f t="shared" si="196"/>
        <v>5.6932307389851111</v>
      </c>
      <c r="Q79" s="100">
        <f t="shared" si="196"/>
        <v>5.4560687289471712</v>
      </c>
      <c r="R79" s="100">
        <f t="shared" si="196"/>
        <v>5.2858814783333852</v>
      </c>
      <c r="S79" s="100">
        <f t="shared" si="196"/>
        <v>5.1585209218981563</v>
      </c>
      <c r="T79" s="100">
        <f t="shared" si="196"/>
        <v>5.0552198717551944</v>
      </c>
      <c r="U79" s="70">
        <f t="shared" si="192"/>
        <v>1.2000000000000002</v>
      </c>
      <c r="V79" s="13">
        <v>7</v>
      </c>
    </row>
    <row r="80" spans="4:22" x14ac:dyDescent="0.25">
      <c r="D80" s="27">
        <v>6</v>
      </c>
      <c r="E80" s="70">
        <f t="shared" si="190"/>
        <v>1</v>
      </c>
      <c r="F80" s="100">
        <f t="shared" ref="F80:T85" si="197">(F63^2+F46^2)^0.5</f>
        <v>10</v>
      </c>
      <c r="G80" s="100">
        <f t="shared" si="197"/>
        <v>10.177116888928248</v>
      </c>
      <c r="H80" s="100">
        <f t="shared" si="197"/>
        <v>10.445257010076951</v>
      </c>
      <c r="I80" s="100">
        <f t="shared" si="197"/>
        <v>10.970738001993556</v>
      </c>
      <c r="J80" s="100">
        <f t="shared" si="197"/>
        <v>12.622783066560663</v>
      </c>
      <c r="K80" s="100">
        <f t="shared" si="197"/>
        <v>9.502938540169362</v>
      </c>
      <c r="L80" s="100">
        <f t="shared" si="197"/>
        <v>7.8147986837989798</v>
      </c>
      <c r="M80" s="100">
        <f t="shared" si="197"/>
        <v>6.8275907271639644</v>
      </c>
      <c r="N80" s="100">
        <f t="shared" si="197"/>
        <v>6.1735955186581926</v>
      </c>
      <c r="O80" s="100">
        <f t="shared" si="197"/>
        <v>5.7318530973134676</v>
      </c>
      <c r="P80" s="100">
        <f t="shared" si="197"/>
        <v>5.445156022224535</v>
      </c>
      <c r="Q80" s="100">
        <f t="shared" si="197"/>
        <v>5.2682940416129203</v>
      </c>
      <c r="R80" s="100">
        <f t="shared" si="197"/>
        <v>5.1633973791452448</v>
      </c>
      <c r="S80" s="100">
        <f t="shared" si="197"/>
        <v>5.1022350730243149</v>
      </c>
      <c r="T80" s="100">
        <f t="shared" si="197"/>
        <v>5.0657636062621032</v>
      </c>
      <c r="U80" s="70">
        <f t="shared" si="192"/>
        <v>1</v>
      </c>
      <c r="V80" s="13">
        <v>6</v>
      </c>
    </row>
    <row r="81" spans="4:22" x14ac:dyDescent="0.25">
      <c r="D81" s="27">
        <v>5</v>
      </c>
      <c r="E81" s="70">
        <f t="shared" si="190"/>
        <v>0.8</v>
      </c>
      <c r="F81" s="101"/>
      <c r="G81" s="101"/>
      <c r="H81" s="101"/>
      <c r="I81" s="101"/>
      <c r="J81" s="101"/>
      <c r="K81" s="100">
        <f t="shared" si="197"/>
        <v>8.3148024385082397</v>
      </c>
      <c r="L81" s="100">
        <f t="shared" si="197"/>
        <v>7.1302129225051338</v>
      </c>
      <c r="M81" s="100">
        <f t="shared" si="197"/>
        <v>6.3054241143954739</v>
      </c>
      <c r="N81" s="100">
        <f t="shared" si="197"/>
        <v>5.7146415334500071</v>
      </c>
      <c r="O81" s="100">
        <f t="shared" si="197"/>
        <v>5.3261859671058529</v>
      </c>
      <c r="P81" s="100">
        <f t="shared" si="197"/>
        <v>5.1129177940374904</v>
      </c>
      <c r="Q81" s="100">
        <f t="shared" si="197"/>
        <v>5.0218727356465607</v>
      </c>
      <c r="R81" s="100">
        <f t="shared" si="197"/>
        <v>5.0030328113236102</v>
      </c>
      <c r="S81" s="100">
        <f t="shared" si="197"/>
        <v>5.0231873122084032</v>
      </c>
      <c r="T81" s="100">
        <f t="shared" si="197"/>
        <v>5.0646355893256452</v>
      </c>
      <c r="U81" s="70">
        <f t="shared" si="192"/>
        <v>0.8</v>
      </c>
      <c r="V81" s="13">
        <v>5</v>
      </c>
    </row>
    <row r="82" spans="4:22" x14ac:dyDescent="0.25">
      <c r="D82" s="27">
        <v>4</v>
      </c>
      <c r="E82" s="70">
        <f t="shared" si="190"/>
        <v>0.60000000000000009</v>
      </c>
      <c r="F82" s="101"/>
      <c r="G82" s="101"/>
      <c r="H82" s="101"/>
      <c r="I82" s="101"/>
      <c r="J82" s="101"/>
      <c r="K82" s="101"/>
      <c r="L82" s="100">
        <f t="shared" si="197"/>
        <v>6.4054620384585101</v>
      </c>
      <c r="M82" s="100">
        <f t="shared" si="197"/>
        <v>5.680773968622213</v>
      </c>
      <c r="N82" s="100">
        <f t="shared" si="197"/>
        <v>5.1423310566386213</v>
      </c>
      <c r="O82" s="100">
        <f t="shared" si="197"/>
        <v>4.802371819511853</v>
      </c>
      <c r="P82" s="100">
        <f t="shared" si="197"/>
        <v>4.6916029836159323</v>
      </c>
      <c r="Q82" s="100">
        <f t="shared" si="197"/>
        <v>4.7204458367835667</v>
      </c>
      <c r="R82" s="100">
        <f t="shared" si="197"/>
        <v>4.8112604592610557</v>
      </c>
      <c r="S82" s="100">
        <f t="shared" si="197"/>
        <v>4.9255056458326196</v>
      </c>
      <c r="T82" s="100">
        <f t="shared" si="197"/>
        <v>5.0509519297793792</v>
      </c>
      <c r="U82" s="70">
        <f t="shared" si="192"/>
        <v>0.60000000000000009</v>
      </c>
      <c r="V82" s="13">
        <v>4</v>
      </c>
    </row>
    <row r="83" spans="4:22" x14ac:dyDescent="0.25">
      <c r="D83" s="27">
        <v>3</v>
      </c>
      <c r="E83" s="70">
        <f t="shared" si="190"/>
        <v>0.4</v>
      </c>
      <c r="F83" s="101"/>
      <c r="G83" s="101"/>
      <c r="H83" s="101"/>
      <c r="I83" s="101"/>
      <c r="J83" s="101"/>
      <c r="K83" s="101"/>
      <c r="L83" s="101"/>
      <c r="M83" s="100">
        <f t="shared" si="197"/>
        <v>5.0809039166760286</v>
      </c>
      <c r="N83" s="100">
        <f t="shared" si="197"/>
        <v>4.4816737994987728</v>
      </c>
      <c r="O83" s="100">
        <f t="shared" si="197"/>
        <v>4.1287117450207083</v>
      </c>
      <c r="P83" s="100">
        <f t="shared" si="197"/>
        <v>4.1802355309103412</v>
      </c>
      <c r="Q83" s="100">
        <f t="shared" si="197"/>
        <v>4.3839092606977204</v>
      </c>
      <c r="R83" s="100">
        <f t="shared" si="197"/>
        <v>4.6090561793870037</v>
      </c>
      <c r="S83" s="100">
        <f t="shared" si="197"/>
        <v>4.8229000881812567</v>
      </c>
      <c r="T83" s="100">
        <f t="shared" si="197"/>
        <v>5.0291045544624104</v>
      </c>
      <c r="U83" s="70">
        <f t="shared" si="192"/>
        <v>0.4</v>
      </c>
      <c r="V83" s="13">
        <v>3</v>
      </c>
    </row>
    <row r="84" spans="4:22" x14ac:dyDescent="0.25">
      <c r="D84" s="27">
        <v>2</v>
      </c>
      <c r="E84" s="70">
        <f>$B$2*(D84-1)</f>
        <v>0.2</v>
      </c>
      <c r="F84" s="101"/>
      <c r="G84" s="101"/>
      <c r="H84" s="101"/>
      <c r="I84" s="101"/>
      <c r="J84" s="101"/>
      <c r="K84" s="101"/>
      <c r="L84" s="101"/>
      <c r="M84" s="101"/>
      <c r="N84" s="100">
        <f t="shared" si="197"/>
        <v>3.8258036441524341</v>
      </c>
      <c r="O84" s="100">
        <f t="shared" si="197"/>
        <v>3.181694936528483</v>
      </c>
      <c r="P84" s="100">
        <f t="shared" si="197"/>
        <v>3.6103767066098298</v>
      </c>
      <c r="Q84" s="100">
        <f t="shared" si="197"/>
        <v>4.0725731562577616</v>
      </c>
      <c r="R84" s="100">
        <f t="shared" si="197"/>
        <v>4.4404155059979065</v>
      </c>
      <c r="S84" s="100">
        <f t="shared" si="197"/>
        <v>4.7402981536882498</v>
      </c>
      <c r="T84" s="100">
        <f t="shared" si="197"/>
        <v>5.0085329229208799</v>
      </c>
      <c r="U84" s="70">
        <f>$B$2*(V84-1)</f>
        <v>0.2</v>
      </c>
      <c r="V84" s="13">
        <v>2</v>
      </c>
    </row>
    <row r="85" spans="4:22" x14ac:dyDescent="0.25">
      <c r="D85" s="27">
        <v>1</v>
      </c>
      <c r="E85" s="70">
        <v>0</v>
      </c>
      <c r="F85" s="101"/>
      <c r="G85" s="101"/>
      <c r="H85" s="101"/>
      <c r="I85" s="101"/>
      <c r="J85" s="101"/>
      <c r="K85" s="101"/>
      <c r="L85" s="101"/>
      <c r="M85" s="101"/>
      <c r="N85" s="101"/>
      <c r="O85" s="100">
        <f t="shared" si="197"/>
        <v>2.1832322132770687</v>
      </c>
      <c r="P85" s="100">
        <f t="shared" si="197"/>
        <v>3.2800236595186902</v>
      </c>
      <c r="Q85" s="100">
        <f t="shared" si="197"/>
        <v>3.930764322142978</v>
      </c>
      <c r="R85" s="100">
        <f t="shared" si="197"/>
        <v>4.3713258009488056</v>
      </c>
      <c r="S85" s="100">
        <f t="shared" si="197"/>
        <v>4.7077637257588139</v>
      </c>
      <c r="T85" s="100">
        <f t="shared" si="197"/>
        <v>5</v>
      </c>
      <c r="U85" s="70">
        <v>0</v>
      </c>
      <c r="V85" s="13">
        <v>1</v>
      </c>
    </row>
    <row r="86" spans="4:22" x14ac:dyDescent="0.25">
      <c r="D86" s="72"/>
      <c r="E86" s="75"/>
      <c r="F86" s="71">
        <f>$B$2*(F87-1)</f>
        <v>0</v>
      </c>
      <c r="G86" s="71">
        <f t="shared" ref="G86" si="198">$B$2*(G87-1)</f>
        <v>0.2</v>
      </c>
      <c r="H86" s="71">
        <f t="shared" ref="H86" si="199">$B$2*(H87-1)</f>
        <v>0.4</v>
      </c>
      <c r="I86" s="71">
        <f t="shared" ref="I86" si="200">$B$2*(I87-1)</f>
        <v>0.60000000000000009</v>
      </c>
      <c r="J86" s="71">
        <f t="shared" ref="J86" si="201">$B$2*(J87-1)</f>
        <v>0.8</v>
      </c>
      <c r="K86" s="71">
        <f t="shared" ref="K86" si="202">$B$2*(K87-1)</f>
        <v>1</v>
      </c>
      <c r="L86" s="71">
        <f t="shared" ref="L86" si="203">$B$2*(L87-1)</f>
        <v>1.2000000000000002</v>
      </c>
      <c r="M86" s="71">
        <f t="shared" ref="M86" si="204">$B$2*(M87-1)</f>
        <v>1.4000000000000001</v>
      </c>
      <c r="N86" s="71">
        <f t="shared" ref="N86" si="205">$B$2*(N87-1)</f>
        <v>1.6</v>
      </c>
      <c r="O86" s="71">
        <f t="shared" ref="O86" si="206">$B$2*(O87-1)</f>
        <v>1.8</v>
      </c>
      <c r="P86" s="71">
        <f t="shared" ref="P86" si="207">$B$2*(P87-1)</f>
        <v>2</v>
      </c>
      <c r="Q86" s="71">
        <f t="shared" ref="Q86" si="208">$B$2*(Q87-1)</f>
        <v>2.2000000000000002</v>
      </c>
      <c r="R86" s="71">
        <f t="shared" ref="R86" si="209">$B$2*(R87-1)</f>
        <v>2.4000000000000004</v>
      </c>
      <c r="S86" s="71">
        <f t="shared" ref="S86" si="210">$B$2*(S87-1)</f>
        <v>2.6</v>
      </c>
      <c r="T86" s="71">
        <f t="shared" ref="T86" si="211">$B$2*(T87-1)</f>
        <v>2.8000000000000003</v>
      </c>
      <c r="U86" s="75"/>
      <c r="V86" s="73"/>
    </row>
    <row r="87" spans="4:22" x14ac:dyDescent="0.25">
      <c r="D87" s="74"/>
      <c r="E87" s="76"/>
      <c r="F87" s="13">
        <v>1</v>
      </c>
      <c r="G87" s="13">
        <v>2</v>
      </c>
      <c r="H87" s="13">
        <v>3</v>
      </c>
      <c r="I87" s="13">
        <v>4</v>
      </c>
      <c r="J87" s="13">
        <v>5</v>
      </c>
      <c r="K87" s="13">
        <v>6</v>
      </c>
      <c r="L87" s="13">
        <v>7</v>
      </c>
      <c r="M87" s="13">
        <v>8</v>
      </c>
      <c r="N87" s="13">
        <v>9</v>
      </c>
      <c r="O87" s="13">
        <v>10</v>
      </c>
      <c r="P87" s="13">
        <v>11</v>
      </c>
      <c r="Q87" s="13">
        <v>12</v>
      </c>
      <c r="R87" s="13">
        <v>13</v>
      </c>
      <c r="S87" s="13">
        <v>14</v>
      </c>
      <c r="T87" s="13">
        <v>15</v>
      </c>
      <c r="U87" s="74"/>
      <c r="V87" s="77"/>
    </row>
  </sheetData>
  <mergeCells count="5">
    <mergeCell ref="D3:E4"/>
    <mergeCell ref="D21:E22"/>
    <mergeCell ref="D39:E40"/>
    <mergeCell ref="D56:E57"/>
    <mergeCell ref="D73:E74"/>
  </mergeCells>
  <conditionalFormatting sqref="F5:T9 F10:L10 K11:L11 L11:L12 M10:M13 N10:N14 O10:T1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9:L30 K29 M29:M31 N29:N32 F23:T28 O29:T3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47:L47 M49:N49 O51:T51 L47:S48 N49:S50 F41:T41 F42:S46 T42:T5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6:S66 F58:T58 K64:S64 L65:S65 N66:S67 O67:S68 F59:S63 T59:T6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5:T80 K81:T81 L82:T82 M83:T83 N84:T84 O85:T8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Potential_flow">
                <anchor moveWithCells="1">
                  <from>
                    <xdr:col>0</xdr:col>
                    <xdr:colOff>0</xdr:colOff>
                    <xdr:row>15</xdr:row>
                    <xdr:rowOff>57150</xdr:rowOff>
                  </from>
                  <to>
                    <xdr:col>2</xdr:col>
                    <xdr:colOff>438150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Potential_flow_0">
                <anchor moveWithCells="1">
                  <from>
                    <xdr:col>0</xdr:col>
                    <xdr:colOff>342900</xdr:colOff>
                    <xdr:row>22</xdr:row>
                    <xdr:rowOff>104775</xdr:rowOff>
                  </from>
                  <to>
                    <xdr:col>1</xdr:col>
                    <xdr:colOff>561975</xdr:colOff>
                    <xdr:row>24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FA203"/>
  <sheetViews>
    <sheetView zoomScale="55" zoomScaleNormal="55" workbookViewId="0">
      <selection activeCell="O59" sqref="O59:AC59"/>
    </sheetView>
  </sheetViews>
  <sheetFormatPr defaultRowHeight="15" x14ac:dyDescent="0.25"/>
  <cols>
    <col min="4" max="4" width="7.5703125" customWidth="1"/>
    <col min="5" max="5" width="11.42578125" customWidth="1"/>
    <col min="6" max="6" width="12.42578125" customWidth="1"/>
    <col min="56" max="56" width="11.85546875" bestFit="1" customWidth="1"/>
  </cols>
  <sheetData>
    <row r="1" spans="1:45" x14ac:dyDescent="0.25">
      <c r="A1" s="89" t="s">
        <v>27</v>
      </c>
      <c r="B1" s="89"/>
      <c r="C1" s="48"/>
      <c r="D1" s="48"/>
      <c r="E1" s="90" t="s">
        <v>30</v>
      </c>
      <c r="F1" s="90"/>
      <c r="G1" s="48"/>
      <c r="H1" s="91" t="s">
        <v>31</v>
      </c>
      <c r="I1" s="91"/>
      <c r="J1" s="48"/>
      <c r="K1" s="92" t="s">
        <v>32</v>
      </c>
      <c r="L1" s="92"/>
      <c r="M1" s="48"/>
      <c r="N1" s="93" t="s">
        <v>33</v>
      </c>
      <c r="O1" s="93"/>
      <c r="P1" s="48"/>
      <c r="Q1" s="49" t="s">
        <v>50</v>
      </c>
      <c r="R1" s="49"/>
    </row>
    <row r="2" spans="1:45" x14ac:dyDescent="0.25">
      <c r="A2" s="89"/>
      <c r="B2" s="89"/>
      <c r="C2" s="48"/>
      <c r="D2" s="48"/>
      <c r="E2" s="18" t="s">
        <v>4</v>
      </c>
      <c r="F2" s="41">
        <v>460</v>
      </c>
      <c r="G2" s="48"/>
      <c r="H2" s="20" t="s">
        <v>36</v>
      </c>
      <c r="I2" s="40">
        <v>300</v>
      </c>
      <c r="J2" s="48"/>
      <c r="K2" s="21" t="s">
        <v>19</v>
      </c>
      <c r="L2" s="39">
        <f>F4/(B5^2)</f>
        <v>4139999.9999999991</v>
      </c>
      <c r="M2" s="48"/>
      <c r="N2" s="38" t="s">
        <v>19</v>
      </c>
      <c r="O2" s="38">
        <f>F4/(B6^2)</f>
        <v>536544</v>
      </c>
      <c r="P2" s="48"/>
      <c r="Q2" s="49" t="s">
        <v>51</v>
      </c>
      <c r="R2" s="49">
        <v>600</v>
      </c>
    </row>
    <row r="3" spans="1:45" ht="15" customHeight="1" x14ac:dyDescent="0.25">
      <c r="A3" s="16" t="s">
        <v>0</v>
      </c>
      <c r="B3" s="16">
        <v>0.1</v>
      </c>
      <c r="C3" s="48"/>
      <c r="D3" s="48"/>
      <c r="E3" s="18" t="s">
        <v>5</v>
      </c>
      <c r="F3" s="41">
        <v>7800</v>
      </c>
      <c r="G3" s="48"/>
      <c r="H3" s="20" t="s">
        <v>37</v>
      </c>
      <c r="I3" s="40">
        <v>100</v>
      </c>
      <c r="J3" s="48"/>
      <c r="K3" s="21" t="s">
        <v>20</v>
      </c>
      <c r="L3" s="39">
        <f>(2*F4)/(B5^2)+(F3*F2)/B8</f>
        <v>11867999.999999998</v>
      </c>
      <c r="M3" s="48"/>
      <c r="N3" s="38" t="s">
        <v>20</v>
      </c>
      <c r="O3" s="38">
        <f>(2*F4)/(B6^2)+(F3*F2)/B8</f>
        <v>4661088</v>
      </c>
      <c r="P3" s="48"/>
      <c r="Q3" s="49" t="s">
        <v>52</v>
      </c>
      <c r="R3" s="49">
        <v>650</v>
      </c>
    </row>
    <row r="4" spans="1:45" ht="15" customHeight="1" x14ac:dyDescent="0.25">
      <c r="A4" s="16" t="s">
        <v>28</v>
      </c>
      <c r="B4" s="16">
        <v>0.5</v>
      </c>
      <c r="C4" s="48"/>
      <c r="D4" s="48"/>
      <c r="E4" s="18" t="s">
        <v>35</v>
      </c>
      <c r="F4" s="41">
        <v>46</v>
      </c>
      <c r="G4" s="48"/>
      <c r="H4" s="48"/>
      <c r="I4" s="48"/>
      <c r="J4" s="48"/>
      <c r="K4" s="21" t="s">
        <v>21</v>
      </c>
      <c r="L4" s="39">
        <f>L2</f>
        <v>4139999.9999999991</v>
      </c>
      <c r="M4" s="48"/>
      <c r="N4" s="38" t="s">
        <v>21</v>
      </c>
      <c r="O4" s="38">
        <f>O2</f>
        <v>536544</v>
      </c>
      <c r="P4" s="48"/>
      <c r="Q4" s="49" t="s">
        <v>53</v>
      </c>
      <c r="R4" s="49">
        <v>950</v>
      </c>
    </row>
    <row r="5" spans="1:45" ht="15" customHeight="1" x14ac:dyDescent="0.25">
      <c r="A5" s="16" t="s">
        <v>1</v>
      </c>
      <c r="B5" s="50">
        <f>B3/30</f>
        <v>3.3333333333333335E-3</v>
      </c>
      <c r="C5" s="48"/>
      <c r="D5" s="48"/>
      <c r="E5" s="47" t="s">
        <v>56</v>
      </c>
      <c r="F5" s="47">
        <v>800</v>
      </c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45" ht="15" customHeight="1" x14ac:dyDescent="0.25">
      <c r="A6" s="16" t="s">
        <v>29</v>
      </c>
      <c r="B6" s="50">
        <f>B4/54</f>
        <v>9.2592592592592587E-3</v>
      </c>
      <c r="C6" s="51" t="s">
        <v>34</v>
      </c>
      <c r="D6" s="48"/>
      <c r="E6" s="47" t="s">
        <v>57</v>
      </c>
      <c r="F6" s="47">
        <v>600</v>
      </c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45" ht="15" customHeight="1" x14ac:dyDescent="0.25">
      <c r="A7" s="16" t="s">
        <v>3</v>
      </c>
      <c r="B7" s="16">
        <v>300</v>
      </c>
      <c r="C7" s="48">
        <v>281</v>
      </c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</row>
    <row r="8" spans="1:45" ht="15" customHeight="1" x14ac:dyDescent="0.25">
      <c r="A8" s="16" t="s">
        <v>2</v>
      </c>
      <c r="B8" s="17">
        <v>1</v>
      </c>
    </row>
    <row r="9" spans="1:45" ht="15" customHeight="1" x14ac:dyDescent="0.25">
      <c r="E9" s="82" t="s">
        <v>38</v>
      </c>
      <c r="F9" s="83"/>
      <c r="G9" s="25">
        <v>1</v>
      </c>
      <c r="H9" s="25">
        <v>2</v>
      </c>
      <c r="I9" s="25">
        <v>3</v>
      </c>
      <c r="J9" s="25">
        <v>4</v>
      </c>
      <c r="K9" s="25">
        <v>5</v>
      </c>
      <c r="L9" s="25">
        <v>6</v>
      </c>
      <c r="M9" s="25">
        <v>7</v>
      </c>
      <c r="N9" s="25">
        <v>8</v>
      </c>
      <c r="O9" s="25">
        <v>9</v>
      </c>
      <c r="P9" s="25">
        <v>10</v>
      </c>
      <c r="Q9" s="25">
        <v>11</v>
      </c>
      <c r="R9" s="25">
        <v>12</v>
      </c>
      <c r="S9" s="25">
        <v>13</v>
      </c>
      <c r="T9" s="25">
        <v>14</v>
      </c>
      <c r="U9" s="25">
        <v>15</v>
      </c>
      <c r="V9" s="25">
        <v>16</v>
      </c>
      <c r="W9" s="25">
        <v>17</v>
      </c>
      <c r="X9" s="25">
        <v>18</v>
      </c>
      <c r="Y9" s="25">
        <v>19</v>
      </c>
      <c r="Z9" s="25">
        <v>20</v>
      </c>
      <c r="AA9" s="25">
        <v>21</v>
      </c>
      <c r="AB9" s="25">
        <v>22</v>
      </c>
      <c r="AC9" s="25">
        <v>23</v>
      </c>
      <c r="AD9" s="25">
        <v>24</v>
      </c>
      <c r="AE9" s="25">
        <v>25</v>
      </c>
      <c r="AF9" s="25">
        <v>26</v>
      </c>
      <c r="AG9" s="25">
        <v>27</v>
      </c>
      <c r="AH9" s="25">
        <v>28</v>
      </c>
      <c r="AI9" s="25">
        <v>29</v>
      </c>
      <c r="AJ9" s="25">
        <v>30</v>
      </c>
      <c r="AK9" s="25">
        <v>31</v>
      </c>
      <c r="AL9" s="45"/>
      <c r="AM9" s="46"/>
    </row>
    <row r="10" spans="1:45" ht="15" customHeight="1" x14ac:dyDescent="0.25">
      <c r="E10" s="82" t="s">
        <v>39</v>
      </c>
      <c r="F10" s="83"/>
      <c r="G10" s="44">
        <v>0</v>
      </c>
      <c r="H10" s="56">
        <f>$B$5*(H9-1)</f>
        <v>3.3333333333333335E-3</v>
      </c>
      <c r="I10" s="56">
        <f t="shared" ref="I10:AJ10" si="0">$B$5*(I9-1)</f>
        <v>6.6666666666666671E-3</v>
      </c>
      <c r="J10" s="56">
        <f t="shared" si="0"/>
        <v>0.01</v>
      </c>
      <c r="K10" s="56">
        <f t="shared" si="0"/>
        <v>1.3333333333333334E-2</v>
      </c>
      <c r="L10" s="56">
        <f t="shared" si="0"/>
        <v>1.6666666666666666E-2</v>
      </c>
      <c r="M10" s="56">
        <f t="shared" si="0"/>
        <v>0.02</v>
      </c>
      <c r="N10" s="56">
        <f t="shared" si="0"/>
        <v>2.3333333333333334E-2</v>
      </c>
      <c r="O10" s="56">
        <f t="shared" si="0"/>
        <v>2.6666666666666668E-2</v>
      </c>
      <c r="P10" s="56">
        <f t="shared" si="0"/>
        <v>3.0000000000000002E-2</v>
      </c>
      <c r="Q10" s="26">
        <f t="shared" si="0"/>
        <v>3.3333333333333333E-2</v>
      </c>
      <c r="R10" s="26">
        <f t="shared" si="0"/>
        <v>3.6666666666666667E-2</v>
      </c>
      <c r="S10" s="26">
        <f t="shared" si="0"/>
        <v>0.04</v>
      </c>
      <c r="T10" s="26">
        <f t="shared" si="0"/>
        <v>4.3333333333333335E-2</v>
      </c>
      <c r="U10" s="26">
        <f t="shared" si="0"/>
        <v>4.6666666666666669E-2</v>
      </c>
      <c r="V10" s="26">
        <f t="shared" si="0"/>
        <v>0.05</v>
      </c>
      <c r="W10" s="26">
        <f t="shared" si="0"/>
        <v>5.3333333333333337E-2</v>
      </c>
      <c r="X10" s="26">
        <f t="shared" si="0"/>
        <v>5.6666666666666671E-2</v>
      </c>
      <c r="Y10" s="26">
        <f t="shared" si="0"/>
        <v>6.0000000000000005E-2</v>
      </c>
      <c r="Z10" s="26">
        <f t="shared" si="0"/>
        <v>6.3333333333333339E-2</v>
      </c>
      <c r="AA10" s="26">
        <f t="shared" si="0"/>
        <v>6.6666666666666666E-2</v>
      </c>
      <c r="AB10" s="26">
        <f t="shared" si="0"/>
        <v>7.0000000000000007E-2</v>
      </c>
      <c r="AC10" s="56">
        <f t="shared" si="0"/>
        <v>7.3333333333333334E-2</v>
      </c>
      <c r="AD10" s="56">
        <f t="shared" si="0"/>
        <v>7.6666666666666675E-2</v>
      </c>
      <c r="AE10" s="56">
        <f t="shared" si="0"/>
        <v>0.08</v>
      </c>
      <c r="AF10" s="56">
        <f t="shared" si="0"/>
        <v>8.3333333333333343E-2</v>
      </c>
      <c r="AG10" s="56">
        <f t="shared" si="0"/>
        <v>8.666666666666667E-2</v>
      </c>
      <c r="AH10" s="56">
        <f t="shared" si="0"/>
        <v>9.0000000000000011E-2</v>
      </c>
      <c r="AI10" s="56">
        <f t="shared" si="0"/>
        <v>9.3333333333333338E-2</v>
      </c>
      <c r="AJ10" s="56">
        <f t="shared" si="0"/>
        <v>9.6666666666666679E-2</v>
      </c>
      <c r="AK10" s="56">
        <f>$B$5*(AK9-1)</f>
        <v>0.1</v>
      </c>
      <c r="AL10" s="24"/>
      <c r="AM10" s="36"/>
    </row>
    <row r="11" spans="1:45" ht="50.1" customHeight="1" x14ac:dyDescent="0.25">
      <c r="E11" s="25">
        <v>55</v>
      </c>
      <c r="F11" s="54">
        <f t="shared" ref="F11:F34" si="1">$B$6*(E11-1)</f>
        <v>0.5</v>
      </c>
      <c r="G11" s="64">
        <f t="shared" ref="G11:O20" si="2">$R$2</f>
        <v>600</v>
      </c>
      <c r="H11" s="65">
        <f t="shared" si="2"/>
        <v>600</v>
      </c>
      <c r="I11" s="65">
        <f t="shared" si="2"/>
        <v>600</v>
      </c>
      <c r="J11" s="65">
        <f t="shared" si="2"/>
        <v>600</v>
      </c>
      <c r="K11" s="65">
        <f t="shared" si="2"/>
        <v>600</v>
      </c>
      <c r="L11" s="65">
        <f t="shared" si="2"/>
        <v>600</v>
      </c>
      <c r="M11" s="65">
        <f t="shared" si="2"/>
        <v>600</v>
      </c>
      <c r="N11" s="65">
        <f t="shared" si="2"/>
        <v>600</v>
      </c>
      <c r="O11" s="66">
        <f t="shared" si="2"/>
        <v>600</v>
      </c>
      <c r="P11" s="55">
        <v>1500</v>
      </c>
      <c r="Q11" s="55">
        <v>1500</v>
      </c>
      <c r="R11" s="55">
        <v>1500</v>
      </c>
      <c r="S11" s="55">
        <v>1500</v>
      </c>
      <c r="T11" s="55">
        <v>1500</v>
      </c>
      <c r="U11" s="55">
        <v>1500</v>
      </c>
      <c r="V11" s="55">
        <v>1500</v>
      </c>
      <c r="W11" s="55">
        <v>1500</v>
      </c>
      <c r="X11" s="55">
        <v>1500</v>
      </c>
      <c r="Y11" s="55">
        <v>1500</v>
      </c>
      <c r="Z11" s="55">
        <v>1500</v>
      </c>
      <c r="AA11" s="55">
        <v>1500</v>
      </c>
      <c r="AB11" s="55">
        <v>1500</v>
      </c>
      <c r="AC11" s="65">
        <f t="shared" ref="AC11:AK20" si="3">$R$3</f>
        <v>650</v>
      </c>
      <c r="AD11" s="65">
        <f t="shared" si="3"/>
        <v>650</v>
      </c>
      <c r="AE11" s="65">
        <f t="shared" si="3"/>
        <v>650</v>
      </c>
      <c r="AF11" s="65">
        <f t="shared" si="3"/>
        <v>650</v>
      </c>
      <c r="AG11" s="65">
        <f t="shared" si="3"/>
        <v>650</v>
      </c>
      <c r="AH11" s="65">
        <f t="shared" si="3"/>
        <v>650</v>
      </c>
      <c r="AI11" s="65">
        <f t="shared" si="3"/>
        <v>650</v>
      </c>
      <c r="AJ11" s="65">
        <f t="shared" si="3"/>
        <v>650</v>
      </c>
      <c r="AK11" s="66">
        <f t="shared" si="3"/>
        <v>650</v>
      </c>
      <c r="AL11" s="43">
        <v>55</v>
      </c>
      <c r="AM11" s="26">
        <f t="shared" ref="AM11:AM34" si="4">$B$6*(AL11-1)</f>
        <v>0.5</v>
      </c>
      <c r="AS11">
        <v>0</v>
      </c>
    </row>
    <row r="12" spans="1:45" ht="50.1" customHeight="1" x14ac:dyDescent="0.25">
      <c r="E12" s="25">
        <v>54</v>
      </c>
      <c r="F12" s="54">
        <f t="shared" si="1"/>
        <v>0.4907407407407407</v>
      </c>
      <c r="G12" s="61">
        <f t="shared" si="2"/>
        <v>600</v>
      </c>
      <c r="H12" s="57">
        <f t="shared" si="2"/>
        <v>600</v>
      </c>
      <c r="I12" s="57">
        <f t="shared" si="2"/>
        <v>600</v>
      </c>
      <c r="J12" s="57">
        <f t="shared" si="2"/>
        <v>600</v>
      </c>
      <c r="K12" s="57">
        <f t="shared" si="2"/>
        <v>600</v>
      </c>
      <c r="L12" s="57">
        <f t="shared" si="2"/>
        <v>600</v>
      </c>
      <c r="M12" s="57">
        <f t="shared" si="2"/>
        <v>600</v>
      </c>
      <c r="N12" s="57">
        <f t="shared" si="2"/>
        <v>600</v>
      </c>
      <c r="O12" s="57">
        <f t="shared" si="2"/>
        <v>600</v>
      </c>
      <c r="P12" s="13">
        <v>859.54634507525998</v>
      </c>
      <c r="Q12" s="13">
        <v>869.16328481136759</v>
      </c>
      <c r="R12" s="13">
        <v>876.18886347276145</v>
      </c>
      <c r="S12" s="13">
        <v>881.26954784695772</v>
      </c>
      <c r="T12" s="13">
        <v>884.85440805295013</v>
      </c>
      <c r="U12" s="13">
        <v>887.23377219483507</v>
      </c>
      <c r="V12" s="13">
        <v>888.58278262207227</v>
      </c>
      <c r="W12" s="13">
        <v>888.98663402362388</v>
      </c>
      <c r="X12" s="13">
        <v>888.4521730109152</v>
      </c>
      <c r="Y12" s="13">
        <v>886.90801556412521</v>
      </c>
      <c r="Z12" s="13">
        <v>884.19308014632611</v>
      </c>
      <c r="AA12" s="13">
        <v>880.03136345779672</v>
      </c>
      <c r="AB12" s="13">
        <v>874.02255415875186</v>
      </c>
      <c r="AC12" s="57">
        <f t="shared" si="3"/>
        <v>650</v>
      </c>
      <c r="AD12" s="57">
        <f t="shared" si="3"/>
        <v>650</v>
      </c>
      <c r="AE12" s="57">
        <f t="shared" si="3"/>
        <v>650</v>
      </c>
      <c r="AF12" s="57">
        <f t="shared" si="3"/>
        <v>650</v>
      </c>
      <c r="AG12" s="57">
        <f t="shared" si="3"/>
        <v>650</v>
      </c>
      <c r="AH12" s="57">
        <f t="shared" si="3"/>
        <v>650</v>
      </c>
      <c r="AI12" s="57">
        <f t="shared" si="3"/>
        <v>650</v>
      </c>
      <c r="AJ12" s="57">
        <f t="shared" si="3"/>
        <v>650</v>
      </c>
      <c r="AK12" s="42">
        <f t="shared" si="3"/>
        <v>650</v>
      </c>
      <c r="AL12" s="43">
        <v>54</v>
      </c>
      <c r="AM12" s="26">
        <f t="shared" si="4"/>
        <v>0.4907407407407407</v>
      </c>
    </row>
    <row r="13" spans="1:45" ht="50.1" customHeight="1" x14ac:dyDescent="0.25">
      <c r="E13" s="25">
        <v>53</v>
      </c>
      <c r="F13" s="54">
        <f t="shared" si="1"/>
        <v>0.48148148148148145</v>
      </c>
      <c r="G13" s="61">
        <f t="shared" si="2"/>
        <v>600</v>
      </c>
      <c r="H13" s="57">
        <f t="shared" si="2"/>
        <v>600</v>
      </c>
      <c r="I13" s="57">
        <f t="shared" si="2"/>
        <v>600</v>
      </c>
      <c r="J13" s="57">
        <f t="shared" si="2"/>
        <v>600</v>
      </c>
      <c r="K13" s="57">
        <f t="shared" si="2"/>
        <v>600</v>
      </c>
      <c r="L13" s="57">
        <f t="shared" si="2"/>
        <v>600</v>
      </c>
      <c r="M13" s="57">
        <f t="shared" si="2"/>
        <v>600</v>
      </c>
      <c r="N13" s="57">
        <f t="shared" si="2"/>
        <v>600</v>
      </c>
      <c r="O13" s="57">
        <f t="shared" si="2"/>
        <v>600</v>
      </c>
      <c r="P13" s="13">
        <v>803.5077416137899</v>
      </c>
      <c r="Q13" s="13">
        <v>812.58925072396278</v>
      </c>
      <c r="R13" s="13">
        <v>820.09686477763648</v>
      </c>
      <c r="S13" s="13">
        <v>825.97189159715163</v>
      </c>
      <c r="T13" s="13">
        <v>830.3976937217891</v>
      </c>
      <c r="U13" s="13">
        <v>833.51604172275017</v>
      </c>
      <c r="V13" s="13">
        <v>835.4251502296828</v>
      </c>
      <c r="W13" s="13">
        <v>836.18048051827748</v>
      </c>
      <c r="X13" s="13">
        <v>835.79591211092134</v>
      </c>
      <c r="Y13" s="13">
        <v>834.24492565309356</v>
      </c>
      <c r="Z13" s="13">
        <v>831.4617308617851</v>
      </c>
      <c r="AA13" s="13">
        <v>827.3443156932849</v>
      </c>
      <c r="AB13" s="13">
        <v>822.06288378507429</v>
      </c>
      <c r="AC13" s="57">
        <f t="shared" si="3"/>
        <v>650</v>
      </c>
      <c r="AD13" s="57">
        <f t="shared" si="3"/>
        <v>650</v>
      </c>
      <c r="AE13" s="57">
        <f t="shared" si="3"/>
        <v>650</v>
      </c>
      <c r="AF13" s="57">
        <f t="shared" si="3"/>
        <v>650</v>
      </c>
      <c r="AG13" s="57">
        <f t="shared" si="3"/>
        <v>650</v>
      </c>
      <c r="AH13" s="57">
        <f t="shared" si="3"/>
        <v>650</v>
      </c>
      <c r="AI13" s="57">
        <f t="shared" si="3"/>
        <v>650</v>
      </c>
      <c r="AJ13" s="57">
        <f t="shared" si="3"/>
        <v>650</v>
      </c>
      <c r="AK13" s="42">
        <f t="shared" si="3"/>
        <v>650</v>
      </c>
      <c r="AL13" s="43">
        <v>53</v>
      </c>
      <c r="AM13" s="26">
        <f t="shared" si="4"/>
        <v>0.48148148148148145</v>
      </c>
    </row>
    <row r="14" spans="1:45" ht="50.1" customHeight="1" x14ac:dyDescent="0.25">
      <c r="A14" s="12"/>
      <c r="B14" s="12"/>
      <c r="E14" s="25">
        <v>52</v>
      </c>
      <c r="F14" s="54">
        <f t="shared" si="1"/>
        <v>0.47222222222222221</v>
      </c>
      <c r="G14" s="61">
        <f t="shared" si="2"/>
        <v>600</v>
      </c>
      <c r="H14" s="57">
        <f t="shared" si="2"/>
        <v>600</v>
      </c>
      <c r="I14" s="57">
        <f t="shared" si="2"/>
        <v>600</v>
      </c>
      <c r="J14" s="57">
        <f t="shared" si="2"/>
        <v>600</v>
      </c>
      <c r="K14" s="57">
        <f t="shared" si="2"/>
        <v>600</v>
      </c>
      <c r="L14" s="57">
        <f t="shared" si="2"/>
        <v>600</v>
      </c>
      <c r="M14" s="57">
        <f t="shared" si="2"/>
        <v>600</v>
      </c>
      <c r="N14" s="57">
        <f t="shared" si="2"/>
        <v>600</v>
      </c>
      <c r="O14" s="57">
        <f t="shared" si="2"/>
        <v>600</v>
      </c>
      <c r="P14" s="13">
        <v>764.82425937046457</v>
      </c>
      <c r="Q14" s="13">
        <v>770.31039420965021</v>
      </c>
      <c r="R14" s="13">
        <v>776.9322986289942</v>
      </c>
      <c r="S14" s="13">
        <v>782.34125579824263</v>
      </c>
      <c r="T14" s="13">
        <v>786.58299648986485</v>
      </c>
      <c r="U14" s="13">
        <v>789.70598586536653</v>
      </c>
      <c r="V14" s="13">
        <v>791.74873157236641</v>
      </c>
      <c r="W14" s="13">
        <v>792.73647107129113</v>
      </c>
      <c r="X14" s="13">
        <v>792.67934026588682</v>
      </c>
      <c r="Y14" s="13">
        <v>791.573194211383</v>
      </c>
      <c r="Z14" s="13">
        <v>789.40136957914638</v>
      </c>
      <c r="AA14" s="13">
        <v>786.14636441670575</v>
      </c>
      <c r="AB14" s="13">
        <v>784.40111082120677</v>
      </c>
      <c r="AC14" s="57">
        <f t="shared" si="3"/>
        <v>650</v>
      </c>
      <c r="AD14" s="57">
        <f t="shared" si="3"/>
        <v>650</v>
      </c>
      <c r="AE14" s="57">
        <f t="shared" si="3"/>
        <v>650</v>
      </c>
      <c r="AF14" s="57">
        <f t="shared" si="3"/>
        <v>650</v>
      </c>
      <c r="AG14" s="57">
        <f t="shared" si="3"/>
        <v>650</v>
      </c>
      <c r="AH14" s="57">
        <f t="shared" si="3"/>
        <v>650</v>
      </c>
      <c r="AI14" s="57">
        <f t="shared" si="3"/>
        <v>650</v>
      </c>
      <c r="AJ14" s="57">
        <f t="shared" si="3"/>
        <v>650</v>
      </c>
      <c r="AK14" s="42">
        <f t="shared" si="3"/>
        <v>650</v>
      </c>
      <c r="AL14" s="43">
        <v>52</v>
      </c>
      <c r="AM14" s="26">
        <f t="shared" si="4"/>
        <v>0.47222222222222221</v>
      </c>
    </row>
    <row r="15" spans="1:45" ht="50.1" customHeight="1" x14ac:dyDescent="0.25">
      <c r="E15" s="25">
        <v>51</v>
      </c>
      <c r="F15" s="54">
        <f t="shared" si="1"/>
        <v>0.46296296296296291</v>
      </c>
      <c r="G15" s="61">
        <f t="shared" si="2"/>
        <v>600</v>
      </c>
      <c r="H15" s="57">
        <f t="shared" si="2"/>
        <v>600</v>
      </c>
      <c r="I15" s="57">
        <f t="shared" si="2"/>
        <v>600</v>
      </c>
      <c r="J15" s="57">
        <f t="shared" si="2"/>
        <v>600</v>
      </c>
      <c r="K15" s="57">
        <f t="shared" si="2"/>
        <v>600</v>
      </c>
      <c r="L15" s="57">
        <f t="shared" si="2"/>
        <v>600</v>
      </c>
      <c r="M15" s="57">
        <f t="shared" si="2"/>
        <v>600</v>
      </c>
      <c r="N15" s="57">
        <f t="shared" si="2"/>
        <v>600</v>
      </c>
      <c r="O15" s="57">
        <f t="shared" si="2"/>
        <v>600</v>
      </c>
      <c r="P15" s="13">
        <v>752.12067546091396</v>
      </c>
      <c r="Q15" s="13">
        <v>737.87471476477765</v>
      </c>
      <c r="R15" s="13">
        <v>743.36065502930398</v>
      </c>
      <c r="S15" s="13">
        <v>748.00652111866066</v>
      </c>
      <c r="T15" s="13">
        <v>751.7606691762611</v>
      </c>
      <c r="U15" s="13">
        <v>754.63298470419409</v>
      </c>
      <c r="V15" s="13">
        <v>756.63407778018006</v>
      </c>
      <c r="W15" s="13">
        <v>757.77331440108389</v>
      </c>
      <c r="X15" s="13">
        <v>758.05419674802636</v>
      </c>
      <c r="Y15" s="13">
        <v>757.47780769865585</v>
      </c>
      <c r="Z15" s="13">
        <v>756.04211453265009</v>
      </c>
      <c r="AA15" s="13">
        <v>753.81045238512468</v>
      </c>
      <c r="AB15" s="13">
        <v>773.28463298187353</v>
      </c>
      <c r="AC15" s="57">
        <f t="shared" si="3"/>
        <v>650</v>
      </c>
      <c r="AD15" s="57">
        <f t="shared" si="3"/>
        <v>650</v>
      </c>
      <c r="AE15" s="57">
        <f t="shared" si="3"/>
        <v>650</v>
      </c>
      <c r="AF15" s="57">
        <f t="shared" si="3"/>
        <v>650</v>
      </c>
      <c r="AG15" s="57">
        <f t="shared" si="3"/>
        <v>650</v>
      </c>
      <c r="AH15" s="57">
        <f t="shared" si="3"/>
        <v>650</v>
      </c>
      <c r="AI15" s="57">
        <f t="shared" si="3"/>
        <v>650</v>
      </c>
      <c r="AJ15" s="57">
        <f t="shared" si="3"/>
        <v>650</v>
      </c>
      <c r="AK15" s="42">
        <f t="shared" si="3"/>
        <v>650</v>
      </c>
      <c r="AL15" s="43">
        <v>51</v>
      </c>
      <c r="AM15" s="26">
        <f t="shared" si="4"/>
        <v>0.46296296296296291</v>
      </c>
    </row>
    <row r="16" spans="1:45" ht="50.1" customHeight="1" x14ac:dyDescent="0.25">
      <c r="E16" s="25">
        <v>50</v>
      </c>
      <c r="F16" s="54">
        <f t="shared" si="1"/>
        <v>0.45370370370370366</v>
      </c>
      <c r="G16" s="61">
        <f t="shared" si="2"/>
        <v>600</v>
      </c>
      <c r="H16" s="57">
        <f t="shared" si="2"/>
        <v>600</v>
      </c>
      <c r="I16" s="57">
        <f t="shared" si="2"/>
        <v>600</v>
      </c>
      <c r="J16" s="57">
        <f t="shared" si="2"/>
        <v>600</v>
      </c>
      <c r="K16" s="57">
        <f t="shared" si="2"/>
        <v>600</v>
      </c>
      <c r="L16" s="57">
        <f t="shared" si="2"/>
        <v>600</v>
      </c>
      <c r="M16" s="57">
        <f t="shared" si="2"/>
        <v>600</v>
      </c>
      <c r="N16" s="57">
        <f t="shared" si="2"/>
        <v>600</v>
      </c>
      <c r="O16" s="57">
        <f t="shared" si="2"/>
        <v>600</v>
      </c>
      <c r="P16" s="57">
        <f t="shared" ref="P16:P57" si="5">$R$2</f>
        <v>600</v>
      </c>
      <c r="Q16" s="13">
        <v>712.9933998746485</v>
      </c>
      <c r="R16" s="13">
        <v>717.00279147596234</v>
      </c>
      <c r="S16" s="13">
        <v>720.87578228767802</v>
      </c>
      <c r="T16" s="13">
        <v>724.09934417167392</v>
      </c>
      <c r="U16" s="13">
        <v>726.66572155946267</v>
      </c>
      <c r="V16" s="13">
        <v>728.57514987075956</v>
      </c>
      <c r="W16" s="13">
        <v>729.83730888636239</v>
      </c>
      <c r="X16" s="13">
        <v>730.44707574519794</v>
      </c>
      <c r="Y16" s="13">
        <v>730.41190748380359</v>
      </c>
      <c r="Z16" s="13">
        <v>729.74499944973741</v>
      </c>
      <c r="AA16" s="13">
        <v>729.04898063249402</v>
      </c>
      <c r="AB16" s="57">
        <f t="shared" ref="AB16:AB57" si="6">$R$3</f>
        <v>650</v>
      </c>
      <c r="AC16" s="57">
        <f t="shared" si="3"/>
        <v>650</v>
      </c>
      <c r="AD16" s="57">
        <f t="shared" si="3"/>
        <v>650</v>
      </c>
      <c r="AE16" s="57">
        <f t="shared" si="3"/>
        <v>650</v>
      </c>
      <c r="AF16" s="57">
        <f t="shared" si="3"/>
        <v>650</v>
      </c>
      <c r="AG16" s="57">
        <f t="shared" si="3"/>
        <v>650</v>
      </c>
      <c r="AH16" s="57">
        <f t="shared" si="3"/>
        <v>650</v>
      </c>
      <c r="AI16" s="57">
        <f t="shared" si="3"/>
        <v>650</v>
      </c>
      <c r="AJ16" s="57">
        <f t="shared" si="3"/>
        <v>650</v>
      </c>
      <c r="AK16" s="42">
        <f t="shared" si="3"/>
        <v>650</v>
      </c>
      <c r="AL16" s="43">
        <v>50</v>
      </c>
      <c r="AM16" s="26">
        <f t="shared" si="4"/>
        <v>0.45370370370370366</v>
      </c>
    </row>
    <row r="17" spans="1:39" ht="50.1" customHeight="1" x14ac:dyDescent="0.25">
      <c r="E17" s="25">
        <v>49</v>
      </c>
      <c r="F17" s="54">
        <f t="shared" si="1"/>
        <v>0.44444444444444442</v>
      </c>
      <c r="G17" s="61">
        <f t="shared" si="2"/>
        <v>600</v>
      </c>
      <c r="H17" s="57">
        <f t="shared" si="2"/>
        <v>600</v>
      </c>
      <c r="I17" s="57">
        <f t="shared" si="2"/>
        <v>600</v>
      </c>
      <c r="J17" s="57">
        <f t="shared" si="2"/>
        <v>600</v>
      </c>
      <c r="K17" s="57">
        <f t="shared" si="2"/>
        <v>600</v>
      </c>
      <c r="L17" s="57">
        <f t="shared" si="2"/>
        <v>600</v>
      </c>
      <c r="M17" s="57">
        <f t="shared" si="2"/>
        <v>600</v>
      </c>
      <c r="N17" s="57">
        <f t="shared" si="2"/>
        <v>600</v>
      </c>
      <c r="O17" s="57">
        <f t="shared" si="2"/>
        <v>600</v>
      </c>
      <c r="P17" s="57">
        <f t="shared" si="5"/>
        <v>600</v>
      </c>
      <c r="Q17" s="13">
        <v>704.48210276403586</v>
      </c>
      <c r="R17" s="13">
        <v>699.08365023766646</v>
      </c>
      <c r="S17" s="13">
        <v>700.37018893115726</v>
      </c>
      <c r="T17" s="13">
        <v>702.35450642545118</v>
      </c>
      <c r="U17" s="13">
        <v>704.33743050004568</v>
      </c>
      <c r="V17" s="13">
        <v>706.06447549374582</v>
      </c>
      <c r="W17" s="13">
        <v>707.52873711410894</v>
      </c>
      <c r="X17" s="13">
        <v>708.75024344924907</v>
      </c>
      <c r="Y17" s="13">
        <v>710.03967673528666</v>
      </c>
      <c r="Z17" s="13">
        <v>712.19686760997911</v>
      </c>
      <c r="AA17" s="13">
        <v>722.18182461021968</v>
      </c>
      <c r="AB17" s="57">
        <f t="shared" si="6"/>
        <v>650</v>
      </c>
      <c r="AC17" s="57">
        <f t="shared" si="3"/>
        <v>650</v>
      </c>
      <c r="AD17" s="57">
        <f t="shared" si="3"/>
        <v>650</v>
      </c>
      <c r="AE17" s="57">
        <f t="shared" si="3"/>
        <v>650</v>
      </c>
      <c r="AF17" s="57">
        <f t="shared" si="3"/>
        <v>650</v>
      </c>
      <c r="AG17" s="57">
        <f t="shared" si="3"/>
        <v>650</v>
      </c>
      <c r="AH17" s="57">
        <f t="shared" si="3"/>
        <v>650</v>
      </c>
      <c r="AI17" s="57">
        <f t="shared" si="3"/>
        <v>650</v>
      </c>
      <c r="AJ17" s="57">
        <f t="shared" si="3"/>
        <v>650</v>
      </c>
      <c r="AK17" s="42">
        <f t="shared" si="3"/>
        <v>650</v>
      </c>
      <c r="AL17" s="43">
        <v>49</v>
      </c>
      <c r="AM17" s="26">
        <f t="shared" si="4"/>
        <v>0.44444444444444442</v>
      </c>
    </row>
    <row r="18" spans="1:39" ht="50.1" customHeight="1" x14ac:dyDescent="0.25">
      <c r="A18" s="12"/>
      <c r="B18" s="12"/>
      <c r="E18" s="25">
        <v>48</v>
      </c>
      <c r="F18" s="54">
        <f t="shared" si="1"/>
        <v>0.43518518518518517</v>
      </c>
      <c r="G18" s="61">
        <f t="shared" si="2"/>
        <v>600</v>
      </c>
      <c r="H18" s="57">
        <f t="shared" si="2"/>
        <v>600</v>
      </c>
      <c r="I18" s="57">
        <f t="shared" si="2"/>
        <v>600</v>
      </c>
      <c r="J18" s="57">
        <f t="shared" si="2"/>
        <v>600</v>
      </c>
      <c r="K18" s="57">
        <f t="shared" si="2"/>
        <v>600</v>
      </c>
      <c r="L18" s="57">
        <f t="shared" si="2"/>
        <v>600</v>
      </c>
      <c r="M18" s="57">
        <f t="shared" si="2"/>
        <v>600</v>
      </c>
      <c r="N18" s="57">
        <f t="shared" si="2"/>
        <v>600</v>
      </c>
      <c r="O18" s="57">
        <f t="shared" si="2"/>
        <v>600</v>
      </c>
      <c r="P18" s="57">
        <f t="shared" si="5"/>
        <v>600</v>
      </c>
      <c r="Q18" s="57">
        <f t="shared" ref="Q18:Q56" si="7">$R$2</f>
        <v>600</v>
      </c>
      <c r="R18" s="13">
        <v>692.16085135431865</v>
      </c>
      <c r="S18" s="13">
        <v>682.84839095481436</v>
      </c>
      <c r="T18" s="13">
        <v>682.53432913176357</v>
      </c>
      <c r="U18" s="13">
        <v>684.1786592646165</v>
      </c>
      <c r="V18" s="13">
        <v>685.77650090221289</v>
      </c>
      <c r="W18" s="13">
        <v>687.30078378569385</v>
      </c>
      <c r="X18" s="13">
        <v>688.80668551438885</v>
      </c>
      <c r="Y18" s="13">
        <v>692.70383885585784</v>
      </c>
      <c r="Z18" s="13">
        <v>707.09356469088902</v>
      </c>
      <c r="AA18" s="57">
        <f t="shared" ref="AA18:AA56" si="8">$R$3</f>
        <v>650</v>
      </c>
      <c r="AB18" s="57">
        <f t="shared" si="6"/>
        <v>650</v>
      </c>
      <c r="AC18" s="57">
        <f t="shared" si="3"/>
        <v>650</v>
      </c>
      <c r="AD18" s="57">
        <f t="shared" si="3"/>
        <v>650</v>
      </c>
      <c r="AE18" s="57">
        <f t="shared" si="3"/>
        <v>650</v>
      </c>
      <c r="AF18" s="57">
        <f t="shared" si="3"/>
        <v>650</v>
      </c>
      <c r="AG18" s="57">
        <f t="shared" si="3"/>
        <v>650</v>
      </c>
      <c r="AH18" s="57">
        <f t="shared" si="3"/>
        <v>650</v>
      </c>
      <c r="AI18" s="57">
        <f t="shared" si="3"/>
        <v>650</v>
      </c>
      <c r="AJ18" s="57">
        <f t="shared" si="3"/>
        <v>650</v>
      </c>
      <c r="AK18" s="42">
        <f t="shared" si="3"/>
        <v>650</v>
      </c>
      <c r="AL18" s="43">
        <v>48</v>
      </c>
      <c r="AM18" s="26">
        <f t="shared" si="4"/>
        <v>0.43518518518518517</v>
      </c>
    </row>
    <row r="19" spans="1:39" ht="50.1" customHeight="1" x14ac:dyDescent="0.25">
      <c r="E19" s="25">
        <v>47</v>
      </c>
      <c r="F19" s="54">
        <f t="shared" si="1"/>
        <v>0.42592592592592593</v>
      </c>
      <c r="G19" s="61">
        <f t="shared" si="2"/>
        <v>600</v>
      </c>
      <c r="H19" s="57">
        <f t="shared" si="2"/>
        <v>600</v>
      </c>
      <c r="I19" s="57">
        <f t="shared" si="2"/>
        <v>600</v>
      </c>
      <c r="J19" s="57">
        <f t="shared" si="2"/>
        <v>600</v>
      </c>
      <c r="K19" s="57">
        <f t="shared" si="2"/>
        <v>600</v>
      </c>
      <c r="L19" s="57">
        <f t="shared" si="2"/>
        <v>600</v>
      </c>
      <c r="M19" s="57">
        <f t="shared" si="2"/>
        <v>600</v>
      </c>
      <c r="N19" s="57">
        <f t="shared" si="2"/>
        <v>600</v>
      </c>
      <c r="O19" s="57">
        <f t="shared" si="2"/>
        <v>600</v>
      </c>
      <c r="P19" s="57">
        <f t="shared" si="5"/>
        <v>600</v>
      </c>
      <c r="Q19" s="57">
        <f t="shared" si="7"/>
        <v>600</v>
      </c>
      <c r="R19" s="57">
        <f t="shared" ref="R19:R54" si="9">$R$2</f>
        <v>600</v>
      </c>
      <c r="S19" s="13">
        <v>676.74646386584845</v>
      </c>
      <c r="T19" s="13">
        <v>662.26854861092465</v>
      </c>
      <c r="U19" s="13">
        <v>664.18068560586539</v>
      </c>
      <c r="V19" s="13">
        <v>665.79452379761346</v>
      </c>
      <c r="W19" s="13">
        <v>667.00480432580821</v>
      </c>
      <c r="X19" s="13">
        <v>667.94591593376686</v>
      </c>
      <c r="Y19" s="13">
        <v>688.55398490706852</v>
      </c>
      <c r="Z19" s="57">
        <f t="shared" ref="Z19:Z54" si="10">$R$3</f>
        <v>650</v>
      </c>
      <c r="AA19" s="57">
        <f t="shared" si="8"/>
        <v>650</v>
      </c>
      <c r="AB19" s="57">
        <f t="shared" si="6"/>
        <v>650</v>
      </c>
      <c r="AC19" s="57">
        <f t="shared" si="3"/>
        <v>650</v>
      </c>
      <c r="AD19" s="57">
        <f t="shared" si="3"/>
        <v>650</v>
      </c>
      <c r="AE19" s="57">
        <f t="shared" si="3"/>
        <v>650</v>
      </c>
      <c r="AF19" s="57">
        <f t="shared" si="3"/>
        <v>650</v>
      </c>
      <c r="AG19" s="57">
        <f t="shared" si="3"/>
        <v>650</v>
      </c>
      <c r="AH19" s="57">
        <f t="shared" si="3"/>
        <v>650</v>
      </c>
      <c r="AI19" s="57">
        <f t="shared" si="3"/>
        <v>650</v>
      </c>
      <c r="AJ19" s="57">
        <f t="shared" si="3"/>
        <v>650</v>
      </c>
      <c r="AK19" s="42">
        <f t="shared" si="3"/>
        <v>650</v>
      </c>
      <c r="AL19" s="43">
        <v>47</v>
      </c>
      <c r="AM19" s="26">
        <f t="shared" si="4"/>
        <v>0.42592592592592593</v>
      </c>
    </row>
    <row r="20" spans="1:39" ht="50.1" customHeight="1" x14ac:dyDescent="0.25">
      <c r="E20" s="25">
        <v>46</v>
      </c>
      <c r="F20" s="54">
        <f t="shared" si="1"/>
        <v>0.41666666666666663</v>
      </c>
      <c r="G20" s="61">
        <f t="shared" si="2"/>
        <v>600</v>
      </c>
      <c r="H20" s="57">
        <f t="shared" si="2"/>
        <v>600</v>
      </c>
      <c r="I20" s="57">
        <f t="shared" si="2"/>
        <v>600</v>
      </c>
      <c r="J20" s="57">
        <f t="shared" si="2"/>
        <v>600</v>
      </c>
      <c r="K20" s="57">
        <f t="shared" si="2"/>
        <v>600</v>
      </c>
      <c r="L20" s="57">
        <f t="shared" si="2"/>
        <v>600</v>
      </c>
      <c r="M20" s="57">
        <f t="shared" si="2"/>
        <v>600</v>
      </c>
      <c r="N20" s="57">
        <f t="shared" si="2"/>
        <v>600</v>
      </c>
      <c r="O20" s="57">
        <f t="shared" si="2"/>
        <v>600</v>
      </c>
      <c r="P20" s="57">
        <f t="shared" si="5"/>
        <v>600</v>
      </c>
      <c r="Q20" s="57">
        <f t="shared" si="7"/>
        <v>600</v>
      </c>
      <c r="R20" s="57">
        <f t="shared" si="9"/>
        <v>600</v>
      </c>
      <c r="S20" s="57">
        <f t="shared" ref="S20:S52" si="11">$R$2</f>
        <v>600</v>
      </c>
      <c r="T20" s="13">
        <v>647.0168756916845</v>
      </c>
      <c r="U20" s="13">
        <v>648.01986162198023</v>
      </c>
      <c r="V20" s="13">
        <v>649.55438836132794</v>
      </c>
      <c r="W20" s="13">
        <v>650.64736915015612</v>
      </c>
      <c r="X20" s="13">
        <v>652.5815197959065</v>
      </c>
      <c r="Y20" s="57">
        <f t="shared" ref="Y20:Y52" si="12">$R$3</f>
        <v>650</v>
      </c>
      <c r="Z20" s="57">
        <f t="shared" si="10"/>
        <v>650</v>
      </c>
      <c r="AA20" s="57">
        <f t="shared" si="8"/>
        <v>650</v>
      </c>
      <c r="AB20" s="57">
        <f t="shared" si="6"/>
        <v>650</v>
      </c>
      <c r="AC20" s="57">
        <f t="shared" si="3"/>
        <v>650</v>
      </c>
      <c r="AD20" s="57">
        <f t="shared" si="3"/>
        <v>650</v>
      </c>
      <c r="AE20" s="57">
        <f t="shared" si="3"/>
        <v>650</v>
      </c>
      <c r="AF20" s="57">
        <f t="shared" si="3"/>
        <v>650</v>
      </c>
      <c r="AG20" s="57">
        <f t="shared" si="3"/>
        <v>650</v>
      </c>
      <c r="AH20" s="57">
        <f t="shared" si="3"/>
        <v>650</v>
      </c>
      <c r="AI20" s="57">
        <f t="shared" si="3"/>
        <v>650</v>
      </c>
      <c r="AJ20" s="57">
        <f t="shared" si="3"/>
        <v>650</v>
      </c>
      <c r="AK20" s="42">
        <f t="shared" si="3"/>
        <v>650</v>
      </c>
      <c r="AL20" s="43">
        <v>46</v>
      </c>
      <c r="AM20" s="26">
        <f t="shared" si="4"/>
        <v>0.41666666666666663</v>
      </c>
    </row>
    <row r="21" spans="1:39" ht="50.1" customHeight="1" x14ac:dyDescent="0.25">
      <c r="E21" s="25">
        <v>45</v>
      </c>
      <c r="F21" s="54">
        <f t="shared" si="1"/>
        <v>0.40740740740740738</v>
      </c>
      <c r="G21" s="61">
        <f t="shared" ref="G21:O30" si="13">$R$2</f>
        <v>600</v>
      </c>
      <c r="H21" s="57">
        <f t="shared" si="13"/>
        <v>600</v>
      </c>
      <c r="I21" s="57">
        <f t="shared" si="13"/>
        <v>600</v>
      </c>
      <c r="J21" s="57">
        <f t="shared" si="13"/>
        <v>600</v>
      </c>
      <c r="K21" s="57">
        <f t="shared" si="13"/>
        <v>600</v>
      </c>
      <c r="L21" s="57">
        <f t="shared" si="13"/>
        <v>600</v>
      </c>
      <c r="M21" s="57">
        <f t="shared" si="13"/>
        <v>600</v>
      </c>
      <c r="N21" s="57">
        <f t="shared" si="13"/>
        <v>600</v>
      </c>
      <c r="O21" s="57">
        <f t="shared" si="13"/>
        <v>600</v>
      </c>
      <c r="P21" s="57">
        <f t="shared" si="5"/>
        <v>600</v>
      </c>
      <c r="Q21" s="57">
        <f t="shared" si="7"/>
        <v>600</v>
      </c>
      <c r="R21" s="57">
        <f t="shared" si="9"/>
        <v>600</v>
      </c>
      <c r="S21" s="57">
        <f t="shared" si="11"/>
        <v>600</v>
      </c>
      <c r="T21" s="13">
        <v>642.86625996523753</v>
      </c>
      <c r="U21" s="13">
        <v>635.94449078453135</v>
      </c>
      <c r="V21" s="13">
        <v>637.28384176713564</v>
      </c>
      <c r="W21" s="13">
        <v>638.43258304000506</v>
      </c>
      <c r="X21" s="13">
        <v>650.55010955352407</v>
      </c>
      <c r="Y21" s="57">
        <f t="shared" si="12"/>
        <v>650</v>
      </c>
      <c r="Z21" s="57">
        <f t="shared" si="10"/>
        <v>650</v>
      </c>
      <c r="AA21" s="57">
        <f t="shared" si="8"/>
        <v>650</v>
      </c>
      <c r="AB21" s="57">
        <f t="shared" si="6"/>
        <v>650</v>
      </c>
      <c r="AC21" s="57">
        <f t="shared" ref="AC21:AK30" si="14">$R$3</f>
        <v>650</v>
      </c>
      <c r="AD21" s="57">
        <f t="shared" si="14"/>
        <v>650</v>
      </c>
      <c r="AE21" s="57">
        <f t="shared" si="14"/>
        <v>650</v>
      </c>
      <c r="AF21" s="57">
        <f t="shared" si="14"/>
        <v>650</v>
      </c>
      <c r="AG21" s="57">
        <f t="shared" si="14"/>
        <v>650</v>
      </c>
      <c r="AH21" s="57">
        <f t="shared" si="14"/>
        <v>650</v>
      </c>
      <c r="AI21" s="57">
        <f t="shared" si="14"/>
        <v>650</v>
      </c>
      <c r="AJ21" s="57">
        <f t="shared" si="14"/>
        <v>650</v>
      </c>
      <c r="AK21" s="42">
        <f t="shared" si="14"/>
        <v>650</v>
      </c>
      <c r="AL21" s="43">
        <v>45</v>
      </c>
      <c r="AM21" s="26">
        <f t="shared" si="4"/>
        <v>0.40740740740740738</v>
      </c>
    </row>
    <row r="22" spans="1:39" ht="50.1" customHeight="1" x14ac:dyDescent="0.25">
      <c r="E22" s="25">
        <v>44</v>
      </c>
      <c r="F22" s="54">
        <f t="shared" si="1"/>
        <v>0.39814814814814814</v>
      </c>
      <c r="G22" s="61">
        <f t="shared" si="13"/>
        <v>600</v>
      </c>
      <c r="H22" s="57">
        <f t="shared" si="13"/>
        <v>600</v>
      </c>
      <c r="I22" s="57">
        <f t="shared" si="13"/>
        <v>600</v>
      </c>
      <c r="J22" s="57">
        <f t="shared" si="13"/>
        <v>600</v>
      </c>
      <c r="K22" s="57">
        <f t="shared" si="13"/>
        <v>600</v>
      </c>
      <c r="L22" s="57">
        <f t="shared" si="13"/>
        <v>600</v>
      </c>
      <c r="M22" s="57">
        <f t="shared" si="13"/>
        <v>600</v>
      </c>
      <c r="N22" s="57">
        <f t="shared" si="13"/>
        <v>600</v>
      </c>
      <c r="O22" s="57">
        <f t="shared" si="13"/>
        <v>600</v>
      </c>
      <c r="P22" s="57">
        <f t="shared" si="5"/>
        <v>600</v>
      </c>
      <c r="Q22" s="57">
        <f t="shared" si="7"/>
        <v>600</v>
      </c>
      <c r="R22" s="57">
        <f t="shared" si="9"/>
        <v>600</v>
      </c>
      <c r="S22" s="57">
        <f t="shared" si="11"/>
        <v>600</v>
      </c>
      <c r="T22" s="57">
        <f t="shared" ref="T22:T49" si="15">$R$2</f>
        <v>600</v>
      </c>
      <c r="U22" s="13">
        <v>626.23690314949886</v>
      </c>
      <c r="V22" s="13">
        <v>627.20526574218331</v>
      </c>
      <c r="W22" s="13">
        <v>628.67361362743827</v>
      </c>
      <c r="X22" s="57">
        <f t="shared" ref="X22:X49" si="16">$R$3</f>
        <v>650</v>
      </c>
      <c r="Y22" s="57">
        <f t="shared" si="12"/>
        <v>650</v>
      </c>
      <c r="Z22" s="57">
        <f t="shared" si="10"/>
        <v>650</v>
      </c>
      <c r="AA22" s="57">
        <f t="shared" si="8"/>
        <v>650</v>
      </c>
      <c r="AB22" s="57">
        <f t="shared" si="6"/>
        <v>650</v>
      </c>
      <c r="AC22" s="57">
        <f t="shared" si="14"/>
        <v>650</v>
      </c>
      <c r="AD22" s="57">
        <f t="shared" si="14"/>
        <v>650</v>
      </c>
      <c r="AE22" s="57">
        <f t="shared" si="14"/>
        <v>650</v>
      </c>
      <c r="AF22" s="57">
        <f t="shared" si="14"/>
        <v>650</v>
      </c>
      <c r="AG22" s="57">
        <f t="shared" si="14"/>
        <v>650</v>
      </c>
      <c r="AH22" s="57">
        <f t="shared" si="14"/>
        <v>650</v>
      </c>
      <c r="AI22" s="57">
        <f t="shared" si="14"/>
        <v>650</v>
      </c>
      <c r="AJ22" s="57">
        <f t="shared" si="14"/>
        <v>650</v>
      </c>
      <c r="AK22" s="42">
        <f t="shared" si="14"/>
        <v>650</v>
      </c>
      <c r="AL22" s="43">
        <v>44</v>
      </c>
      <c r="AM22" s="26">
        <f t="shared" si="4"/>
        <v>0.39814814814814814</v>
      </c>
    </row>
    <row r="23" spans="1:39" ht="50.1" customHeight="1" x14ac:dyDescent="0.25">
      <c r="A23" s="12"/>
      <c r="B23" s="12"/>
      <c r="E23" s="25">
        <v>43</v>
      </c>
      <c r="F23" s="54">
        <f t="shared" si="1"/>
        <v>0.38888888888888884</v>
      </c>
      <c r="G23" s="61">
        <f t="shared" si="13"/>
        <v>600</v>
      </c>
      <c r="H23" s="57">
        <f t="shared" si="13"/>
        <v>600</v>
      </c>
      <c r="I23" s="57">
        <f t="shared" si="13"/>
        <v>600</v>
      </c>
      <c r="J23" s="57">
        <f t="shared" si="13"/>
        <v>600</v>
      </c>
      <c r="K23" s="57">
        <f t="shared" si="13"/>
        <v>600</v>
      </c>
      <c r="L23" s="57">
        <f t="shared" si="13"/>
        <v>600</v>
      </c>
      <c r="M23" s="57">
        <f t="shared" si="13"/>
        <v>600</v>
      </c>
      <c r="N23" s="57">
        <f t="shared" si="13"/>
        <v>600</v>
      </c>
      <c r="O23" s="57">
        <f t="shared" si="13"/>
        <v>600</v>
      </c>
      <c r="P23" s="57">
        <f t="shared" si="5"/>
        <v>600</v>
      </c>
      <c r="Q23" s="57">
        <f t="shared" si="7"/>
        <v>600</v>
      </c>
      <c r="R23" s="57">
        <f t="shared" si="9"/>
        <v>600</v>
      </c>
      <c r="S23" s="57">
        <f t="shared" si="11"/>
        <v>600</v>
      </c>
      <c r="T23" s="57">
        <f t="shared" si="15"/>
        <v>600</v>
      </c>
      <c r="U23" s="13">
        <v>620.13947562367366</v>
      </c>
      <c r="V23" s="13">
        <v>620.95646634281195</v>
      </c>
      <c r="W23" s="13">
        <v>622.50123759959911</v>
      </c>
      <c r="X23" s="57">
        <f t="shared" si="16"/>
        <v>650</v>
      </c>
      <c r="Y23" s="57">
        <f t="shared" si="12"/>
        <v>650</v>
      </c>
      <c r="Z23" s="57">
        <f t="shared" si="10"/>
        <v>650</v>
      </c>
      <c r="AA23" s="57">
        <f t="shared" si="8"/>
        <v>650</v>
      </c>
      <c r="AB23" s="57">
        <f t="shared" si="6"/>
        <v>650</v>
      </c>
      <c r="AC23" s="57">
        <f t="shared" si="14"/>
        <v>650</v>
      </c>
      <c r="AD23" s="57">
        <f t="shared" si="14"/>
        <v>650</v>
      </c>
      <c r="AE23" s="57">
        <f t="shared" si="14"/>
        <v>650</v>
      </c>
      <c r="AF23" s="57">
        <f t="shared" si="14"/>
        <v>650</v>
      </c>
      <c r="AG23" s="57">
        <f t="shared" si="14"/>
        <v>650</v>
      </c>
      <c r="AH23" s="57">
        <f t="shared" si="14"/>
        <v>650</v>
      </c>
      <c r="AI23" s="57">
        <f t="shared" si="14"/>
        <v>650</v>
      </c>
      <c r="AJ23" s="57">
        <f t="shared" si="14"/>
        <v>650</v>
      </c>
      <c r="AK23" s="42">
        <f t="shared" si="14"/>
        <v>650</v>
      </c>
      <c r="AL23" s="43">
        <v>43</v>
      </c>
      <c r="AM23" s="26">
        <f t="shared" si="4"/>
        <v>0.38888888888888884</v>
      </c>
    </row>
    <row r="24" spans="1:39" ht="50.1" customHeight="1" x14ac:dyDescent="0.25">
      <c r="E24" s="25">
        <v>42</v>
      </c>
      <c r="F24" s="54">
        <f t="shared" si="1"/>
        <v>0.37962962962962959</v>
      </c>
      <c r="G24" s="61">
        <f t="shared" si="13"/>
        <v>600</v>
      </c>
      <c r="H24" s="57">
        <f t="shared" si="13"/>
        <v>600</v>
      </c>
      <c r="I24" s="57">
        <f t="shared" si="13"/>
        <v>600</v>
      </c>
      <c r="J24" s="57">
        <f t="shared" si="13"/>
        <v>600</v>
      </c>
      <c r="K24" s="57">
        <f t="shared" si="13"/>
        <v>600</v>
      </c>
      <c r="L24" s="57">
        <f t="shared" si="13"/>
        <v>600</v>
      </c>
      <c r="M24" s="57">
        <f t="shared" si="13"/>
        <v>600</v>
      </c>
      <c r="N24" s="57">
        <f t="shared" si="13"/>
        <v>600</v>
      </c>
      <c r="O24" s="57">
        <f t="shared" si="13"/>
        <v>600</v>
      </c>
      <c r="P24" s="57">
        <f t="shared" si="5"/>
        <v>600</v>
      </c>
      <c r="Q24" s="57">
        <f t="shared" si="7"/>
        <v>600</v>
      </c>
      <c r="R24" s="57">
        <f t="shared" si="9"/>
        <v>600</v>
      </c>
      <c r="S24" s="57">
        <f t="shared" si="11"/>
        <v>600</v>
      </c>
      <c r="T24" s="57">
        <f t="shared" si="15"/>
        <v>600</v>
      </c>
      <c r="U24" s="13">
        <v>616.36519318919954</v>
      </c>
      <c r="V24" s="13">
        <v>617.09783117015786</v>
      </c>
      <c r="W24" s="13">
        <v>618.6756707893112</v>
      </c>
      <c r="X24" s="57">
        <f t="shared" si="16"/>
        <v>650</v>
      </c>
      <c r="Y24" s="57">
        <f t="shared" si="12"/>
        <v>650</v>
      </c>
      <c r="Z24" s="57">
        <f t="shared" si="10"/>
        <v>650</v>
      </c>
      <c r="AA24" s="57">
        <f t="shared" si="8"/>
        <v>650</v>
      </c>
      <c r="AB24" s="57">
        <f t="shared" si="6"/>
        <v>650</v>
      </c>
      <c r="AC24" s="57">
        <f t="shared" si="14"/>
        <v>650</v>
      </c>
      <c r="AD24" s="57">
        <f t="shared" si="14"/>
        <v>650</v>
      </c>
      <c r="AE24" s="57">
        <f t="shared" si="14"/>
        <v>650</v>
      </c>
      <c r="AF24" s="57">
        <f t="shared" si="14"/>
        <v>650</v>
      </c>
      <c r="AG24" s="57">
        <f t="shared" si="14"/>
        <v>650</v>
      </c>
      <c r="AH24" s="57">
        <f t="shared" si="14"/>
        <v>650</v>
      </c>
      <c r="AI24" s="57">
        <f t="shared" si="14"/>
        <v>650</v>
      </c>
      <c r="AJ24" s="57">
        <f t="shared" si="14"/>
        <v>650</v>
      </c>
      <c r="AK24" s="42">
        <f t="shared" si="14"/>
        <v>650</v>
      </c>
      <c r="AL24" s="43">
        <v>42</v>
      </c>
      <c r="AM24" s="26">
        <f t="shared" si="4"/>
        <v>0.37962962962962959</v>
      </c>
    </row>
    <row r="25" spans="1:39" ht="50.1" customHeight="1" x14ac:dyDescent="0.25">
      <c r="E25" s="25">
        <v>41</v>
      </c>
      <c r="F25" s="54">
        <f t="shared" si="1"/>
        <v>0.37037037037037035</v>
      </c>
      <c r="G25" s="61">
        <f t="shared" si="13"/>
        <v>600</v>
      </c>
      <c r="H25" s="57">
        <f t="shared" si="13"/>
        <v>600</v>
      </c>
      <c r="I25" s="57">
        <f t="shared" si="13"/>
        <v>600</v>
      </c>
      <c r="J25" s="57">
        <f t="shared" si="13"/>
        <v>600</v>
      </c>
      <c r="K25" s="57">
        <f t="shared" si="13"/>
        <v>600</v>
      </c>
      <c r="L25" s="57">
        <f t="shared" si="13"/>
        <v>600</v>
      </c>
      <c r="M25" s="57">
        <f t="shared" si="13"/>
        <v>600</v>
      </c>
      <c r="N25" s="57">
        <f t="shared" si="13"/>
        <v>600</v>
      </c>
      <c r="O25" s="57">
        <f t="shared" si="13"/>
        <v>600</v>
      </c>
      <c r="P25" s="57">
        <f t="shared" si="5"/>
        <v>600</v>
      </c>
      <c r="Q25" s="57">
        <f t="shared" si="7"/>
        <v>600</v>
      </c>
      <c r="R25" s="57">
        <f t="shared" si="9"/>
        <v>600</v>
      </c>
      <c r="S25" s="57">
        <f t="shared" si="11"/>
        <v>600</v>
      </c>
      <c r="T25" s="57">
        <f t="shared" si="15"/>
        <v>600</v>
      </c>
      <c r="U25" s="13">
        <v>614.03702674521173</v>
      </c>
      <c r="V25" s="13">
        <v>614.71871753049913</v>
      </c>
      <c r="W25" s="13">
        <v>616.3153012718825</v>
      </c>
      <c r="X25" s="57">
        <f t="shared" si="16"/>
        <v>650</v>
      </c>
      <c r="Y25" s="57">
        <f t="shared" si="12"/>
        <v>650</v>
      </c>
      <c r="Z25" s="57">
        <f t="shared" si="10"/>
        <v>650</v>
      </c>
      <c r="AA25" s="57">
        <f t="shared" si="8"/>
        <v>650</v>
      </c>
      <c r="AB25" s="57">
        <f t="shared" si="6"/>
        <v>650</v>
      </c>
      <c r="AC25" s="57">
        <f t="shared" si="14"/>
        <v>650</v>
      </c>
      <c r="AD25" s="57">
        <f t="shared" si="14"/>
        <v>650</v>
      </c>
      <c r="AE25" s="57">
        <f t="shared" si="14"/>
        <v>650</v>
      </c>
      <c r="AF25" s="57">
        <f t="shared" si="14"/>
        <v>650</v>
      </c>
      <c r="AG25" s="57">
        <f t="shared" si="14"/>
        <v>650</v>
      </c>
      <c r="AH25" s="57">
        <f t="shared" si="14"/>
        <v>650</v>
      </c>
      <c r="AI25" s="57">
        <f t="shared" si="14"/>
        <v>650</v>
      </c>
      <c r="AJ25" s="57">
        <f t="shared" si="14"/>
        <v>650</v>
      </c>
      <c r="AK25" s="42">
        <f t="shared" si="14"/>
        <v>650</v>
      </c>
      <c r="AL25" s="43">
        <v>41</v>
      </c>
      <c r="AM25" s="26">
        <f t="shared" si="4"/>
        <v>0.37037037037037035</v>
      </c>
    </row>
    <row r="26" spans="1:39" ht="50.1" customHeight="1" x14ac:dyDescent="0.25">
      <c r="D26" t="s">
        <v>48</v>
      </c>
      <c r="E26" s="25">
        <v>40</v>
      </c>
      <c r="F26" s="54">
        <f t="shared" si="1"/>
        <v>0.3611111111111111</v>
      </c>
      <c r="G26" s="61">
        <f t="shared" si="13"/>
        <v>600</v>
      </c>
      <c r="H26" s="57">
        <f t="shared" si="13"/>
        <v>600</v>
      </c>
      <c r="I26" s="57">
        <f t="shared" si="13"/>
        <v>600</v>
      </c>
      <c r="J26" s="57">
        <f t="shared" si="13"/>
        <v>600</v>
      </c>
      <c r="K26" s="57">
        <f t="shared" si="13"/>
        <v>600</v>
      </c>
      <c r="L26" s="57">
        <f t="shared" si="13"/>
        <v>600</v>
      </c>
      <c r="M26" s="57">
        <f t="shared" si="13"/>
        <v>600</v>
      </c>
      <c r="N26" s="57">
        <f t="shared" si="13"/>
        <v>600</v>
      </c>
      <c r="O26" s="57">
        <f t="shared" si="13"/>
        <v>600</v>
      </c>
      <c r="P26" s="57">
        <f t="shared" si="5"/>
        <v>600</v>
      </c>
      <c r="Q26" s="57">
        <f t="shared" si="7"/>
        <v>600</v>
      </c>
      <c r="R26" s="57">
        <f t="shared" si="9"/>
        <v>600</v>
      </c>
      <c r="S26" s="57">
        <f t="shared" si="11"/>
        <v>600</v>
      </c>
      <c r="T26" s="57">
        <f t="shared" si="15"/>
        <v>600</v>
      </c>
      <c r="U26" s="13">
        <v>612.60397739617986</v>
      </c>
      <c r="V26" s="13">
        <v>613.25443516013115</v>
      </c>
      <c r="W26" s="13">
        <v>614.86236392791739</v>
      </c>
      <c r="X26" s="57">
        <f t="shared" si="16"/>
        <v>650</v>
      </c>
      <c r="Y26" s="57">
        <f t="shared" si="12"/>
        <v>650</v>
      </c>
      <c r="Z26" s="57">
        <f t="shared" si="10"/>
        <v>650</v>
      </c>
      <c r="AA26" s="57">
        <f t="shared" si="8"/>
        <v>650</v>
      </c>
      <c r="AB26" s="57">
        <f t="shared" si="6"/>
        <v>650</v>
      </c>
      <c r="AC26" s="57">
        <f t="shared" si="14"/>
        <v>650</v>
      </c>
      <c r="AD26" s="57">
        <f t="shared" si="14"/>
        <v>650</v>
      </c>
      <c r="AE26" s="57">
        <f t="shared" si="14"/>
        <v>650</v>
      </c>
      <c r="AF26" s="57">
        <f t="shared" si="14"/>
        <v>650</v>
      </c>
      <c r="AG26" s="57">
        <f t="shared" si="14"/>
        <v>650</v>
      </c>
      <c r="AH26" s="57">
        <f t="shared" si="14"/>
        <v>650</v>
      </c>
      <c r="AI26" s="57">
        <f t="shared" si="14"/>
        <v>650</v>
      </c>
      <c r="AJ26" s="57">
        <f t="shared" si="14"/>
        <v>650</v>
      </c>
      <c r="AK26" s="42">
        <f t="shared" si="14"/>
        <v>650</v>
      </c>
      <c r="AL26" s="43">
        <v>40</v>
      </c>
      <c r="AM26" s="26">
        <f t="shared" si="4"/>
        <v>0.3611111111111111</v>
      </c>
    </row>
    <row r="27" spans="1:39" ht="50.1" customHeight="1" x14ac:dyDescent="0.25">
      <c r="E27" s="25">
        <v>39</v>
      </c>
      <c r="F27" s="54">
        <f t="shared" si="1"/>
        <v>0.35185185185185186</v>
      </c>
      <c r="G27" s="61">
        <f t="shared" si="13"/>
        <v>600</v>
      </c>
      <c r="H27" s="57">
        <f t="shared" si="13"/>
        <v>600</v>
      </c>
      <c r="I27" s="57">
        <f t="shared" si="13"/>
        <v>600</v>
      </c>
      <c r="J27" s="57">
        <f t="shared" si="13"/>
        <v>600</v>
      </c>
      <c r="K27" s="57">
        <f t="shared" si="13"/>
        <v>600</v>
      </c>
      <c r="L27" s="57">
        <f t="shared" si="13"/>
        <v>600</v>
      </c>
      <c r="M27" s="57">
        <f t="shared" si="13"/>
        <v>600</v>
      </c>
      <c r="N27" s="57">
        <f t="shared" si="13"/>
        <v>600</v>
      </c>
      <c r="O27" s="57">
        <f t="shared" si="13"/>
        <v>600</v>
      </c>
      <c r="P27" s="57">
        <f t="shared" si="5"/>
        <v>600</v>
      </c>
      <c r="Q27" s="57">
        <f t="shared" si="7"/>
        <v>600</v>
      </c>
      <c r="R27" s="57">
        <f t="shared" si="9"/>
        <v>600</v>
      </c>
      <c r="S27" s="57">
        <f t="shared" si="11"/>
        <v>600</v>
      </c>
      <c r="T27" s="57">
        <f t="shared" si="15"/>
        <v>600</v>
      </c>
      <c r="U27" s="13">
        <v>611.72378728212061</v>
      </c>
      <c r="V27" s="13">
        <v>612.35507618399197</v>
      </c>
      <c r="W27" s="13">
        <v>613.96995075597374</v>
      </c>
      <c r="X27" s="57">
        <f t="shared" si="16"/>
        <v>650</v>
      </c>
      <c r="Y27" s="57">
        <f t="shared" si="12"/>
        <v>650</v>
      </c>
      <c r="Z27" s="57">
        <f t="shared" si="10"/>
        <v>650</v>
      </c>
      <c r="AA27" s="57">
        <f t="shared" si="8"/>
        <v>650</v>
      </c>
      <c r="AB27" s="57">
        <f t="shared" si="6"/>
        <v>650</v>
      </c>
      <c r="AC27" s="57">
        <f t="shared" si="14"/>
        <v>650</v>
      </c>
      <c r="AD27" s="57">
        <f t="shared" si="14"/>
        <v>650</v>
      </c>
      <c r="AE27" s="57">
        <f t="shared" si="14"/>
        <v>650</v>
      </c>
      <c r="AF27" s="57">
        <f t="shared" si="14"/>
        <v>650</v>
      </c>
      <c r="AG27" s="57">
        <f t="shared" si="14"/>
        <v>650</v>
      </c>
      <c r="AH27" s="57">
        <f t="shared" si="14"/>
        <v>650</v>
      </c>
      <c r="AI27" s="57">
        <f t="shared" si="14"/>
        <v>650</v>
      </c>
      <c r="AJ27" s="57">
        <f t="shared" si="14"/>
        <v>650</v>
      </c>
      <c r="AK27" s="42">
        <f t="shared" si="14"/>
        <v>650</v>
      </c>
      <c r="AL27" s="43">
        <v>39</v>
      </c>
      <c r="AM27" s="26">
        <f t="shared" si="4"/>
        <v>0.35185185185185186</v>
      </c>
    </row>
    <row r="28" spans="1:39" ht="50.1" customHeight="1" x14ac:dyDescent="0.25">
      <c r="E28" s="25">
        <v>38</v>
      </c>
      <c r="F28" s="54">
        <f t="shared" si="1"/>
        <v>0.34259259259259256</v>
      </c>
      <c r="G28" s="61">
        <f t="shared" si="13"/>
        <v>600</v>
      </c>
      <c r="H28" s="57">
        <f t="shared" si="13"/>
        <v>600</v>
      </c>
      <c r="I28" s="57">
        <f t="shared" si="13"/>
        <v>600</v>
      </c>
      <c r="J28" s="57">
        <f t="shared" si="13"/>
        <v>600</v>
      </c>
      <c r="K28" s="57">
        <f t="shared" si="13"/>
        <v>600</v>
      </c>
      <c r="L28" s="57">
        <f t="shared" si="13"/>
        <v>600</v>
      </c>
      <c r="M28" s="57">
        <f t="shared" si="13"/>
        <v>600</v>
      </c>
      <c r="N28" s="57">
        <f t="shared" si="13"/>
        <v>600</v>
      </c>
      <c r="O28" s="57">
        <f t="shared" si="13"/>
        <v>600</v>
      </c>
      <c r="P28" s="57">
        <f t="shared" si="5"/>
        <v>600</v>
      </c>
      <c r="Q28" s="57">
        <f t="shared" si="7"/>
        <v>600</v>
      </c>
      <c r="R28" s="57">
        <f t="shared" si="9"/>
        <v>600</v>
      </c>
      <c r="S28" s="57">
        <f t="shared" si="11"/>
        <v>600</v>
      </c>
      <c r="T28" s="57">
        <f t="shared" si="15"/>
        <v>600</v>
      </c>
      <c r="U28" s="13">
        <v>611.184462108042</v>
      </c>
      <c r="V28" s="13">
        <v>611.80400724671131</v>
      </c>
      <c r="W28" s="13">
        <v>613.42313516505988</v>
      </c>
      <c r="X28" s="57">
        <f t="shared" si="16"/>
        <v>650</v>
      </c>
      <c r="Y28" s="57">
        <f t="shared" si="12"/>
        <v>650</v>
      </c>
      <c r="Z28" s="57">
        <f t="shared" si="10"/>
        <v>650</v>
      </c>
      <c r="AA28" s="57">
        <f t="shared" si="8"/>
        <v>650</v>
      </c>
      <c r="AB28" s="57">
        <f t="shared" si="6"/>
        <v>650</v>
      </c>
      <c r="AC28" s="57">
        <f t="shared" si="14"/>
        <v>650</v>
      </c>
      <c r="AD28" s="57">
        <f t="shared" si="14"/>
        <v>650</v>
      </c>
      <c r="AE28" s="57">
        <f t="shared" si="14"/>
        <v>650</v>
      </c>
      <c r="AF28" s="57">
        <f t="shared" si="14"/>
        <v>650</v>
      </c>
      <c r="AG28" s="57">
        <f t="shared" si="14"/>
        <v>650</v>
      </c>
      <c r="AH28" s="57">
        <f t="shared" si="14"/>
        <v>650</v>
      </c>
      <c r="AI28" s="57">
        <f t="shared" si="14"/>
        <v>650</v>
      </c>
      <c r="AJ28" s="57">
        <f t="shared" si="14"/>
        <v>650</v>
      </c>
      <c r="AK28" s="42">
        <f t="shared" si="14"/>
        <v>650</v>
      </c>
      <c r="AL28" s="43">
        <v>38</v>
      </c>
      <c r="AM28" s="26">
        <f t="shared" si="4"/>
        <v>0.34259259259259256</v>
      </c>
    </row>
    <row r="29" spans="1:39" ht="50.1" customHeight="1" x14ac:dyDescent="0.25">
      <c r="E29" s="25">
        <v>37</v>
      </c>
      <c r="F29" s="54">
        <f t="shared" si="1"/>
        <v>0.33333333333333331</v>
      </c>
      <c r="G29" s="61">
        <f t="shared" si="13"/>
        <v>600</v>
      </c>
      <c r="H29" s="57">
        <f t="shared" si="13"/>
        <v>600</v>
      </c>
      <c r="I29" s="57">
        <f t="shared" si="13"/>
        <v>600</v>
      </c>
      <c r="J29" s="57">
        <f t="shared" si="13"/>
        <v>600</v>
      </c>
      <c r="K29" s="57">
        <f t="shared" si="13"/>
        <v>600</v>
      </c>
      <c r="L29" s="57">
        <f t="shared" si="13"/>
        <v>600</v>
      </c>
      <c r="M29" s="57">
        <f t="shared" si="13"/>
        <v>600</v>
      </c>
      <c r="N29" s="57">
        <f t="shared" si="13"/>
        <v>600</v>
      </c>
      <c r="O29" s="57">
        <f t="shared" si="13"/>
        <v>600</v>
      </c>
      <c r="P29" s="57">
        <f t="shared" si="5"/>
        <v>600</v>
      </c>
      <c r="Q29" s="57">
        <f t="shared" si="7"/>
        <v>600</v>
      </c>
      <c r="R29" s="57">
        <f t="shared" si="9"/>
        <v>600</v>
      </c>
      <c r="S29" s="57">
        <f t="shared" si="11"/>
        <v>600</v>
      </c>
      <c r="T29" s="57">
        <f t="shared" si="15"/>
        <v>600</v>
      </c>
      <c r="U29" s="13">
        <v>610.85486965994869</v>
      </c>
      <c r="V29" s="13">
        <v>611.46723814794439</v>
      </c>
      <c r="W29" s="13">
        <v>613.08896506864676</v>
      </c>
      <c r="X29" s="57">
        <f t="shared" si="16"/>
        <v>650</v>
      </c>
      <c r="Y29" s="57">
        <f t="shared" si="12"/>
        <v>650</v>
      </c>
      <c r="Z29" s="57">
        <f t="shared" si="10"/>
        <v>650</v>
      </c>
      <c r="AA29" s="57">
        <f t="shared" si="8"/>
        <v>650</v>
      </c>
      <c r="AB29" s="57">
        <f t="shared" si="6"/>
        <v>650</v>
      </c>
      <c r="AC29" s="57">
        <f t="shared" si="14"/>
        <v>650</v>
      </c>
      <c r="AD29" s="57">
        <f t="shared" si="14"/>
        <v>650</v>
      </c>
      <c r="AE29" s="57">
        <f t="shared" si="14"/>
        <v>650</v>
      </c>
      <c r="AF29" s="57">
        <f t="shared" si="14"/>
        <v>650</v>
      </c>
      <c r="AG29" s="57">
        <f t="shared" si="14"/>
        <v>650</v>
      </c>
      <c r="AH29" s="57">
        <f t="shared" si="14"/>
        <v>650</v>
      </c>
      <c r="AI29" s="57">
        <f t="shared" si="14"/>
        <v>650</v>
      </c>
      <c r="AJ29" s="57">
        <f t="shared" si="14"/>
        <v>650</v>
      </c>
      <c r="AK29" s="42">
        <f t="shared" si="14"/>
        <v>650</v>
      </c>
      <c r="AL29" s="43">
        <v>37</v>
      </c>
      <c r="AM29" s="26">
        <f t="shared" si="4"/>
        <v>0.33333333333333331</v>
      </c>
    </row>
    <row r="30" spans="1:39" ht="50.1" customHeight="1" x14ac:dyDescent="0.25">
      <c r="E30" s="25">
        <v>36</v>
      </c>
      <c r="F30" s="54">
        <f t="shared" si="1"/>
        <v>0.32407407407407407</v>
      </c>
      <c r="G30" s="61">
        <f t="shared" si="13"/>
        <v>600</v>
      </c>
      <c r="H30" s="57">
        <f t="shared" si="13"/>
        <v>600</v>
      </c>
      <c r="I30" s="57">
        <f t="shared" si="13"/>
        <v>600</v>
      </c>
      <c r="J30" s="57">
        <f t="shared" si="13"/>
        <v>600</v>
      </c>
      <c r="K30" s="57">
        <f t="shared" si="13"/>
        <v>600</v>
      </c>
      <c r="L30" s="57">
        <f t="shared" si="13"/>
        <v>600</v>
      </c>
      <c r="M30" s="57">
        <f t="shared" si="13"/>
        <v>600</v>
      </c>
      <c r="N30" s="57">
        <f t="shared" si="13"/>
        <v>600</v>
      </c>
      <c r="O30" s="57">
        <f t="shared" si="13"/>
        <v>600</v>
      </c>
      <c r="P30" s="57">
        <f t="shared" si="5"/>
        <v>600</v>
      </c>
      <c r="Q30" s="57">
        <f t="shared" si="7"/>
        <v>600</v>
      </c>
      <c r="R30" s="57">
        <f t="shared" si="9"/>
        <v>600</v>
      </c>
      <c r="S30" s="57">
        <f t="shared" si="11"/>
        <v>600</v>
      </c>
      <c r="T30" s="57">
        <f t="shared" si="15"/>
        <v>600</v>
      </c>
      <c r="U30" s="13">
        <v>610.65398765572809</v>
      </c>
      <c r="V30" s="13">
        <v>611.26198209827976</v>
      </c>
      <c r="W30" s="13">
        <v>612.88529303945654</v>
      </c>
      <c r="X30" s="57">
        <f t="shared" si="16"/>
        <v>650</v>
      </c>
      <c r="Y30" s="57">
        <f t="shared" si="12"/>
        <v>650</v>
      </c>
      <c r="Z30" s="57">
        <f t="shared" si="10"/>
        <v>650</v>
      </c>
      <c r="AA30" s="57">
        <f t="shared" si="8"/>
        <v>650</v>
      </c>
      <c r="AB30" s="57">
        <f t="shared" si="6"/>
        <v>650</v>
      </c>
      <c r="AC30" s="57">
        <f t="shared" si="14"/>
        <v>650</v>
      </c>
      <c r="AD30" s="57">
        <f t="shared" si="14"/>
        <v>650</v>
      </c>
      <c r="AE30" s="57">
        <f t="shared" si="14"/>
        <v>650</v>
      </c>
      <c r="AF30" s="57">
        <f t="shared" si="14"/>
        <v>650</v>
      </c>
      <c r="AG30" s="57">
        <f t="shared" si="14"/>
        <v>650</v>
      </c>
      <c r="AH30" s="57">
        <f t="shared" si="14"/>
        <v>650</v>
      </c>
      <c r="AI30" s="57">
        <f t="shared" si="14"/>
        <v>650</v>
      </c>
      <c r="AJ30" s="57">
        <f t="shared" si="14"/>
        <v>650</v>
      </c>
      <c r="AK30" s="42">
        <f t="shared" si="14"/>
        <v>650</v>
      </c>
      <c r="AL30" s="43">
        <v>36</v>
      </c>
      <c r="AM30" s="26">
        <f t="shared" si="4"/>
        <v>0.32407407407407407</v>
      </c>
    </row>
    <row r="31" spans="1:39" ht="50.1" customHeight="1" x14ac:dyDescent="0.25">
      <c r="E31" s="25">
        <v>35</v>
      </c>
      <c r="F31" s="54">
        <f t="shared" si="1"/>
        <v>0.31481481481481477</v>
      </c>
      <c r="G31" s="61">
        <f t="shared" ref="G31:O40" si="17">$R$2</f>
        <v>600</v>
      </c>
      <c r="H31" s="57">
        <f t="shared" si="17"/>
        <v>600</v>
      </c>
      <c r="I31" s="57">
        <f t="shared" si="17"/>
        <v>600</v>
      </c>
      <c r="J31" s="57">
        <f t="shared" si="17"/>
        <v>600</v>
      </c>
      <c r="K31" s="57">
        <f t="shared" si="17"/>
        <v>600</v>
      </c>
      <c r="L31" s="57">
        <f t="shared" si="17"/>
        <v>600</v>
      </c>
      <c r="M31" s="57">
        <f t="shared" si="17"/>
        <v>600</v>
      </c>
      <c r="N31" s="57">
        <f t="shared" si="17"/>
        <v>600</v>
      </c>
      <c r="O31" s="57">
        <f t="shared" si="17"/>
        <v>600</v>
      </c>
      <c r="P31" s="57">
        <f t="shared" si="5"/>
        <v>600</v>
      </c>
      <c r="Q31" s="57">
        <f t="shared" si="7"/>
        <v>600</v>
      </c>
      <c r="R31" s="57">
        <f t="shared" si="9"/>
        <v>600</v>
      </c>
      <c r="S31" s="57">
        <f t="shared" si="11"/>
        <v>600</v>
      </c>
      <c r="T31" s="57">
        <f t="shared" si="15"/>
        <v>600</v>
      </c>
      <c r="U31" s="13">
        <v>610.53180646487397</v>
      </c>
      <c r="V31" s="13">
        <v>611.13714051212344</v>
      </c>
      <c r="W31" s="13">
        <v>612.76141488795304</v>
      </c>
      <c r="X31" s="57">
        <f t="shared" si="16"/>
        <v>650</v>
      </c>
      <c r="Y31" s="57">
        <f t="shared" si="12"/>
        <v>650</v>
      </c>
      <c r="Z31" s="57">
        <f t="shared" si="10"/>
        <v>650</v>
      </c>
      <c r="AA31" s="57">
        <f t="shared" si="8"/>
        <v>650</v>
      </c>
      <c r="AB31" s="57">
        <f t="shared" si="6"/>
        <v>650</v>
      </c>
      <c r="AC31" s="57">
        <f t="shared" ref="AC31:AK40" si="18">$R$3</f>
        <v>650</v>
      </c>
      <c r="AD31" s="57">
        <f t="shared" si="18"/>
        <v>650</v>
      </c>
      <c r="AE31" s="57">
        <f t="shared" si="18"/>
        <v>650</v>
      </c>
      <c r="AF31" s="57">
        <f t="shared" si="18"/>
        <v>650</v>
      </c>
      <c r="AG31" s="57">
        <f t="shared" si="18"/>
        <v>650</v>
      </c>
      <c r="AH31" s="57">
        <f t="shared" si="18"/>
        <v>650</v>
      </c>
      <c r="AI31" s="57">
        <f t="shared" si="18"/>
        <v>650</v>
      </c>
      <c r="AJ31" s="57">
        <f t="shared" si="18"/>
        <v>650</v>
      </c>
      <c r="AK31" s="42">
        <f t="shared" si="18"/>
        <v>650</v>
      </c>
      <c r="AL31" s="43">
        <v>35</v>
      </c>
      <c r="AM31" s="26">
        <f t="shared" si="4"/>
        <v>0.31481481481481477</v>
      </c>
    </row>
    <row r="32" spans="1:39" ht="50.1" customHeight="1" x14ac:dyDescent="0.25">
      <c r="E32" s="25">
        <v>34</v>
      </c>
      <c r="F32" s="54">
        <f t="shared" si="1"/>
        <v>0.30555555555555552</v>
      </c>
      <c r="G32" s="61">
        <f t="shared" si="17"/>
        <v>600</v>
      </c>
      <c r="H32" s="57">
        <f t="shared" si="17"/>
        <v>600</v>
      </c>
      <c r="I32" s="57">
        <f t="shared" si="17"/>
        <v>600</v>
      </c>
      <c r="J32" s="57">
        <f t="shared" si="17"/>
        <v>600</v>
      </c>
      <c r="K32" s="57">
        <f t="shared" si="17"/>
        <v>600</v>
      </c>
      <c r="L32" s="57">
        <f t="shared" si="17"/>
        <v>600</v>
      </c>
      <c r="M32" s="57">
        <f t="shared" si="17"/>
        <v>600</v>
      </c>
      <c r="N32" s="57">
        <f t="shared" si="17"/>
        <v>600</v>
      </c>
      <c r="O32" s="57">
        <f t="shared" si="17"/>
        <v>600</v>
      </c>
      <c r="P32" s="57">
        <f t="shared" si="5"/>
        <v>600</v>
      </c>
      <c r="Q32" s="57">
        <f t="shared" si="7"/>
        <v>600</v>
      </c>
      <c r="R32" s="57">
        <f t="shared" si="9"/>
        <v>600</v>
      </c>
      <c r="S32" s="57">
        <f t="shared" si="11"/>
        <v>600</v>
      </c>
      <c r="T32" s="57">
        <f t="shared" si="15"/>
        <v>600</v>
      </c>
      <c r="U32" s="13">
        <v>610.45747779694136</v>
      </c>
      <c r="V32" s="13">
        <v>611.06119339867382</v>
      </c>
      <c r="W32" s="13">
        <v>612.68605387744935</v>
      </c>
      <c r="X32" s="57">
        <f t="shared" si="16"/>
        <v>650</v>
      </c>
      <c r="Y32" s="57">
        <f t="shared" si="12"/>
        <v>650</v>
      </c>
      <c r="Z32" s="57">
        <f t="shared" si="10"/>
        <v>650</v>
      </c>
      <c r="AA32" s="57">
        <f t="shared" si="8"/>
        <v>650</v>
      </c>
      <c r="AB32" s="57">
        <f t="shared" si="6"/>
        <v>650</v>
      </c>
      <c r="AC32" s="57">
        <f t="shared" si="18"/>
        <v>650</v>
      </c>
      <c r="AD32" s="57">
        <f t="shared" si="18"/>
        <v>650</v>
      </c>
      <c r="AE32" s="57">
        <f t="shared" si="18"/>
        <v>650</v>
      </c>
      <c r="AF32" s="57">
        <f t="shared" si="18"/>
        <v>650</v>
      </c>
      <c r="AG32" s="57">
        <f t="shared" si="18"/>
        <v>650</v>
      </c>
      <c r="AH32" s="57">
        <f t="shared" si="18"/>
        <v>650</v>
      </c>
      <c r="AI32" s="57">
        <f t="shared" si="18"/>
        <v>650</v>
      </c>
      <c r="AJ32" s="57">
        <f t="shared" si="18"/>
        <v>650</v>
      </c>
      <c r="AK32" s="42">
        <f t="shared" si="18"/>
        <v>650</v>
      </c>
      <c r="AL32" s="43">
        <v>34</v>
      </c>
      <c r="AM32" s="26">
        <f t="shared" si="4"/>
        <v>0.30555555555555552</v>
      </c>
    </row>
    <row r="33" spans="4:39" ht="50.1" customHeight="1" x14ac:dyDescent="0.25">
      <c r="E33" s="25">
        <v>33</v>
      </c>
      <c r="F33" s="54">
        <f t="shared" si="1"/>
        <v>0.29629629629629628</v>
      </c>
      <c r="G33" s="61">
        <f t="shared" si="17"/>
        <v>600</v>
      </c>
      <c r="H33" s="57">
        <f t="shared" si="17"/>
        <v>600</v>
      </c>
      <c r="I33" s="57">
        <f t="shared" si="17"/>
        <v>600</v>
      </c>
      <c r="J33" s="57">
        <f t="shared" si="17"/>
        <v>600</v>
      </c>
      <c r="K33" s="57">
        <f t="shared" si="17"/>
        <v>600</v>
      </c>
      <c r="L33" s="57">
        <f t="shared" si="17"/>
        <v>600</v>
      </c>
      <c r="M33" s="57">
        <f t="shared" si="17"/>
        <v>600</v>
      </c>
      <c r="N33" s="57">
        <f t="shared" si="17"/>
        <v>600</v>
      </c>
      <c r="O33" s="57">
        <f t="shared" si="17"/>
        <v>600</v>
      </c>
      <c r="P33" s="57">
        <f t="shared" si="5"/>
        <v>600</v>
      </c>
      <c r="Q33" s="57">
        <f t="shared" si="7"/>
        <v>600</v>
      </c>
      <c r="R33" s="57">
        <f t="shared" si="9"/>
        <v>600</v>
      </c>
      <c r="S33" s="57">
        <f t="shared" si="11"/>
        <v>600</v>
      </c>
      <c r="T33" s="57">
        <f t="shared" si="15"/>
        <v>600</v>
      </c>
      <c r="U33" s="13">
        <v>610.4119610541552</v>
      </c>
      <c r="V33" s="13">
        <v>611.01468556634427</v>
      </c>
      <c r="W33" s="13">
        <v>612.63990495768451</v>
      </c>
      <c r="X33" s="57">
        <f t="shared" si="16"/>
        <v>650</v>
      </c>
      <c r="Y33" s="57">
        <f t="shared" si="12"/>
        <v>650</v>
      </c>
      <c r="Z33" s="57">
        <f t="shared" si="10"/>
        <v>650</v>
      </c>
      <c r="AA33" s="57">
        <f t="shared" si="8"/>
        <v>650</v>
      </c>
      <c r="AB33" s="57">
        <f t="shared" si="6"/>
        <v>650</v>
      </c>
      <c r="AC33" s="57">
        <f t="shared" si="18"/>
        <v>650</v>
      </c>
      <c r="AD33" s="57">
        <f t="shared" si="18"/>
        <v>650</v>
      </c>
      <c r="AE33" s="57">
        <f t="shared" si="18"/>
        <v>650</v>
      </c>
      <c r="AF33" s="57">
        <f t="shared" si="18"/>
        <v>650</v>
      </c>
      <c r="AG33" s="57">
        <f t="shared" si="18"/>
        <v>650</v>
      </c>
      <c r="AH33" s="57">
        <f t="shared" si="18"/>
        <v>650</v>
      </c>
      <c r="AI33" s="57">
        <f t="shared" si="18"/>
        <v>650</v>
      </c>
      <c r="AJ33" s="57">
        <f t="shared" si="18"/>
        <v>650</v>
      </c>
      <c r="AK33" s="42">
        <f t="shared" si="18"/>
        <v>650</v>
      </c>
      <c r="AL33" s="43">
        <v>33</v>
      </c>
      <c r="AM33" s="26">
        <f t="shared" si="4"/>
        <v>0.29629629629629628</v>
      </c>
    </row>
    <row r="34" spans="4:39" ht="50.1" customHeight="1" x14ac:dyDescent="0.25">
      <c r="E34" s="25">
        <v>32</v>
      </c>
      <c r="F34" s="54">
        <f t="shared" si="1"/>
        <v>0.28703703703703703</v>
      </c>
      <c r="G34" s="61">
        <f t="shared" si="17"/>
        <v>600</v>
      </c>
      <c r="H34" s="57">
        <f t="shared" si="17"/>
        <v>600</v>
      </c>
      <c r="I34" s="57">
        <f t="shared" si="17"/>
        <v>600</v>
      </c>
      <c r="J34" s="57">
        <f t="shared" si="17"/>
        <v>600</v>
      </c>
      <c r="K34" s="57">
        <f t="shared" si="17"/>
        <v>600</v>
      </c>
      <c r="L34" s="57">
        <f t="shared" si="17"/>
        <v>600</v>
      </c>
      <c r="M34" s="57">
        <f t="shared" si="17"/>
        <v>600</v>
      </c>
      <c r="N34" s="57">
        <f t="shared" si="17"/>
        <v>600</v>
      </c>
      <c r="O34" s="57">
        <f t="shared" si="17"/>
        <v>600</v>
      </c>
      <c r="P34" s="57">
        <f t="shared" si="5"/>
        <v>600</v>
      </c>
      <c r="Q34" s="57">
        <f t="shared" si="7"/>
        <v>600</v>
      </c>
      <c r="R34" s="57">
        <f t="shared" si="9"/>
        <v>600</v>
      </c>
      <c r="S34" s="57">
        <f t="shared" si="11"/>
        <v>600</v>
      </c>
      <c r="T34" s="57">
        <f t="shared" si="15"/>
        <v>600</v>
      </c>
      <c r="U34" s="13">
        <v>610.38345762215386</v>
      </c>
      <c r="V34" s="13">
        <v>610.98556149561807</v>
      </c>
      <c r="W34" s="13">
        <v>612.61100564468359</v>
      </c>
      <c r="X34" s="57">
        <f t="shared" si="16"/>
        <v>650</v>
      </c>
      <c r="Y34" s="57">
        <f t="shared" si="12"/>
        <v>650</v>
      </c>
      <c r="Z34" s="57">
        <f t="shared" si="10"/>
        <v>650</v>
      </c>
      <c r="AA34" s="57">
        <f t="shared" si="8"/>
        <v>650</v>
      </c>
      <c r="AB34" s="57">
        <f t="shared" si="6"/>
        <v>650</v>
      </c>
      <c r="AC34" s="57">
        <f t="shared" si="18"/>
        <v>650</v>
      </c>
      <c r="AD34" s="57">
        <f t="shared" si="18"/>
        <v>650</v>
      </c>
      <c r="AE34" s="57">
        <f t="shared" si="18"/>
        <v>650</v>
      </c>
      <c r="AF34" s="57">
        <f t="shared" si="18"/>
        <v>650</v>
      </c>
      <c r="AG34" s="57">
        <f t="shared" si="18"/>
        <v>650</v>
      </c>
      <c r="AH34" s="57">
        <f t="shared" si="18"/>
        <v>650</v>
      </c>
      <c r="AI34" s="57">
        <f t="shared" si="18"/>
        <v>650</v>
      </c>
      <c r="AJ34" s="57">
        <f t="shared" si="18"/>
        <v>650</v>
      </c>
      <c r="AK34" s="42">
        <f t="shared" si="18"/>
        <v>650</v>
      </c>
      <c r="AL34" s="43">
        <v>32</v>
      </c>
      <c r="AM34" s="26">
        <f t="shared" si="4"/>
        <v>0.28703703703703703</v>
      </c>
    </row>
    <row r="35" spans="4:39" ht="50.1" customHeight="1" x14ac:dyDescent="0.25">
      <c r="E35" s="25">
        <v>31</v>
      </c>
      <c r="F35" s="54">
        <f t="shared" ref="F35:F64" si="19">$B$6*(E35-1)</f>
        <v>0.27777777777777779</v>
      </c>
      <c r="G35" s="61">
        <f t="shared" si="17"/>
        <v>600</v>
      </c>
      <c r="H35" s="57">
        <f t="shared" si="17"/>
        <v>600</v>
      </c>
      <c r="I35" s="57">
        <f t="shared" si="17"/>
        <v>600</v>
      </c>
      <c r="J35" s="57">
        <f t="shared" si="17"/>
        <v>600</v>
      </c>
      <c r="K35" s="57">
        <f t="shared" si="17"/>
        <v>600</v>
      </c>
      <c r="L35" s="57">
        <f t="shared" si="17"/>
        <v>600</v>
      </c>
      <c r="M35" s="57">
        <f t="shared" si="17"/>
        <v>600</v>
      </c>
      <c r="N35" s="57">
        <f t="shared" si="17"/>
        <v>600</v>
      </c>
      <c r="O35" s="57">
        <f t="shared" si="17"/>
        <v>600</v>
      </c>
      <c r="P35" s="57">
        <f t="shared" si="5"/>
        <v>600</v>
      </c>
      <c r="Q35" s="57">
        <f t="shared" si="7"/>
        <v>600</v>
      </c>
      <c r="R35" s="57">
        <f t="shared" si="9"/>
        <v>600</v>
      </c>
      <c r="S35" s="57">
        <f t="shared" si="11"/>
        <v>600</v>
      </c>
      <c r="T35" s="57">
        <f t="shared" si="15"/>
        <v>600</v>
      </c>
      <c r="U35" s="13">
        <v>610.36456948320631</v>
      </c>
      <c r="V35" s="13">
        <v>610.96626208302268</v>
      </c>
      <c r="W35" s="13">
        <v>612.59185517047308</v>
      </c>
      <c r="X35" s="57">
        <f t="shared" si="16"/>
        <v>650</v>
      </c>
      <c r="Y35" s="57">
        <f t="shared" si="12"/>
        <v>650</v>
      </c>
      <c r="Z35" s="57">
        <f t="shared" si="10"/>
        <v>650</v>
      </c>
      <c r="AA35" s="57">
        <f t="shared" si="8"/>
        <v>650</v>
      </c>
      <c r="AB35" s="57">
        <f t="shared" si="6"/>
        <v>650</v>
      </c>
      <c r="AC35" s="57">
        <f t="shared" si="18"/>
        <v>650</v>
      </c>
      <c r="AD35" s="57">
        <f t="shared" si="18"/>
        <v>650</v>
      </c>
      <c r="AE35" s="57">
        <f t="shared" si="18"/>
        <v>650</v>
      </c>
      <c r="AF35" s="57">
        <f t="shared" si="18"/>
        <v>650</v>
      </c>
      <c r="AG35" s="57">
        <f t="shared" si="18"/>
        <v>650</v>
      </c>
      <c r="AH35" s="57">
        <f t="shared" si="18"/>
        <v>650</v>
      </c>
      <c r="AI35" s="57">
        <f t="shared" si="18"/>
        <v>650</v>
      </c>
      <c r="AJ35" s="57">
        <f t="shared" si="18"/>
        <v>650</v>
      </c>
      <c r="AK35" s="42">
        <f t="shared" si="18"/>
        <v>650</v>
      </c>
      <c r="AL35" s="43">
        <v>31</v>
      </c>
      <c r="AM35" s="26">
        <f t="shared" ref="AM35:AM64" si="20">$B$6*(AL35-1)</f>
        <v>0.27777777777777779</v>
      </c>
    </row>
    <row r="36" spans="4:39" ht="50.1" customHeight="1" x14ac:dyDescent="0.25">
      <c r="E36" s="25">
        <v>30</v>
      </c>
      <c r="F36" s="54">
        <f t="shared" si="19"/>
        <v>0.26851851851851849</v>
      </c>
      <c r="G36" s="61">
        <f t="shared" si="17"/>
        <v>600</v>
      </c>
      <c r="H36" s="57">
        <f t="shared" si="17"/>
        <v>600</v>
      </c>
      <c r="I36" s="57">
        <f t="shared" si="17"/>
        <v>600</v>
      </c>
      <c r="J36" s="57">
        <f t="shared" si="17"/>
        <v>600</v>
      </c>
      <c r="K36" s="57">
        <f t="shared" si="17"/>
        <v>600</v>
      </c>
      <c r="L36" s="57">
        <f t="shared" si="17"/>
        <v>600</v>
      </c>
      <c r="M36" s="57">
        <f t="shared" si="17"/>
        <v>600</v>
      </c>
      <c r="N36" s="57">
        <f t="shared" si="17"/>
        <v>600</v>
      </c>
      <c r="O36" s="57">
        <f t="shared" si="17"/>
        <v>600</v>
      </c>
      <c r="P36" s="57">
        <f t="shared" si="5"/>
        <v>600</v>
      </c>
      <c r="Q36" s="57">
        <f t="shared" si="7"/>
        <v>600</v>
      </c>
      <c r="R36" s="57">
        <f t="shared" si="9"/>
        <v>600</v>
      </c>
      <c r="S36" s="57">
        <f t="shared" si="11"/>
        <v>600</v>
      </c>
      <c r="T36" s="57">
        <f t="shared" si="15"/>
        <v>600</v>
      </c>
      <c r="U36" s="13">
        <v>610.35051979184232</v>
      </c>
      <c r="V36" s="13">
        <v>610.95190647121649</v>
      </c>
      <c r="W36" s="13">
        <v>612.57761034450687</v>
      </c>
      <c r="X36" s="57">
        <f t="shared" si="16"/>
        <v>650</v>
      </c>
      <c r="Y36" s="57">
        <f t="shared" si="12"/>
        <v>650</v>
      </c>
      <c r="Z36" s="57">
        <f t="shared" si="10"/>
        <v>650</v>
      </c>
      <c r="AA36" s="57">
        <f t="shared" si="8"/>
        <v>650</v>
      </c>
      <c r="AB36" s="57">
        <f t="shared" si="6"/>
        <v>650</v>
      </c>
      <c r="AC36" s="57">
        <f t="shared" si="18"/>
        <v>650</v>
      </c>
      <c r="AD36" s="57">
        <f t="shared" si="18"/>
        <v>650</v>
      </c>
      <c r="AE36" s="57">
        <f t="shared" si="18"/>
        <v>650</v>
      </c>
      <c r="AF36" s="57">
        <f t="shared" si="18"/>
        <v>650</v>
      </c>
      <c r="AG36" s="57">
        <f t="shared" si="18"/>
        <v>650</v>
      </c>
      <c r="AH36" s="57">
        <f t="shared" si="18"/>
        <v>650</v>
      </c>
      <c r="AI36" s="57">
        <f t="shared" si="18"/>
        <v>650</v>
      </c>
      <c r="AJ36" s="57">
        <f t="shared" si="18"/>
        <v>650</v>
      </c>
      <c r="AK36" s="42">
        <f t="shared" si="18"/>
        <v>650</v>
      </c>
      <c r="AL36" s="43">
        <v>30</v>
      </c>
      <c r="AM36" s="26">
        <f t="shared" si="20"/>
        <v>0.26851851851851849</v>
      </c>
    </row>
    <row r="37" spans="4:39" ht="50.1" customHeight="1" x14ac:dyDescent="0.25">
      <c r="E37" s="25">
        <v>29</v>
      </c>
      <c r="F37" s="54">
        <f t="shared" si="19"/>
        <v>0.25925925925925924</v>
      </c>
      <c r="G37" s="61">
        <f t="shared" si="17"/>
        <v>600</v>
      </c>
      <c r="H37" s="57">
        <f t="shared" si="17"/>
        <v>600</v>
      </c>
      <c r="I37" s="57">
        <f t="shared" si="17"/>
        <v>600</v>
      </c>
      <c r="J37" s="57">
        <f t="shared" si="17"/>
        <v>600</v>
      </c>
      <c r="K37" s="57">
        <f t="shared" si="17"/>
        <v>600</v>
      </c>
      <c r="L37" s="57">
        <f t="shared" si="17"/>
        <v>600</v>
      </c>
      <c r="M37" s="57">
        <f t="shared" si="17"/>
        <v>600</v>
      </c>
      <c r="N37" s="57">
        <f t="shared" si="17"/>
        <v>600</v>
      </c>
      <c r="O37" s="57">
        <f t="shared" si="17"/>
        <v>600</v>
      </c>
      <c r="P37" s="57">
        <f t="shared" si="5"/>
        <v>600</v>
      </c>
      <c r="Q37" s="57">
        <f t="shared" si="7"/>
        <v>600</v>
      </c>
      <c r="R37" s="57">
        <f t="shared" si="9"/>
        <v>600</v>
      </c>
      <c r="S37" s="57">
        <f t="shared" si="11"/>
        <v>600</v>
      </c>
      <c r="T37" s="57">
        <f t="shared" si="15"/>
        <v>600</v>
      </c>
      <c r="U37" s="13">
        <v>610.33802186022422</v>
      </c>
      <c r="V37" s="13">
        <v>610.93913640744518</v>
      </c>
      <c r="W37" s="13">
        <v>612.56493883050518</v>
      </c>
      <c r="X37" s="57">
        <f t="shared" si="16"/>
        <v>650</v>
      </c>
      <c r="Y37" s="57">
        <f t="shared" si="12"/>
        <v>650</v>
      </c>
      <c r="Z37" s="57">
        <f t="shared" si="10"/>
        <v>650</v>
      </c>
      <c r="AA37" s="57">
        <f t="shared" si="8"/>
        <v>650</v>
      </c>
      <c r="AB37" s="57">
        <f t="shared" si="6"/>
        <v>650</v>
      </c>
      <c r="AC37" s="57">
        <f t="shared" si="18"/>
        <v>650</v>
      </c>
      <c r="AD37" s="57">
        <f t="shared" si="18"/>
        <v>650</v>
      </c>
      <c r="AE37" s="57">
        <f t="shared" si="18"/>
        <v>650</v>
      </c>
      <c r="AF37" s="57">
        <f t="shared" si="18"/>
        <v>650</v>
      </c>
      <c r="AG37" s="57">
        <f t="shared" si="18"/>
        <v>650</v>
      </c>
      <c r="AH37" s="57">
        <f t="shared" si="18"/>
        <v>650</v>
      </c>
      <c r="AI37" s="57">
        <f t="shared" si="18"/>
        <v>650</v>
      </c>
      <c r="AJ37" s="57">
        <f t="shared" si="18"/>
        <v>650</v>
      </c>
      <c r="AK37" s="42">
        <f t="shared" si="18"/>
        <v>650</v>
      </c>
      <c r="AL37" s="43">
        <v>29</v>
      </c>
      <c r="AM37" s="26">
        <f t="shared" si="20"/>
        <v>0.25925925925925924</v>
      </c>
    </row>
    <row r="38" spans="4:39" ht="50.1" customHeight="1" x14ac:dyDescent="0.25">
      <c r="E38" s="25">
        <v>28</v>
      </c>
      <c r="F38" s="54">
        <f t="shared" si="19"/>
        <v>0.25</v>
      </c>
      <c r="G38" s="61">
        <f t="shared" si="17"/>
        <v>600</v>
      </c>
      <c r="H38" s="57">
        <f t="shared" si="17"/>
        <v>600</v>
      </c>
      <c r="I38" s="57">
        <f t="shared" si="17"/>
        <v>600</v>
      </c>
      <c r="J38" s="57">
        <f t="shared" si="17"/>
        <v>600</v>
      </c>
      <c r="K38" s="57">
        <f t="shared" si="17"/>
        <v>600</v>
      </c>
      <c r="L38" s="57">
        <f t="shared" si="17"/>
        <v>600</v>
      </c>
      <c r="M38" s="57">
        <f t="shared" si="17"/>
        <v>600</v>
      </c>
      <c r="N38" s="57">
        <f t="shared" si="17"/>
        <v>600</v>
      </c>
      <c r="O38" s="57">
        <f t="shared" si="17"/>
        <v>600</v>
      </c>
      <c r="P38" s="57">
        <f t="shared" si="5"/>
        <v>600</v>
      </c>
      <c r="Q38" s="57">
        <f t="shared" si="7"/>
        <v>600</v>
      </c>
      <c r="R38" s="57">
        <f t="shared" si="9"/>
        <v>600</v>
      </c>
      <c r="S38" s="57">
        <f t="shared" si="11"/>
        <v>600</v>
      </c>
      <c r="T38" s="57">
        <f t="shared" si="15"/>
        <v>600</v>
      </c>
      <c r="U38" s="13">
        <v>610.324536953652</v>
      </c>
      <c r="V38" s="13">
        <v>610.92535787815586</v>
      </c>
      <c r="W38" s="13">
        <v>612.55126663356327</v>
      </c>
      <c r="X38" s="57">
        <f t="shared" si="16"/>
        <v>650</v>
      </c>
      <c r="Y38" s="57">
        <f t="shared" si="12"/>
        <v>650</v>
      </c>
      <c r="Z38" s="57">
        <f t="shared" si="10"/>
        <v>650</v>
      </c>
      <c r="AA38" s="57">
        <f t="shared" si="8"/>
        <v>650</v>
      </c>
      <c r="AB38" s="57">
        <f t="shared" si="6"/>
        <v>650</v>
      </c>
      <c r="AC38" s="57">
        <f t="shared" si="18"/>
        <v>650</v>
      </c>
      <c r="AD38" s="57">
        <f t="shared" si="18"/>
        <v>650</v>
      </c>
      <c r="AE38" s="57">
        <f t="shared" si="18"/>
        <v>650</v>
      </c>
      <c r="AF38" s="57">
        <f t="shared" si="18"/>
        <v>650</v>
      </c>
      <c r="AG38" s="57">
        <f t="shared" si="18"/>
        <v>650</v>
      </c>
      <c r="AH38" s="57">
        <f t="shared" si="18"/>
        <v>650</v>
      </c>
      <c r="AI38" s="57">
        <f t="shared" si="18"/>
        <v>650</v>
      </c>
      <c r="AJ38" s="57">
        <f t="shared" si="18"/>
        <v>650</v>
      </c>
      <c r="AK38" s="42">
        <f t="shared" si="18"/>
        <v>650</v>
      </c>
      <c r="AL38" s="43">
        <v>28</v>
      </c>
      <c r="AM38" s="26">
        <f t="shared" si="20"/>
        <v>0.25</v>
      </c>
    </row>
    <row r="39" spans="4:39" ht="50.1" customHeight="1" x14ac:dyDescent="0.25">
      <c r="E39" s="25">
        <v>27</v>
      </c>
      <c r="F39" s="54">
        <f t="shared" si="19"/>
        <v>0.24074074074074073</v>
      </c>
      <c r="G39" s="61">
        <f t="shared" si="17"/>
        <v>600</v>
      </c>
      <c r="H39" s="57">
        <f t="shared" si="17"/>
        <v>600</v>
      </c>
      <c r="I39" s="57">
        <f t="shared" si="17"/>
        <v>600</v>
      </c>
      <c r="J39" s="57">
        <f t="shared" si="17"/>
        <v>600</v>
      </c>
      <c r="K39" s="57">
        <f t="shared" si="17"/>
        <v>600</v>
      </c>
      <c r="L39" s="57">
        <f t="shared" si="17"/>
        <v>600</v>
      </c>
      <c r="M39" s="57">
        <f t="shared" si="17"/>
        <v>600</v>
      </c>
      <c r="N39" s="57">
        <f t="shared" si="17"/>
        <v>600</v>
      </c>
      <c r="O39" s="57">
        <f t="shared" si="17"/>
        <v>600</v>
      </c>
      <c r="P39" s="57">
        <f t="shared" si="5"/>
        <v>600</v>
      </c>
      <c r="Q39" s="57">
        <f t="shared" si="7"/>
        <v>600</v>
      </c>
      <c r="R39" s="57">
        <f t="shared" si="9"/>
        <v>600</v>
      </c>
      <c r="S39" s="57">
        <f t="shared" si="11"/>
        <v>600</v>
      </c>
      <c r="T39" s="57">
        <f t="shared" si="15"/>
        <v>600</v>
      </c>
      <c r="U39" s="13">
        <v>610.30775634595159</v>
      </c>
      <c r="V39" s="13">
        <v>610.90821188657833</v>
      </c>
      <c r="W39" s="13">
        <v>612.5342529618631</v>
      </c>
      <c r="X39" s="57">
        <f t="shared" si="16"/>
        <v>650</v>
      </c>
      <c r="Y39" s="57">
        <f t="shared" si="12"/>
        <v>650</v>
      </c>
      <c r="Z39" s="57">
        <f t="shared" si="10"/>
        <v>650</v>
      </c>
      <c r="AA39" s="57">
        <f t="shared" si="8"/>
        <v>650</v>
      </c>
      <c r="AB39" s="57">
        <f t="shared" si="6"/>
        <v>650</v>
      </c>
      <c r="AC39" s="57">
        <f t="shared" si="18"/>
        <v>650</v>
      </c>
      <c r="AD39" s="57">
        <f t="shared" si="18"/>
        <v>650</v>
      </c>
      <c r="AE39" s="57">
        <f t="shared" si="18"/>
        <v>650</v>
      </c>
      <c r="AF39" s="57">
        <f t="shared" si="18"/>
        <v>650</v>
      </c>
      <c r="AG39" s="57">
        <f t="shared" si="18"/>
        <v>650</v>
      </c>
      <c r="AH39" s="57">
        <f t="shared" si="18"/>
        <v>650</v>
      </c>
      <c r="AI39" s="57">
        <f t="shared" si="18"/>
        <v>650</v>
      </c>
      <c r="AJ39" s="57">
        <f t="shared" si="18"/>
        <v>650</v>
      </c>
      <c r="AK39" s="42">
        <f t="shared" si="18"/>
        <v>650</v>
      </c>
      <c r="AL39" s="43">
        <v>27</v>
      </c>
      <c r="AM39" s="26">
        <f t="shared" si="20"/>
        <v>0.24074074074074073</v>
      </c>
    </row>
    <row r="40" spans="4:39" ht="50.1" customHeight="1" x14ac:dyDescent="0.25">
      <c r="E40" s="25">
        <v>26</v>
      </c>
      <c r="F40" s="54">
        <f t="shared" si="19"/>
        <v>0.23148148148148145</v>
      </c>
      <c r="G40" s="61">
        <f t="shared" si="17"/>
        <v>600</v>
      </c>
      <c r="H40" s="57">
        <f t="shared" si="17"/>
        <v>600</v>
      </c>
      <c r="I40" s="57">
        <f t="shared" si="17"/>
        <v>600</v>
      </c>
      <c r="J40" s="57">
        <f t="shared" si="17"/>
        <v>600</v>
      </c>
      <c r="K40" s="57">
        <f t="shared" si="17"/>
        <v>600</v>
      </c>
      <c r="L40" s="57">
        <f t="shared" si="17"/>
        <v>600</v>
      </c>
      <c r="M40" s="57">
        <f t="shared" si="17"/>
        <v>600</v>
      </c>
      <c r="N40" s="57">
        <f t="shared" si="17"/>
        <v>600</v>
      </c>
      <c r="O40" s="57">
        <f t="shared" si="17"/>
        <v>600</v>
      </c>
      <c r="P40" s="57">
        <f t="shared" si="5"/>
        <v>600</v>
      </c>
      <c r="Q40" s="57">
        <f t="shared" si="7"/>
        <v>600</v>
      </c>
      <c r="R40" s="57">
        <f t="shared" si="9"/>
        <v>600</v>
      </c>
      <c r="S40" s="57">
        <f t="shared" si="11"/>
        <v>600</v>
      </c>
      <c r="T40" s="57">
        <f t="shared" si="15"/>
        <v>600</v>
      </c>
      <c r="U40" s="13">
        <v>610.28520185854484</v>
      </c>
      <c r="V40" s="13">
        <v>610.88516629394655</v>
      </c>
      <c r="W40" s="13">
        <v>612.51138521765313</v>
      </c>
      <c r="X40" s="57">
        <f t="shared" si="16"/>
        <v>650</v>
      </c>
      <c r="Y40" s="57">
        <f t="shared" si="12"/>
        <v>650</v>
      </c>
      <c r="Z40" s="57">
        <f t="shared" si="10"/>
        <v>650</v>
      </c>
      <c r="AA40" s="57">
        <f t="shared" si="8"/>
        <v>650</v>
      </c>
      <c r="AB40" s="57">
        <f t="shared" si="6"/>
        <v>650</v>
      </c>
      <c r="AC40" s="57">
        <f t="shared" si="18"/>
        <v>650</v>
      </c>
      <c r="AD40" s="57">
        <f t="shared" si="18"/>
        <v>650</v>
      </c>
      <c r="AE40" s="57">
        <f t="shared" si="18"/>
        <v>650</v>
      </c>
      <c r="AF40" s="57">
        <f t="shared" si="18"/>
        <v>650</v>
      </c>
      <c r="AG40" s="57">
        <f t="shared" si="18"/>
        <v>650</v>
      </c>
      <c r="AH40" s="57">
        <f t="shared" si="18"/>
        <v>650</v>
      </c>
      <c r="AI40" s="57">
        <f t="shared" si="18"/>
        <v>650</v>
      </c>
      <c r="AJ40" s="57">
        <f t="shared" si="18"/>
        <v>650</v>
      </c>
      <c r="AK40" s="42">
        <f t="shared" si="18"/>
        <v>650</v>
      </c>
      <c r="AL40" s="43">
        <v>26</v>
      </c>
      <c r="AM40" s="26">
        <f t="shared" si="20"/>
        <v>0.23148148148148145</v>
      </c>
    </row>
    <row r="41" spans="4:39" ht="50.1" customHeight="1" x14ac:dyDescent="0.25">
      <c r="E41" s="25">
        <v>25</v>
      </c>
      <c r="F41" s="54">
        <f t="shared" si="19"/>
        <v>0.22222222222222221</v>
      </c>
      <c r="G41" s="61">
        <f t="shared" ref="G41:O50" si="21">$R$2</f>
        <v>600</v>
      </c>
      <c r="H41" s="57">
        <f t="shared" si="21"/>
        <v>600</v>
      </c>
      <c r="I41" s="57">
        <f t="shared" si="21"/>
        <v>600</v>
      </c>
      <c r="J41" s="57">
        <f t="shared" si="21"/>
        <v>600</v>
      </c>
      <c r="K41" s="57">
        <f t="shared" si="21"/>
        <v>600</v>
      </c>
      <c r="L41" s="57">
        <f t="shared" si="21"/>
        <v>600</v>
      </c>
      <c r="M41" s="57">
        <f t="shared" si="21"/>
        <v>600</v>
      </c>
      <c r="N41" s="57">
        <f t="shared" si="21"/>
        <v>600</v>
      </c>
      <c r="O41" s="57">
        <f t="shared" si="21"/>
        <v>600</v>
      </c>
      <c r="P41" s="57">
        <f t="shared" si="5"/>
        <v>600</v>
      </c>
      <c r="Q41" s="57">
        <f t="shared" si="7"/>
        <v>600</v>
      </c>
      <c r="R41" s="57">
        <f t="shared" si="9"/>
        <v>600</v>
      </c>
      <c r="S41" s="57">
        <f t="shared" si="11"/>
        <v>600</v>
      </c>
      <c r="T41" s="57">
        <f t="shared" si="15"/>
        <v>600</v>
      </c>
      <c r="U41" s="13">
        <v>610.2538762291673</v>
      </c>
      <c r="V41" s="13">
        <v>610.85315857599676</v>
      </c>
      <c r="W41" s="13">
        <v>612.47962450980083</v>
      </c>
      <c r="X41" s="57">
        <f t="shared" si="16"/>
        <v>650</v>
      </c>
      <c r="Y41" s="57">
        <f t="shared" si="12"/>
        <v>650</v>
      </c>
      <c r="Z41" s="57">
        <f t="shared" si="10"/>
        <v>650</v>
      </c>
      <c r="AA41" s="57">
        <f t="shared" si="8"/>
        <v>650</v>
      </c>
      <c r="AB41" s="57">
        <f t="shared" si="6"/>
        <v>650</v>
      </c>
      <c r="AC41" s="57">
        <f t="shared" ref="AC41:AK50" si="22">$R$3</f>
        <v>650</v>
      </c>
      <c r="AD41" s="57">
        <f t="shared" si="22"/>
        <v>650</v>
      </c>
      <c r="AE41" s="57">
        <f t="shared" si="22"/>
        <v>650</v>
      </c>
      <c r="AF41" s="57">
        <f t="shared" si="22"/>
        <v>650</v>
      </c>
      <c r="AG41" s="57">
        <f t="shared" si="22"/>
        <v>650</v>
      </c>
      <c r="AH41" s="57">
        <f t="shared" si="22"/>
        <v>650</v>
      </c>
      <c r="AI41" s="57">
        <f t="shared" si="22"/>
        <v>650</v>
      </c>
      <c r="AJ41" s="57">
        <f t="shared" si="22"/>
        <v>650</v>
      </c>
      <c r="AK41" s="42">
        <f t="shared" si="22"/>
        <v>650</v>
      </c>
      <c r="AL41" s="43">
        <v>25</v>
      </c>
      <c r="AM41" s="26">
        <f t="shared" si="20"/>
        <v>0.22222222222222221</v>
      </c>
    </row>
    <row r="42" spans="4:39" ht="50.1" customHeight="1" x14ac:dyDescent="0.25">
      <c r="E42" s="25">
        <v>24</v>
      </c>
      <c r="F42" s="54">
        <f t="shared" si="19"/>
        <v>0.21296296296296297</v>
      </c>
      <c r="G42" s="61">
        <f t="shared" si="21"/>
        <v>600</v>
      </c>
      <c r="H42" s="57">
        <f t="shared" si="21"/>
        <v>600</v>
      </c>
      <c r="I42" s="57">
        <f t="shared" si="21"/>
        <v>600</v>
      </c>
      <c r="J42" s="57">
        <f t="shared" si="21"/>
        <v>600</v>
      </c>
      <c r="K42" s="57">
        <f t="shared" si="21"/>
        <v>600</v>
      </c>
      <c r="L42" s="57">
        <f t="shared" si="21"/>
        <v>600</v>
      </c>
      <c r="M42" s="57">
        <f t="shared" si="21"/>
        <v>600</v>
      </c>
      <c r="N42" s="57">
        <f t="shared" si="21"/>
        <v>600</v>
      </c>
      <c r="O42" s="57">
        <f t="shared" si="21"/>
        <v>600</v>
      </c>
      <c r="P42" s="57">
        <f t="shared" si="5"/>
        <v>600</v>
      </c>
      <c r="Q42" s="57">
        <f t="shared" si="7"/>
        <v>600</v>
      </c>
      <c r="R42" s="57">
        <f t="shared" si="9"/>
        <v>600</v>
      </c>
      <c r="S42" s="57">
        <f t="shared" si="11"/>
        <v>600</v>
      </c>
      <c r="T42" s="57">
        <f t="shared" si="15"/>
        <v>600</v>
      </c>
      <c r="U42" s="13">
        <v>610.20992028891919</v>
      </c>
      <c r="V42" s="13">
        <v>610.80824554144738</v>
      </c>
      <c r="W42" s="13">
        <v>612.43505806790574</v>
      </c>
      <c r="X42" s="57">
        <f t="shared" si="16"/>
        <v>650</v>
      </c>
      <c r="Y42" s="57">
        <f t="shared" si="12"/>
        <v>650</v>
      </c>
      <c r="Z42" s="57">
        <f t="shared" si="10"/>
        <v>650</v>
      </c>
      <c r="AA42" s="57">
        <f t="shared" si="8"/>
        <v>650</v>
      </c>
      <c r="AB42" s="57">
        <f t="shared" si="6"/>
        <v>650</v>
      </c>
      <c r="AC42" s="57">
        <f t="shared" si="22"/>
        <v>650</v>
      </c>
      <c r="AD42" s="57">
        <f t="shared" si="22"/>
        <v>650</v>
      </c>
      <c r="AE42" s="57">
        <f t="shared" si="22"/>
        <v>650</v>
      </c>
      <c r="AF42" s="57">
        <f t="shared" si="22"/>
        <v>650</v>
      </c>
      <c r="AG42" s="57">
        <f t="shared" si="22"/>
        <v>650</v>
      </c>
      <c r="AH42" s="57">
        <f t="shared" si="22"/>
        <v>650</v>
      </c>
      <c r="AI42" s="57">
        <f t="shared" si="22"/>
        <v>650</v>
      </c>
      <c r="AJ42" s="57">
        <f t="shared" si="22"/>
        <v>650</v>
      </c>
      <c r="AK42" s="42">
        <f t="shared" si="22"/>
        <v>650</v>
      </c>
      <c r="AL42" s="43">
        <v>24</v>
      </c>
      <c r="AM42" s="26">
        <f t="shared" si="20"/>
        <v>0.21296296296296297</v>
      </c>
    </row>
    <row r="43" spans="4:39" ht="50.1" customHeight="1" x14ac:dyDescent="0.25">
      <c r="D43" t="s">
        <v>49</v>
      </c>
      <c r="E43" s="25">
        <v>23</v>
      </c>
      <c r="F43" s="54">
        <f t="shared" si="19"/>
        <v>0.20370370370370369</v>
      </c>
      <c r="G43" s="61">
        <f t="shared" si="21"/>
        <v>600</v>
      </c>
      <c r="H43" s="57">
        <f t="shared" si="21"/>
        <v>600</v>
      </c>
      <c r="I43" s="57">
        <f t="shared" si="21"/>
        <v>600</v>
      </c>
      <c r="J43" s="57">
        <f t="shared" si="21"/>
        <v>600</v>
      </c>
      <c r="K43" s="57">
        <f t="shared" si="21"/>
        <v>600</v>
      </c>
      <c r="L43" s="57">
        <f t="shared" si="21"/>
        <v>600</v>
      </c>
      <c r="M43" s="57">
        <f t="shared" si="21"/>
        <v>600</v>
      </c>
      <c r="N43" s="57">
        <f t="shared" si="21"/>
        <v>600</v>
      </c>
      <c r="O43" s="57">
        <f t="shared" si="21"/>
        <v>600</v>
      </c>
      <c r="P43" s="57">
        <f t="shared" si="5"/>
        <v>600</v>
      </c>
      <c r="Q43" s="57">
        <f t="shared" si="7"/>
        <v>600</v>
      </c>
      <c r="R43" s="57">
        <f t="shared" si="9"/>
        <v>600</v>
      </c>
      <c r="S43" s="57">
        <f t="shared" si="11"/>
        <v>600</v>
      </c>
      <c r="T43" s="57">
        <f t="shared" si="15"/>
        <v>600</v>
      </c>
      <c r="U43" s="13">
        <v>610.14825637015383</v>
      </c>
      <c r="V43" s="13">
        <v>610.74523902780072</v>
      </c>
      <c r="W43" s="13">
        <v>612.37253768459652</v>
      </c>
      <c r="X43" s="57">
        <f t="shared" si="16"/>
        <v>650</v>
      </c>
      <c r="Y43" s="57">
        <f t="shared" si="12"/>
        <v>650</v>
      </c>
      <c r="Z43" s="57">
        <f t="shared" si="10"/>
        <v>650</v>
      </c>
      <c r="AA43" s="57">
        <f t="shared" si="8"/>
        <v>650</v>
      </c>
      <c r="AB43" s="57">
        <f t="shared" si="6"/>
        <v>650</v>
      </c>
      <c r="AC43" s="57">
        <f t="shared" si="22"/>
        <v>650</v>
      </c>
      <c r="AD43" s="57">
        <f t="shared" si="22"/>
        <v>650</v>
      </c>
      <c r="AE43" s="57">
        <f t="shared" si="22"/>
        <v>650</v>
      </c>
      <c r="AF43" s="57">
        <f t="shared" si="22"/>
        <v>650</v>
      </c>
      <c r="AG43" s="57">
        <f t="shared" si="22"/>
        <v>650</v>
      </c>
      <c r="AH43" s="57">
        <f t="shared" si="22"/>
        <v>650</v>
      </c>
      <c r="AI43" s="57">
        <f t="shared" si="22"/>
        <v>650</v>
      </c>
      <c r="AJ43" s="57">
        <f t="shared" si="22"/>
        <v>650</v>
      </c>
      <c r="AK43" s="42">
        <f t="shared" si="22"/>
        <v>650</v>
      </c>
      <c r="AL43" s="43">
        <v>23</v>
      </c>
      <c r="AM43" s="26">
        <f t="shared" si="20"/>
        <v>0.20370370370370369</v>
      </c>
    </row>
    <row r="44" spans="4:39" ht="50.1" customHeight="1" x14ac:dyDescent="0.25">
      <c r="E44" s="25">
        <v>22</v>
      </c>
      <c r="F44" s="54">
        <f t="shared" si="19"/>
        <v>0.19444444444444442</v>
      </c>
      <c r="G44" s="61">
        <f t="shared" si="21"/>
        <v>600</v>
      </c>
      <c r="H44" s="57">
        <f t="shared" si="21"/>
        <v>600</v>
      </c>
      <c r="I44" s="57">
        <f t="shared" si="21"/>
        <v>600</v>
      </c>
      <c r="J44" s="57">
        <f t="shared" si="21"/>
        <v>600</v>
      </c>
      <c r="K44" s="57">
        <f t="shared" si="21"/>
        <v>600</v>
      </c>
      <c r="L44" s="57">
        <f t="shared" si="21"/>
        <v>600</v>
      </c>
      <c r="M44" s="57">
        <f t="shared" si="21"/>
        <v>600</v>
      </c>
      <c r="N44" s="57">
        <f t="shared" si="21"/>
        <v>600</v>
      </c>
      <c r="O44" s="57">
        <f t="shared" si="21"/>
        <v>600</v>
      </c>
      <c r="P44" s="57">
        <f t="shared" si="5"/>
        <v>600</v>
      </c>
      <c r="Q44" s="57">
        <f t="shared" si="7"/>
        <v>600</v>
      </c>
      <c r="R44" s="57">
        <f t="shared" si="9"/>
        <v>600</v>
      </c>
      <c r="S44" s="57">
        <f t="shared" si="11"/>
        <v>600</v>
      </c>
      <c r="T44" s="57">
        <f t="shared" si="15"/>
        <v>600</v>
      </c>
      <c r="U44" s="13">
        <v>610.06222522473865</v>
      </c>
      <c r="V44" s="13">
        <v>610.65733536301525</v>
      </c>
      <c r="W44" s="13">
        <v>612.28531148022978</v>
      </c>
      <c r="X44" s="57">
        <f t="shared" si="16"/>
        <v>650</v>
      </c>
      <c r="Y44" s="57">
        <f t="shared" si="12"/>
        <v>650</v>
      </c>
      <c r="Z44" s="57">
        <f t="shared" si="10"/>
        <v>650</v>
      </c>
      <c r="AA44" s="57">
        <f t="shared" si="8"/>
        <v>650</v>
      </c>
      <c r="AB44" s="57">
        <f t="shared" si="6"/>
        <v>650</v>
      </c>
      <c r="AC44" s="57">
        <f t="shared" si="22"/>
        <v>650</v>
      </c>
      <c r="AD44" s="57">
        <f t="shared" si="22"/>
        <v>650</v>
      </c>
      <c r="AE44" s="57">
        <f t="shared" si="22"/>
        <v>650</v>
      </c>
      <c r="AF44" s="57">
        <f t="shared" si="22"/>
        <v>650</v>
      </c>
      <c r="AG44" s="57">
        <f t="shared" si="22"/>
        <v>650</v>
      </c>
      <c r="AH44" s="57">
        <f t="shared" si="22"/>
        <v>650</v>
      </c>
      <c r="AI44" s="57">
        <f t="shared" si="22"/>
        <v>650</v>
      </c>
      <c r="AJ44" s="57">
        <f t="shared" si="22"/>
        <v>650</v>
      </c>
      <c r="AK44" s="42">
        <f t="shared" si="22"/>
        <v>650</v>
      </c>
      <c r="AL44" s="43">
        <v>22</v>
      </c>
      <c r="AM44" s="26">
        <f t="shared" si="20"/>
        <v>0.19444444444444442</v>
      </c>
    </row>
    <row r="45" spans="4:39" ht="50.1" customHeight="1" x14ac:dyDescent="0.25">
      <c r="E45" s="25">
        <v>21</v>
      </c>
      <c r="F45" s="54">
        <f t="shared" si="19"/>
        <v>0.18518518518518517</v>
      </c>
      <c r="G45" s="61">
        <f t="shared" si="21"/>
        <v>600</v>
      </c>
      <c r="H45" s="57">
        <f t="shared" si="21"/>
        <v>600</v>
      </c>
      <c r="I45" s="57">
        <f t="shared" si="21"/>
        <v>600</v>
      </c>
      <c r="J45" s="57">
        <f t="shared" si="21"/>
        <v>600</v>
      </c>
      <c r="K45" s="57">
        <f t="shared" si="21"/>
        <v>600</v>
      </c>
      <c r="L45" s="57">
        <f t="shared" si="21"/>
        <v>600</v>
      </c>
      <c r="M45" s="57">
        <f t="shared" si="21"/>
        <v>600</v>
      </c>
      <c r="N45" s="57">
        <f t="shared" si="21"/>
        <v>600</v>
      </c>
      <c r="O45" s="57">
        <f t="shared" si="21"/>
        <v>600</v>
      </c>
      <c r="P45" s="57">
        <f t="shared" si="5"/>
        <v>600</v>
      </c>
      <c r="Q45" s="57">
        <f t="shared" si="7"/>
        <v>600</v>
      </c>
      <c r="R45" s="57">
        <f t="shared" si="9"/>
        <v>600</v>
      </c>
      <c r="S45" s="57">
        <f t="shared" si="11"/>
        <v>600</v>
      </c>
      <c r="T45" s="57">
        <f t="shared" si="15"/>
        <v>600</v>
      </c>
      <c r="U45" s="13">
        <v>609.94326701791704</v>
      </c>
      <c r="V45" s="13">
        <v>610.53579326329452</v>
      </c>
      <c r="W45" s="13">
        <v>612.16469951682984</v>
      </c>
      <c r="X45" s="57">
        <f t="shared" si="16"/>
        <v>650</v>
      </c>
      <c r="Y45" s="57">
        <f t="shared" si="12"/>
        <v>650</v>
      </c>
      <c r="Z45" s="57">
        <f t="shared" si="10"/>
        <v>650</v>
      </c>
      <c r="AA45" s="57">
        <f t="shared" si="8"/>
        <v>650</v>
      </c>
      <c r="AB45" s="57">
        <f t="shared" si="6"/>
        <v>650</v>
      </c>
      <c r="AC45" s="57">
        <f t="shared" si="22"/>
        <v>650</v>
      </c>
      <c r="AD45" s="57">
        <f t="shared" si="22"/>
        <v>650</v>
      </c>
      <c r="AE45" s="57">
        <f t="shared" si="22"/>
        <v>650</v>
      </c>
      <c r="AF45" s="57">
        <f t="shared" si="22"/>
        <v>650</v>
      </c>
      <c r="AG45" s="57">
        <f t="shared" si="22"/>
        <v>650</v>
      </c>
      <c r="AH45" s="57">
        <f t="shared" si="22"/>
        <v>650</v>
      </c>
      <c r="AI45" s="57">
        <f t="shared" si="22"/>
        <v>650</v>
      </c>
      <c r="AJ45" s="57">
        <f t="shared" si="22"/>
        <v>650</v>
      </c>
      <c r="AK45" s="42">
        <f t="shared" si="22"/>
        <v>650</v>
      </c>
      <c r="AL45" s="43">
        <v>21</v>
      </c>
      <c r="AM45" s="26">
        <f t="shared" si="20"/>
        <v>0.18518518518518517</v>
      </c>
    </row>
    <row r="46" spans="4:39" ht="50.1" customHeight="1" x14ac:dyDescent="0.25">
      <c r="E46" s="25">
        <v>20</v>
      </c>
      <c r="F46" s="54">
        <f t="shared" si="19"/>
        <v>0.17592592592592593</v>
      </c>
      <c r="G46" s="61">
        <f t="shared" si="21"/>
        <v>600</v>
      </c>
      <c r="H46" s="57">
        <f t="shared" si="21"/>
        <v>600</v>
      </c>
      <c r="I46" s="57">
        <f t="shared" si="21"/>
        <v>600</v>
      </c>
      <c r="J46" s="57">
        <f t="shared" si="21"/>
        <v>600</v>
      </c>
      <c r="K46" s="57">
        <f t="shared" si="21"/>
        <v>600</v>
      </c>
      <c r="L46" s="57">
        <f t="shared" si="21"/>
        <v>600</v>
      </c>
      <c r="M46" s="57">
        <f t="shared" si="21"/>
        <v>600</v>
      </c>
      <c r="N46" s="57">
        <f t="shared" si="21"/>
        <v>600</v>
      </c>
      <c r="O46" s="57">
        <f t="shared" si="21"/>
        <v>600</v>
      </c>
      <c r="P46" s="57">
        <f t="shared" si="5"/>
        <v>600</v>
      </c>
      <c r="Q46" s="57">
        <f t="shared" si="7"/>
        <v>600</v>
      </c>
      <c r="R46" s="57">
        <f t="shared" si="9"/>
        <v>600</v>
      </c>
      <c r="S46" s="57">
        <f t="shared" si="11"/>
        <v>600</v>
      </c>
      <c r="T46" s="57">
        <f t="shared" si="15"/>
        <v>600</v>
      </c>
      <c r="U46" s="13">
        <v>609.78075733246874</v>
      </c>
      <c r="V46" s="13">
        <v>610.36979926325023</v>
      </c>
      <c r="W46" s="13">
        <v>611.99991938866879</v>
      </c>
      <c r="X46" s="57">
        <f t="shared" si="16"/>
        <v>650</v>
      </c>
      <c r="Y46" s="57">
        <f t="shared" si="12"/>
        <v>650</v>
      </c>
      <c r="Z46" s="57">
        <f t="shared" si="10"/>
        <v>650</v>
      </c>
      <c r="AA46" s="57">
        <f t="shared" si="8"/>
        <v>650</v>
      </c>
      <c r="AB46" s="57">
        <f t="shared" si="6"/>
        <v>650</v>
      </c>
      <c r="AC46" s="57">
        <f t="shared" si="22"/>
        <v>650</v>
      </c>
      <c r="AD46" s="57">
        <f t="shared" si="22"/>
        <v>650</v>
      </c>
      <c r="AE46" s="57">
        <f t="shared" si="22"/>
        <v>650</v>
      </c>
      <c r="AF46" s="57">
        <f t="shared" si="22"/>
        <v>650</v>
      </c>
      <c r="AG46" s="57">
        <f t="shared" si="22"/>
        <v>650</v>
      </c>
      <c r="AH46" s="57">
        <f t="shared" si="22"/>
        <v>650</v>
      </c>
      <c r="AI46" s="57">
        <f t="shared" si="22"/>
        <v>650</v>
      </c>
      <c r="AJ46" s="57">
        <f t="shared" si="22"/>
        <v>650</v>
      </c>
      <c r="AK46" s="42">
        <f t="shared" si="22"/>
        <v>650</v>
      </c>
      <c r="AL46" s="43">
        <v>20</v>
      </c>
      <c r="AM46" s="26">
        <f t="shared" si="20"/>
        <v>0.17592592592592593</v>
      </c>
    </row>
    <row r="47" spans="4:39" ht="50.1" customHeight="1" x14ac:dyDescent="0.25">
      <c r="E47" s="25">
        <v>19</v>
      </c>
      <c r="F47" s="54">
        <f t="shared" si="19"/>
        <v>0.16666666666666666</v>
      </c>
      <c r="G47" s="61">
        <f t="shared" si="21"/>
        <v>600</v>
      </c>
      <c r="H47" s="57">
        <f t="shared" si="21"/>
        <v>600</v>
      </c>
      <c r="I47" s="57">
        <f t="shared" si="21"/>
        <v>600</v>
      </c>
      <c r="J47" s="57">
        <f t="shared" si="21"/>
        <v>600</v>
      </c>
      <c r="K47" s="57">
        <f t="shared" si="21"/>
        <v>600</v>
      </c>
      <c r="L47" s="57">
        <f t="shared" si="21"/>
        <v>600</v>
      </c>
      <c r="M47" s="57">
        <f t="shared" si="21"/>
        <v>600</v>
      </c>
      <c r="N47" s="57">
        <f t="shared" si="21"/>
        <v>600</v>
      </c>
      <c r="O47" s="57">
        <f t="shared" si="21"/>
        <v>600</v>
      </c>
      <c r="P47" s="57">
        <f t="shared" si="5"/>
        <v>600</v>
      </c>
      <c r="Q47" s="57">
        <f t="shared" si="7"/>
        <v>600</v>
      </c>
      <c r="R47" s="57">
        <f t="shared" si="9"/>
        <v>600</v>
      </c>
      <c r="S47" s="57">
        <f t="shared" si="11"/>
        <v>600</v>
      </c>
      <c r="T47" s="57">
        <f t="shared" si="15"/>
        <v>600</v>
      </c>
      <c r="U47" s="13">
        <v>609.56206964481112</v>
      </c>
      <c r="V47" s="13">
        <v>610.14681435422767</v>
      </c>
      <c r="W47" s="13">
        <v>611.77807983715138</v>
      </c>
      <c r="X47" s="57">
        <f t="shared" si="16"/>
        <v>650</v>
      </c>
      <c r="Y47" s="57">
        <f t="shared" si="12"/>
        <v>650</v>
      </c>
      <c r="Z47" s="57">
        <f t="shared" si="10"/>
        <v>650</v>
      </c>
      <c r="AA47" s="57">
        <f t="shared" si="8"/>
        <v>650</v>
      </c>
      <c r="AB47" s="57">
        <f t="shared" si="6"/>
        <v>650</v>
      </c>
      <c r="AC47" s="57">
        <f t="shared" si="22"/>
        <v>650</v>
      </c>
      <c r="AD47" s="57">
        <f t="shared" si="22"/>
        <v>650</v>
      </c>
      <c r="AE47" s="57">
        <f t="shared" si="22"/>
        <v>650</v>
      </c>
      <c r="AF47" s="57">
        <f t="shared" si="22"/>
        <v>650</v>
      </c>
      <c r="AG47" s="57">
        <f t="shared" si="22"/>
        <v>650</v>
      </c>
      <c r="AH47" s="57">
        <f t="shared" si="22"/>
        <v>650</v>
      </c>
      <c r="AI47" s="57">
        <f t="shared" si="22"/>
        <v>650</v>
      </c>
      <c r="AJ47" s="57">
        <f t="shared" si="22"/>
        <v>650</v>
      </c>
      <c r="AK47" s="42">
        <f t="shared" si="22"/>
        <v>650</v>
      </c>
      <c r="AL47" s="43">
        <v>19</v>
      </c>
      <c r="AM47" s="26">
        <f t="shared" si="20"/>
        <v>0.16666666666666666</v>
      </c>
    </row>
    <row r="48" spans="4:39" ht="50.1" customHeight="1" x14ac:dyDescent="0.25">
      <c r="E48" s="25">
        <v>18</v>
      </c>
      <c r="F48" s="54">
        <f t="shared" si="19"/>
        <v>0.15740740740740738</v>
      </c>
      <c r="G48" s="61">
        <f t="shared" si="21"/>
        <v>600</v>
      </c>
      <c r="H48" s="57">
        <f t="shared" si="21"/>
        <v>600</v>
      </c>
      <c r="I48" s="57">
        <f t="shared" si="21"/>
        <v>600</v>
      </c>
      <c r="J48" s="57">
        <f t="shared" si="21"/>
        <v>600</v>
      </c>
      <c r="K48" s="57">
        <f t="shared" si="21"/>
        <v>600</v>
      </c>
      <c r="L48" s="57">
        <f t="shared" si="21"/>
        <v>600</v>
      </c>
      <c r="M48" s="57">
        <f t="shared" si="21"/>
        <v>600</v>
      </c>
      <c r="N48" s="57">
        <f t="shared" si="21"/>
        <v>600</v>
      </c>
      <c r="O48" s="57">
        <f t="shared" si="21"/>
        <v>600</v>
      </c>
      <c r="P48" s="57">
        <f t="shared" si="5"/>
        <v>600</v>
      </c>
      <c r="Q48" s="57">
        <f t="shared" si="7"/>
        <v>600</v>
      </c>
      <c r="R48" s="57">
        <f t="shared" si="9"/>
        <v>600</v>
      </c>
      <c r="S48" s="57">
        <f t="shared" si="11"/>
        <v>600</v>
      </c>
      <c r="T48" s="57">
        <f t="shared" si="15"/>
        <v>600</v>
      </c>
      <c r="U48" s="13">
        <v>609.27157526668441</v>
      </c>
      <c r="V48" s="13">
        <v>609.85397592207278</v>
      </c>
      <c r="W48" s="13">
        <v>611.48256918645632</v>
      </c>
      <c r="X48" s="57">
        <f t="shared" si="16"/>
        <v>650</v>
      </c>
      <c r="Y48" s="57">
        <f t="shared" si="12"/>
        <v>650</v>
      </c>
      <c r="Z48" s="57">
        <f t="shared" si="10"/>
        <v>650</v>
      </c>
      <c r="AA48" s="57">
        <f t="shared" si="8"/>
        <v>650</v>
      </c>
      <c r="AB48" s="57">
        <f t="shared" si="6"/>
        <v>650</v>
      </c>
      <c r="AC48" s="57">
        <f t="shared" si="22"/>
        <v>650</v>
      </c>
      <c r="AD48" s="57">
        <f t="shared" si="22"/>
        <v>650</v>
      </c>
      <c r="AE48" s="57">
        <f t="shared" si="22"/>
        <v>650</v>
      </c>
      <c r="AF48" s="57">
        <f t="shared" si="22"/>
        <v>650</v>
      </c>
      <c r="AG48" s="57">
        <f t="shared" si="22"/>
        <v>650</v>
      </c>
      <c r="AH48" s="57">
        <f t="shared" si="22"/>
        <v>650</v>
      </c>
      <c r="AI48" s="57">
        <f t="shared" si="22"/>
        <v>650</v>
      </c>
      <c r="AJ48" s="57">
        <f t="shared" si="22"/>
        <v>650</v>
      </c>
      <c r="AK48" s="42">
        <f t="shared" si="22"/>
        <v>650</v>
      </c>
      <c r="AL48" s="43">
        <v>18</v>
      </c>
      <c r="AM48" s="26">
        <f t="shared" si="20"/>
        <v>0.15740740740740738</v>
      </c>
    </row>
    <row r="49" spans="5:39" ht="50.1" customHeight="1" x14ac:dyDescent="0.25">
      <c r="E49" s="25">
        <v>17</v>
      </c>
      <c r="F49" s="54">
        <f t="shared" si="19"/>
        <v>0.14814814814814814</v>
      </c>
      <c r="G49" s="61">
        <f t="shared" si="21"/>
        <v>600</v>
      </c>
      <c r="H49" s="57">
        <f t="shared" si="21"/>
        <v>600</v>
      </c>
      <c r="I49" s="57">
        <f t="shared" si="21"/>
        <v>600</v>
      </c>
      <c r="J49" s="57">
        <f t="shared" si="21"/>
        <v>600</v>
      </c>
      <c r="K49" s="57">
        <f t="shared" si="21"/>
        <v>600</v>
      </c>
      <c r="L49" s="57">
        <f t="shared" si="21"/>
        <v>600</v>
      </c>
      <c r="M49" s="57">
        <f t="shared" si="21"/>
        <v>600</v>
      </c>
      <c r="N49" s="57">
        <f t="shared" si="21"/>
        <v>600</v>
      </c>
      <c r="O49" s="57">
        <f t="shared" si="21"/>
        <v>600</v>
      </c>
      <c r="P49" s="57">
        <f t="shared" si="5"/>
        <v>600</v>
      </c>
      <c r="Q49" s="57">
        <f t="shared" si="7"/>
        <v>600</v>
      </c>
      <c r="R49" s="57">
        <f t="shared" si="9"/>
        <v>600</v>
      </c>
      <c r="S49" s="57">
        <f t="shared" si="11"/>
        <v>600</v>
      </c>
      <c r="T49" s="57">
        <f t="shared" si="15"/>
        <v>600</v>
      </c>
      <c r="U49" s="13">
        <v>608.87377045736605</v>
      </c>
      <c r="V49" s="13">
        <v>609.48163055601731</v>
      </c>
      <c r="W49" s="13">
        <v>611.07082620071662</v>
      </c>
      <c r="X49" s="57">
        <f t="shared" si="16"/>
        <v>650</v>
      </c>
      <c r="Y49" s="57">
        <f t="shared" si="12"/>
        <v>650</v>
      </c>
      <c r="Z49" s="57">
        <f t="shared" si="10"/>
        <v>650</v>
      </c>
      <c r="AA49" s="57">
        <f t="shared" si="8"/>
        <v>650</v>
      </c>
      <c r="AB49" s="57">
        <f t="shared" si="6"/>
        <v>650</v>
      </c>
      <c r="AC49" s="57">
        <f t="shared" si="22"/>
        <v>650</v>
      </c>
      <c r="AD49" s="57">
        <f t="shared" si="22"/>
        <v>650</v>
      </c>
      <c r="AE49" s="57">
        <f t="shared" si="22"/>
        <v>650</v>
      </c>
      <c r="AF49" s="57">
        <f t="shared" si="22"/>
        <v>650</v>
      </c>
      <c r="AG49" s="57">
        <f t="shared" si="22"/>
        <v>650</v>
      </c>
      <c r="AH49" s="57">
        <f t="shared" si="22"/>
        <v>650</v>
      </c>
      <c r="AI49" s="57">
        <f t="shared" si="22"/>
        <v>650</v>
      </c>
      <c r="AJ49" s="57">
        <f t="shared" si="22"/>
        <v>650</v>
      </c>
      <c r="AK49" s="42">
        <f t="shared" si="22"/>
        <v>650</v>
      </c>
      <c r="AL49" s="43">
        <v>17</v>
      </c>
      <c r="AM49" s="26">
        <f t="shared" si="20"/>
        <v>0.14814814814814814</v>
      </c>
    </row>
    <row r="50" spans="5:39" ht="50.1" customHeight="1" x14ac:dyDescent="0.25">
      <c r="E50" s="25">
        <v>16</v>
      </c>
      <c r="F50" s="54">
        <f t="shared" si="19"/>
        <v>0.1388888888888889</v>
      </c>
      <c r="G50" s="61">
        <f t="shared" si="21"/>
        <v>600</v>
      </c>
      <c r="H50" s="57">
        <f t="shared" si="21"/>
        <v>600</v>
      </c>
      <c r="I50" s="57">
        <f t="shared" si="21"/>
        <v>600</v>
      </c>
      <c r="J50" s="57">
        <f t="shared" si="21"/>
        <v>600</v>
      </c>
      <c r="K50" s="57">
        <f t="shared" si="21"/>
        <v>600</v>
      </c>
      <c r="L50" s="57">
        <f t="shared" si="21"/>
        <v>600</v>
      </c>
      <c r="M50" s="57">
        <f t="shared" si="21"/>
        <v>600</v>
      </c>
      <c r="N50" s="57">
        <f t="shared" si="21"/>
        <v>600</v>
      </c>
      <c r="O50" s="57">
        <f t="shared" si="21"/>
        <v>600</v>
      </c>
      <c r="P50" s="57">
        <f t="shared" si="5"/>
        <v>600</v>
      </c>
      <c r="Q50" s="57">
        <f t="shared" si="7"/>
        <v>600</v>
      </c>
      <c r="R50" s="57">
        <f t="shared" si="9"/>
        <v>600</v>
      </c>
      <c r="S50" s="57">
        <f t="shared" si="11"/>
        <v>600</v>
      </c>
      <c r="T50" s="13">
        <v>605.34840025858387</v>
      </c>
      <c r="U50" s="13">
        <v>608.15040811357483</v>
      </c>
      <c r="V50" s="13">
        <v>609.03495651943933</v>
      </c>
      <c r="W50" s="13">
        <v>610.26531206012942</v>
      </c>
      <c r="X50" s="13">
        <v>612.00307533593332</v>
      </c>
      <c r="Y50" s="57">
        <f t="shared" si="12"/>
        <v>650</v>
      </c>
      <c r="Z50" s="57">
        <f t="shared" si="10"/>
        <v>650</v>
      </c>
      <c r="AA50" s="57">
        <f t="shared" si="8"/>
        <v>650</v>
      </c>
      <c r="AB50" s="57">
        <f t="shared" si="6"/>
        <v>650</v>
      </c>
      <c r="AC50" s="57">
        <f t="shared" si="22"/>
        <v>650</v>
      </c>
      <c r="AD50" s="57">
        <f t="shared" si="22"/>
        <v>650</v>
      </c>
      <c r="AE50" s="57">
        <f t="shared" si="22"/>
        <v>650</v>
      </c>
      <c r="AF50" s="57">
        <f t="shared" si="22"/>
        <v>650</v>
      </c>
      <c r="AG50" s="57">
        <f t="shared" si="22"/>
        <v>650</v>
      </c>
      <c r="AH50" s="57">
        <f t="shared" si="22"/>
        <v>650</v>
      </c>
      <c r="AI50" s="57">
        <f t="shared" si="22"/>
        <v>650</v>
      </c>
      <c r="AJ50" s="57">
        <f t="shared" si="22"/>
        <v>650</v>
      </c>
      <c r="AK50" s="42">
        <f t="shared" si="22"/>
        <v>650</v>
      </c>
      <c r="AL50" s="43">
        <v>16</v>
      </c>
      <c r="AM50" s="26">
        <f t="shared" si="20"/>
        <v>0.1388888888888889</v>
      </c>
    </row>
    <row r="51" spans="5:39" ht="50.1" customHeight="1" x14ac:dyDescent="0.25">
      <c r="E51" s="25">
        <v>15</v>
      </c>
      <c r="F51" s="54">
        <f t="shared" si="19"/>
        <v>0.12962962962962962</v>
      </c>
      <c r="G51" s="61">
        <f t="shared" ref="G51:O58" si="23">$R$2</f>
        <v>600</v>
      </c>
      <c r="H51" s="57">
        <f t="shared" si="23"/>
        <v>600</v>
      </c>
      <c r="I51" s="57">
        <f t="shared" si="23"/>
        <v>600</v>
      </c>
      <c r="J51" s="57">
        <f t="shared" si="23"/>
        <v>600</v>
      </c>
      <c r="K51" s="57">
        <f t="shared" si="23"/>
        <v>600</v>
      </c>
      <c r="L51" s="57">
        <f t="shared" si="23"/>
        <v>600</v>
      </c>
      <c r="M51" s="57">
        <f t="shared" si="23"/>
        <v>600</v>
      </c>
      <c r="N51" s="57">
        <f t="shared" si="23"/>
        <v>600</v>
      </c>
      <c r="O51" s="57">
        <f t="shared" si="23"/>
        <v>600</v>
      </c>
      <c r="P51" s="57">
        <f t="shared" si="5"/>
        <v>600</v>
      </c>
      <c r="Q51" s="57">
        <f t="shared" si="7"/>
        <v>600</v>
      </c>
      <c r="R51" s="57">
        <f t="shared" si="9"/>
        <v>600</v>
      </c>
      <c r="S51" s="57">
        <f t="shared" si="11"/>
        <v>600</v>
      </c>
      <c r="T51" s="13">
        <v>605.19882576304531</v>
      </c>
      <c r="U51" s="13">
        <v>606.07195858587443</v>
      </c>
      <c r="V51" s="13">
        <v>606.96174628371455</v>
      </c>
      <c r="W51" s="13">
        <v>608.13916378907504</v>
      </c>
      <c r="X51" s="13">
        <v>609.61927992981475</v>
      </c>
      <c r="Y51" s="57">
        <f t="shared" si="12"/>
        <v>650</v>
      </c>
      <c r="Z51" s="57">
        <f t="shared" si="10"/>
        <v>650</v>
      </c>
      <c r="AA51" s="57">
        <f t="shared" si="8"/>
        <v>650</v>
      </c>
      <c r="AB51" s="57">
        <f t="shared" si="6"/>
        <v>650</v>
      </c>
      <c r="AC51" s="57">
        <f t="shared" ref="AC51:AK58" si="24">$R$3</f>
        <v>650</v>
      </c>
      <c r="AD51" s="57">
        <f t="shared" si="24"/>
        <v>650</v>
      </c>
      <c r="AE51" s="57">
        <f t="shared" si="24"/>
        <v>650</v>
      </c>
      <c r="AF51" s="57">
        <f t="shared" si="24"/>
        <v>650</v>
      </c>
      <c r="AG51" s="57">
        <f t="shared" si="24"/>
        <v>650</v>
      </c>
      <c r="AH51" s="57">
        <f t="shared" si="24"/>
        <v>650</v>
      </c>
      <c r="AI51" s="57">
        <f t="shared" si="24"/>
        <v>650</v>
      </c>
      <c r="AJ51" s="57">
        <f t="shared" si="24"/>
        <v>650</v>
      </c>
      <c r="AK51" s="42">
        <f t="shared" si="24"/>
        <v>650</v>
      </c>
      <c r="AL51" s="43">
        <v>15</v>
      </c>
      <c r="AM51" s="26">
        <f t="shared" si="20"/>
        <v>0.12962962962962962</v>
      </c>
    </row>
    <row r="52" spans="5:39" ht="50.1" customHeight="1" x14ac:dyDescent="0.25">
      <c r="E52" s="25">
        <v>14</v>
      </c>
      <c r="F52" s="54">
        <f t="shared" si="19"/>
        <v>0.12037037037037036</v>
      </c>
      <c r="G52" s="61">
        <f t="shared" si="23"/>
        <v>600</v>
      </c>
      <c r="H52" s="57">
        <f t="shared" si="23"/>
        <v>600</v>
      </c>
      <c r="I52" s="57">
        <f t="shared" si="23"/>
        <v>600</v>
      </c>
      <c r="J52" s="57">
        <f t="shared" si="23"/>
        <v>600</v>
      </c>
      <c r="K52" s="57">
        <f t="shared" si="23"/>
        <v>600</v>
      </c>
      <c r="L52" s="57">
        <f t="shared" si="23"/>
        <v>600</v>
      </c>
      <c r="M52" s="57">
        <f t="shared" si="23"/>
        <v>600</v>
      </c>
      <c r="N52" s="57">
        <f t="shared" si="23"/>
        <v>600</v>
      </c>
      <c r="O52" s="57">
        <f t="shared" si="23"/>
        <v>600</v>
      </c>
      <c r="P52" s="57">
        <f t="shared" si="5"/>
        <v>600</v>
      </c>
      <c r="Q52" s="57">
        <f t="shared" si="7"/>
        <v>600</v>
      </c>
      <c r="R52" s="57">
        <f t="shared" si="9"/>
        <v>600</v>
      </c>
      <c r="S52" s="57">
        <f t="shared" si="11"/>
        <v>600</v>
      </c>
      <c r="T52" s="13">
        <v>601.97561603204076</v>
      </c>
      <c r="U52" s="13">
        <v>602.52265004000105</v>
      </c>
      <c r="V52" s="13">
        <v>603.36167570274165</v>
      </c>
      <c r="W52" s="13">
        <v>604.52698265573429</v>
      </c>
      <c r="X52" s="13">
        <v>606.02459112627287</v>
      </c>
      <c r="Y52" s="57">
        <f t="shared" si="12"/>
        <v>650</v>
      </c>
      <c r="Z52" s="57">
        <f t="shared" si="10"/>
        <v>650</v>
      </c>
      <c r="AA52" s="57">
        <f t="shared" si="8"/>
        <v>650</v>
      </c>
      <c r="AB52" s="57">
        <f t="shared" si="6"/>
        <v>650</v>
      </c>
      <c r="AC52" s="57">
        <f t="shared" si="24"/>
        <v>650</v>
      </c>
      <c r="AD52" s="57">
        <f t="shared" si="24"/>
        <v>650</v>
      </c>
      <c r="AE52" s="57">
        <f t="shared" si="24"/>
        <v>650</v>
      </c>
      <c r="AF52" s="57">
        <f t="shared" si="24"/>
        <v>650</v>
      </c>
      <c r="AG52" s="57">
        <f t="shared" si="24"/>
        <v>650</v>
      </c>
      <c r="AH52" s="57">
        <f t="shared" si="24"/>
        <v>650</v>
      </c>
      <c r="AI52" s="57">
        <f t="shared" si="24"/>
        <v>650</v>
      </c>
      <c r="AJ52" s="57">
        <f t="shared" si="24"/>
        <v>650</v>
      </c>
      <c r="AK52" s="42">
        <f t="shared" si="24"/>
        <v>650</v>
      </c>
      <c r="AL52" s="43">
        <v>14</v>
      </c>
      <c r="AM52" s="26">
        <f t="shared" si="20"/>
        <v>0.12037037037037036</v>
      </c>
    </row>
    <row r="53" spans="5:39" ht="50.1" customHeight="1" x14ac:dyDescent="0.25">
      <c r="E53" s="25">
        <v>13</v>
      </c>
      <c r="F53" s="54">
        <f t="shared" si="19"/>
        <v>0.1111111111111111</v>
      </c>
      <c r="G53" s="61">
        <f t="shared" si="23"/>
        <v>600</v>
      </c>
      <c r="H53" s="57">
        <f t="shared" si="23"/>
        <v>600</v>
      </c>
      <c r="I53" s="57">
        <f t="shared" si="23"/>
        <v>600</v>
      </c>
      <c r="J53" s="57">
        <f t="shared" si="23"/>
        <v>600</v>
      </c>
      <c r="K53" s="57">
        <f t="shared" si="23"/>
        <v>600</v>
      </c>
      <c r="L53" s="57">
        <f t="shared" si="23"/>
        <v>600</v>
      </c>
      <c r="M53" s="57">
        <f t="shared" si="23"/>
        <v>600</v>
      </c>
      <c r="N53" s="57">
        <f t="shared" si="23"/>
        <v>600</v>
      </c>
      <c r="O53" s="57">
        <f t="shared" si="23"/>
        <v>600</v>
      </c>
      <c r="P53" s="57">
        <f t="shared" si="5"/>
        <v>600</v>
      </c>
      <c r="Q53" s="57">
        <f t="shared" si="7"/>
        <v>600</v>
      </c>
      <c r="R53" s="57">
        <f t="shared" si="9"/>
        <v>600</v>
      </c>
      <c r="S53" s="13">
        <v>591.03357298664105</v>
      </c>
      <c r="T53" s="13">
        <v>596.7721064899697</v>
      </c>
      <c r="U53" s="13">
        <v>597.23143841211981</v>
      </c>
      <c r="V53" s="13">
        <v>598.01025660646224</v>
      </c>
      <c r="W53" s="13">
        <v>599.1165269461743</v>
      </c>
      <c r="X53" s="13">
        <v>600.54844072962169</v>
      </c>
      <c r="Y53" s="13">
        <v>594.63085470450937</v>
      </c>
      <c r="Z53" s="57">
        <f t="shared" si="10"/>
        <v>650</v>
      </c>
      <c r="AA53" s="57">
        <f t="shared" si="8"/>
        <v>650</v>
      </c>
      <c r="AB53" s="57">
        <f t="shared" si="6"/>
        <v>650</v>
      </c>
      <c r="AC53" s="57">
        <f t="shared" si="24"/>
        <v>650</v>
      </c>
      <c r="AD53" s="57">
        <f t="shared" si="24"/>
        <v>650</v>
      </c>
      <c r="AE53" s="57">
        <f t="shared" si="24"/>
        <v>650</v>
      </c>
      <c r="AF53" s="57">
        <f t="shared" si="24"/>
        <v>650</v>
      </c>
      <c r="AG53" s="57">
        <f t="shared" si="24"/>
        <v>650</v>
      </c>
      <c r="AH53" s="57">
        <f t="shared" si="24"/>
        <v>650</v>
      </c>
      <c r="AI53" s="57">
        <f t="shared" si="24"/>
        <v>650</v>
      </c>
      <c r="AJ53" s="57">
        <f t="shared" si="24"/>
        <v>650</v>
      </c>
      <c r="AK53" s="42">
        <f t="shared" si="24"/>
        <v>650</v>
      </c>
      <c r="AL53" s="43">
        <v>13</v>
      </c>
      <c r="AM53" s="26">
        <f t="shared" si="20"/>
        <v>0.1111111111111111</v>
      </c>
    </row>
    <row r="54" spans="5:39" ht="50.1" customHeight="1" x14ac:dyDescent="0.25">
      <c r="E54" s="25">
        <v>12</v>
      </c>
      <c r="F54" s="54">
        <f t="shared" si="19"/>
        <v>0.10185185185185185</v>
      </c>
      <c r="G54" s="61">
        <f t="shared" si="23"/>
        <v>600</v>
      </c>
      <c r="H54" s="57">
        <f t="shared" si="23"/>
        <v>600</v>
      </c>
      <c r="I54" s="57">
        <f t="shared" si="23"/>
        <v>600</v>
      </c>
      <c r="J54" s="57">
        <f t="shared" si="23"/>
        <v>600</v>
      </c>
      <c r="K54" s="57">
        <f t="shared" si="23"/>
        <v>600</v>
      </c>
      <c r="L54" s="57">
        <f t="shared" si="23"/>
        <v>600</v>
      </c>
      <c r="M54" s="57">
        <f t="shared" si="23"/>
        <v>600</v>
      </c>
      <c r="N54" s="57">
        <f t="shared" si="23"/>
        <v>600</v>
      </c>
      <c r="O54" s="57">
        <f t="shared" si="23"/>
        <v>600</v>
      </c>
      <c r="P54" s="57">
        <f t="shared" si="5"/>
        <v>600</v>
      </c>
      <c r="Q54" s="57">
        <f t="shared" si="7"/>
        <v>600</v>
      </c>
      <c r="R54" s="57">
        <f t="shared" si="9"/>
        <v>600</v>
      </c>
      <c r="S54" s="13">
        <v>589.58809578123737</v>
      </c>
      <c r="T54" s="13">
        <v>590.16778731082991</v>
      </c>
      <c r="U54" s="13">
        <v>590.47853925598838</v>
      </c>
      <c r="V54" s="13">
        <v>591.17112127038536</v>
      </c>
      <c r="W54" s="13">
        <v>592.24726005207106</v>
      </c>
      <c r="X54" s="13">
        <v>593.71018974533172</v>
      </c>
      <c r="Y54" s="13">
        <v>594.67149586939149</v>
      </c>
      <c r="Z54" s="57">
        <f t="shared" si="10"/>
        <v>650</v>
      </c>
      <c r="AA54" s="57">
        <f t="shared" si="8"/>
        <v>650</v>
      </c>
      <c r="AB54" s="57">
        <f t="shared" si="6"/>
        <v>650</v>
      </c>
      <c r="AC54" s="57">
        <f t="shared" si="24"/>
        <v>650</v>
      </c>
      <c r="AD54" s="57">
        <f t="shared" si="24"/>
        <v>650</v>
      </c>
      <c r="AE54" s="57">
        <f t="shared" si="24"/>
        <v>650</v>
      </c>
      <c r="AF54" s="57">
        <f t="shared" si="24"/>
        <v>650</v>
      </c>
      <c r="AG54" s="57">
        <f t="shared" si="24"/>
        <v>650</v>
      </c>
      <c r="AH54" s="57">
        <f t="shared" si="24"/>
        <v>650</v>
      </c>
      <c r="AI54" s="57">
        <f t="shared" si="24"/>
        <v>650</v>
      </c>
      <c r="AJ54" s="57">
        <f t="shared" si="24"/>
        <v>650</v>
      </c>
      <c r="AK54" s="42">
        <f t="shared" si="24"/>
        <v>650</v>
      </c>
      <c r="AL54" s="43">
        <v>12</v>
      </c>
      <c r="AM54" s="26">
        <f t="shared" si="20"/>
        <v>0.10185185185185185</v>
      </c>
    </row>
    <row r="55" spans="5:39" ht="50.1" customHeight="1" x14ac:dyDescent="0.25">
      <c r="E55" s="25">
        <v>11</v>
      </c>
      <c r="F55" s="54">
        <f t="shared" si="19"/>
        <v>9.2592592592592587E-2</v>
      </c>
      <c r="G55" s="61">
        <f t="shared" si="23"/>
        <v>600</v>
      </c>
      <c r="H55" s="57">
        <f t="shared" si="23"/>
        <v>600</v>
      </c>
      <c r="I55" s="57">
        <f t="shared" si="23"/>
        <v>600</v>
      </c>
      <c r="J55" s="57">
        <f t="shared" si="23"/>
        <v>600</v>
      </c>
      <c r="K55" s="57">
        <f t="shared" si="23"/>
        <v>600</v>
      </c>
      <c r="L55" s="57">
        <f t="shared" si="23"/>
        <v>600</v>
      </c>
      <c r="M55" s="57">
        <f t="shared" si="23"/>
        <v>600</v>
      </c>
      <c r="N55" s="57">
        <f t="shared" si="23"/>
        <v>600</v>
      </c>
      <c r="O55" s="57">
        <f t="shared" si="23"/>
        <v>600</v>
      </c>
      <c r="P55" s="57">
        <f t="shared" si="5"/>
        <v>600</v>
      </c>
      <c r="Q55" s="57">
        <f t="shared" si="7"/>
        <v>600</v>
      </c>
      <c r="R55" s="13">
        <v>575.37152273349091</v>
      </c>
      <c r="S55" s="13">
        <v>581.97237164809121</v>
      </c>
      <c r="T55" s="13">
        <v>581.90119338193108</v>
      </c>
      <c r="U55" s="13">
        <v>582.13322219063014</v>
      </c>
      <c r="V55" s="13">
        <v>582.75197761796232</v>
      </c>
      <c r="W55" s="13">
        <v>583.75965747519297</v>
      </c>
      <c r="X55" s="13">
        <v>585.15289645471614</v>
      </c>
      <c r="Y55" s="13">
        <v>586.81803820781386</v>
      </c>
      <c r="Z55" s="13">
        <v>583.86155497839377</v>
      </c>
      <c r="AA55" s="57">
        <f t="shared" si="8"/>
        <v>650</v>
      </c>
      <c r="AB55" s="57">
        <f t="shared" si="6"/>
        <v>650</v>
      </c>
      <c r="AC55" s="57">
        <f t="shared" si="24"/>
        <v>650</v>
      </c>
      <c r="AD55" s="57">
        <f t="shared" si="24"/>
        <v>650</v>
      </c>
      <c r="AE55" s="57">
        <f t="shared" si="24"/>
        <v>650</v>
      </c>
      <c r="AF55" s="57">
        <f t="shared" si="24"/>
        <v>650</v>
      </c>
      <c r="AG55" s="57">
        <f t="shared" si="24"/>
        <v>650</v>
      </c>
      <c r="AH55" s="57">
        <f t="shared" si="24"/>
        <v>650</v>
      </c>
      <c r="AI55" s="57">
        <f t="shared" si="24"/>
        <v>650</v>
      </c>
      <c r="AJ55" s="57">
        <f t="shared" si="24"/>
        <v>650</v>
      </c>
      <c r="AK55" s="42">
        <f t="shared" si="24"/>
        <v>650</v>
      </c>
      <c r="AL55" s="43">
        <v>11</v>
      </c>
      <c r="AM55" s="26">
        <f t="shared" si="20"/>
        <v>9.2592592592592587E-2</v>
      </c>
    </row>
    <row r="56" spans="5:39" ht="50.1" customHeight="1" x14ac:dyDescent="0.25">
      <c r="E56" s="25">
        <v>10</v>
      </c>
      <c r="F56" s="54">
        <f t="shared" si="19"/>
        <v>8.3333333333333329E-2</v>
      </c>
      <c r="G56" s="61">
        <f t="shared" si="23"/>
        <v>600</v>
      </c>
      <c r="H56" s="57">
        <f t="shared" si="23"/>
        <v>600</v>
      </c>
      <c r="I56" s="57">
        <f t="shared" si="23"/>
        <v>600</v>
      </c>
      <c r="J56" s="57">
        <f t="shared" si="23"/>
        <v>600</v>
      </c>
      <c r="K56" s="57">
        <f t="shared" si="23"/>
        <v>600</v>
      </c>
      <c r="L56" s="57">
        <f t="shared" si="23"/>
        <v>600</v>
      </c>
      <c r="M56" s="57">
        <f t="shared" si="23"/>
        <v>600</v>
      </c>
      <c r="N56" s="57">
        <f t="shared" si="23"/>
        <v>600</v>
      </c>
      <c r="O56" s="57">
        <f t="shared" si="23"/>
        <v>600</v>
      </c>
      <c r="P56" s="57">
        <f t="shared" si="5"/>
        <v>600</v>
      </c>
      <c r="Q56" s="57">
        <f t="shared" si="7"/>
        <v>600</v>
      </c>
      <c r="R56" s="13">
        <v>572.77703789913721</v>
      </c>
      <c r="S56" s="13">
        <v>572.75309805103791</v>
      </c>
      <c r="T56" s="13">
        <v>572.39440250246332</v>
      </c>
      <c r="U56" s="13">
        <v>572.48573295654478</v>
      </c>
      <c r="V56" s="13">
        <v>573.02467700464024</v>
      </c>
      <c r="W56" s="13">
        <v>574.0078056134181</v>
      </c>
      <c r="X56" s="13">
        <v>575.43878318215707</v>
      </c>
      <c r="Y56" s="13">
        <v>577.3169680199934</v>
      </c>
      <c r="Z56" s="13">
        <v>579.10350008640614</v>
      </c>
      <c r="AA56" s="57">
        <f t="shared" si="8"/>
        <v>650</v>
      </c>
      <c r="AB56" s="57">
        <f t="shared" si="6"/>
        <v>650</v>
      </c>
      <c r="AC56" s="57">
        <f t="shared" si="24"/>
        <v>650</v>
      </c>
      <c r="AD56" s="57">
        <f t="shared" si="24"/>
        <v>650</v>
      </c>
      <c r="AE56" s="57">
        <f t="shared" si="24"/>
        <v>650</v>
      </c>
      <c r="AF56" s="57">
        <f t="shared" si="24"/>
        <v>650</v>
      </c>
      <c r="AG56" s="57">
        <f t="shared" si="24"/>
        <v>650</v>
      </c>
      <c r="AH56" s="57">
        <f t="shared" si="24"/>
        <v>650</v>
      </c>
      <c r="AI56" s="57">
        <f t="shared" si="24"/>
        <v>650</v>
      </c>
      <c r="AJ56" s="57">
        <f t="shared" si="24"/>
        <v>650</v>
      </c>
      <c r="AK56" s="42">
        <f t="shared" si="24"/>
        <v>650</v>
      </c>
      <c r="AL56" s="43">
        <v>10</v>
      </c>
      <c r="AM56" s="26">
        <f t="shared" si="20"/>
        <v>8.3333333333333329E-2</v>
      </c>
    </row>
    <row r="57" spans="5:39" ht="50.1" customHeight="1" x14ac:dyDescent="0.25">
      <c r="E57" s="25">
        <v>9</v>
      </c>
      <c r="F57" s="54">
        <f t="shared" si="19"/>
        <v>7.407407407407407E-2</v>
      </c>
      <c r="G57" s="61">
        <f t="shared" si="23"/>
        <v>600</v>
      </c>
      <c r="H57" s="57">
        <f t="shared" si="23"/>
        <v>600</v>
      </c>
      <c r="I57" s="57">
        <f t="shared" si="23"/>
        <v>600</v>
      </c>
      <c r="J57" s="57">
        <f t="shared" si="23"/>
        <v>600</v>
      </c>
      <c r="K57" s="57">
        <f t="shared" si="23"/>
        <v>600</v>
      </c>
      <c r="L57" s="57">
        <f t="shared" si="23"/>
        <v>600</v>
      </c>
      <c r="M57" s="57">
        <f t="shared" si="23"/>
        <v>600</v>
      </c>
      <c r="N57" s="57">
        <f t="shared" si="23"/>
        <v>600</v>
      </c>
      <c r="O57" s="57">
        <f t="shared" si="23"/>
        <v>600</v>
      </c>
      <c r="P57" s="57">
        <f t="shared" si="5"/>
        <v>600</v>
      </c>
      <c r="Q57" s="13">
        <v>552.57418489249449</v>
      </c>
      <c r="R57" s="13">
        <v>562.41164293055567</v>
      </c>
      <c r="S57" s="13">
        <v>561.75710751104168</v>
      </c>
      <c r="T57" s="13">
        <v>561.4460811369961</v>
      </c>
      <c r="U57" s="13">
        <v>561.55309834025752</v>
      </c>
      <c r="V57" s="13">
        <v>562.07009146749158</v>
      </c>
      <c r="W57" s="13">
        <v>562.99431293560599</v>
      </c>
      <c r="X57" s="13">
        <v>564.32842536289138</v>
      </c>
      <c r="Y57" s="13">
        <v>566.07945113441372</v>
      </c>
      <c r="Z57" s="13">
        <v>568.19986072423865</v>
      </c>
      <c r="AA57" s="13">
        <v>562.06965705315929</v>
      </c>
      <c r="AB57" s="57">
        <f t="shared" si="6"/>
        <v>650</v>
      </c>
      <c r="AC57" s="57">
        <f t="shared" si="24"/>
        <v>650</v>
      </c>
      <c r="AD57" s="57">
        <f t="shared" si="24"/>
        <v>650</v>
      </c>
      <c r="AE57" s="57">
        <f t="shared" si="24"/>
        <v>650</v>
      </c>
      <c r="AF57" s="57">
        <f t="shared" si="24"/>
        <v>650</v>
      </c>
      <c r="AG57" s="57">
        <f t="shared" si="24"/>
        <v>650</v>
      </c>
      <c r="AH57" s="57">
        <f t="shared" si="24"/>
        <v>650</v>
      </c>
      <c r="AI57" s="57">
        <f t="shared" si="24"/>
        <v>650</v>
      </c>
      <c r="AJ57" s="57">
        <f t="shared" si="24"/>
        <v>650</v>
      </c>
      <c r="AK57" s="42">
        <f t="shared" si="24"/>
        <v>650</v>
      </c>
      <c r="AL57" s="43">
        <v>9</v>
      </c>
      <c r="AM57" s="26">
        <f t="shared" si="20"/>
        <v>7.407407407407407E-2</v>
      </c>
    </row>
    <row r="58" spans="5:39" ht="50.1" customHeight="1" x14ac:dyDescent="0.25">
      <c r="E58" s="25">
        <v>8</v>
      </c>
      <c r="F58" s="54">
        <f t="shared" si="19"/>
        <v>6.4814814814814811E-2</v>
      </c>
      <c r="G58" s="61">
        <f t="shared" si="23"/>
        <v>600</v>
      </c>
      <c r="H58" s="57">
        <f t="shared" si="23"/>
        <v>600</v>
      </c>
      <c r="I58" s="57">
        <f t="shared" si="23"/>
        <v>600</v>
      </c>
      <c r="J58" s="57">
        <f t="shared" si="23"/>
        <v>600</v>
      </c>
      <c r="K58" s="57">
        <f t="shared" si="23"/>
        <v>600</v>
      </c>
      <c r="L58" s="57">
        <f t="shared" si="23"/>
        <v>600</v>
      </c>
      <c r="M58" s="57">
        <f t="shared" si="23"/>
        <v>600</v>
      </c>
      <c r="N58" s="57">
        <f t="shared" si="23"/>
        <v>600</v>
      </c>
      <c r="O58" s="58">
        <f t="shared" si="23"/>
        <v>600</v>
      </c>
      <c r="P58" s="13">
        <v>543.58677468613723</v>
      </c>
      <c r="Q58" s="13">
        <v>548.93996607729184</v>
      </c>
      <c r="R58" s="13">
        <v>549.83410875936863</v>
      </c>
      <c r="S58" s="13">
        <v>549.60316525522182</v>
      </c>
      <c r="T58" s="13">
        <v>549.5962799195471</v>
      </c>
      <c r="U58" s="13">
        <v>549.85819721005691</v>
      </c>
      <c r="V58" s="13">
        <v>550.4083236359379</v>
      </c>
      <c r="W58" s="13">
        <v>551.25463895469022</v>
      </c>
      <c r="X58" s="13">
        <v>552.39502815297533</v>
      </c>
      <c r="Y58" s="13">
        <v>553.81642452073891</v>
      </c>
      <c r="Z58" s="13">
        <v>555.48507713852132</v>
      </c>
      <c r="AA58" s="13">
        <v>556.31632651678547</v>
      </c>
      <c r="AB58" s="13">
        <v>553.96981314234995</v>
      </c>
      <c r="AC58" s="57">
        <f t="shared" si="24"/>
        <v>650</v>
      </c>
      <c r="AD58" s="57">
        <f t="shared" si="24"/>
        <v>650</v>
      </c>
      <c r="AE58" s="57">
        <f t="shared" si="24"/>
        <v>650</v>
      </c>
      <c r="AF58" s="57">
        <f t="shared" si="24"/>
        <v>650</v>
      </c>
      <c r="AG58" s="57">
        <f t="shared" si="24"/>
        <v>650</v>
      </c>
      <c r="AH58" s="57">
        <f t="shared" si="24"/>
        <v>650</v>
      </c>
      <c r="AI58" s="57">
        <f t="shared" si="24"/>
        <v>650</v>
      </c>
      <c r="AJ58" s="57">
        <f t="shared" si="24"/>
        <v>650</v>
      </c>
      <c r="AK58" s="42">
        <f t="shared" si="24"/>
        <v>650</v>
      </c>
      <c r="AL58" s="43">
        <v>8</v>
      </c>
      <c r="AM58" s="26">
        <f t="shared" si="20"/>
        <v>6.4814814814814811E-2</v>
      </c>
    </row>
    <row r="59" spans="5:39" ht="50.1" customHeight="1" x14ac:dyDescent="0.25">
      <c r="E59" s="25">
        <v>7</v>
      </c>
      <c r="F59" s="54">
        <f t="shared" si="19"/>
        <v>5.5555555555555552E-2</v>
      </c>
      <c r="G59" s="61">
        <f t="shared" ref="G59:N59" si="25">$R$2</f>
        <v>600</v>
      </c>
      <c r="H59" s="57">
        <f t="shared" si="25"/>
        <v>600</v>
      </c>
      <c r="I59" s="57">
        <f t="shared" si="25"/>
        <v>600</v>
      </c>
      <c r="J59" s="57">
        <f t="shared" si="25"/>
        <v>600</v>
      </c>
      <c r="K59" s="57">
        <f t="shared" si="25"/>
        <v>600</v>
      </c>
      <c r="L59" s="57">
        <f t="shared" si="25"/>
        <v>600</v>
      </c>
      <c r="M59" s="57">
        <f t="shared" si="25"/>
        <v>600</v>
      </c>
      <c r="N59" s="58">
        <f t="shared" si="25"/>
        <v>600</v>
      </c>
      <c r="O59" s="13">
        <v>534.3628249240885</v>
      </c>
      <c r="P59" s="13">
        <v>539.55413243219061</v>
      </c>
      <c r="Q59" s="13">
        <v>539.43578582615214</v>
      </c>
      <c r="R59" s="13">
        <v>539.07744999160161</v>
      </c>
      <c r="S59" s="13">
        <v>538.81689868255216</v>
      </c>
      <c r="T59" s="13">
        <v>538.80864831228325</v>
      </c>
      <c r="U59" s="13">
        <v>539.06416646230718</v>
      </c>
      <c r="V59" s="13">
        <v>539.59155433935427</v>
      </c>
      <c r="W59" s="13">
        <v>540.39551498209266</v>
      </c>
      <c r="X59" s="13">
        <v>541.47692075187877</v>
      </c>
      <c r="Y59" s="13">
        <v>542.83292538093951</v>
      </c>
      <c r="Z59" s="13">
        <v>544.45693291642601</v>
      </c>
      <c r="AA59" s="13">
        <v>546.22701512709341</v>
      </c>
      <c r="AB59" s="13">
        <v>547.8943396314254</v>
      </c>
      <c r="AC59" s="13">
        <v>546.2478605355941</v>
      </c>
      <c r="AD59" s="57">
        <f t="shared" ref="AD59:AK59" si="26">$R$3</f>
        <v>650</v>
      </c>
      <c r="AE59" s="57">
        <f t="shared" si="26"/>
        <v>650</v>
      </c>
      <c r="AF59" s="57">
        <f t="shared" si="26"/>
        <v>650</v>
      </c>
      <c r="AG59" s="57">
        <f t="shared" si="26"/>
        <v>650</v>
      </c>
      <c r="AH59" s="57">
        <f t="shared" si="26"/>
        <v>650</v>
      </c>
      <c r="AI59" s="57">
        <f t="shared" si="26"/>
        <v>650</v>
      </c>
      <c r="AJ59" s="57">
        <f t="shared" si="26"/>
        <v>650</v>
      </c>
      <c r="AK59" s="42">
        <f t="shared" si="26"/>
        <v>650</v>
      </c>
      <c r="AL59" s="43">
        <v>7</v>
      </c>
      <c r="AM59" s="26">
        <f t="shared" si="20"/>
        <v>5.5555555555555552E-2</v>
      </c>
    </row>
    <row r="60" spans="5:39" ht="50.1" customHeight="1" x14ac:dyDescent="0.25">
      <c r="E60" s="25">
        <v>6</v>
      </c>
      <c r="F60" s="54">
        <f t="shared" si="19"/>
        <v>4.6296296296296294E-2</v>
      </c>
      <c r="G60" s="61">
        <f t="shared" ref="G60:L60" si="27">$R$2</f>
        <v>600</v>
      </c>
      <c r="H60" s="57">
        <f t="shared" si="27"/>
        <v>600</v>
      </c>
      <c r="I60" s="57">
        <f t="shared" si="27"/>
        <v>600</v>
      </c>
      <c r="J60" s="57">
        <f t="shared" si="27"/>
        <v>600</v>
      </c>
      <c r="K60" s="57">
        <f t="shared" si="27"/>
        <v>600</v>
      </c>
      <c r="L60" s="57">
        <f t="shared" si="27"/>
        <v>600</v>
      </c>
      <c r="M60" s="13">
        <v>532.466687699418</v>
      </c>
      <c r="N60" s="13">
        <v>530.35960846846797</v>
      </c>
      <c r="O60" s="13">
        <v>529.81759776210811</v>
      </c>
      <c r="P60" s="13">
        <v>529.89252851147717</v>
      </c>
      <c r="Q60" s="13">
        <v>529.38839502193855</v>
      </c>
      <c r="R60" s="13">
        <v>528.98647586928314</v>
      </c>
      <c r="S60" s="13">
        <v>528.75588064523242</v>
      </c>
      <c r="T60" s="13">
        <v>528.74683926835269</v>
      </c>
      <c r="U60" s="13">
        <v>528.98234692854385</v>
      </c>
      <c r="V60" s="13">
        <v>529.47716196575675</v>
      </c>
      <c r="W60" s="13">
        <v>530.23930300765323</v>
      </c>
      <c r="X60" s="13">
        <v>531.27072993614297</v>
      </c>
      <c r="Y60" s="13">
        <v>532.56750398038957</v>
      </c>
      <c r="Z60" s="13">
        <v>534.11935635528596</v>
      </c>
      <c r="AA60" s="13">
        <v>535.89544738745872</v>
      </c>
      <c r="AB60" s="13">
        <v>537.85641561390491</v>
      </c>
      <c r="AC60" s="13">
        <v>539.55150259691345</v>
      </c>
      <c r="AD60" s="13">
        <v>542.03282812024679</v>
      </c>
      <c r="AE60" s="13">
        <v>545.25022266982035</v>
      </c>
      <c r="AF60" s="57">
        <f t="shared" ref="AF60:AK60" si="28">$R$3</f>
        <v>650</v>
      </c>
      <c r="AG60" s="57">
        <f t="shared" si="28"/>
        <v>650</v>
      </c>
      <c r="AH60" s="57">
        <f t="shared" si="28"/>
        <v>650</v>
      </c>
      <c r="AI60" s="57">
        <f t="shared" si="28"/>
        <v>650</v>
      </c>
      <c r="AJ60" s="57">
        <f t="shared" si="28"/>
        <v>650</v>
      </c>
      <c r="AK60" s="42">
        <f t="shared" si="28"/>
        <v>650</v>
      </c>
      <c r="AL60" s="43">
        <v>6</v>
      </c>
      <c r="AM60" s="26">
        <f t="shared" si="20"/>
        <v>4.6296296296296294E-2</v>
      </c>
    </row>
    <row r="61" spans="5:39" ht="50.1" customHeight="1" x14ac:dyDescent="0.25">
      <c r="E61" s="25">
        <v>5</v>
      </c>
      <c r="F61" s="54">
        <f t="shared" si="19"/>
        <v>3.7037037037037035E-2</v>
      </c>
      <c r="G61" s="61">
        <f>$R$2</f>
        <v>600</v>
      </c>
      <c r="H61" s="57">
        <f>$R$2</f>
        <v>600</v>
      </c>
      <c r="I61" s="57">
        <f>$R$2</f>
        <v>600</v>
      </c>
      <c r="J61" s="57">
        <f>$R$2</f>
        <v>600</v>
      </c>
      <c r="K61" s="13">
        <v>534.17411576925224</v>
      </c>
      <c r="L61" s="13">
        <v>531.25650865269233</v>
      </c>
      <c r="M61" s="13">
        <v>528.55895263119248</v>
      </c>
      <c r="N61" s="13">
        <v>526.32720312178321</v>
      </c>
      <c r="O61" s="13">
        <v>524.77838164462582</v>
      </c>
      <c r="P61" s="13">
        <v>523.5767952183927</v>
      </c>
      <c r="Q61" s="13">
        <v>522.58190413789873</v>
      </c>
      <c r="R61" s="13">
        <v>521.85520989491636</v>
      </c>
      <c r="S61" s="13">
        <v>521.40349380720545</v>
      </c>
      <c r="T61" s="13">
        <v>521.2356698400464</v>
      </c>
      <c r="U61" s="13">
        <v>521.3583467050945</v>
      </c>
      <c r="V61" s="13">
        <v>521.77685115644817</v>
      </c>
      <c r="W61" s="13">
        <v>522.49479966403908</v>
      </c>
      <c r="X61" s="13">
        <v>523.51396772769965</v>
      </c>
      <c r="Y61" s="13">
        <v>524.8344160725328</v>
      </c>
      <c r="Z61" s="13">
        <v>526.45487695578367</v>
      </c>
      <c r="AA61" s="13">
        <v>528.37196517706923</v>
      </c>
      <c r="AB61" s="13">
        <v>530.58416311488213</v>
      </c>
      <c r="AC61" s="13">
        <v>533.05578450663222</v>
      </c>
      <c r="AD61" s="13">
        <v>535.88159311691413</v>
      </c>
      <c r="AE61" s="13">
        <v>539.25605819997577</v>
      </c>
      <c r="AF61" s="13">
        <v>543.35641648077808</v>
      </c>
      <c r="AG61" s="13">
        <v>547.06703712833325</v>
      </c>
      <c r="AH61" s="57">
        <f>$R$3</f>
        <v>650</v>
      </c>
      <c r="AI61" s="57">
        <f>$R$3</f>
        <v>650</v>
      </c>
      <c r="AJ61" s="57">
        <f>$R$3</f>
        <v>650</v>
      </c>
      <c r="AK61" s="42">
        <f>$R$3</f>
        <v>650</v>
      </c>
      <c r="AL61" s="43">
        <v>5</v>
      </c>
      <c r="AM61" s="26">
        <f t="shared" si="20"/>
        <v>3.7037037037037035E-2</v>
      </c>
    </row>
    <row r="62" spans="5:39" ht="50.1" customHeight="1" x14ac:dyDescent="0.25">
      <c r="E62" s="25">
        <v>4</v>
      </c>
      <c r="F62" s="54">
        <f t="shared" si="19"/>
        <v>2.7777777777777776E-2</v>
      </c>
      <c r="G62" s="61">
        <f t="shared" ref="G62:I63" si="29">$R$2</f>
        <v>600</v>
      </c>
      <c r="H62" s="57">
        <f t="shared" si="29"/>
        <v>600</v>
      </c>
      <c r="I62" s="57">
        <f t="shared" si="29"/>
        <v>600</v>
      </c>
      <c r="J62" s="13">
        <v>535.0657368795745</v>
      </c>
      <c r="K62" s="13">
        <v>530.51415053190112</v>
      </c>
      <c r="L62" s="13">
        <v>527.43342344927669</v>
      </c>
      <c r="M62" s="13">
        <v>524.75944907684277</v>
      </c>
      <c r="N62" s="13">
        <v>522.38840566084605</v>
      </c>
      <c r="O62" s="13">
        <v>520.40956112876245</v>
      </c>
      <c r="P62" s="13">
        <v>518.79067987943085</v>
      </c>
      <c r="Q62" s="13">
        <v>517.49573595600202</v>
      </c>
      <c r="R62" s="13">
        <v>516.52756605064621</v>
      </c>
      <c r="S62" s="13">
        <v>515.88513567832945</v>
      </c>
      <c r="T62" s="13">
        <v>515.56922475990905</v>
      </c>
      <c r="U62" s="13">
        <v>515.58106522201706</v>
      </c>
      <c r="V62" s="13">
        <v>515.92194578629903</v>
      </c>
      <c r="W62" s="13">
        <v>516.5928152223953</v>
      </c>
      <c r="X62" s="13">
        <v>517.59407059572038</v>
      </c>
      <c r="Y62" s="13">
        <v>518.92550885925732</v>
      </c>
      <c r="Z62" s="13">
        <v>520.58642588125645</v>
      </c>
      <c r="AA62" s="13">
        <v>522.57567674959421</v>
      </c>
      <c r="AB62" s="13">
        <v>524.89248241192183</v>
      </c>
      <c r="AC62" s="13">
        <v>527.53248631060194</v>
      </c>
      <c r="AD62" s="13">
        <v>530.51762757299832</v>
      </c>
      <c r="AE62" s="13">
        <v>533.8505472112771</v>
      </c>
      <c r="AF62" s="13">
        <v>537.47789549130937</v>
      </c>
      <c r="AG62" s="13">
        <v>541.38722790613247</v>
      </c>
      <c r="AH62" s="13">
        <v>547.62772434707301</v>
      </c>
      <c r="AI62" s="57">
        <f t="shared" ref="AI62:AK63" si="30">$R$3</f>
        <v>650</v>
      </c>
      <c r="AJ62" s="57">
        <f t="shared" si="30"/>
        <v>650</v>
      </c>
      <c r="AK62" s="42">
        <f t="shared" si="30"/>
        <v>650</v>
      </c>
      <c r="AL62" s="43">
        <v>4</v>
      </c>
      <c r="AM62" s="26">
        <f t="shared" si="20"/>
        <v>2.7777777777777776E-2</v>
      </c>
    </row>
    <row r="63" spans="5:39" ht="50.1" customHeight="1" x14ac:dyDescent="0.25">
      <c r="E63" s="25">
        <v>3</v>
      </c>
      <c r="F63" s="54">
        <f t="shared" si="19"/>
        <v>1.8518518518518517E-2</v>
      </c>
      <c r="G63" s="61">
        <f t="shared" si="29"/>
        <v>600</v>
      </c>
      <c r="H63" s="57">
        <f t="shared" si="29"/>
        <v>600</v>
      </c>
      <c r="I63" s="57">
        <f t="shared" si="29"/>
        <v>600</v>
      </c>
      <c r="J63" s="13">
        <v>531.57314361273211</v>
      </c>
      <c r="K63" s="13">
        <v>527.89758275753536</v>
      </c>
      <c r="L63" s="13">
        <v>524.69397069797174</v>
      </c>
      <c r="M63" s="13">
        <v>521.8412286427199</v>
      </c>
      <c r="N63" s="13">
        <v>519.32776950698121</v>
      </c>
      <c r="O63" s="13">
        <v>517.16859731515274</v>
      </c>
      <c r="P63" s="13">
        <v>515.36102892275073</v>
      </c>
      <c r="Q63" s="13">
        <v>513.90043420860604</v>
      </c>
      <c r="R63" s="13">
        <v>512.78749995075884</v>
      </c>
      <c r="S63" s="13">
        <v>512.0226534402143</v>
      </c>
      <c r="T63" s="13">
        <v>511.60660570817743</v>
      </c>
      <c r="U63" s="13">
        <v>511.54002522516583</v>
      </c>
      <c r="V63" s="13">
        <v>511.82334595097296</v>
      </c>
      <c r="W63" s="13">
        <v>512.4565965037782</v>
      </c>
      <c r="X63" s="13">
        <v>513.43928107419083</v>
      </c>
      <c r="Y63" s="13">
        <v>514.77031203211504</v>
      </c>
      <c r="Z63" s="13">
        <v>516.4479898720507</v>
      </c>
      <c r="AA63" s="13">
        <v>518.47000205835309</v>
      </c>
      <c r="AB63" s="13">
        <v>520.83353620467858</v>
      </c>
      <c r="AC63" s="13">
        <v>523.53481742538531</v>
      </c>
      <c r="AD63" s="13">
        <v>526.57291783033997</v>
      </c>
      <c r="AE63" s="13">
        <v>529.9427248441566</v>
      </c>
      <c r="AF63" s="13">
        <v>533.63039537204793</v>
      </c>
      <c r="AG63" s="13">
        <v>537.62879100018267</v>
      </c>
      <c r="AH63" s="13">
        <v>542.17531487439044</v>
      </c>
      <c r="AI63" s="57">
        <f t="shared" si="30"/>
        <v>650</v>
      </c>
      <c r="AJ63" s="57">
        <f t="shared" si="30"/>
        <v>650</v>
      </c>
      <c r="AK63" s="42">
        <f t="shared" si="30"/>
        <v>650</v>
      </c>
      <c r="AL63" s="43">
        <v>3</v>
      </c>
      <c r="AM63" s="26">
        <f t="shared" si="20"/>
        <v>1.8518518518518517E-2</v>
      </c>
    </row>
    <row r="64" spans="5:39" ht="50.1" customHeight="1" x14ac:dyDescent="0.25">
      <c r="E64" s="25">
        <v>2</v>
      </c>
      <c r="F64" s="54">
        <f t="shared" si="19"/>
        <v>9.2592592592592587E-3</v>
      </c>
      <c r="G64" s="61">
        <f>$R$2</f>
        <v>600</v>
      </c>
      <c r="H64" s="57">
        <f>$R$2</f>
        <v>600</v>
      </c>
      <c r="I64" s="13">
        <v>536.92535093753338</v>
      </c>
      <c r="J64" s="13">
        <v>529.96101718772593</v>
      </c>
      <c r="K64" s="13">
        <v>526.52153560253964</v>
      </c>
      <c r="L64" s="13">
        <v>523.37418355528689</v>
      </c>
      <c r="M64" s="13">
        <v>520.52605081955551</v>
      </c>
      <c r="N64" s="13">
        <v>517.99489424354999</v>
      </c>
      <c r="O64" s="13">
        <v>515.79471616253625</v>
      </c>
      <c r="P64" s="13">
        <v>513.93409422398759</v>
      </c>
      <c r="Q64" s="13">
        <v>512.41858109978409</v>
      </c>
      <c r="R64" s="13">
        <v>511.25274420624612</v>
      </c>
      <c r="S64" s="13">
        <v>510.4398440649278</v>
      </c>
      <c r="T64" s="13">
        <v>509.98219572546168</v>
      </c>
      <c r="U64" s="13">
        <v>509.88128400417332</v>
      </c>
      <c r="V64" s="13">
        <v>510.1378121272856</v>
      </c>
      <c r="W64" s="13">
        <v>510.75169576710834</v>
      </c>
      <c r="X64" s="13">
        <v>511.72202486177309</v>
      </c>
      <c r="Y64" s="13">
        <v>513.04700231809443</v>
      </c>
      <c r="Z64" s="13">
        <v>514.72385984325786</v>
      </c>
      <c r="AA64" s="13">
        <v>516.74874026119448</v>
      </c>
      <c r="AB64" s="13">
        <v>519.11654608304514</v>
      </c>
      <c r="AC64" s="13">
        <v>521.82063555647017</v>
      </c>
      <c r="AD64" s="13">
        <v>524.85301421777558</v>
      </c>
      <c r="AE64" s="13">
        <v>528.20266305527844</v>
      </c>
      <c r="AF64" s="13">
        <v>531.85527129403249</v>
      </c>
      <c r="AG64" s="13">
        <v>535.79055431558811</v>
      </c>
      <c r="AH64" s="13">
        <v>540.01928070570852</v>
      </c>
      <c r="AI64" s="13">
        <v>549.80442921664462</v>
      </c>
      <c r="AJ64" s="57">
        <f>$R$3</f>
        <v>650</v>
      </c>
      <c r="AK64" s="42">
        <f>$R$3</f>
        <v>650</v>
      </c>
      <c r="AL64" s="43">
        <v>2</v>
      </c>
      <c r="AM64" s="26">
        <f t="shared" si="20"/>
        <v>9.2592592592592587E-3</v>
      </c>
    </row>
    <row r="65" spans="3:157" ht="50.1" customHeight="1" x14ac:dyDescent="0.25">
      <c r="E65" s="25">
        <v>1</v>
      </c>
      <c r="F65" s="54">
        <v>0</v>
      </c>
      <c r="G65" s="62">
        <f>$R$2</f>
        <v>600</v>
      </c>
      <c r="H65" s="63">
        <f>$R$2</f>
        <v>600</v>
      </c>
      <c r="I65" s="13">
        <v>536.92535093753338</v>
      </c>
      <c r="J65" s="13">
        <v>529.96101718772593</v>
      </c>
      <c r="K65" s="13">
        <v>526.52153560253953</v>
      </c>
      <c r="L65" s="13">
        <v>523.37418355528678</v>
      </c>
      <c r="M65" s="13">
        <v>520.52605081955539</v>
      </c>
      <c r="N65" s="13">
        <v>517.99489424354999</v>
      </c>
      <c r="O65" s="13">
        <v>515.79471616253625</v>
      </c>
      <c r="P65" s="13">
        <v>513.93409422398759</v>
      </c>
      <c r="Q65" s="13">
        <v>512.41858109978409</v>
      </c>
      <c r="R65" s="13">
        <v>511.25274420624612</v>
      </c>
      <c r="S65" s="13">
        <v>510.4398440649278</v>
      </c>
      <c r="T65" s="13">
        <v>509.98219572546162</v>
      </c>
      <c r="U65" s="13">
        <v>509.88128400417332</v>
      </c>
      <c r="V65" s="13">
        <v>510.1378121272856</v>
      </c>
      <c r="W65" s="13">
        <v>510.75169576710834</v>
      </c>
      <c r="X65" s="13">
        <v>511.72202486177309</v>
      </c>
      <c r="Y65" s="13">
        <v>513.04700231809443</v>
      </c>
      <c r="Z65" s="13">
        <v>514.72385984325786</v>
      </c>
      <c r="AA65" s="13">
        <v>516.74874026119448</v>
      </c>
      <c r="AB65" s="13">
        <v>519.11654608304514</v>
      </c>
      <c r="AC65" s="13">
        <v>521.82063555647017</v>
      </c>
      <c r="AD65" s="13">
        <v>524.85301421777558</v>
      </c>
      <c r="AE65" s="13">
        <v>528.20266305527832</v>
      </c>
      <c r="AF65" s="13">
        <v>531.85527129403249</v>
      </c>
      <c r="AG65" s="13">
        <v>535.79055431558811</v>
      </c>
      <c r="AH65" s="13">
        <v>540.01928070570852</v>
      </c>
      <c r="AI65" s="13">
        <v>549.80442921664462</v>
      </c>
      <c r="AJ65" s="62">
        <f>$R$3</f>
        <v>650</v>
      </c>
      <c r="AK65" s="58">
        <f>$R$3</f>
        <v>650</v>
      </c>
      <c r="AL65" s="43">
        <v>1</v>
      </c>
      <c r="AM65" s="26">
        <v>0</v>
      </c>
    </row>
    <row r="66" spans="3:157" ht="15" customHeight="1" x14ac:dyDescent="0.25">
      <c r="E66" s="32"/>
      <c r="F66" s="29"/>
      <c r="G66" s="59">
        <v>0</v>
      </c>
      <c r="H66" s="60">
        <f t="shared" ref="H66:AK66" si="31">$B$5*(H67-1)</f>
        <v>3.3333333333333335E-3</v>
      </c>
      <c r="I66" s="26">
        <f t="shared" si="31"/>
        <v>6.6666666666666671E-3</v>
      </c>
      <c r="J66" s="26">
        <f t="shared" si="31"/>
        <v>0.01</v>
      </c>
      <c r="K66" s="26">
        <f t="shared" si="31"/>
        <v>1.3333333333333334E-2</v>
      </c>
      <c r="L66" s="26">
        <f t="shared" si="31"/>
        <v>1.6666666666666666E-2</v>
      </c>
      <c r="M66" s="26">
        <f t="shared" si="31"/>
        <v>0.02</v>
      </c>
      <c r="N66" s="26">
        <f t="shared" si="31"/>
        <v>2.3333333333333334E-2</v>
      </c>
      <c r="O66" s="26">
        <f t="shared" si="31"/>
        <v>2.6666666666666668E-2</v>
      </c>
      <c r="P66" s="26">
        <f t="shared" si="31"/>
        <v>3.0000000000000002E-2</v>
      </c>
      <c r="Q66" s="26">
        <f t="shared" si="31"/>
        <v>3.3333333333333333E-2</v>
      </c>
      <c r="R66" s="26">
        <f t="shared" si="31"/>
        <v>3.6666666666666667E-2</v>
      </c>
      <c r="S66" s="26">
        <f t="shared" si="31"/>
        <v>0.04</v>
      </c>
      <c r="T66" s="26">
        <f t="shared" si="31"/>
        <v>4.3333333333333335E-2</v>
      </c>
      <c r="U66" s="26">
        <f t="shared" si="31"/>
        <v>4.6666666666666669E-2</v>
      </c>
      <c r="V66" s="26">
        <f t="shared" si="31"/>
        <v>0.05</v>
      </c>
      <c r="W66" s="26">
        <f t="shared" si="31"/>
        <v>5.3333333333333337E-2</v>
      </c>
      <c r="X66" s="26">
        <f t="shared" si="31"/>
        <v>5.6666666666666671E-2</v>
      </c>
      <c r="Y66" s="26">
        <f t="shared" si="31"/>
        <v>6.0000000000000005E-2</v>
      </c>
      <c r="Z66" s="26">
        <f t="shared" si="31"/>
        <v>6.3333333333333339E-2</v>
      </c>
      <c r="AA66" s="26">
        <f t="shared" si="31"/>
        <v>6.6666666666666666E-2</v>
      </c>
      <c r="AB66" s="26">
        <f t="shared" si="31"/>
        <v>7.0000000000000007E-2</v>
      </c>
      <c r="AC66" s="26">
        <f t="shared" si="31"/>
        <v>7.3333333333333334E-2</v>
      </c>
      <c r="AD66" s="26">
        <f t="shared" si="31"/>
        <v>7.6666666666666675E-2</v>
      </c>
      <c r="AE66" s="26">
        <f t="shared" si="31"/>
        <v>0.08</v>
      </c>
      <c r="AF66" s="26">
        <f t="shared" si="31"/>
        <v>8.3333333333333343E-2</v>
      </c>
      <c r="AG66" s="26">
        <f t="shared" si="31"/>
        <v>8.666666666666667E-2</v>
      </c>
      <c r="AH66" s="26">
        <f t="shared" si="31"/>
        <v>9.0000000000000011E-2</v>
      </c>
      <c r="AI66" s="60">
        <f t="shared" si="31"/>
        <v>9.3333333333333338E-2</v>
      </c>
      <c r="AJ66" s="60">
        <f t="shared" si="31"/>
        <v>9.6666666666666679E-2</v>
      </c>
      <c r="AK66" s="60">
        <f t="shared" si="31"/>
        <v>0.1</v>
      </c>
      <c r="AL66" s="24"/>
      <c r="AM66" s="29"/>
    </row>
    <row r="67" spans="3:157" ht="15" customHeight="1" x14ac:dyDescent="0.25">
      <c r="E67" s="33"/>
      <c r="F67" s="30"/>
      <c r="G67" s="25">
        <v>1</v>
      </c>
      <c r="H67" s="25">
        <v>2</v>
      </c>
      <c r="I67" s="25">
        <v>3</v>
      </c>
      <c r="J67" s="25">
        <v>4</v>
      </c>
      <c r="K67" s="25">
        <v>5</v>
      </c>
      <c r="L67" s="25">
        <v>6</v>
      </c>
      <c r="M67" s="25">
        <v>7</v>
      </c>
      <c r="N67" s="25">
        <v>8</v>
      </c>
      <c r="O67" s="25">
        <v>9</v>
      </c>
      <c r="P67" s="25">
        <v>10</v>
      </c>
      <c r="Q67" s="25">
        <v>11</v>
      </c>
      <c r="R67" s="25">
        <v>12</v>
      </c>
      <c r="S67" s="25">
        <v>13</v>
      </c>
      <c r="T67" s="25">
        <v>14</v>
      </c>
      <c r="U67" s="25">
        <v>15</v>
      </c>
      <c r="V67" s="25">
        <v>16</v>
      </c>
      <c r="W67" s="25">
        <v>17</v>
      </c>
      <c r="X67" s="25">
        <v>18</v>
      </c>
      <c r="Y67" s="25">
        <v>19</v>
      </c>
      <c r="Z67" s="25">
        <v>20</v>
      </c>
      <c r="AA67" s="25">
        <v>21</v>
      </c>
      <c r="AB67" s="25">
        <v>22</v>
      </c>
      <c r="AC67" s="25">
        <v>23</v>
      </c>
      <c r="AD67" s="25">
        <v>24</v>
      </c>
      <c r="AE67" s="25">
        <v>25</v>
      </c>
      <c r="AF67" s="25">
        <v>26</v>
      </c>
      <c r="AG67" s="25">
        <v>27</v>
      </c>
      <c r="AH67" s="25">
        <v>28</v>
      </c>
      <c r="AI67" s="25">
        <v>29</v>
      </c>
      <c r="AJ67" s="25">
        <v>30</v>
      </c>
      <c r="AK67" s="25">
        <v>31</v>
      </c>
      <c r="AL67" s="34"/>
      <c r="AM67" s="30"/>
    </row>
    <row r="68" spans="3:157" ht="15" customHeight="1" x14ac:dyDescent="0.25"/>
    <row r="69" spans="3:157" ht="15" customHeight="1" x14ac:dyDescent="0.25"/>
    <row r="70" spans="3:157" ht="15" customHeight="1" x14ac:dyDescent="0.25"/>
    <row r="71" spans="3:157" ht="15" customHeight="1" x14ac:dyDescent="0.25"/>
    <row r="72" spans="3:157" ht="15" customHeight="1" x14ac:dyDescent="0.25">
      <c r="C72" s="84" t="s">
        <v>40</v>
      </c>
      <c r="D72" s="85"/>
      <c r="E72" s="82" t="s">
        <v>38</v>
      </c>
      <c r="F72" s="83"/>
      <c r="G72" s="25">
        <v>1</v>
      </c>
      <c r="H72" s="25">
        <v>2</v>
      </c>
      <c r="I72" s="25">
        <v>3</v>
      </c>
      <c r="J72" s="25">
        <v>4</v>
      </c>
      <c r="K72" s="25">
        <v>5</v>
      </c>
      <c r="L72" s="25">
        <v>6</v>
      </c>
      <c r="M72" s="25">
        <v>7</v>
      </c>
      <c r="N72" s="25">
        <v>8</v>
      </c>
      <c r="O72" s="25">
        <v>9</v>
      </c>
      <c r="P72" s="25">
        <v>10</v>
      </c>
      <c r="Q72" s="25">
        <v>11</v>
      </c>
      <c r="R72" s="25">
        <v>12</v>
      </c>
      <c r="S72" s="25">
        <v>13</v>
      </c>
      <c r="T72" s="25">
        <v>14</v>
      </c>
      <c r="U72" s="25">
        <v>15</v>
      </c>
      <c r="V72" s="25">
        <v>16</v>
      </c>
      <c r="W72" s="25">
        <v>17</v>
      </c>
      <c r="X72" s="25">
        <v>18</v>
      </c>
      <c r="Y72" s="25">
        <v>19</v>
      </c>
      <c r="Z72" s="25">
        <v>20</v>
      </c>
      <c r="AA72" s="25">
        <v>21</v>
      </c>
      <c r="AB72" s="25">
        <v>22</v>
      </c>
      <c r="AC72" s="25">
        <v>23</v>
      </c>
      <c r="AD72" s="25">
        <v>24</v>
      </c>
      <c r="AE72" s="25">
        <v>25</v>
      </c>
      <c r="AF72" s="25">
        <v>26</v>
      </c>
      <c r="AG72" s="25">
        <v>27</v>
      </c>
      <c r="AH72" s="25">
        <v>28</v>
      </c>
      <c r="AI72" s="25">
        <v>29</v>
      </c>
      <c r="AJ72" s="25">
        <v>30</v>
      </c>
      <c r="AK72" s="25">
        <v>31</v>
      </c>
      <c r="AL72" s="24"/>
      <c r="AM72" s="35"/>
      <c r="AP72" s="84" t="s">
        <v>41</v>
      </c>
      <c r="AQ72" s="86"/>
      <c r="AR72" s="82" t="s">
        <v>38</v>
      </c>
      <c r="AS72" s="83"/>
      <c r="AT72" s="25">
        <v>1</v>
      </c>
      <c r="AU72" s="25">
        <v>2</v>
      </c>
      <c r="AV72" s="25">
        <v>3</v>
      </c>
      <c r="AW72" s="25">
        <v>4</v>
      </c>
      <c r="AX72" s="25">
        <v>5</v>
      </c>
      <c r="AY72" s="25">
        <v>6</v>
      </c>
      <c r="AZ72" s="25">
        <v>7</v>
      </c>
      <c r="BA72" s="25">
        <v>8</v>
      </c>
      <c r="BB72" s="25">
        <v>9</v>
      </c>
      <c r="BC72" s="25">
        <v>10</v>
      </c>
      <c r="BD72" s="25">
        <v>11</v>
      </c>
      <c r="BE72" s="25">
        <v>12</v>
      </c>
      <c r="BF72" s="25">
        <v>13</v>
      </c>
      <c r="BG72" s="25">
        <v>14</v>
      </c>
      <c r="BH72" s="25">
        <v>15</v>
      </c>
      <c r="BI72" s="25">
        <v>16</v>
      </c>
      <c r="BJ72" s="25">
        <v>17</v>
      </c>
      <c r="BK72" s="25">
        <v>18</v>
      </c>
      <c r="BL72" s="25">
        <v>19</v>
      </c>
      <c r="BM72" s="25">
        <v>20</v>
      </c>
      <c r="BN72" s="25">
        <v>21</v>
      </c>
      <c r="BO72" s="25">
        <v>22</v>
      </c>
      <c r="BP72" s="25">
        <v>23</v>
      </c>
      <c r="BQ72" s="25">
        <v>24</v>
      </c>
      <c r="BR72" s="25">
        <v>25</v>
      </c>
      <c r="BS72" s="25">
        <v>26</v>
      </c>
      <c r="BT72" s="25">
        <v>27</v>
      </c>
      <c r="BU72" s="25">
        <v>28</v>
      </c>
      <c r="BV72" s="25">
        <v>29</v>
      </c>
      <c r="BW72" s="25">
        <v>30</v>
      </c>
      <c r="BX72" s="25">
        <v>31</v>
      </c>
      <c r="BY72" s="24"/>
      <c r="BZ72" s="35"/>
      <c r="CC72" s="84" t="s">
        <v>54</v>
      </c>
      <c r="CD72" s="85"/>
      <c r="CE72" s="82" t="s">
        <v>38</v>
      </c>
      <c r="CF72" s="83"/>
      <c r="CG72" s="25">
        <v>1</v>
      </c>
      <c r="CH72" s="25">
        <v>2</v>
      </c>
      <c r="CI72" s="25">
        <v>3</v>
      </c>
      <c r="CJ72" s="25">
        <v>4</v>
      </c>
      <c r="CK72" s="25">
        <v>5</v>
      </c>
      <c r="CL72" s="25">
        <v>6</v>
      </c>
      <c r="CM72" s="25">
        <v>7</v>
      </c>
      <c r="CN72" s="25">
        <v>8</v>
      </c>
      <c r="CO72" s="25">
        <v>9</v>
      </c>
      <c r="CP72" s="25">
        <v>10</v>
      </c>
      <c r="CQ72" s="25">
        <v>11</v>
      </c>
      <c r="CR72" s="25">
        <v>12</v>
      </c>
      <c r="CS72" s="25">
        <v>13</v>
      </c>
      <c r="CT72" s="25">
        <v>14</v>
      </c>
      <c r="CU72" s="25">
        <v>15</v>
      </c>
      <c r="CV72" s="25">
        <v>16</v>
      </c>
      <c r="CW72" s="25">
        <v>17</v>
      </c>
      <c r="CX72" s="25">
        <v>18</v>
      </c>
      <c r="CY72" s="25">
        <v>19</v>
      </c>
      <c r="CZ72" s="25">
        <v>20</v>
      </c>
      <c r="DA72" s="25">
        <v>21</v>
      </c>
      <c r="DB72" s="25">
        <v>22</v>
      </c>
      <c r="DC72" s="25">
        <v>23</v>
      </c>
      <c r="DD72" s="25">
        <v>24</v>
      </c>
      <c r="DE72" s="25">
        <v>25</v>
      </c>
      <c r="DF72" s="25">
        <v>26</v>
      </c>
      <c r="DG72" s="25">
        <v>27</v>
      </c>
      <c r="DH72" s="25">
        <v>28</v>
      </c>
      <c r="DI72" s="25">
        <v>29</v>
      </c>
      <c r="DJ72" s="25">
        <v>30</v>
      </c>
      <c r="DK72" s="25">
        <v>31</v>
      </c>
      <c r="DL72" s="24"/>
      <c r="DM72" s="35"/>
      <c r="DQ72" s="84" t="s">
        <v>55</v>
      </c>
      <c r="DR72" s="85"/>
      <c r="DS72" s="82" t="s">
        <v>38</v>
      </c>
      <c r="DT72" s="83"/>
      <c r="DU72" s="25">
        <v>1</v>
      </c>
      <c r="DV72" s="25">
        <v>2</v>
      </c>
      <c r="DW72" s="25">
        <v>3</v>
      </c>
      <c r="DX72" s="25">
        <v>4</v>
      </c>
      <c r="DY72" s="25">
        <v>5</v>
      </c>
      <c r="DZ72" s="25">
        <v>6</v>
      </c>
      <c r="EA72" s="25">
        <v>7</v>
      </c>
      <c r="EB72" s="25">
        <v>8</v>
      </c>
      <c r="EC72" s="25">
        <v>9</v>
      </c>
      <c r="ED72" s="25">
        <v>10</v>
      </c>
      <c r="EE72" s="25">
        <v>11</v>
      </c>
      <c r="EF72" s="25">
        <v>12</v>
      </c>
      <c r="EG72" s="25">
        <v>13</v>
      </c>
      <c r="EH72" s="25">
        <v>14</v>
      </c>
      <c r="EI72" s="25">
        <v>15</v>
      </c>
      <c r="EJ72" s="25">
        <v>16</v>
      </c>
      <c r="EK72" s="25">
        <v>17</v>
      </c>
      <c r="EL72" s="25">
        <v>18</v>
      </c>
      <c r="EM72" s="25">
        <v>19</v>
      </c>
      <c r="EN72" s="25">
        <v>20</v>
      </c>
      <c r="EO72" s="25">
        <v>21</v>
      </c>
      <c r="EP72" s="25">
        <v>22</v>
      </c>
      <c r="EQ72" s="25">
        <v>23</v>
      </c>
      <c r="ER72" s="25">
        <v>24</v>
      </c>
      <c r="ES72" s="25">
        <v>25</v>
      </c>
      <c r="ET72" s="25">
        <v>26</v>
      </c>
      <c r="EU72" s="25">
        <v>27</v>
      </c>
      <c r="EV72" s="25">
        <v>28</v>
      </c>
      <c r="EW72" s="25">
        <v>29</v>
      </c>
      <c r="EX72" s="25">
        <v>30</v>
      </c>
      <c r="EY72" s="25">
        <v>31</v>
      </c>
      <c r="EZ72" s="24"/>
      <c r="FA72" s="35"/>
    </row>
    <row r="73" spans="3:157" ht="15" customHeight="1" x14ac:dyDescent="0.25">
      <c r="C73" s="84"/>
      <c r="D73" s="85"/>
      <c r="E73" s="82" t="s">
        <v>39</v>
      </c>
      <c r="F73" s="83"/>
      <c r="G73" s="25">
        <v>0</v>
      </c>
      <c r="H73" s="26">
        <f>$B$5*(H72-1)</f>
        <v>3.3333333333333335E-3</v>
      </c>
      <c r="I73" s="26">
        <f t="shared" ref="I73:AJ73" si="32">$B$5*(I72-1)</f>
        <v>6.6666666666666671E-3</v>
      </c>
      <c r="J73" s="26">
        <f t="shared" si="32"/>
        <v>0.01</v>
      </c>
      <c r="K73" s="26">
        <f t="shared" si="32"/>
        <v>1.3333333333333334E-2</v>
      </c>
      <c r="L73" s="26">
        <f t="shared" si="32"/>
        <v>1.6666666666666666E-2</v>
      </c>
      <c r="M73" s="26">
        <f t="shared" si="32"/>
        <v>0.02</v>
      </c>
      <c r="N73" s="26">
        <f t="shared" si="32"/>
        <v>2.3333333333333334E-2</v>
      </c>
      <c r="O73" s="26">
        <f t="shared" si="32"/>
        <v>2.6666666666666668E-2</v>
      </c>
      <c r="P73" s="26">
        <f t="shared" si="32"/>
        <v>3.0000000000000002E-2</v>
      </c>
      <c r="Q73" s="26">
        <f t="shared" si="32"/>
        <v>3.3333333333333333E-2</v>
      </c>
      <c r="R73" s="26">
        <f t="shared" si="32"/>
        <v>3.6666666666666667E-2</v>
      </c>
      <c r="S73" s="26">
        <f t="shared" si="32"/>
        <v>0.04</v>
      </c>
      <c r="T73" s="26">
        <f t="shared" si="32"/>
        <v>4.3333333333333335E-2</v>
      </c>
      <c r="U73" s="26">
        <f t="shared" si="32"/>
        <v>4.6666666666666669E-2</v>
      </c>
      <c r="V73" s="26">
        <f t="shared" si="32"/>
        <v>0.05</v>
      </c>
      <c r="W73" s="26">
        <f t="shared" si="32"/>
        <v>5.3333333333333337E-2</v>
      </c>
      <c r="X73" s="26">
        <f t="shared" si="32"/>
        <v>5.6666666666666671E-2</v>
      </c>
      <c r="Y73" s="26">
        <f t="shared" si="32"/>
        <v>6.0000000000000005E-2</v>
      </c>
      <c r="Z73" s="26">
        <f t="shared" si="32"/>
        <v>6.3333333333333339E-2</v>
      </c>
      <c r="AA73" s="26">
        <f t="shared" si="32"/>
        <v>6.6666666666666666E-2</v>
      </c>
      <c r="AB73" s="26">
        <f t="shared" si="32"/>
        <v>7.0000000000000007E-2</v>
      </c>
      <c r="AC73" s="26">
        <f t="shared" si="32"/>
        <v>7.3333333333333334E-2</v>
      </c>
      <c r="AD73" s="26">
        <f t="shared" si="32"/>
        <v>7.6666666666666675E-2</v>
      </c>
      <c r="AE73" s="26">
        <f t="shared" si="32"/>
        <v>0.08</v>
      </c>
      <c r="AF73" s="26">
        <f t="shared" si="32"/>
        <v>8.3333333333333343E-2</v>
      </c>
      <c r="AG73" s="26">
        <f t="shared" si="32"/>
        <v>8.666666666666667E-2</v>
      </c>
      <c r="AH73" s="26">
        <f t="shared" si="32"/>
        <v>9.0000000000000011E-2</v>
      </c>
      <c r="AI73" s="26">
        <f t="shared" si="32"/>
        <v>9.3333333333333338E-2</v>
      </c>
      <c r="AJ73" s="26">
        <f t="shared" si="32"/>
        <v>9.6666666666666679E-2</v>
      </c>
      <c r="AK73" s="26">
        <f>$B$5*(AK72-1)</f>
        <v>0.1</v>
      </c>
      <c r="AL73" s="24"/>
      <c r="AM73" s="36"/>
      <c r="AP73" s="87"/>
      <c r="AQ73" s="86"/>
      <c r="AR73" s="82" t="s">
        <v>39</v>
      </c>
      <c r="AS73" s="83"/>
      <c r="AT73" s="25">
        <v>0</v>
      </c>
      <c r="AU73" s="26">
        <f>$B$5*(AU72-1)</f>
        <v>3.3333333333333335E-3</v>
      </c>
      <c r="AV73" s="26">
        <f t="shared" ref="AV73:BW73" si="33">$B$5*(AV72-1)</f>
        <v>6.6666666666666671E-3</v>
      </c>
      <c r="AW73" s="26">
        <f t="shared" si="33"/>
        <v>0.01</v>
      </c>
      <c r="AX73" s="26">
        <f t="shared" si="33"/>
        <v>1.3333333333333334E-2</v>
      </c>
      <c r="AY73" s="26">
        <f t="shared" si="33"/>
        <v>1.6666666666666666E-2</v>
      </c>
      <c r="AZ73" s="26">
        <f t="shared" si="33"/>
        <v>0.02</v>
      </c>
      <c r="BA73" s="26">
        <f t="shared" si="33"/>
        <v>2.3333333333333334E-2</v>
      </c>
      <c r="BB73" s="26">
        <f t="shared" si="33"/>
        <v>2.6666666666666668E-2</v>
      </c>
      <c r="BC73" s="26">
        <f t="shared" si="33"/>
        <v>3.0000000000000002E-2</v>
      </c>
      <c r="BD73" s="26">
        <f t="shared" si="33"/>
        <v>3.3333333333333333E-2</v>
      </c>
      <c r="BE73" s="26">
        <f t="shared" si="33"/>
        <v>3.6666666666666667E-2</v>
      </c>
      <c r="BF73" s="26">
        <f t="shared" si="33"/>
        <v>0.04</v>
      </c>
      <c r="BG73" s="26">
        <f t="shared" si="33"/>
        <v>4.3333333333333335E-2</v>
      </c>
      <c r="BH73" s="26">
        <f t="shared" si="33"/>
        <v>4.6666666666666669E-2</v>
      </c>
      <c r="BI73" s="26">
        <f t="shared" si="33"/>
        <v>0.05</v>
      </c>
      <c r="BJ73" s="26">
        <f t="shared" si="33"/>
        <v>5.3333333333333337E-2</v>
      </c>
      <c r="BK73" s="26">
        <f t="shared" si="33"/>
        <v>5.6666666666666671E-2</v>
      </c>
      <c r="BL73" s="26">
        <f t="shared" si="33"/>
        <v>6.0000000000000005E-2</v>
      </c>
      <c r="BM73" s="26">
        <f t="shared" si="33"/>
        <v>6.3333333333333339E-2</v>
      </c>
      <c r="BN73" s="26">
        <f t="shared" si="33"/>
        <v>6.6666666666666666E-2</v>
      </c>
      <c r="BO73" s="26">
        <f t="shared" si="33"/>
        <v>7.0000000000000007E-2</v>
      </c>
      <c r="BP73" s="26">
        <f t="shared" si="33"/>
        <v>7.3333333333333334E-2</v>
      </c>
      <c r="BQ73" s="26">
        <f t="shared" si="33"/>
        <v>7.6666666666666675E-2</v>
      </c>
      <c r="BR73" s="26">
        <f t="shared" si="33"/>
        <v>0.08</v>
      </c>
      <c r="BS73" s="26">
        <f t="shared" si="33"/>
        <v>8.3333333333333343E-2</v>
      </c>
      <c r="BT73" s="26">
        <f t="shared" si="33"/>
        <v>8.666666666666667E-2</v>
      </c>
      <c r="BU73" s="26">
        <f t="shared" si="33"/>
        <v>9.0000000000000011E-2</v>
      </c>
      <c r="BV73" s="26">
        <f t="shared" si="33"/>
        <v>9.3333333333333338E-2</v>
      </c>
      <c r="BW73" s="26">
        <f t="shared" si="33"/>
        <v>9.6666666666666679E-2</v>
      </c>
      <c r="BX73" s="26">
        <f>$B$5*(BX72-1)</f>
        <v>0.1</v>
      </c>
      <c r="BY73" s="24"/>
      <c r="BZ73" s="36"/>
      <c r="CC73" s="84"/>
      <c r="CD73" s="85"/>
      <c r="CE73" s="82" t="s">
        <v>39</v>
      </c>
      <c r="CF73" s="83"/>
      <c r="CG73" s="25">
        <v>0</v>
      </c>
      <c r="CH73" s="26">
        <f>$B$5*(CH72-1)</f>
        <v>3.3333333333333335E-3</v>
      </c>
      <c r="CI73" s="26">
        <f t="shared" ref="CI73:DJ73" si="34">$B$5*(CI72-1)</f>
        <v>6.6666666666666671E-3</v>
      </c>
      <c r="CJ73" s="26">
        <f t="shared" si="34"/>
        <v>0.01</v>
      </c>
      <c r="CK73" s="26">
        <f t="shared" si="34"/>
        <v>1.3333333333333334E-2</v>
      </c>
      <c r="CL73" s="26">
        <f t="shared" si="34"/>
        <v>1.6666666666666666E-2</v>
      </c>
      <c r="CM73" s="26">
        <f t="shared" si="34"/>
        <v>0.02</v>
      </c>
      <c r="CN73" s="26">
        <f t="shared" si="34"/>
        <v>2.3333333333333334E-2</v>
      </c>
      <c r="CO73" s="26">
        <f t="shared" si="34"/>
        <v>2.6666666666666668E-2</v>
      </c>
      <c r="CP73" s="26">
        <f t="shared" si="34"/>
        <v>3.0000000000000002E-2</v>
      </c>
      <c r="CQ73" s="26">
        <f t="shared" si="34"/>
        <v>3.3333333333333333E-2</v>
      </c>
      <c r="CR73" s="26">
        <f t="shared" si="34"/>
        <v>3.6666666666666667E-2</v>
      </c>
      <c r="CS73" s="26">
        <f t="shared" si="34"/>
        <v>0.04</v>
      </c>
      <c r="CT73" s="26">
        <f t="shared" si="34"/>
        <v>4.3333333333333335E-2</v>
      </c>
      <c r="CU73" s="26">
        <f t="shared" si="34"/>
        <v>4.6666666666666669E-2</v>
      </c>
      <c r="CV73" s="26">
        <f t="shared" si="34"/>
        <v>0.05</v>
      </c>
      <c r="CW73" s="26">
        <f t="shared" si="34"/>
        <v>5.3333333333333337E-2</v>
      </c>
      <c r="CX73" s="26">
        <f t="shared" si="34"/>
        <v>5.6666666666666671E-2</v>
      </c>
      <c r="CY73" s="26">
        <f t="shared" si="34"/>
        <v>6.0000000000000005E-2</v>
      </c>
      <c r="CZ73" s="26">
        <f t="shared" si="34"/>
        <v>6.3333333333333339E-2</v>
      </c>
      <c r="DA73" s="26">
        <f t="shared" si="34"/>
        <v>6.6666666666666666E-2</v>
      </c>
      <c r="DB73" s="26">
        <f t="shared" si="34"/>
        <v>7.0000000000000007E-2</v>
      </c>
      <c r="DC73" s="26">
        <f t="shared" si="34"/>
        <v>7.3333333333333334E-2</v>
      </c>
      <c r="DD73" s="26">
        <f t="shared" si="34"/>
        <v>7.6666666666666675E-2</v>
      </c>
      <c r="DE73" s="26">
        <f t="shared" si="34"/>
        <v>0.08</v>
      </c>
      <c r="DF73" s="26">
        <f t="shared" si="34"/>
        <v>8.3333333333333343E-2</v>
      </c>
      <c r="DG73" s="26">
        <f t="shared" si="34"/>
        <v>8.666666666666667E-2</v>
      </c>
      <c r="DH73" s="26">
        <f t="shared" si="34"/>
        <v>9.0000000000000011E-2</v>
      </c>
      <c r="DI73" s="26">
        <f t="shared" si="34"/>
        <v>9.3333333333333338E-2</v>
      </c>
      <c r="DJ73" s="26">
        <f t="shared" si="34"/>
        <v>9.6666666666666679E-2</v>
      </c>
      <c r="DK73" s="26">
        <f>$B$5*(DK72-1)</f>
        <v>0.1</v>
      </c>
      <c r="DL73" s="24"/>
      <c r="DM73" s="36"/>
      <c r="DQ73" s="84"/>
      <c r="DR73" s="85"/>
      <c r="DS73" s="82" t="s">
        <v>39</v>
      </c>
      <c r="DT73" s="83"/>
      <c r="DU73" s="25">
        <v>0</v>
      </c>
      <c r="DV73" s="26">
        <f>$B$5*(DV72-1)</f>
        <v>3.3333333333333335E-3</v>
      </c>
      <c r="DW73" s="26">
        <f t="shared" ref="DW73:EX73" si="35">$B$5*(DW72-1)</f>
        <v>6.6666666666666671E-3</v>
      </c>
      <c r="DX73" s="26">
        <f t="shared" si="35"/>
        <v>0.01</v>
      </c>
      <c r="DY73" s="26">
        <f t="shared" si="35"/>
        <v>1.3333333333333334E-2</v>
      </c>
      <c r="DZ73" s="26">
        <f t="shared" si="35"/>
        <v>1.6666666666666666E-2</v>
      </c>
      <c r="EA73" s="26">
        <f t="shared" si="35"/>
        <v>0.02</v>
      </c>
      <c r="EB73" s="26">
        <f t="shared" si="35"/>
        <v>2.3333333333333334E-2</v>
      </c>
      <c r="EC73" s="26">
        <f t="shared" si="35"/>
        <v>2.6666666666666668E-2</v>
      </c>
      <c r="ED73" s="26">
        <f t="shared" si="35"/>
        <v>3.0000000000000002E-2</v>
      </c>
      <c r="EE73" s="26">
        <f t="shared" si="35"/>
        <v>3.3333333333333333E-2</v>
      </c>
      <c r="EF73" s="26">
        <f t="shared" si="35"/>
        <v>3.6666666666666667E-2</v>
      </c>
      <c r="EG73" s="26">
        <f t="shared" si="35"/>
        <v>0.04</v>
      </c>
      <c r="EH73" s="26">
        <f t="shared" si="35"/>
        <v>4.3333333333333335E-2</v>
      </c>
      <c r="EI73" s="26">
        <f t="shared" si="35"/>
        <v>4.6666666666666669E-2</v>
      </c>
      <c r="EJ73" s="26">
        <f t="shared" si="35"/>
        <v>0.05</v>
      </c>
      <c r="EK73" s="26">
        <f t="shared" si="35"/>
        <v>5.3333333333333337E-2</v>
      </c>
      <c r="EL73" s="26">
        <f t="shared" si="35"/>
        <v>5.6666666666666671E-2</v>
      </c>
      <c r="EM73" s="26">
        <f t="shared" si="35"/>
        <v>6.0000000000000005E-2</v>
      </c>
      <c r="EN73" s="26">
        <f t="shared" si="35"/>
        <v>6.3333333333333339E-2</v>
      </c>
      <c r="EO73" s="26">
        <f t="shared" si="35"/>
        <v>6.6666666666666666E-2</v>
      </c>
      <c r="EP73" s="26">
        <f t="shared" si="35"/>
        <v>7.0000000000000007E-2</v>
      </c>
      <c r="EQ73" s="26">
        <f t="shared" si="35"/>
        <v>7.3333333333333334E-2</v>
      </c>
      <c r="ER73" s="26">
        <f t="shared" si="35"/>
        <v>7.6666666666666675E-2</v>
      </c>
      <c r="ES73" s="26">
        <f t="shared" si="35"/>
        <v>0.08</v>
      </c>
      <c r="ET73" s="26">
        <f t="shared" si="35"/>
        <v>8.3333333333333343E-2</v>
      </c>
      <c r="EU73" s="26">
        <f t="shared" si="35"/>
        <v>8.666666666666667E-2</v>
      </c>
      <c r="EV73" s="26">
        <f t="shared" si="35"/>
        <v>9.0000000000000011E-2</v>
      </c>
      <c r="EW73" s="26">
        <f t="shared" si="35"/>
        <v>9.3333333333333338E-2</v>
      </c>
      <c r="EX73" s="26">
        <f t="shared" si="35"/>
        <v>9.6666666666666679E-2</v>
      </c>
      <c r="EY73" s="26">
        <f>$B$5*(EY72-1)</f>
        <v>0.1</v>
      </c>
      <c r="EZ73" s="24"/>
      <c r="FA73" s="36"/>
    </row>
    <row r="74" spans="3:157" ht="15" customHeight="1" x14ac:dyDescent="0.25">
      <c r="C74" s="84"/>
      <c r="D74" s="85"/>
      <c r="E74" s="25">
        <v>55</v>
      </c>
      <c r="F74" s="26">
        <f t="shared" ref="F74:F97" si="36">$B$6*(E74-1)</f>
        <v>0.5</v>
      </c>
      <c r="G74" s="13">
        <f t="shared" ref="G74:O83" si="37">$R$2</f>
        <v>600</v>
      </c>
      <c r="H74" s="13">
        <f t="shared" si="37"/>
        <v>600</v>
      </c>
      <c r="I74" s="13">
        <f t="shared" si="37"/>
        <v>600</v>
      </c>
      <c r="J74" s="13">
        <f t="shared" si="37"/>
        <v>600</v>
      </c>
      <c r="K74" s="13">
        <f t="shared" si="37"/>
        <v>600</v>
      </c>
      <c r="L74" s="13">
        <f t="shared" si="37"/>
        <v>600</v>
      </c>
      <c r="M74" s="13">
        <f t="shared" si="37"/>
        <v>600</v>
      </c>
      <c r="N74" s="13">
        <f t="shared" si="37"/>
        <v>600</v>
      </c>
      <c r="O74" s="13">
        <f t="shared" si="37"/>
        <v>600</v>
      </c>
      <c r="P74" s="13">
        <f t="shared" ref="P74:AB74" si="38">$R$4</f>
        <v>950</v>
      </c>
      <c r="Q74" s="13">
        <f t="shared" si="38"/>
        <v>950</v>
      </c>
      <c r="R74" s="13">
        <f t="shared" si="38"/>
        <v>950</v>
      </c>
      <c r="S74" s="13">
        <f t="shared" si="38"/>
        <v>950</v>
      </c>
      <c r="T74" s="13">
        <f t="shared" si="38"/>
        <v>950</v>
      </c>
      <c r="U74" s="13">
        <f t="shared" si="38"/>
        <v>950</v>
      </c>
      <c r="V74" s="13">
        <f t="shared" si="38"/>
        <v>950</v>
      </c>
      <c r="W74" s="13">
        <f t="shared" si="38"/>
        <v>950</v>
      </c>
      <c r="X74" s="13">
        <f t="shared" si="38"/>
        <v>950</v>
      </c>
      <c r="Y74" s="13">
        <f t="shared" si="38"/>
        <v>950</v>
      </c>
      <c r="Z74" s="13">
        <f t="shared" si="38"/>
        <v>950</v>
      </c>
      <c r="AA74" s="13">
        <f t="shared" si="38"/>
        <v>950</v>
      </c>
      <c r="AB74" s="13">
        <f t="shared" si="38"/>
        <v>950</v>
      </c>
      <c r="AC74" s="13">
        <f t="shared" ref="AC74:AK83" si="39">$R$3</f>
        <v>650</v>
      </c>
      <c r="AD74" s="13">
        <f t="shared" si="39"/>
        <v>650</v>
      </c>
      <c r="AE74" s="13">
        <f t="shared" si="39"/>
        <v>650</v>
      </c>
      <c r="AF74" s="13">
        <f t="shared" si="39"/>
        <v>650</v>
      </c>
      <c r="AG74" s="13">
        <f t="shared" si="39"/>
        <v>650</v>
      </c>
      <c r="AH74" s="13">
        <f t="shared" si="39"/>
        <v>650</v>
      </c>
      <c r="AI74" s="13">
        <f t="shared" si="39"/>
        <v>650</v>
      </c>
      <c r="AJ74" s="13">
        <f t="shared" si="39"/>
        <v>650</v>
      </c>
      <c r="AK74" s="13">
        <f t="shared" si="39"/>
        <v>650</v>
      </c>
      <c r="AL74" s="25">
        <v>55</v>
      </c>
      <c r="AM74" s="26">
        <f t="shared" ref="AM74:AM97" si="40">$B$6*(AL74-1)</f>
        <v>0.5</v>
      </c>
      <c r="AP74" s="87"/>
      <c r="AQ74" s="86"/>
      <c r="AR74" s="25">
        <v>55</v>
      </c>
      <c r="AS74" s="26">
        <f t="shared" ref="AS74:AS97" si="41">$B$6*(AR74-1)</f>
        <v>0.5</v>
      </c>
      <c r="AT74" s="13">
        <f t="shared" ref="AT74:BB83" si="42">$R$2</f>
        <v>600</v>
      </c>
      <c r="AU74" s="13">
        <f t="shared" si="42"/>
        <v>600</v>
      </c>
      <c r="AV74" s="13">
        <f t="shared" si="42"/>
        <v>600</v>
      </c>
      <c r="AW74" s="13">
        <f t="shared" si="42"/>
        <v>600</v>
      </c>
      <c r="AX74" s="13">
        <f t="shared" si="42"/>
        <v>600</v>
      </c>
      <c r="AY74" s="13">
        <f t="shared" si="42"/>
        <v>600</v>
      </c>
      <c r="AZ74" s="13">
        <f t="shared" si="42"/>
        <v>600</v>
      </c>
      <c r="BA74" s="13">
        <f t="shared" si="42"/>
        <v>600</v>
      </c>
      <c r="BB74" s="13">
        <f t="shared" si="42"/>
        <v>600</v>
      </c>
      <c r="BC74" s="13">
        <f t="shared" ref="BC74:BO74" si="43">$R$4</f>
        <v>950</v>
      </c>
      <c r="BD74" s="13">
        <f t="shared" si="43"/>
        <v>950</v>
      </c>
      <c r="BE74" s="13">
        <f t="shared" si="43"/>
        <v>950</v>
      </c>
      <c r="BF74" s="13">
        <f t="shared" si="43"/>
        <v>950</v>
      </c>
      <c r="BG74" s="13">
        <f t="shared" si="43"/>
        <v>950</v>
      </c>
      <c r="BH74" s="13">
        <f t="shared" si="43"/>
        <v>950</v>
      </c>
      <c r="BI74" s="13">
        <f t="shared" si="43"/>
        <v>950</v>
      </c>
      <c r="BJ74" s="13">
        <f t="shared" si="43"/>
        <v>950</v>
      </c>
      <c r="BK74" s="13">
        <f t="shared" si="43"/>
        <v>950</v>
      </c>
      <c r="BL74" s="13">
        <f t="shared" si="43"/>
        <v>950</v>
      </c>
      <c r="BM74" s="13">
        <f t="shared" si="43"/>
        <v>950</v>
      </c>
      <c r="BN74" s="13">
        <f t="shared" si="43"/>
        <v>950</v>
      </c>
      <c r="BO74" s="13">
        <f t="shared" si="43"/>
        <v>950</v>
      </c>
      <c r="BP74" s="13">
        <f t="shared" ref="BP74:BX83" si="44">$R$3</f>
        <v>650</v>
      </c>
      <c r="BQ74" s="13">
        <f t="shared" si="44"/>
        <v>650</v>
      </c>
      <c r="BR74" s="13">
        <f t="shared" si="44"/>
        <v>650</v>
      </c>
      <c r="BS74" s="13">
        <f t="shared" si="44"/>
        <v>650</v>
      </c>
      <c r="BT74" s="13">
        <f t="shared" si="44"/>
        <v>650</v>
      </c>
      <c r="BU74" s="13">
        <f t="shared" si="44"/>
        <v>650</v>
      </c>
      <c r="BV74" s="13">
        <f t="shared" si="44"/>
        <v>650</v>
      </c>
      <c r="BW74" s="13">
        <f t="shared" si="44"/>
        <v>650</v>
      </c>
      <c r="BX74" s="13">
        <f t="shared" si="44"/>
        <v>650</v>
      </c>
      <c r="BY74" s="25">
        <v>55</v>
      </c>
      <c r="BZ74" s="26">
        <f t="shared" ref="BZ74:BZ97" si="45">$B$6*(BY74-1)</f>
        <v>0.5</v>
      </c>
      <c r="CC74" s="84"/>
      <c r="CD74" s="85"/>
      <c r="CE74" s="25">
        <v>55</v>
      </c>
      <c r="CF74" s="26">
        <f t="shared" ref="CF74:CF97" si="46">$B$6*(CE74-1)</f>
        <v>0.5</v>
      </c>
      <c r="CG74" s="13">
        <f t="shared" ref="CG74:CO83" si="47">$R$2</f>
        <v>600</v>
      </c>
      <c r="CH74" s="13">
        <f t="shared" si="47"/>
        <v>600</v>
      </c>
      <c r="CI74" s="13">
        <f t="shared" si="47"/>
        <v>600</v>
      </c>
      <c r="CJ74" s="13">
        <f t="shared" si="47"/>
        <v>600</v>
      </c>
      <c r="CK74" s="13">
        <f t="shared" si="47"/>
        <v>600</v>
      </c>
      <c r="CL74" s="13">
        <f t="shared" si="47"/>
        <v>600</v>
      </c>
      <c r="CM74" s="13">
        <f t="shared" si="47"/>
        <v>600</v>
      </c>
      <c r="CN74" s="13">
        <f t="shared" si="47"/>
        <v>600</v>
      </c>
      <c r="CO74" s="13">
        <f t="shared" si="47"/>
        <v>600</v>
      </c>
      <c r="CP74" s="13">
        <f t="shared" ref="CP74:DB74" si="48">$R$4</f>
        <v>950</v>
      </c>
      <c r="CQ74" s="13">
        <f t="shared" si="48"/>
        <v>950</v>
      </c>
      <c r="CR74" s="13">
        <f t="shared" si="48"/>
        <v>950</v>
      </c>
      <c r="CS74" s="13">
        <f t="shared" si="48"/>
        <v>950</v>
      </c>
      <c r="CT74" s="13">
        <f t="shared" si="48"/>
        <v>950</v>
      </c>
      <c r="CU74" s="13">
        <f t="shared" si="48"/>
        <v>950</v>
      </c>
      <c r="CV74" s="13">
        <f t="shared" si="48"/>
        <v>950</v>
      </c>
      <c r="CW74" s="13">
        <f t="shared" si="48"/>
        <v>950</v>
      </c>
      <c r="CX74" s="13">
        <f t="shared" si="48"/>
        <v>950</v>
      </c>
      <c r="CY74" s="13">
        <f t="shared" si="48"/>
        <v>950</v>
      </c>
      <c r="CZ74" s="13">
        <f t="shared" si="48"/>
        <v>950</v>
      </c>
      <c r="DA74" s="13">
        <f t="shared" si="48"/>
        <v>950</v>
      </c>
      <c r="DB74" s="13">
        <f t="shared" si="48"/>
        <v>950</v>
      </c>
      <c r="DC74" s="13">
        <f t="shared" ref="DC74:DK83" si="49">$R$3</f>
        <v>650</v>
      </c>
      <c r="DD74" s="13">
        <f t="shared" si="49"/>
        <v>650</v>
      </c>
      <c r="DE74" s="13">
        <f t="shared" si="49"/>
        <v>650</v>
      </c>
      <c r="DF74" s="13">
        <f t="shared" si="49"/>
        <v>650</v>
      </c>
      <c r="DG74" s="13">
        <f t="shared" si="49"/>
        <v>650</v>
      </c>
      <c r="DH74" s="13">
        <f t="shared" si="49"/>
        <v>650</v>
      </c>
      <c r="DI74" s="13">
        <f t="shared" si="49"/>
        <v>650</v>
      </c>
      <c r="DJ74" s="13">
        <f t="shared" si="49"/>
        <v>650</v>
      </c>
      <c r="DK74" s="13">
        <f t="shared" si="49"/>
        <v>650</v>
      </c>
      <c r="DL74" s="25">
        <v>55</v>
      </c>
      <c r="DM74" s="26">
        <f t="shared" ref="DM74:DM97" si="50">$B$6*(DL74-1)</f>
        <v>0.5</v>
      </c>
      <c r="DQ74" s="84"/>
      <c r="DR74" s="85"/>
      <c r="DS74" s="25">
        <v>55</v>
      </c>
      <c r="DT74" s="26">
        <f t="shared" ref="DT74:DT97" si="51">$B$6*(DS74-1)</f>
        <v>0.5</v>
      </c>
      <c r="DU74" s="13">
        <f t="shared" ref="DU74:EC83" si="52">$R$2</f>
        <v>600</v>
      </c>
      <c r="DV74" s="13">
        <f t="shared" si="52"/>
        <v>600</v>
      </c>
      <c r="DW74" s="13">
        <f t="shared" si="52"/>
        <v>600</v>
      </c>
      <c r="DX74" s="13">
        <f t="shared" si="52"/>
        <v>600</v>
      </c>
      <c r="DY74" s="13">
        <f t="shared" si="52"/>
        <v>600</v>
      </c>
      <c r="DZ74" s="13">
        <f t="shared" si="52"/>
        <v>600</v>
      </c>
      <c r="EA74" s="13">
        <f t="shared" si="52"/>
        <v>600</v>
      </c>
      <c r="EB74" s="13">
        <f t="shared" si="52"/>
        <v>600</v>
      </c>
      <c r="EC74" s="13">
        <f t="shared" si="52"/>
        <v>600</v>
      </c>
      <c r="ED74" s="13">
        <f t="shared" ref="ED74:EP74" si="53">$R$4</f>
        <v>950</v>
      </c>
      <c r="EE74" s="13">
        <f t="shared" si="53"/>
        <v>950</v>
      </c>
      <c r="EF74" s="13">
        <f t="shared" si="53"/>
        <v>950</v>
      </c>
      <c r="EG74" s="13">
        <f t="shared" si="53"/>
        <v>950</v>
      </c>
      <c r="EH74" s="13">
        <f t="shared" si="53"/>
        <v>950</v>
      </c>
      <c r="EI74" s="13">
        <f t="shared" si="53"/>
        <v>950</v>
      </c>
      <c r="EJ74" s="13">
        <f t="shared" si="53"/>
        <v>950</v>
      </c>
      <c r="EK74" s="13">
        <f t="shared" si="53"/>
        <v>950</v>
      </c>
      <c r="EL74" s="13">
        <f t="shared" si="53"/>
        <v>950</v>
      </c>
      <c r="EM74" s="13">
        <f t="shared" si="53"/>
        <v>950</v>
      </c>
      <c r="EN74" s="13">
        <f t="shared" si="53"/>
        <v>950</v>
      </c>
      <c r="EO74" s="13">
        <f t="shared" si="53"/>
        <v>950</v>
      </c>
      <c r="EP74" s="13">
        <f t="shared" si="53"/>
        <v>950</v>
      </c>
      <c r="EQ74" s="13">
        <f t="shared" ref="EQ74:EY83" si="54">$R$3</f>
        <v>650</v>
      </c>
      <c r="ER74" s="13">
        <f t="shared" si="54"/>
        <v>650</v>
      </c>
      <c r="ES74" s="13">
        <f t="shared" si="54"/>
        <v>650</v>
      </c>
      <c r="ET74" s="13">
        <f t="shared" si="54"/>
        <v>650</v>
      </c>
      <c r="EU74" s="13">
        <f t="shared" si="54"/>
        <v>650</v>
      </c>
      <c r="EV74" s="13">
        <f t="shared" si="54"/>
        <v>650</v>
      </c>
      <c r="EW74" s="13">
        <f t="shared" si="54"/>
        <v>650</v>
      </c>
      <c r="EX74" s="13">
        <f t="shared" si="54"/>
        <v>650</v>
      </c>
      <c r="EY74" s="13">
        <f t="shared" si="54"/>
        <v>650</v>
      </c>
      <c r="EZ74" s="25">
        <v>55</v>
      </c>
      <c r="FA74" s="26">
        <f t="shared" ref="FA74:FA97" si="55">$B$6*(EZ74-1)</f>
        <v>0.5</v>
      </c>
    </row>
    <row r="75" spans="3:157" ht="15" customHeight="1" x14ac:dyDescent="0.25">
      <c r="C75" s="84"/>
      <c r="D75" s="85"/>
      <c r="E75" s="25">
        <v>54</v>
      </c>
      <c r="F75" s="26">
        <f t="shared" si="36"/>
        <v>0.4907407407407407</v>
      </c>
      <c r="G75" s="13">
        <f t="shared" si="37"/>
        <v>600</v>
      </c>
      <c r="H75" s="13">
        <f t="shared" si="37"/>
        <v>600</v>
      </c>
      <c r="I75" s="13">
        <f t="shared" si="37"/>
        <v>600</v>
      </c>
      <c r="J75" s="13">
        <f t="shared" si="37"/>
        <v>600</v>
      </c>
      <c r="K75" s="13">
        <f t="shared" si="37"/>
        <v>600</v>
      </c>
      <c r="L75" s="13">
        <f t="shared" si="37"/>
        <v>600</v>
      </c>
      <c r="M75" s="13">
        <f t="shared" si="37"/>
        <v>600</v>
      </c>
      <c r="N75" s="13">
        <f t="shared" si="37"/>
        <v>600</v>
      </c>
      <c r="O75" s="13">
        <f t="shared" si="37"/>
        <v>600</v>
      </c>
      <c r="P75" s="13">
        <f>($F$5*$B$5*O12+$F$4*Q12)/($F$4+$F$5*$B$5)</f>
        <v>854.41461167101875</v>
      </c>
      <c r="Q75" s="13">
        <f>CQ75*R75+EE75</f>
        <v>865.55044821060028</v>
      </c>
      <c r="R75" s="13">
        <f t="shared" ref="R75:AA75" si="56">CR75*S75+EF75</f>
        <v>873.55515969618364</v>
      </c>
      <c r="S75" s="13">
        <f t="shared" si="56"/>
        <v>879.27732790873279</v>
      </c>
      <c r="T75" s="13">
        <f t="shared" si="56"/>
        <v>883.27290550815371</v>
      </c>
      <c r="U75" s="13">
        <f t="shared" si="56"/>
        <v>885.89784756875133</v>
      </c>
      <c r="V75" s="13">
        <f t="shared" si="56"/>
        <v>887.36498828674303</v>
      </c>
      <c r="W75" s="13">
        <f t="shared" si="56"/>
        <v>887.77670724744917</v>
      </c>
      <c r="X75" s="13">
        <f t="shared" si="56"/>
        <v>887.13982300213706</v>
      </c>
      <c r="Y75" s="13">
        <f t="shared" si="56"/>
        <v>885.36556874921769</v>
      </c>
      <c r="Z75" s="13">
        <f t="shared" si="56"/>
        <v>882.25452725671153</v>
      </c>
      <c r="AA75" s="13">
        <f t="shared" si="56"/>
        <v>877.46340659320606</v>
      </c>
      <c r="AB75" s="13">
        <f>($F$6*$B$5*AC12+$F$4*AA12)/($F$4+$F$6*$B$5)</f>
        <v>870.44672331372192</v>
      </c>
      <c r="AC75" s="13">
        <f t="shared" si="39"/>
        <v>650</v>
      </c>
      <c r="AD75" s="13">
        <f t="shared" si="39"/>
        <v>650</v>
      </c>
      <c r="AE75" s="13">
        <f t="shared" si="39"/>
        <v>650</v>
      </c>
      <c r="AF75" s="13">
        <f t="shared" si="39"/>
        <v>650</v>
      </c>
      <c r="AG75" s="13">
        <f t="shared" si="39"/>
        <v>650</v>
      </c>
      <c r="AH75" s="13">
        <f t="shared" si="39"/>
        <v>650</v>
      </c>
      <c r="AI75" s="13">
        <f t="shared" si="39"/>
        <v>650</v>
      </c>
      <c r="AJ75" s="13">
        <f t="shared" si="39"/>
        <v>650</v>
      </c>
      <c r="AK75" s="13">
        <f t="shared" si="39"/>
        <v>650</v>
      </c>
      <c r="AL75" s="25">
        <v>54</v>
      </c>
      <c r="AM75" s="26">
        <f t="shared" si="40"/>
        <v>0.4907407407407407</v>
      </c>
      <c r="AP75" s="87"/>
      <c r="AQ75" s="86"/>
      <c r="AR75" s="25">
        <v>54</v>
      </c>
      <c r="AS75" s="26">
        <f t="shared" si="41"/>
        <v>0.4907407407407407</v>
      </c>
      <c r="AT75" s="13">
        <f t="shared" si="42"/>
        <v>600</v>
      </c>
      <c r="AU75" s="13">
        <f t="shared" si="42"/>
        <v>600</v>
      </c>
      <c r="AV75" s="13">
        <f t="shared" si="42"/>
        <v>600</v>
      </c>
      <c r="AW75" s="13">
        <f t="shared" si="42"/>
        <v>600</v>
      </c>
      <c r="AX75" s="13">
        <f t="shared" si="42"/>
        <v>600</v>
      </c>
      <c r="AY75" s="13">
        <f t="shared" si="42"/>
        <v>600</v>
      </c>
      <c r="AZ75" s="13">
        <f t="shared" si="42"/>
        <v>600</v>
      </c>
      <c r="BA75" s="13">
        <f t="shared" si="42"/>
        <v>600</v>
      </c>
      <c r="BB75" s="13">
        <f t="shared" si="42"/>
        <v>600</v>
      </c>
      <c r="BC75" s="52"/>
      <c r="BD75" s="13">
        <f>-($F$3*$F$2)/$B$8*Q12</f>
        <v>-3118557865.9031868</v>
      </c>
      <c r="BE75" s="13">
        <f t="shared" ref="BE75:BN75" si="57">-($F$3*$F$2)/$B$8*R12</f>
        <v>-3143765642.1402683</v>
      </c>
      <c r="BF75" s="13">
        <f t="shared" si="57"/>
        <v>-3161995137.6748843</v>
      </c>
      <c r="BG75" s="13">
        <f t="shared" si="57"/>
        <v>-3174857616.0939851</v>
      </c>
      <c r="BH75" s="13">
        <f t="shared" si="57"/>
        <v>-3183394774.6350684</v>
      </c>
      <c r="BI75" s="13">
        <f t="shared" si="57"/>
        <v>-3188235024.0479951</v>
      </c>
      <c r="BJ75" s="13">
        <f t="shared" si="57"/>
        <v>-3189684042.8767624</v>
      </c>
      <c r="BK75" s="13">
        <f t="shared" si="57"/>
        <v>-3187766396.7631636</v>
      </c>
      <c r="BL75" s="13">
        <f t="shared" si="57"/>
        <v>-3182225959.8440814</v>
      </c>
      <c r="BM75" s="13">
        <f t="shared" si="57"/>
        <v>-3172484771.5650182</v>
      </c>
      <c r="BN75" s="13">
        <f t="shared" si="57"/>
        <v>-3157552532.0865746</v>
      </c>
      <c r="BO75" s="52"/>
      <c r="BP75" s="13">
        <f t="shared" si="44"/>
        <v>650</v>
      </c>
      <c r="BQ75" s="13">
        <f t="shared" si="44"/>
        <v>650</v>
      </c>
      <c r="BR75" s="13">
        <f t="shared" si="44"/>
        <v>650</v>
      </c>
      <c r="BS75" s="13">
        <f t="shared" si="44"/>
        <v>650</v>
      </c>
      <c r="BT75" s="13">
        <f t="shared" si="44"/>
        <v>650</v>
      </c>
      <c r="BU75" s="13">
        <f t="shared" si="44"/>
        <v>650</v>
      </c>
      <c r="BV75" s="13">
        <f t="shared" si="44"/>
        <v>650</v>
      </c>
      <c r="BW75" s="13">
        <f t="shared" si="44"/>
        <v>650</v>
      </c>
      <c r="BX75" s="13">
        <f t="shared" si="44"/>
        <v>650</v>
      </c>
      <c r="BY75" s="25">
        <v>54</v>
      </c>
      <c r="BZ75" s="26">
        <f t="shared" si="45"/>
        <v>0.4907407407407407</v>
      </c>
      <c r="CC75" s="84"/>
      <c r="CD75" s="85"/>
      <c r="CE75" s="25">
        <v>54</v>
      </c>
      <c r="CF75" s="26">
        <f t="shared" si="46"/>
        <v>0.4907407407407407</v>
      </c>
      <c r="CG75" s="13">
        <f t="shared" si="47"/>
        <v>600</v>
      </c>
      <c r="CH75" s="13">
        <f t="shared" si="47"/>
        <v>600</v>
      </c>
      <c r="CI75" s="13">
        <f t="shared" si="47"/>
        <v>600</v>
      </c>
      <c r="CJ75" s="13">
        <f t="shared" si="47"/>
        <v>600</v>
      </c>
      <c r="CK75" s="13">
        <f t="shared" si="47"/>
        <v>600</v>
      </c>
      <c r="CL75" s="13">
        <f t="shared" si="47"/>
        <v>600</v>
      </c>
      <c r="CM75" s="13">
        <f t="shared" si="47"/>
        <v>600</v>
      </c>
      <c r="CN75" s="13">
        <f t="shared" si="47"/>
        <v>600</v>
      </c>
      <c r="CO75" s="13">
        <f t="shared" si="47"/>
        <v>600</v>
      </c>
      <c r="CP75" s="13">
        <v>0</v>
      </c>
      <c r="CQ75" s="13">
        <f>$L$2/($L$3-$L$4*CP75)</f>
        <v>0.34883720930232553</v>
      </c>
      <c r="CR75" s="13">
        <f t="shared" ref="CR75:DB75" si="58">$L$2/($L$3-$L$4*CQ75)</f>
        <v>0.39716748768472904</v>
      </c>
      <c r="CS75" s="13">
        <f t="shared" si="58"/>
        <v>0.40494040593779607</v>
      </c>
      <c r="CT75" s="13">
        <f t="shared" si="58"/>
        <v>0.4062190081621499</v>
      </c>
      <c r="CU75" s="13">
        <f t="shared" si="58"/>
        <v>0.40643010492156101</v>
      </c>
      <c r="CV75" s="13">
        <f t="shared" si="58"/>
        <v>0.40646497802255066</v>
      </c>
      <c r="CW75" s="13">
        <f t="shared" si="58"/>
        <v>0.40647073962099717</v>
      </c>
      <c r="CX75" s="13">
        <f t="shared" si="58"/>
        <v>0.40647169154566137</v>
      </c>
      <c r="CY75" s="13">
        <f t="shared" si="58"/>
        <v>0.40647184882198806</v>
      </c>
      <c r="CZ75" s="13">
        <f t="shared" si="58"/>
        <v>0.40647187480708435</v>
      </c>
      <c r="DA75" s="13">
        <f t="shared" si="58"/>
        <v>0.40647187910032606</v>
      </c>
      <c r="DB75" s="13">
        <f t="shared" si="58"/>
        <v>0.40647187980965277</v>
      </c>
      <c r="DC75" s="13">
        <f t="shared" si="49"/>
        <v>650</v>
      </c>
      <c r="DD75" s="13">
        <f t="shared" si="49"/>
        <v>650</v>
      </c>
      <c r="DE75" s="13">
        <f t="shared" si="49"/>
        <v>650</v>
      </c>
      <c r="DF75" s="13">
        <f t="shared" si="49"/>
        <v>650</v>
      </c>
      <c r="DG75" s="13">
        <f t="shared" si="49"/>
        <v>650</v>
      </c>
      <c r="DH75" s="13">
        <f t="shared" si="49"/>
        <v>650</v>
      </c>
      <c r="DI75" s="13">
        <f t="shared" si="49"/>
        <v>650</v>
      </c>
      <c r="DJ75" s="13">
        <f t="shared" si="49"/>
        <v>650</v>
      </c>
      <c r="DK75" s="13">
        <f t="shared" si="49"/>
        <v>650</v>
      </c>
      <c r="DL75" s="25">
        <v>54</v>
      </c>
      <c r="DM75" s="26">
        <f t="shared" si="50"/>
        <v>0.4907407407407407</v>
      </c>
      <c r="DQ75" s="84"/>
      <c r="DR75" s="85"/>
      <c r="DS75" s="25">
        <v>54</v>
      </c>
      <c r="DT75" s="26">
        <f t="shared" si="51"/>
        <v>0.4907407407407407</v>
      </c>
      <c r="DU75" s="13">
        <f t="shared" si="52"/>
        <v>600</v>
      </c>
      <c r="DV75" s="13">
        <f t="shared" si="52"/>
        <v>600</v>
      </c>
      <c r="DW75" s="13">
        <f t="shared" si="52"/>
        <v>600</v>
      </c>
      <c r="DX75" s="13">
        <f t="shared" si="52"/>
        <v>600</v>
      </c>
      <c r="DY75" s="13">
        <f t="shared" si="52"/>
        <v>600</v>
      </c>
      <c r="DZ75" s="13">
        <f t="shared" si="52"/>
        <v>600</v>
      </c>
      <c r="EA75" s="13">
        <f t="shared" si="52"/>
        <v>600</v>
      </c>
      <c r="EB75" s="13">
        <f t="shared" si="52"/>
        <v>600</v>
      </c>
      <c r="EC75" s="13">
        <f t="shared" si="52"/>
        <v>600</v>
      </c>
      <c r="ED75" s="13">
        <f>P75</f>
        <v>854.41461167101875</v>
      </c>
      <c r="EE75" s="13">
        <f>(ED75*$L$4-BD75)/($L$3-$L$4*CP75)</f>
        <v>560.82190413053627</v>
      </c>
      <c r="EF75" s="13">
        <f>(EE75*$L$4-BE75)/($L$3-$L$4*CQ75)</f>
        <v>524.33479239253063</v>
      </c>
      <c r="EG75" s="13">
        <f t="shared" ref="EG75:EP78" si="59">(EF75*$L$4-BF75)/($L$3-$L$4*CR75)</f>
        <v>521.60443899840448</v>
      </c>
      <c r="EH75" s="13">
        <f t="shared" si="59"/>
        <v>523.40436053579208</v>
      </c>
      <c r="EI75" s="13">
        <f t="shared" si="59"/>
        <v>525.24600227565065</v>
      </c>
      <c r="EJ75" s="13">
        <f t="shared" si="59"/>
        <v>526.51484848647624</v>
      </c>
      <c r="EK75" s="13">
        <f t="shared" si="59"/>
        <v>527.18032724452996</v>
      </c>
      <c r="EL75" s="13">
        <f t="shared" si="59"/>
        <v>527.26378263635604</v>
      </c>
      <c r="EM75" s="13">
        <f t="shared" si="59"/>
        <v>526.75393992361307</v>
      </c>
      <c r="EN75" s="13">
        <f t="shared" si="59"/>
        <v>525.59033130416003</v>
      </c>
      <c r="EO75" s="13">
        <f t="shared" si="59"/>
        <v>523.65129131115589</v>
      </c>
      <c r="EP75" s="13">
        <f t="shared" si="59"/>
        <v>212.84952474399762</v>
      </c>
      <c r="EQ75" s="13">
        <f t="shared" si="54"/>
        <v>650</v>
      </c>
      <c r="ER75" s="13">
        <f t="shared" si="54"/>
        <v>650</v>
      </c>
      <c r="ES75" s="13">
        <f t="shared" si="54"/>
        <v>650</v>
      </c>
      <c r="ET75" s="13">
        <f t="shared" si="54"/>
        <v>650</v>
      </c>
      <c r="EU75" s="13">
        <f t="shared" si="54"/>
        <v>650</v>
      </c>
      <c r="EV75" s="13">
        <f t="shared" si="54"/>
        <v>650</v>
      </c>
      <c r="EW75" s="13">
        <f t="shared" si="54"/>
        <v>650</v>
      </c>
      <c r="EX75" s="13">
        <f t="shared" si="54"/>
        <v>650</v>
      </c>
      <c r="EY75" s="13">
        <f t="shared" si="54"/>
        <v>650</v>
      </c>
      <c r="EZ75" s="25">
        <v>54</v>
      </c>
      <c r="FA75" s="26">
        <f t="shared" si="55"/>
        <v>0.4907407407407407</v>
      </c>
    </row>
    <row r="76" spans="3:157" ht="15" customHeight="1" x14ac:dyDescent="0.25">
      <c r="C76" s="84"/>
      <c r="D76" s="85"/>
      <c r="E76" s="25">
        <v>53</v>
      </c>
      <c r="F76" s="26">
        <f t="shared" si="36"/>
        <v>0.48148148148148145</v>
      </c>
      <c r="G76" s="13">
        <f t="shared" si="37"/>
        <v>600</v>
      </c>
      <c r="H76" s="13">
        <f t="shared" si="37"/>
        <v>600</v>
      </c>
      <c r="I76" s="13">
        <f t="shared" si="37"/>
        <v>600</v>
      </c>
      <c r="J76" s="13">
        <f t="shared" si="37"/>
        <v>600</v>
      </c>
      <c r="K76" s="13">
        <f t="shared" si="37"/>
        <v>600</v>
      </c>
      <c r="L76" s="13">
        <f t="shared" si="37"/>
        <v>600</v>
      </c>
      <c r="M76" s="13">
        <f t="shared" si="37"/>
        <v>600</v>
      </c>
      <c r="N76" s="13">
        <f t="shared" si="37"/>
        <v>600</v>
      </c>
      <c r="O76" s="13">
        <f t="shared" si="37"/>
        <v>600</v>
      </c>
      <c r="P76" s="13">
        <f t="shared" ref="P76:P78" si="60">($F$5*$B$5*O13+$F$4*Q13)/($F$4+$F$5*$B$5)</f>
        <v>800.9405246568964</v>
      </c>
      <c r="Q76" s="13">
        <f t="shared" ref="Q76:Q78" si="61">CQ76*R76+EE76</f>
        <v>810.48100763521575</v>
      </c>
      <c r="R76" s="13">
        <f t="shared" ref="R76:R78" si="62">CR76*S76+EF76</f>
        <v>818.19434660328761</v>
      </c>
      <c r="S76" s="13">
        <f t="shared" ref="S76:S78" si="63">CS76*T76+EG76</f>
        <v>824.25883648692354</v>
      </c>
      <c r="T76" s="13">
        <f t="shared" ref="T76:T78" si="64">CT76*U76+EH76</f>
        <v>828.83867860836165</v>
      </c>
      <c r="U76" s="13">
        <f t="shared" ref="U76:U78" si="65">CU76*V76+EI76</f>
        <v>832.0673742981628</v>
      </c>
      <c r="V76" s="13">
        <f t="shared" ref="V76:V78" si="66">CV76*W76+EJ76</f>
        <v>834.04055821998838</v>
      </c>
      <c r="W76" s="13">
        <f t="shared" ref="W76:W78" si="67">CW76*X76+EK76</f>
        <v>834.81376240007876</v>
      </c>
      <c r="X76" s="13">
        <f t="shared" ref="X76:X78" si="68">CX76*Y76+EL76</f>
        <v>834.40247754439645</v>
      </c>
      <c r="Y76" s="13">
        <f t="shared" ref="Y76:Y78" si="69">CY76*Z76+EM76</f>
        <v>832.78354939772612</v>
      </c>
      <c r="Z76" s="13">
        <f t="shared" ref="Z76:Z78" si="70">CZ76*AA76+EN76</f>
        <v>829.89809516307037</v>
      </c>
      <c r="AA76" s="13">
        <f t="shared" ref="AA76:AA78" si="71">DA76*AB76+EO76</f>
        <v>825.65748998952859</v>
      </c>
      <c r="AB76" s="13">
        <f t="shared" ref="AB76:AB78" si="72">($F$6*$B$5*AC13+$F$4*AA13)/($F$4+$F$6*$B$5)</f>
        <v>819.95496920606467</v>
      </c>
      <c r="AC76" s="13">
        <f t="shared" si="39"/>
        <v>650</v>
      </c>
      <c r="AD76" s="13">
        <f t="shared" si="39"/>
        <v>650</v>
      </c>
      <c r="AE76" s="13">
        <f t="shared" si="39"/>
        <v>650</v>
      </c>
      <c r="AF76" s="13">
        <f t="shared" si="39"/>
        <v>650</v>
      </c>
      <c r="AG76" s="13">
        <f t="shared" si="39"/>
        <v>650</v>
      </c>
      <c r="AH76" s="13">
        <f t="shared" si="39"/>
        <v>650</v>
      </c>
      <c r="AI76" s="13">
        <f t="shared" si="39"/>
        <v>650</v>
      </c>
      <c r="AJ76" s="13">
        <f t="shared" si="39"/>
        <v>650</v>
      </c>
      <c r="AK76" s="13">
        <f t="shared" si="39"/>
        <v>650</v>
      </c>
      <c r="AL76" s="25">
        <v>53</v>
      </c>
      <c r="AM76" s="26">
        <f t="shared" si="40"/>
        <v>0.48148148148148145</v>
      </c>
      <c r="AP76" s="87"/>
      <c r="AQ76" s="86"/>
      <c r="AR76" s="25">
        <v>53</v>
      </c>
      <c r="AS76" s="26">
        <f t="shared" si="41"/>
        <v>0.48148148148148145</v>
      </c>
      <c r="AT76" s="13">
        <f t="shared" si="42"/>
        <v>600</v>
      </c>
      <c r="AU76" s="13">
        <f t="shared" si="42"/>
        <v>600</v>
      </c>
      <c r="AV76" s="13">
        <f t="shared" si="42"/>
        <v>600</v>
      </c>
      <c r="AW76" s="13">
        <f t="shared" si="42"/>
        <v>600</v>
      </c>
      <c r="AX76" s="13">
        <f t="shared" si="42"/>
        <v>600</v>
      </c>
      <c r="AY76" s="13">
        <f t="shared" si="42"/>
        <v>600</v>
      </c>
      <c r="AZ76" s="13">
        <f t="shared" si="42"/>
        <v>600</v>
      </c>
      <c r="BA76" s="13">
        <f t="shared" si="42"/>
        <v>600</v>
      </c>
      <c r="BB76" s="13">
        <f t="shared" si="42"/>
        <v>600</v>
      </c>
      <c r="BC76" s="52"/>
      <c r="BD76" s="13">
        <f t="shared" ref="BD76:BD78" si="73">-($F$3*$F$2)/$B$8*Q13</f>
        <v>-2915570231.5975785</v>
      </c>
      <c r="BE76" s="13">
        <f t="shared" ref="BE76:BE78" si="74">-($F$3*$F$2)/$B$8*R13</f>
        <v>-2942507550.8221598</v>
      </c>
      <c r="BF76" s="13">
        <f t="shared" ref="BF76:BF78" si="75">-($F$3*$F$2)/$B$8*S13</f>
        <v>-2963587147.05058</v>
      </c>
      <c r="BG76" s="13">
        <f t="shared" ref="BG76:BG78" si="76">-($F$3*$F$2)/$B$8*T13</f>
        <v>-2979466925.0737791</v>
      </c>
      <c r="BH76" s="13">
        <f t="shared" ref="BH76:BH78" si="77">-($F$3*$F$2)/$B$8*U13</f>
        <v>-2990655557.7012277</v>
      </c>
      <c r="BI76" s="13">
        <f t="shared" ref="BI76:BI78" si="78">-($F$3*$F$2)/$B$8*V13</f>
        <v>-2997505439.0241017</v>
      </c>
      <c r="BJ76" s="13">
        <f t="shared" ref="BJ76:BJ78" si="79">-($F$3*$F$2)/$B$8*W13</f>
        <v>-3000215564.0995798</v>
      </c>
      <c r="BK76" s="13">
        <f t="shared" ref="BK76:BK78" si="80">-($F$3*$F$2)/$B$8*X13</f>
        <v>-2998835732.653986</v>
      </c>
      <c r="BL76" s="13">
        <f t="shared" ref="BL76:BL78" si="81">-($F$3*$F$2)/$B$8*Y13</f>
        <v>-2993270793.2432995</v>
      </c>
      <c r="BM76" s="13">
        <f t="shared" ref="BM76:BM78" si="82">-($F$3*$F$2)/$B$8*Z13</f>
        <v>-2983284690.3320851</v>
      </c>
      <c r="BN76" s="13">
        <f t="shared" ref="BN76:BN78" si="83">-($F$3*$F$2)/$B$8*AA13</f>
        <v>-2968511404.7075062</v>
      </c>
      <c r="BO76" s="52"/>
      <c r="BP76" s="13">
        <f t="shared" si="44"/>
        <v>650</v>
      </c>
      <c r="BQ76" s="13">
        <f t="shared" si="44"/>
        <v>650</v>
      </c>
      <c r="BR76" s="13">
        <f t="shared" si="44"/>
        <v>650</v>
      </c>
      <c r="BS76" s="13">
        <f t="shared" si="44"/>
        <v>650</v>
      </c>
      <c r="BT76" s="13">
        <f t="shared" si="44"/>
        <v>650</v>
      </c>
      <c r="BU76" s="13">
        <f t="shared" si="44"/>
        <v>650</v>
      </c>
      <c r="BV76" s="13">
        <f t="shared" si="44"/>
        <v>650</v>
      </c>
      <c r="BW76" s="13">
        <f t="shared" si="44"/>
        <v>650</v>
      </c>
      <c r="BX76" s="13">
        <f t="shared" si="44"/>
        <v>650</v>
      </c>
      <c r="BY76" s="25">
        <v>53</v>
      </c>
      <c r="BZ76" s="26">
        <f t="shared" si="45"/>
        <v>0.48148148148148145</v>
      </c>
      <c r="CC76" s="84"/>
      <c r="CD76" s="85"/>
      <c r="CE76" s="25">
        <v>53</v>
      </c>
      <c r="CF76" s="26">
        <f t="shared" si="46"/>
        <v>0.48148148148148145</v>
      </c>
      <c r="CG76" s="13">
        <f t="shared" si="47"/>
        <v>600</v>
      </c>
      <c r="CH76" s="13">
        <f t="shared" si="47"/>
        <v>600</v>
      </c>
      <c r="CI76" s="13">
        <f t="shared" si="47"/>
        <v>600</v>
      </c>
      <c r="CJ76" s="13">
        <f t="shared" si="47"/>
        <v>600</v>
      </c>
      <c r="CK76" s="13">
        <f t="shared" si="47"/>
        <v>600</v>
      </c>
      <c r="CL76" s="13">
        <f t="shared" si="47"/>
        <v>600</v>
      </c>
      <c r="CM76" s="13">
        <f t="shared" si="47"/>
        <v>600</v>
      </c>
      <c r="CN76" s="13">
        <f t="shared" si="47"/>
        <v>600</v>
      </c>
      <c r="CO76" s="13">
        <f t="shared" si="47"/>
        <v>600</v>
      </c>
      <c r="CP76" s="13">
        <v>0</v>
      </c>
      <c r="CQ76" s="13">
        <f t="shared" ref="CQ76:DB78" si="84">$L$2/($L$3-$L$4*CP76)</f>
        <v>0.34883720930232553</v>
      </c>
      <c r="CR76" s="13">
        <f t="shared" si="84"/>
        <v>0.39716748768472904</v>
      </c>
      <c r="CS76" s="13">
        <f t="shared" si="84"/>
        <v>0.40494040593779607</v>
      </c>
      <c r="CT76" s="13">
        <f t="shared" si="84"/>
        <v>0.4062190081621499</v>
      </c>
      <c r="CU76" s="13">
        <f t="shared" si="84"/>
        <v>0.40643010492156101</v>
      </c>
      <c r="CV76" s="13">
        <f t="shared" si="84"/>
        <v>0.40646497802255066</v>
      </c>
      <c r="CW76" s="13">
        <f t="shared" si="84"/>
        <v>0.40647073962099717</v>
      </c>
      <c r="CX76" s="13">
        <f t="shared" si="84"/>
        <v>0.40647169154566137</v>
      </c>
      <c r="CY76" s="13">
        <f t="shared" si="84"/>
        <v>0.40647184882198806</v>
      </c>
      <c r="CZ76" s="13">
        <f t="shared" si="84"/>
        <v>0.40647187480708435</v>
      </c>
      <c r="DA76" s="13">
        <f t="shared" si="84"/>
        <v>0.40647187910032606</v>
      </c>
      <c r="DB76" s="13">
        <f t="shared" si="84"/>
        <v>0.40647187980965277</v>
      </c>
      <c r="DC76" s="13">
        <f t="shared" si="49"/>
        <v>650</v>
      </c>
      <c r="DD76" s="13">
        <f t="shared" si="49"/>
        <v>650</v>
      </c>
      <c r="DE76" s="13">
        <f t="shared" si="49"/>
        <v>650</v>
      </c>
      <c r="DF76" s="13">
        <f t="shared" si="49"/>
        <v>650</v>
      </c>
      <c r="DG76" s="13">
        <f t="shared" si="49"/>
        <v>650</v>
      </c>
      <c r="DH76" s="13">
        <f t="shared" si="49"/>
        <v>650</v>
      </c>
      <c r="DI76" s="13">
        <f t="shared" si="49"/>
        <v>650</v>
      </c>
      <c r="DJ76" s="13">
        <f t="shared" si="49"/>
        <v>650</v>
      </c>
      <c r="DK76" s="13">
        <f t="shared" si="49"/>
        <v>650</v>
      </c>
      <c r="DL76" s="25">
        <v>53</v>
      </c>
      <c r="DM76" s="26">
        <f t="shared" si="50"/>
        <v>0.48148148148148145</v>
      </c>
      <c r="DQ76" s="84"/>
      <c r="DR76" s="85"/>
      <c r="DS76" s="25">
        <v>53</v>
      </c>
      <c r="DT76" s="26">
        <f t="shared" si="51"/>
        <v>0.48148148148148145</v>
      </c>
      <c r="DU76" s="13">
        <f t="shared" si="52"/>
        <v>600</v>
      </c>
      <c r="DV76" s="13">
        <f t="shared" si="52"/>
        <v>600</v>
      </c>
      <c r="DW76" s="13">
        <f t="shared" si="52"/>
        <v>600</v>
      </c>
      <c r="DX76" s="13">
        <f t="shared" si="52"/>
        <v>600</v>
      </c>
      <c r="DY76" s="13">
        <f t="shared" si="52"/>
        <v>600</v>
      </c>
      <c r="DZ76" s="13">
        <f t="shared" si="52"/>
        <v>600</v>
      </c>
      <c r="EA76" s="13">
        <f t="shared" si="52"/>
        <v>600</v>
      </c>
      <c r="EB76" s="13">
        <f t="shared" si="52"/>
        <v>600</v>
      </c>
      <c r="EC76" s="13">
        <f t="shared" si="52"/>
        <v>600</v>
      </c>
      <c r="ED76" s="13">
        <f t="shared" ref="ED76:ED78" si="85">P76</f>
        <v>800.9405246568964</v>
      </c>
      <c r="EE76" s="13">
        <f t="shared" ref="EE76:EF78" si="86">(ED76*$L$4-BD76)/($L$3-$L$4*CP76)</f>
        <v>525.06437509918521</v>
      </c>
      <c r="EF76" s="13">
        <f t="shared" si="86"/>
        <v>490.82553531383826</v>
      </c>
      <c r="EG76" s="13">
        <f t="shared" si="59"/>
        <v>488.62856551430707</v>
      </c>
      <c r="EH76" s="13">
        <f t="shared" si="59"/>
        <v>490.83709509687759</v>
      </c>
      <c r="EI76" s="13">
        <f t="shared" si="59"/>
        <v>493.08818271197561</v>
      </c>
      <c r="EJ76" s="13">
        <f t="shared" si="59"/>
        <v>494.71800063311753</v>
      </c>
      <c r="EK76" s="13">
        <f t="shared" si="59"/>
        <v>495.65357021101539</v>
      </c>
      <c r="EL76" s="13">
        <f t="shared" si="59"/>
        <v>495.89953952930284</v>
      </c>
      <c r="EM76" s="13">
        <f t="shared" si="59"/>
        <v>495.45333632294665</v>
      </c>
      <c r="EN76" s="13">
        <f t="shared" si="59"/>
        <v>494.29154725851515</v>
      </c>
      <c r="EO76" s="13">
        <f t="shared" si="59"/>
        <v>492.36885287868949</v>
      </c>
      <c r="EP76" s="13">
        <f t="shared" si="59"/>
        <v>200.13409318932327</v>
      </c>
      <c r="EQ76" s="13">
        <f t="shared" si="54"/>
        <v>650</v>
      </c>
      <c r="ER76" s="13">
        <f t="shared" si="54"/>
        <v>650</v>
      </c>
      <c r="ES76" s="13">
        <f t="shared" si="54"/>
        <v>650</v>
      </c>
      <c r="ET76" s="13">
        <f t="shared" si="54"/>
        <v>650</v>
      </c>
      <c r="EU76" s="13">
        <f t="shared" si="54"/>
        <v>650</v>
      </c>
      <c r="EV76" s="13">
        <f t="shared" si="54"/>
        <v>650</v>
      </c>
      <c r="EW76" s="13">
        <f t="shared" si="54"/>
        <v>650</v>
      </c>
      <c r="EX76" s="13">
        <f t="shared" si="54"/>
        <v>650</v>
      </c>
      <c r="EY76" s="13">
        <f t="shared" si="54"/>
        <v>650</v>
      </c>
      <c r="EZ76" s="25">
        <v>53</v>
      </c>
      <c r="FA76" s="26">
        <f t="shared" si="55"/>
        <v>0.48148148148148145</v>
      </c>
    </row>
    <row r="77" spans="3:157" ht="15" customHeight="1" x14ac:dyDescent="0.25">
      <c r="C77" s="84"/>
      <c r="D77" s="85"/>
      <c r="E77" s="25">
        <v>52</v>
      </c>
      <c r="F77" s="26">
        <f t="shared" si="36"/>
        <v>0.47222222222222221</v>
      </c>
      <c r="G77" s="13">
        <f t="shared" si="37"/>
        <v>600</v>
      </c>
      <c r="H77" s="13">
        <f t="shared" si="37"/>
        <v>600</v>
      </c>
      <c r="I77" s="13">
        <f t="shared" si="37"/>
        <v>600</v>
      </c>
      <c r="J77" s="13">
        <f t="shared" si="37"/>
        <v>600</v>
      </c>
      <c r="K77" s="13">
        <f t="shared" si="37"/>
        <v>600</v>
      </c>
      <c r="L77" s="13">
        <f t="shared" si="37"/>
        <v>600</v>
      </c>
      <c r="M77" s="13">
        <f t="shared" si="37"/>
        <v>600</v>
      </c>
      <c r="N77" s="13">
        <f t="shared" si="37"/>
        <v>600</v>
      </c>
      <c r="O77" s="13">
        <f t="shared" si="37"/>
        <v>600</v>
      </c>
      <c r="P77" s="13">
        <f t="shared" si="60"/>
        <v>760.97831781460093</v>
      </c>
      <c r="Q77" s="13">
        <f t="shared" si="61"/>
        <v>768.87946491039611</v>
      </c>
      <c r="R77" s="13">
        <f t="shared" si="62"/>
        <v>775.54047328017123</v>
      </c>
      <c r="S77" s="13">
        <f t="shared" si="63"/>
        <v>780.99523301429986</v>
      </c>
      <c r="T77" s="13">
        <f t="shared" si="64"/>
        <v>785.2834396690115</v>
      </c>
      <c r="U77" s="13">
        <f t="shared" si="65"/>
        <v>788.44536374565041</v>
      </c>
      <c r="V77" s="13">
        <f t="shared" si="66"/>
        <v>790.51474865186913</v>
      </c>
      <c r="W77" s="13">
        <f t="shared" si="67"/>
        <v>791.51468169365671</v>
      </c>
      <c r="X77" s="13">
        <f t="shared" si="68"/>
        <v>791.45573060816093</v>
      </c>
      <c r="Y77" s="13">
        <f t="shared" si="69"/>
        <v>790.33631781930285</v>
      </c>
      <c r="Z77" s="13">
        <f t="shared" si="70"/>
        <v>788.14494549064216</v>
      </c>
      <c r="AA77" s="13">
        <f t="shared" si="71"/>
        <v>784.86467228527806</v>
      </c>
      <c r="AB77" s="13">
        <f t="shared" si="72"/>
        <v>780.47359923267641</v>
      </c>
      <c r="AC77" s="13">
        <f t="shared" si="39"/>
        <v>650</v>
      </c>
      <c r="AD77" s="13">
        <f t="shared" si="39"/>
        <v>650</v>
      </c>
      <c r="AE77" s="13">
        <f t="shared" si="39"/>
        <v>650</v>
      </c>
      <c r="AF77" s="13">
        <f t="shared" si="39"/>
        <v>650</v>
      </c>
      <c r="AG77" s="13">
        <f t="shared" si="39"/>
        <v>650</v>
      </c>
      <c r="AH77" s="13">
        <f t="shared" si="39"/>
        <v>650</v>
      </c>
      <c r="AI77" s="13">
        <f t="shared" si="39"/>
        <v>650</v>
      </c>
      <c r="AJ77" s="13">
        <f t="shared" si="39"/>
        <v>650</v>
      </c>
      <c r="AK77" s="13">
        <f t="shared" si="39"/>
        <v>650</v>
      </c>
      <c r="AL77" s="25">
        <v>52</v>
      </c>
      <c r="AM77" s="26">
        <f t="shared" si="40"/>
        <v>0.47222222222222221</v>
      </c>
      <c r="AP77" s="87"/>
      <c r="AQ77" s="86"/>
      <c r="AR77" s="25">
        <v>52</v>
      </c>
      <c r="AS77" s="26">
        <f t="shared" si="41"/>
        <v>0.47222222222222221</v>
      </c>
      <c r="AT77" s="13">
        <f t="shared" si="42"/>
        <v>600</v>
      </c>
      <c r="AU77" s="13">
        <f t="shared" si="42"/>
        <v>600</v>
      </c>
      <c r="AV77" s="13">
        <f t="shared" si="42"/>
        <v>600</v>
      </c>
      <c r="AW77" s="13">
        <f t="shared" si="42"/>
        <v>600</v>
      </c>
      <c r="AX77" s="13">
        <f t="shared" si="42"/>
        <v>600</v>
      </c>
      <c r="AY77" s="13">
        <f t="shared" si="42"/>
        <v>600</v>
      </c>
      <c r="AZ77" s="13">
        <f t="shared" si="42"/>
        <v>600</v>
      </c>
      <c r="BA77" s="13">
        <f t="shared" si="42"/>
        <v>600</v>
      </c>
      <c r="BB77" s="13">
        <f t="shared" si="42"/>
        <v>600</v>
      </c>
      <c r="BC77" s="52"/>
      <c r="BD77" s="13">
        <f t="shared" si="73"/>
        <v>-2763873694.4242249</v>
      </c>
      <c r="BE77" s="13">
        <f t="shared" si="74"/>
        <v>-2787633087.4808311</v>
      </c>
      <c r="BF77" s="13">
        <f t="shared" si="75"/>
        <v>-2807040425.8040943</v>
      </c>
      <c r="BG77" s="13">
        <f t="shared" si="76"/>
        <v>-2822259791.4056349</v>
      </c>
      <c r="BH77" s="13">
        <f t="shared" si="77"/>
        <v>-2833465077.284935</v>
      </c>
      <c r="BI77" s="13">
        <f t="shared" si="78"/>
        <v>-2840794448.8816504</v>
      </c>
      <c r="BJ77" s="13">
        <f t="shared" si="79"/>
        <v>-2844338458.2037926</v>
      </c>
      <c r="BK77" s="13">
        <f t="shared" si="80"/>
        <v>-2844133472.874002</v>
      </c>
      <c r="BL77" s="13">
        <f t="shared" si="81"/>
        <v>-2840164620.8304424</v>
      </c>
      <c r="BM77" s="13">
        <f t="shared" si="82"/>
        <v>-2832372114.0499773</v>
      </c>
      <c r="BN77" s="13">
        <f t="shared" si="83"/>
        <v>-2820693155.5271401</v>
      </c>
      <c r="BO77" s="52"/>
      <c r="BP77" s="13">
        <f t="shared" si="44"/>
        <v>650</v>
      </c>
      <c r="BQ77" s="13">
        <f t="shared" si="44"/>
        <v>650</v>
      </c>
      <c r="BR77" s="13">
        <f t="shared" si="44"/>
        <v>650</v>
      </c>
      <c r="BS77" s="13">
        <f t="shared" si="44"/>
        <v>650</v>
      </c>
      <c r="BT77" s="13">
        <f t="shared" si="44"/>
        <v>650</v>
      </c>
      <c r="BU77" s="13">
        <f t="shared" si="44"/>
        <v>650</v>
      </c>
      <c r="BV77" s="13">
        <f t="shared" si="44"/>
        <v>650</v>
      </c>
      <c r="BW77" s="13">
        <f t="shared" si="44"/>
        <v>650</v>
      </c>
      <c r="BX77" s="13">
        <f t="shared" si="44"/>
        <v>650</v>
      </c>
      <c r="BY77" s="25">
        <v>52</v>
      </c>
      <c r="BZ77" s="26">
        <f t="shared" si="45"/>
        <v>0.47222222222222221</v>
      </c>
      <c r="CC77" s="84"/>
      <c r="CD77" s="85"/>
      <c r="CE77" s="25">
        <v>52</v>
      </c>
      <c r="CF77" s="26">
        <f t="shared" si="46"/>
        <v>0.47222222222222221</v>
      </c>
      <c r="CG77" s="13">
        <f t="shared" si="47"/>
        <v>600</v>
      </c>
      <c r="CH77" s="13">
        <f t="shared" si="47"/>
        <v>600</v>
      </c>
      <c r="CI77" s="13">
        <f t="shared" si="47"/>
        <v>600</v>
      </c>
      <c r="CJ77" s="13">
        <f t="shared" si="47"/>
        <v>600</v>
      </c>
      <c r="CK77" s="13">
        <f t="shared" si="47"/>
        <v>600</v>
      </c>
      <c r="CL77" s="13">
        <f t="shared" si="47"/>
        <v>600</v>
      </c>
      <c r="CM77" s="13">
        <f t="shared" si="47"/>
        <v>600</v>
      </c>
      <c r="CN77" s="13">
        <f t="shared" si="47"/>
        <v>600</v>
      </c>
      <c r="CO77" s="13">
        <f t="shared" si="47"/>
        <v>600</v>
      </c>
      <c r="CP77" s="13">
        <v>0</v>
      </c>
      <c r="CQ77" s="13">
        <f t="shared" si="84"/>
        <v>0.34883720930232553</v>
      </c>
      <c r="CR77" s="13">
        <f t="shared" si="84"/>
        <v>0.39716748768472904</v>
      </c>
      <c r="CS77" s="13">
        <f t="shared" si="84"/>
        <v>0.40494040593779607</v>
      </c>
      <c r="CT77" s="13">
        <f t="shared" si="84"/>
        <v>0.4062190081621499</v>
      </c>
      <c r="CU77" s="13">
        <f t="shared" si="84"/>
        <v>0.40643010492156101</v>
      </c>
      <c r="CV77" s="13">
        <f t="shared" si="84"/>
        <v>0.40646497802255066</v>
      </c>
      <c r="CW77" s="13">
        <f t="shared" si="84"/>
        <v>0.40647073962099717</v>
      </c>
      <c r="CX77" s="13">
        <f t="shared" si="84"/>
        <v>0.40647169154566137</v>
      </c>
      <c r="CY77" s="13">
        <f t="shared" si="84"/>
        <v>0.40647184882198806</v>
      </c>
      <c r="CZ77" s="13">
        <f t="shared" si="84"/>
        <v>0.40647187480708435</v>
      </c>
      <c r="DA77" s="13">
        <f t="shared" si="84"/>
        <v>0.40647187910032606</v>
      </c>
      <c r="DB77" s="13">
        <f t="shared" si="84"/>
        <v>0.40647187980965277</v>
      </c>
      <c r="DC77" s="13">
        <f t="shared" si="49"/>
        <v>650</v>
      </c>
      <c r="DD77" s="13">
        <f t="shared" si="49"/>
        <v>650</v>
      </c>
      <c r="DE77" s="13">
        <f t="shared" si="49"/>
        <v>650</v>
      </c>
      <c r="DF77" s="13">
        <f t="shared" si="49"/>
        <v>650</v>
      </c>
      <c r="DG77" s="13">
        <f t="shared" si="49"/>
        <v>650</v>
      </c>
      <c r="DH77" s="13">
        <f t="shared" si="49"/>
        <v>650</v>
      </c>
      <c r="DI77" s="13">
        <f t="shared" si="49"/>
        <v>650</v>
      </c>
      <c r="DJ77" s="13">
        <f t="shared" si="49"/>
        <v>650</v>
      </c>
      <c r="DK77" s="13">
        <f t="shared" si="49"/>
        <v>650</v>
      </c>
      <c r="DL77" s="25">
        <v>52</v>
      </c>
      <c r="DM77" s="26">
        <f t="shared" si="50"/>
        <v>0.47222222222222221</v>
      </c>
      <c r="DQ77" s="84"/>
      <c r="DR77" s="85"/>
      <c r="DS77" s="25">
        <v>52</v>
      </c>
      <c r="DT77" s="26">
        <f t="shared" si="51"/>
        <v>0.47222222222222221</v>
      </c>
      <c r="DU77" s="13">
        <f t="shared" si="52"/>
        <v>600</v>
      </c>
      <c r="DV77" s="13">
        <f t="shared" si="52"/>
        <v>600</v>
      </c>
      <c r="DW77" s="13">
        <f t="shared" si="52"/>
        <v>600</v>
      </c>
      <c r="DX77" s="13">
        <f t="shared" si="52"/>
        <v>600</v>
      </c>
      <c r="DY77" s="13">
        <f t="shared" si="52"/>
        <v>600</v>
      </c>
      <c r="DZ77" s="13">
        <f t="shared" si="52"/>
        <v>600</v>
      </c>
      <c r="EA77" s="13">
        <f t="shared" si="52"/>
        <v>600</v>
      </c>
      <c r="EB77" s="13">
        <f t="shared" si="52"/>
        <v>600</v>
      </c>
      <c r="EC77" s="13">
        <f t="shared" si="52"/>
        <v>600</v>
      </c>
      <c r="ED77" s="13">
        <f t="shared" si="85"/>
        <v>760.97831781460093</v>
      </c>
      <c r="EE77" s="13">
        <f t="shared" si="86"/>
        <v>498.34209051033645</v>
      </c>
      <c r="EF77" s="13">
        <f t="shared" si="86"/>
        <v>465.35455869013225</v>
      </c>
      <c r="EG77" s="13">
        <f t="shared" si="59"/>
        <v>463.00223817850161</v>
      </c>
      <c r="EH77" s="13">
        <f t="shared" si="59"/>
        <v>465.00194601820789</v>
      </c>
      <c r="EI77" s="13">
        <f t="shared" si="59"/>
        <v>467.1563715090299</v>
      </c>
      <c r="EJ77" s="13">
        <f t="shared" si="59"/>
        <v>468.79175095273075</v>
      </c>
      <c r="EK77" s="13">
        <f t="shared" si="59"/>
        <v>469.81108549608092</v>
      </c>
      <c r="EL77" s="13">
        <f t="shared" si="59"/>
        <v>470.2063906141795</v>
      </c>
      <c r="EM77" s="13">
        <f t="shared" si="59"/>
        <v>469.9775846860166</v>
      </c>
      <c r="EN77" s="13">
        <f t="shared" si="59"/>
        <v>469.11953067699739</v>
      </c>
      <c r="EO77" s="13">
        <f t="shared" si="59"/>
        <v>467.62410181697726</v>
      </c>
      <c r="EP77" s="13">
        <f t="shared" si="59"/>
        <v>190.07604770984722</v>
      </c>
      <c r="EQ77" s="13">
        <f t="shared" si="54"/>
        <v>650</v>
      </c>
      <c r="ER77" s="13">
        <f t="shared" si="54"/>
        <v>650</v>
      </c>
      <c r="ES77" s="13">
        <f t="shared" si="54"/>
        <v>650</v>
      </c>
      <c r="ET77" s="13">
        <f t="shared" si="54"/>
        <v>650</v>
      </c>
      <c r="EU77" s="13">
        <f t="shared" si="54"/>
        <v>650</v>
      </c>
      <c r="EV77" s="13">
        <f t="shared" si="54"/>
        <v>650</v>
      </c>
      <c r="EW77" s="13">
        <f t="shared" si="54"/>
        <v>650</v>
      </c>
      <c r="EX77" s="13">
        <f t="shared" si="54"/>
        <v>650</v>
      </c>
      <c r="EY77" s="13">
        <f t="shared" si="54"/>
        <v>650</v>
      </c>
      <c r="EZ77" s="25">
        <v>52</v>
      </c>
      <c r="FA77" s="26">
        <f t="shared" si="55"/>
        <v>0.47222222222222221</v>
      </c>
    </row>
    <row r="78" spans="3:157" x14ac:dyDescent="0.25">
      <c r="C78" s="84"/>
      <c r="D78" s="85"/>
      <c r="E78" s="25">
        <v>51</v>
      </c>
      <c r="F78" s="26">
        <f t="shared" si="36"/>
        <v>0.46296296296296291</v>
      </c>
      <c r="G78" s="13">
        <f t="shared" si="37"/>
        <v>600</v>
      </c>
      <c r="H78" s="13">
        <f t="shared" si="37"/>
        <v>600</v>
      </c>
      <c r="I78" s="13">
        <f t="shared" si="37"/>
        <v>600</v>
      </c>
      <c r="J78" s="13">
        <f t="shared" si="37"/>
        <v>600</v>
      </c>
      <c r="K78" s="13">
        <f t="shared" si="37"/>
        <v>600</v>
      </c>
      <c r="L78" s="13">
        <f t="shared" si="37"/>
        <v>600</v>
      </c>
      <c r="M78" s="13">
        <f t="shared" si="37"/>
        <v>600</v>
      </c>
      <c r="N78" s="13">
        <f t="shared" si="37"/>
        <v>600</v>
      </c>
      <c r="O78" s="13">
        <f t="shared" si="37"/>
        <v>600</v>
      </c>
      <c r="P78" s="13">
        <f t="shared" si="60"/>
        <v>730.31993587355691</v>
      </c>
      <c r="Q78" s="13">
        <f t="shared" si="61"/>
        <v>736.79482935496026</v>
      </c>
      <c r="R78" s="13">
        <f t="shared" si="62"/>
        <v>742.33382214785559</v>
      </c>
      <c r="S78" s="13">
        <f t="shared" si="63"/>
        <v>746.98289311016219</v>
      </c>
      <c r="T78" s="13">
        <f t="shared" si="64"/>
        <v>750.74481979843677</v>
      </c>
      <c r="U78" s="13">
        <f t="shared" si="65"/>
        <v>753.62634369259706</v>
      </c>
      <c r="V78" s="13">
        <f t="shared" si="66"/>
        <v>755.6354453767068</v>
      </c>
      <c r="W78" s="13">
        <f t="shared" si="67"/>
        <v>756.77906564447289</v>
      </c>
      <c r="X78" s="13">
        <f t="shared" si="68"/>
        <v>757.06100365650923</v>
      </c>
      <c r="Y78" s="13">
        <f t="shared" si="69"/>
        <v>756.48217432256411</v>
      </c>
      <c r="Z78" s="13">
        <f t="shared" si="70"/>
        <v>755.04046272933942</v>
      </c>
      <c r="AA78" s="13">
        <f t="shared" si="71"/>
        <v>752.7306529065786</v>
      </c>
      <c r="AB78" s="13">
        <f t="shared" si="72"/>
        <v>749.48501686907775</v>
      </c>
      <c r="AC78" s="13">
        <f t="shared" si="39"/>
        <v>650</v>
      </c>
      <c r="AD78" s="13">
        <f t="shared" si="39"/>
        <v>650</v>
      </c>
      <c r="AE78" s="13">
        <f t="shared" si="39"/>
        <v>650</v>
      </c>
      <c r="AF78" s="13">
        <f t="shared" si="39"/>
        <v>650</v>
      </c>
      <c r="AG78" s="13">
        <f t="shared" si="39"/>
        <v>650</v>
      </c>
      <c r="AH78" s="13">
        <f t="shared" si="39"/>
        <v>650</v>
      </c>
      <c r="AI78" s="13">
        <f t="shared" si="39"/>
        <v>650</v>
      </c>
      <c r="AJ78" s="13">
        <f t="shared" si="39"/>
        <v>650</v>
      </c>
      <c r="AK78" s="13">
        <f t="shared" si="39"/>
        <v>650</v>
      </c>
      <c r="AL78" s="25">
        <v>51</v>
      </c>
      <c r="AM78" s="26">
        <f t="shared" si="40"/>
        <v>0.46296296296296291</v>
      </c>
      <c r="AP78" s="87"/>
      <c r="AQ78" s="86"/>
      <c r="AR78" s="25">
        <v>51</v>
      </c>
      <c r="AS78" s="26">
        <f t="shared" si="41"/>
        <v>0.46296296296296291</v>
      </c>
      <c r="AT78" s="13">
        <f t="shared" si="42"/>
        <v>600</v>
      </c>
      <c r="AU78" s="13">
        <f t="shared" si="42"/>
        <v>600</v>
      </c>
      <c r="AV78" s="13">
        <f t="shared" si="42"/>
        <v>600</v>
      </c>
      <c r="AW78" s="13">
        <f t="shared" si="42"/>
        <v>600</v>
      </c>
      <c r="AX78" s="13">
        <f t="shared" si="42"/>
        <v>600</v>
      </c>
      <c r="AY78" s="13">
        <f t="shared" si="42"/>
        <v>600</v>
      </c>
      <c r="AZ78" s="13">
        <f t="shared" si="42"/>
        <v>600</v>
      </c>
      <c r="BA78" s="13">
        <f t="shared" si="42"/>
        <v>600</v>
      </c>
      <c r="BB78" s="13">
        <f t="shared" si="42"/>
        <v>600</v>
      </c>
      <c r="BC78" s="52"/>
      <c r="BD78" s="13">
        <f t="shared" si="73"/>
        <v>-2647494476.5760221</v>
      </c>
      <c r="BE78" s="13">
        <f t="shared" si="74"/>
        <v>-2667178030.2451425</v>
      </c>
      <c r="BF78" s="13">
        <f t="shared" si="75"/>
        <v>-2683847397.7737546</v>
      </c>
      <c r="BG78" s="13">
        <f t="shared" si="76"/>
        <v>-2697317281.004425</v>
      </c>
      <c r="BH78" s="13">
        <f t="shared" si="77"/>
        <v>-2707623149.1186485</v>
      </c>
      <c r="BI78" s="13">
        <f t="shared" si="78"/>
        <v>-2714803071.0752859</v>
      </c>
      <c r="BJ78" s="13">
        <f t="shared" si="79"/>
        <v>-2718890652.0710888</v>
      </c>
      <c r="BK78" s="13">
        <f t="shared" si="80"/>
        <v>-2719898457.9319186</v>
      </c>
      <c r="BL78" s="13">
        <f t="shared" si="81"/>
        <v>-2717830374.0227771</v>
      </c>
      <c r="BM78" s="13">
        <f t="shared" si="82"/>
        <v>-2712679106.9431486</v>
      </c>
      <c r="BN78" s="13">
        <f t="shared" si="83"/>
        <v>-2704671903.1578274</v>
      </c>
      <c r="BO78" s="52"/>
      <c r="BP78" s="13">
        <f t="shared" si="44"/>
        <v>650</v>
      </c>
      <c r="BQ78" s="13">
        <f t="shared" si="44"/>
        <v>650</v>
      </c>
      <c r="BR78" s="13">
        <f t="shared" si="44"/>
        <v>650</v>
      </c>
      <c r="BS78" s="13">
        <f t="shared" si="44"/>
        <v>650</v>
      </c>
      <c r="BT78" s="13">
        <f t="shared" si="44"/>
        <v>650</v>
      </c>
      <c r="BU78" s="13">
        <f t="shared" si="44"/>
        <v>650</v>
      </c>
      <c r="BV78" s="13">
        <f t="shared" si="44"/>
        <v>650</v>
      </c>
      <c r="BW78" s="13">
        <f t="shared" si="44"/>
        <v>650</v>
      </c>
      <c r="BX78" s="13">
        <f t="shared" si="44"/>
        <v>650</v>
      </c>
      <c r="BY78" s="25">
        <v>51</v>
      </c>
      <c r="BZ78" s="26">
        <f t="shared" si="45"/>
        <v>0.46296296296296291</v>
      </c>
      <c r="CC78" s="84"/>
      <c r="CD78" s="85"/>
      <c r="CE78" s="25">
        <v>51</v>
      </c>
      <c r="CF78" s="26">
        <f t="shared" si="46"/>
        <v>0.46296296296296291</v>
      </c>
      <c r="CG78" s="13">
        <f t="shared" si="47"/>
        <v>600</v>
      </c>
      <c r="CH78" s="13">
        <f t="shared" si="47"/>
        <v>600</v>
      </c>
      <c r="CI78" s="13">
        <f t="shared" si="47"/>
        <v>600</v>
      </c>
      <c r="CJ78" s="13">
        <f t="shared" si="47"/>
        <v>600</v>
      </c>
      <c r="CK78" s="13">
        <f t="shared" si="47"/>
        <v>600</v>
      </c>
      <c r="CL78" s="13">
        <f t="shared" si="47"/>
        <v>600</v>
      </c>
      <c r="CM78" s="13">
        <f t="shared" si="47"/>
        <v>600</v>
      </c>
      <c r="CN78" s="13">
        <f t="shared" si="47"/>
        <v>600</v>
      </c>
      <c r="CO78" s="13">
        <f t="shared" si="47"/>
        <v>600</v>
      </c>
      <c r="CP78" s="13">
        <v>0</v>
      </c>
      <c r="CQ78" s="13">
        <f t="shared" si="84"/>
        <v>0.34883720930232553</v>
      </c>
      <c r="CR78" s="13">
        <f t="shared" si="84"/>
        <v>0.39716748768472904</v>
      </c>
      <c r="CS78" s="13">
        <f t="shared" si="84"/>
        <v>0.40494040593779607</v>
      </c>
      <c r="CT78" s="13">
        <f t="shared" si="84"/>
        <v>0.4062190081621499</v>
      </c>
      <c r="CU78" s="13">
        <f t="shared" si="84"/>
        <v>0.40643010492156101</v>
      </c>
      <c r="CV78" s="13">
        <f t="shared" si="84"/>
        <v>0.40646497802255066</v>
      </c>
      <c r="CW78" s="13">
        <f t="shared" si="84"/>
        <v>0.40647073962099717</v>
      </c>
      <c r="CX78" s="13">
        <f t="shared" si="84"/>
        <v>0.40647169154566137</v>
      </c>
      <c r="CY78" s="13">
        <f t="shared" si="84"/>
        <v>0.40647184882198806</v>
      </c>
      <c r="CZ78" s="13">
        <f t="shared" si="84"/>
        <v>0.40647187480708435</v>
      </c>
      <c r="DA78" s="13">
        <f t="shared" si="84"/>
        <v>0.40647187910032606</v>
      </c>
      <c r="DB78" s="13">
        <f t="shared" si="84"/>
        <v>0.40647187980965277</v>
      </c>
      <c r="DC78" s="13">
        <f t="shared" si="49"/>
        <v>650</v>
      </c>
      <c r="DD78" s="13">
        <f t="shared" si="49"/>
        <v>650</v>
      </c>
      <c r="DE78" s="13">
        <f t="shared" si="49"/>
        <v>650</v>
      </c>
      <c r="DF78" s="13">
        <f t="shared" si="49"/>
        <v>650</v>
      </c>
      <c r="DG78" s="13">
        <f t="shared" si="49"/>
        <v>650</v>
      </c>
      <c r="DH78" s="13">
        <f t="shared" si="49"/>
        <v>650</v>
      </c>
      <c r="DI78" s="13">
        <f t="shared" si="49"/>
        <v>650</v>
      </c>
      <c r="DJ78" s="13">
        <f t="shared" si="49"/>
        <v>650</v>
      </c>
      <c r="DK78" s="13">
        <f t="shared" si="49"/>
        <v>650</v>
      </c>
      <c r="DL78" s="25">
        <v>51</v>
      </c>
      <c r="DM78" s="26">
        <f t="shared" si="50"/>
        <v>0.46296296296296291</v>
      </c>
      <c r="DQ78" s="84"/>
      <c r="DR78" s="85"/>
      <c r="DS78" s="25">
        <v>51</v>
      </c>
      <c r="DT78" s="26">
        <f t="shared" si="51"/>
        <v>0.46296296296296291</v>
      </c>
      <c r="DU78" s="13">
        <f t="shared" si="52"/>
        <v>600</v>
      </c>
      <c r="DV78" s="13">
        <f t="shared" si="52"/>
        <v>600</v>
      </c>
      <c r="DW78" s="13">
        <f t="shared" si="52"/>
        <v>600</v>
      </c>
      <c r="DX78" s="13">
        <f t="shared" si="52"/>
        <v>600</v>
      </c>
      <c r="DY78" s="13">
        <f t="shared" si="52"/>
        <v>600</v>
      </c>
      <c r="DZ78" s="13">
        <f t="shared" si="52"/>
        <v>600</v>
      </c>
      <c r="EA78" s="13">
        <f t="shared" si="52"/>
        <v>600</v>
      </c>
      <c r="EB78" s="13">
        <f t="shared" si="52"/>
        <v>600</v>
      </c>
      <c r="EC78" s="13">
        <f t="shared" si="52"/>
        <v>600</v>
      </c>
      <c r="ED78" s="13">
        <f t="shared" si="85"/>
        <v>730.31993587355691</v>
      </c>
      <c r="EE78" s="13">
        <f t="shared" si="86"/>
        <v>477.84117046617354</v>
      </c>
      <c r="EF78" s="13">
        <f t="shared" si="86"/>
        <v>445.65650314782198</v>
      </c>
      <c r="EG78" s="13">
        <f t="shared" si="59"/>
        <v>442.97598102528571</v>
      </c>
      <c r="EH78" s="13">
        <f t="shared" si="59"/>
        <v>444.6074739387625</v>
      </c>
      <c r="EI78" s="13">
        <f t="shared" si="59"/>
        <v>446.51335034569166</v>
      </c>
      <c r="EJ78" s="13">
        <f t="shared" si="59"/>
        <v>448.03125909159968</v>
      </c>
      <c r="EK78" s="13">
        <f t="shared" si="59"/>
        <v>449.0559195499971</v>
      </c>
      <c r="EL78" s="13">
        <f t="shared" si="59"/>
        <v>449.57241463547666</v>
      </c>
      <c r="EM78" s="13">
        <f t="shared" si="59"/>
        <v>449.57948150156017</v>
      </c>
      <c r="EN78" s="13">
        <f t="shared" si="59"/>
        <v>449.07662301764168</v>
      </c>
      <c r="EO78" s="13">
        <f t="shared" si="59"/>
        <v>448.08606974226501</v>
      </c>
      <c r="EP78" s="13">
        <f t="shared" si="59"/>
        <v>182.13438708465762</v>
      </c>
      <c r="EQ78" s="13">
        <f t="shared" si="54"/>
        <v>650</v>
      </c>
      <c r="ER78" s="13">
        <f t="shared" si="54"/>
        <v>650</v>
      </c>
      <c r="ES78" s="13">
        <f t="shared" si="54"/>
        <v>650</v>
      </c>
      <c r="ET78" s="13">
        <f t="shared" si="54"/>
        <v>650</v>
      </c>
      <c r="EU78" s="13">
        <f t="shared" si="54"/>
        <v>650</v>
      </c>
      <c r="EV78" s="13">
        <f t="shared" si="54"/>
        <v>650</v>
      </c>
      <c r="EW78" s="13">
        <f t="shared" si="54"/>
        <v>650</v>
      </c>
      <c r="EX78" s="13">
        <f t="shared" si="54"/>
        <v>650</v>
      </c>
      <c r="EY78" s="13">
        <f t="shared" si="54"/>
        <v>650</v>
      </c>
      <c r="EZ78" s="25">
        <v>51</v>
      </c>
      <c r="FA78" s="26">
        <f t="shared" si="55"/>
        <v>0.46296296296296291</v>
      </c>
    </row>
    <row r="79" spans="3:157" x14ac:dyDescent="0.25">
      <c r="C79" s="84"/>
      <c r="D79" s="85"/>
      <c r="E79" s="25">
        <v>50</v>
      </c>
      <c r="F79" s="26">
        <f t="shared" si="36"/>
        <v>0.45370370370370366</v>
      </c>
      <c r="G79" s="13">
        <f t="shared" si="37"/>
        <v>600</v>
      </c>
      <c r="H79" s="13">
        <f t="shared" si="37"/>
        <v>600</v>
      </c>
      <c r="I79" s="13">
        <f t="shared" si="37"/>
        <v>600</v>
      </c>
      <c r="J79" s="13">
        <f t="shared" si="37"/>
        <v>600</v>
      </c>
      <c r="K79" s="13">
        <f t="shared" si="37"/>
        <v>600</v>
      </c>
      <c r="L79" s="13">
        <f t="shared" si="37"/>
        <v>600</v>
      </c>
      <c r="M79" s="13">
        <f t="shared" si="37"/>
        <v>600</v>
      </c>
      <c r="N79" s="13">
        <f t="shared" si="37"/>
        <v>600</v>
      </c>
      <c r="O79" s="13">
        <f t="shared" si="37"/>
        <v>600</v>
      </c>
      <c r="P79" s="13">
        <f t="shared" ref="P79:P120" si="87">$R$2</f>
        <v>600</v>
      </c>
      <c r="Q79" s="13">
        <f t="shared" ref="Q79" si="88">($F$5*$B$5*P16+$F$4*R16)/($F$4+$F$5*$B$5)</f>
        <v>710.5916796142659</v>
      </c>
      <c r="R79" s="13">
        <f t="shared" ref="R79:R80" si="89">CR79*S79+EF79</f>
        <v>715.78932396012146</v>
      </c>
      <c r="S79" s="13">
        <f t="shared" ref="S79:S80" si="90">CS79*T79+EG79</f>
        <v>719.93529645891499</v>
      </c>
      <c r="T79" s="13">
        <f t="shared" ref="T79:T80" si="91">CT79*U79+EH79</f>
        <v>723.26618123944718</v>
      </c>
      <c r="U79" s="13">
        <f t="shared" ref="U79:U80" si="92">CU79*V79+EI79</f>
        <v>725.87499147871586</v>
      </c>
      <c r="V79" s="13">
        <f t="shared" ref="V79:V80" si="93">CV79*W79+EJ79</f>
        <v>727.79850231467071</v>
      </c>
      <c r="W79" s="13">
        <f t="shared" ref="W79:W80" si="94">CW79*X79+EK79</f>
        <v>729.04891860201519</v>
      </c>
      <c r="X79" s="13">
        <f t="shared" ref="X79:X80" si="95">CX79*Y79+EL79</f>
        <v>729.61606330959216</v>
      </c>
      <c r="Y79" s="13">
        <f t="shared" ref="Y79:Y80" si="96">CY79*Z79+EM79</f>
        <v>729.46299723964376</v>
      </c>
      <c r="Z79" s="13">
        <f t="shared" ref="Z79:Z80" si="97">CZ79*AA79+EN79</f>
        <v>728.48754229142378</v>
      </c>
      <c r="AA79" s="13">
        <f t="shared" ref="AA79" si="98">($F$6*$B$5*AB16+$F$4*Z16)/($F$4+$F$6*$B$5)</f>
        <v>726.42229113933172</v>
      </c>
      <c r="AB79" s="13">
        <f t="shared" ref="AB79:AB120" si="99">$R$3</f>
        <v>650</v>
      </c>
      <c r="AC79" s="13">
        <f t="shared" si="39"/>
        <v>650</v>
      </c>
      <c r="AD79" s="13">
        <f t="shared" si="39"/>
        <v>650</v>
      </c>
      <c r="AE79" s="13">
        <f t="shared" si="39"/>
        <v>650</v>
      </c>
      <c r="AF79" s="13">
        <f t="shared" si="39"/>
        <v>650</v>
      </c>
      <c r="AG79" s="13">
        <f t="shared" si="39"/>
        <v>650</v>
      </c>
      <c r="AH79" s="13">
        <f t="shared" si="39"/>
        <v>650</v>
      </c>
      <c r="AI79" s="13">
        <f t="shared" si="39"/>
        <v>650</v>
      </c>
      <c r="AJ79" s="13">
        <f t="shared" si="39"/>
        <v>650</v>
      </c>
      <c r="AK79" s="13">
        <f t="shared" si="39"/>
        <v>650</v>
      </c>
      <c r="AL79" s="25">
        <v>50</v>
      </c>
      <c r="AM79" s="26">
        <f t="shared" si="40"/>
        <v>0.45370370370370366</v>
      </c>
      <c r="AP79" s="87"/>
      <c r="AQ79" s="86"/>
      <c r="AR79" s="25">
        <v>50</v>
      </c>
      <c r="AS79" s="26">
        <f t="shared" si="41"/>
        <v>0.45370370370370366</v>
      </c>
      <c r="AT79" s="13">
        <f t="shared" si="42"/>
        <v>600</v>
      </c>
      <c r="AU79" s="13">
        <f t="shared" si="42"/>
        <v>600</v>
      </c>
      <c r="AV79" s="13">
        <f t="shared" si="42"/>
        <v>600</v>
      </c>
      <c r="AW79" s="13">
        <f t="shared" si="42"/>
        <v>600</v>
      </c>
      <c r="AX79" s="13">
        <f t="shared" si="42"/>
        <v>600</v>
      </c>
      <c r="AY79" s="13">
        <f t="shared" si="42"/>
        <v>600</v>
      </c>
      <c r="AZ79" s="13">
        <f t="shared" si="42"/>
        <v>600</v>
      </c>
      <c r="BA79" s="13">
        <f t="shared" si="42"/>
        <v>600</v>
      </c>
      <c r="BB79" s="13">
        <f t="shared" si="42"/>
        <v>600</v>
      </c>
      <c r="BC79" s="13">
        <f t="shared" ref="BC79:BC120" si="100">$R$2</f>
        <v>600</v>
      </c>
      <c r="BD79" s="52"/>
      <c r="BE79" s="13">
        <f t="shared" ref="BE79:BE80" si="101">-($F$3*$F$2)/$B$8*R16</f>
        <v>-2572606015.815753</v>
      </c>
      <c r="BF79" s="13">
        <f t="shared" ref="BF79:BF80" si="102">-($F$3*$F$2)/$B$8*S16</f>
        <v>-2586502306.8481889</v>
      </c>
      <c r="BG79" s="13">
        <f t="shared" ref="BG79:BG80" si="103">-($F$3*$F$2)/$B$8*T16</f>
        <v>-2598068446.8879662</v>
      </c>
      <c r="BH79" s="13">
        <f t="shared" ref="BH79:BH80" si="104">-($F$3*$F$2)/$B$8*U16</f>
        <v>-2607276608.9553518</v>
      </c>
      <c r="BI79" s="13">
        <f t="shared" ref="BI79:BI80" si="105">-($F$3*$F$2)/$B$8*V16</f>
        <v>-2614127637.7362852</v>
      </c>
      <c r="BJ79" s="13">
        <f t="shared" ref="BJ79:BJ80" si="106">-($F$3*$F$2)/$B$8*W16</f>
        <v>-2618656264.2842684</v>
      </c>
      <c r="BK79" s="13">
        <f t="shared" ref="BK79:BK80" si="107">-($F$3*$F$2)/$B$8*X16</f>
        <v>-2620844107.7737703</v>
      </c>
      <c r="BL79" s="13">
        <f t="shared" ref="BL79:BL80" si="108">-($F$3*$F$2)/$B$8*Y16</f>
        <v>-2620717924.0518875</v>
      </c>
      <c r="BM79" s="13">
        <f t="shared" ref="BM79:BM80" si="109">-($F$3*$F$2)/$B$8*Z16</f>
        <v>-2618325058.0256577</v>
      </c>
      <c r="BN79" s="52"/>
      <c r="BO79" s="13">
        <f t="shared" ref="BO79:BO120" si="110">$R$3</f>
        <v>650</v>
      </c>
      <c r="BP79" s="13">
        <f t="shared" si="44"/>
        <v>650</v>
      </c>
      <c r="BQ79" s="13">
        <f t="shared" si="44"/>
        <v>650</v>
      </c>
      <c r="BR79" s="13">
        <f t="shared" si="44"/>
        <v>650</v>
      </c>
      <c r="BS79" s="13">
        <f t="shared" si="44"/>
        <v>650</v>
      </c>
      <c r="BT79" s="13">
        <f t="shared" si="44"/>
        <v>650</v>
      </c>
      <c r="BU79" s="13">
        <f t="shared" si="44"/>
        <v>650</v>
      </c>
      <c r="BV79" s="13">
        <f t="shared" si="44"/>
        <v>650</v>
      </c>
      <c r="BW79" s="13">
        <f t="shared" si="44"/>
        <v>650</v>
      </c>
      <c r="BX79" s="13">
        <f t="shared" si="44"/>
        <v>650</v>
      </c>
      <c r="BY79" s="25">
        <v>50</v>
      </c>
      <c r="BZ79" s="26">
        <f t="shared" si="45"/>
        <v>0.45370370370370366</v>
      </c>
      <c r="CC79" s="84"/>
      <c r="CD79" s="85"/>
      <c r="CE79" s="25">
        <v>50</v>
      </c>
      <c r="CF79" s="26">
        <f t="shared" si="46"/>
        <v>0.45370370370370366</v>
      </c>
      <c r="CG79" s="13">
        <f t="shared" si="47"/>
        <v>600</v>
      </c>
      <c r="CH79" s="13">
        <f t="shared" si="47"/>
        <v>600</v>
      </c>
      <c r="CI79" s="13">
        <f t="shared" si="47"/>
        <v>600</v>
      </c>
      <c r="CJ79" s="13">
        <f t="shared" si="47"/>
        <v>600</v>
      </c>
      <c r="CK79" s="13">
        <f t="shared" si="47"/>
        <v>600</v>
      </c>
      <c r="CL79" s="13">
        <f t="shared" si="47"/>
        <v>600</v>
      </c>
      <c r="CM79" s="13">
        <f t="shared" si="47"/>
        <v>600</v>
      </c>
      <c r="CN79" s="13">
        <f t="shared" si="47"/>
        <v>600</v>
      </c>
      <c r="CO79" s="13">
        <f t="shared" si="47"/>
        <v>600</v>
      </c>
      <c r="CP79" s="13">
        <f t="shared" ref="CP79:CP120" si="111">$R$2</f>
        <v>600</v>
      </c>
      <c r="CQ79" s="13">
        <v>0</v>
      </c>
      <c r="CR79" s="13">
        <f t="shared" ref="CR79:DA79" si="112">$L$2/($L$3-$L$4*CQ79)</f>
        <v>0.34883720930232553</v>
      </c>
      <c r="CS79" s="13">
        <f t="shared" si="112"/>
        <v>0.39716748768472904</v>
      </c>
      <c r="CT79" s="13">
        <f t="shared" si="112"/>
        <v>0.40494040593779607</v>
      </c>
      <c r="CU79" s="13">
        <f t="shared" si="112"/>
        <v>0.4062190081621499</v>
      </c>
      <c r="CV79" s="13">
        <f t="shared" si="112"/>
        <v>0.40643010492156101</v>
      </c>
      <c r="CW79" s="13">
        <f t="shared" si="112"/>
        <v>0.40646497802255066</v>
      </c>
      <c r="CX79" s="13">
        <f t="shared" si="112"/>
        <v>0.40647073962099717</v>
      </c>
      <c r="CY79" s="13">
        <f t="shared" si="112"/>
        <v>0.40647169154566137</v>
      </c>
      <c r="CZ79" s="13">
        <f t="shared" si="112"/>
        <v>0.40647184882198806</v>
      </c>
      <c r="DA79" s="13">
        <f t="shared" si="112"/>
        <v>0.40647187480708435</v>
      </c>
      <c r="DB79" s="13">
        <f t="shared" ref="DB79:DB120" si="113">$R$3</f>
        <v>650</v>
      </c>
      <c r="DC79" s="13">
        <f t="shared" si="49"/>
        <v>650</v>
      </c>
      <c r="DD79" s="13">
        <f t="shared" si="49"/>
        <v>650</v>
      </c>
      <c r="DE79" s="13">
        <f t="shared" si="49"/>
        <v>650</v>
      </c>
      <c r="DF79" s="13">
        <f t="shared" si="49"/>
        <v>650</v>
      </c>
      <c r="DG79" s="13">
        <f t="shared" si="49"/>
        <v>650</v>
      </c>
      <c r="DH79" s="13">
        <f t="shared" si="49"/>
        <v>650</v>
      </c>
      <c r="DI79" s="13">
        <f t="shared" si="49"/>
        <v>650</v>
      </c>
      <c r="DJ79" s="13">
        <f t="shared" si="49"/>
        <v>650</v>
      </c>
      <c r="DK79" s="13">
        <f t="shared" si="49"/>
        <v>650</v>
      </c>
      <c r="DL79" s="25">
        <v>50</v>
      </c>
      <c r="DM79" s="26">
        <f t="shared" si="50"/>
        <v>0.45370370370370366</v>
      </c>
      <c r="DQ79" s="84"/>
      <c r="DR79" s="85"/>
      <c r="DS79" s="25">
        <v>50</v>
      </c>
      <c r="DT79" s="26">
        <f t="shared" si="51"/>
        <v>0.45370370370370366</v>
      </c>
      <c r="DU79" s="13">
        <f t="shared" si="52"/>
        <v>600</v>
      </c>
      <c r="DV79" s="13">
        <f t="shared" si="52"/>
        <v>600</v>
      </c>
      <c r="DW79" s="13">
        <f t="shared" si="52"/>
        <v>600</v>
      </c>
      <c r="DX79" s="13">
        <f t="shared" si="52"/>
        <v>600</v>
      </c>
      <c r="DY79" s="13">
        <f t="shared" si="52"/>
        <v>600</v>
      </c>
      <c r="DZ79" s="13">
        <f t="shared" si="52"/>
        <v>600</v>
      </c>
      <c r="EA79" s="13">
        <f t="shared" si="52"/>
        <v>600</v>
      </c>
      <c r="EB79" s="13">
        <f t="shared" si="52"/>
        <v>600</v>
      </c>
      <c r="EC79" s="13">
        <f t="shared" si="52"/>
        <v>600</v>
      </c>
      <c r="ED79" s="13">
        <f t="shared" ref="ED79:ED120" si="114">$R$2</f>
        <v>600</v>
      </c>
      <c r="EE79" s="13">
        <f>Q79</f>
        <v>710.5916796142659</v>
      </c>
      <c r="EF79" s="13">
        <f t="shared" ref="EF79:EF80" si="115">(EE79*$L$4-BE79)/($L$3-$L$4*CQ79)</f>
        <v>464.64910426515121</v>
      </c>
      <c r="EG79" s="13">
        <f t="shared" ref="EG79:EG80" si="116">(EF79*$L$4-BF79)/($L$3-$L$4*CR79)</f>
        <v>432.67748432871593</v>
      </c>
      <c r="EH79" s="13">
        <f t="shared" ref="EH79:EH80" si="117">(EG79*$L$4-BG79)/($L$3-$L$4*CS79)</f>
        <v>429.3300675299617</v>
      </c>
      <c r="EI79" s="13">
        <f t="shared" ref="EI79:EI80" si="118">(EH79*$L$4-BH79)/($L$3-$L$4*CT79)</f>
        <v>430.22940572655216</v>
      </c>
      <c r="EJ79" s="13">
        <f t="shared" ref="EJ79:EJ80" si="119">(EI79*$L$4-BI79)/($L$3-$L$4*CU79)</f>
        <v>431.49107383430305</v>
      </c>
      <c r="EK79" s="13">
        <f t="shared" ref="EK79:EK80" si="120">(EJ79*$L$4-BJ79)/($L$3-$L$4*CV79)</f>
        <v>432.48554146398192</v>
      </c>
      <c r="EL79" s="13">
        <f t="shared" ref="EL79:EL80" si="121">(EK79*$L$4-BK79)/($L$3-$L$4*CW79)</f>
        <v>433.1106992954447</v>
      </c>
      <c r="EM79" s="13">
        <f t="shared" ref="EM79:EM80" si="122">(EL79*$L$4-BL79)/($L$3-$L$4*CX79)</f>
        <v>433.35343365450723</v>
      </c>
      <c r="EN79" s="13">
        <f t="shared" ref="EN79:EN80" si="123">(EM79*$L$4-BM79)/($L$3-$L$4*CY79)</f>
        <v>433.21733058651506</v>
      </c>
      <c r="EO79" s="13">
        <f t="shared" ref="EO79:EO80" si="124">(EN79*$L$4-BN79)/($L$3-$L$4*CZ79)</f>
        <v>176.09066056242122</v>
      </c>
      <c r="EP79" s="13">
        <f t="shared" ref="EP79:EP120" si="125">$R$3</f>
        <v>650</v>
      </c>
      <c r="EQ79" s="13">
        <f t="shared" si="54"/>
        <v>650</v>
      </c>
      <c r="ER79" s="13">
        <f t="shared" si="54"/>
        <v>650</v>
      </c>
      <c r="ES79" s="13">
        <f t="shared" si="54"/>
        <v>650</v>
      </c>
      <c r="ET79" s="13">
        <f t="shared" si="54"/>
        <v>650</v>
      </c>
      <c r="EU79" s="13">
        <f t="shared" si="54"/>
        <v>650</v>
      </c>
      <c r="EV79" s="13">
        <f t="shared" si="54"/>
        <v>650</v>
      </c>
      <c r="EW79" s="13">
        <f t="shared" si="54"/>
        <v>650</v>
      </c>
      <c r="EX79" s="13">
        <f t="shared" si="54"/>
        <v>650</v>
      </c>
      <c r="EY79" s="13">
        <f t="shared" si="54"/>
        <v>650</v>
      </c>
      <c r="EZ79" s="25">
        <v>50</v>
      </c>
      <c r="FA79" s="26">
        <f t="shared" si="55"/>
        <v>0.45370370370370366</v>
      </c>
    </row>
    <row r="80" spans="3:157" x14ac:dyDescent="0.25">
      <c r="C80" s="84"/>
      <c r="D80" s="85"/>
      <c r="E80" s="25">
        <v>49</v>
      </c>
      <c r="F80" s="26">
        <f t="shared" si="36"/>
        <v>0.44444444444444442</v>
      </c>
      <c r="G80" s="13">
        <f t="shared" si="37"/>
        <v>600</v>
      </c>
      <c r="H80" s="13">
        <f t="shared" si="37"/>
        <v>600</v>
      </c>
      <c r="I80" s="13">
        <f t="shared" si="37"/>
        <v>600</v>
      </c>
      <c r="J80" s="13">
        <f t="shared" si="37"/>
        <v>600</v>
      </c>
      <c r="K80" s="13">
        <f t="shared" si="37"/>
        <v>600</v>
      </c>
      <c r="L80" s="13">
        <f t="shared" si="37"/>
        <v>600</v>
      </c>
      <c r="M80" s="13">
        <f t="shared" si="37"/>
        <v>600</v>
      </c>
      <c r="N80" s="13">
        <f t="shared" si="37"/>
        <v>600</v>
      </c>
      <c r="O80" s="13">
        <f t="shared" si="37"/>
        <v>600</v>
      </c>
      <c r="P80" s="13">
        <f t="shared" si="87"/>
        <v>600</v>
      </c>
      <c r="Q80" s="13">
        <f t="shared" ref="Q80:S82" si="126">($F$5*$B$5*P17+$F$4*R17)/($F$4+$F$5*$B$5)</f>
        <v>693.65440912875329</v>
      </c>
      <c r="R80" s="13">
        <f t="shared" si="89"/>
        <v>697.5035094038443</v>
      </c>
      <c r="S80" s="13">
        <f t="shared" si="90"/>
        <v>699.9831542896228</v>
      </c>
      <c r="T80" s="13">
        <f t="shared" si="91"/>
        <v>702.12736915273797</v>
      </c>
      <c r="U80" s="13">
        <f t="shared" si="92"/>
        <v>704.07473171283493</v>
      </c>
      <c r="V80" s="13">
        <f t="shared" si="93"/>
        <v>705.79442199068274</v>
      </c>
      <c r="W80" s="13">
        <f t="shared" si="94"/>
        <v>707.28006589920938</v>
      </c>
      <c r="X80" s="13">
        <f t="shared" si="95"/>
        <v>708.550194754823</v>
      </c>
      <c r="Y80" s="13">
        <f t="shared" si="96"/>
        <v>709.64694807526689</v>
      </c>
      <c r="Z80" s="13">
        <f t="shared" si="97"/>
        <v>710.4033365570275</v>
      </c>
      <c r="AA80" s="13">
        <f t="shared" ref="Y80:AA82" si="127">($F$6*$B$5*AB17+$F$4*Z17)/($F$4+$F$6*$B$5)</f>
        <v>709.60533145956333</v>
      </c>
      <c r="AB80" s="13">
        <f t="shared" si="99"/>
        <v>650</v>
      </c>
      <c r="AC80" s="13">
        <f t="shared" si="39"/>
        <v>650</v>
      </c>
      <c r="AD80" s="13">
        <f t="shared" si="39"/>
        <v>650</v>
      </c>
      <c r="AE80" s="13">
        <f t="shared" si="39"/>
        <v>650</v>
      </c>
      <c r="AF80" s="13">
        <f t="shared" si="39"/>
        <v>650</v>
      </c>
      <c r="AG80" s="13">
        <f t="shared" si="39"/>
        <v>650</v>
      </c>
      <c r="AH80" s="13">
        <f t="shared" si="39"/>
        <v>650</v>
      </c>
      <c r="AI80" s="13">
        <f t="shared" si="39"/>
        <v>650</v>
      </c>
      <c r="AJ80" s="13">
        <f t="shared" si="39"/>
        <v>650</v>
      </c>
      <c r="AK80" s="13">
        <f t="shared" si="39"/>
        <v>650</v>
      </c>
      <c r="AL80" s="25">
        <v>49</v>
      </c>
      <c r="AM80" s="26">
        <f t="shared" si="40"/>
        <v>0.44444444444444442</v>
      </c>
      <c r="AP80" s="87"/>
      <c r="AQ80" s="86"/>
      <c r="AR80" s="25">
        <v>49</v>
      </c>
      <c r="AS80" s="26">
        <f t="shared" si="41"/>
        <v>0.44444444444444442</v>
      </c>
      <c r="AT80" s="13">
        <f t="shared" si="42"/>
        <v>600</v>
      </c>
      <c r="AU80" s="13">
        <f t="shared" si="42"/>
        <v>600</v>
      </c>
      <c r="AV80" s="13">
        <f t="shared" si="42"/>
        <v>600</v>
      </c>
      <c r="AW80" s="13">
        <f t="shared" si="42"/>
        <v>600</v>
      </c>
      <c r="AX80" s="13">
        <f t="shared" si="42"/>
        <v>600</v>
      </c>
      <c r="AY80" s="13">
        <f t="shared" si="42"/>
        <v>600</v>
      </c>
      <c r="AZ80" s="13">
        <f t="shared" si="42"/>
        <v>600</v>
      </c>
      <c r="BA80" s="13">
        <f t="shared" si="42"/>
        <v>600</v>
      </c>
      <c r="BB80" s="13">
        <f t="shared" si="42"/>
        <v>600</v>
      </c>
      <c r="BC80" s="13">
        <f t="shared" si="100"/>
        <v>600</v>
      </c>
      <c r="BD80" s="52"/>
      <c r="BE80" s="13">
        <f t="shared" si="101"/>
        <v>-2508312137.0527472</v>
      </c>
      <c r="BF80" s="13">
        <f t="shared" si="102"/>
        <v>-2512928237.8849921</v>
      </c>
      <c r="BG80" s="13">
        <f t="shared" si="103"/>
        <v>-2520047969.0545187</v>
      </c>
      <c r="BH80" s="13">
        <f t="shared" si="104"/>
        <v>-2527162700.6341639</v>
      </c>
      <c r="BI80" s="13">
        <f t="shared" si="105"/>
        <v>-2533359338.0715599</v>
      </c>
      <c r="BJ80" s="13">
        <f t="shared" si="106"/>
        <v>-2538613108.7654228</v>
      </c>
      <c r="BK80" s="13">
        <f t="shared" si="107"/>
        <v>-2542995873.4959059</v>
      </c>
      <c r="BL80" s="13">
        <f t="shared" si="108"/>
        <v>-2547622360.1262083</v>
      </c>
      <c r="BM80" s="13">
        <f t="shared" si="109"/>
        <v>-2555362360.9846048</v>
      </c>
      <c r="BN80" s="52"/>
      <c r="BO80" s="13">
        <f t="shared" si="110"/>
        <v>650</v>
      </c>
      <c r="BP80" s="13">
        <f t="shared" si="44"/>
        <v>650</v>
      </c>
      <c r="BQ80" s="13">
        <f t="shared" si="44"/>
        <v>650</v>
      </c>
      <c r="BR80" s="13">
        <f t="shared" si="44"/>
        <v>650</v>
      </c>
      <c r="BS80" s="13">
        <f t="shared" si="44"/>
        <v>650</v>
      </c>
      <c r="BT80" s="13">
        <f t="shared" si="44"/>
        <v>650</v>
      </c>
      <c r="BU80" s="13">
        <f t="shared" si="44"/>
        <v>650</v>
      </c>
      <c r="BV80" s="13">
        <f t="shared" si="44"/>
        <v>650</v>
      </c>
      <c r="BW80" s="13">
        <f t="shared" si="44"/>
        <v>650</v>
      </c>
      <c r="BX80" s="13">
        <f t="shared" si="44"/>
        <v>650</v>
      </c>
      <c r="BY80" s="25">
        <v>49</v>
      </c>
      <c r="BZ80" s="26">
        <f t="shared" si="45"/>
        <v>0.44444444444444442</v>
      </c>
      <c r="CC80" s="84"/>
      <c r="CD80" s="85"/>
      <c r="CE80" s="25">
        <v>49</v>
      </c>
      <c r="CF80" s="26">
        <f t="shared" si="46"/>
        <v>0.44444444444444442</v>
      </c>
      <c r="CG80" s="13">
        <f t="shared" si="47"/>
        <v>600</v>
      </c>
      <c r="CH80" s="13">
        <f t="shared" si="47"/>
        <v>600</v>
      </c>
      <c r="CI80" s="13">
        <f t="shared" si="47"/>
        <v>600</v>
      </c>
      <c r="CJ80" s="13">
        <f t="shared" si="47"/>
        <v>600</v>
      </c>
      <c r="CK80" s="13">
        <f t="shared" si="47"/>
        <v>600</v>
      </c>
      <c r="CL80" s="13">
        <f t="shared" si="47"/>
        <v>600</v>
      </c>
      <c r="CM80" s="13">
        <f t="shared" si="47"/>
        <v>600</v>
      </c>
      <c r="CN80" s="13">
        <f t="shared" si="47"/>
        <v>600</v>
      </c>
      <c r="CO80" s="13">
        <f t="shared" si="47"/>
        <v>600</v>
      </c>
      <c r="CP80" s="13">
        <f t="shared" si="111"/>
        <v>600</v>
      </c>
      <c r="CQ80" s="13">
        <v>0</v>
      </c>
      <c r="CR80" s="13">
        <f t="shared" ref="CR80:DA82" si="128">$L$2/($L$3-$L$4*CQ80)</f>
        <v>0.34883720930232553</v>
      </c>
      <c r="CS80" s="13">
        <f t="shared" si="128"/>
        <v>0.39716748768472904</v>
      </c>
      <c r="CT80" s="13">
        <f t="shared" si="128"/>
        <v>0.40494040593779607</v>
      </c>
      <c r="CU80" s="13">
        <f t="shared" si="128"/>
        <v>0.4062190081621499</v>
      </c>
      <c r="CV80" s="13">
        <f t="shared" si="128"/>
        <v>0.40643010492156101</v>
      </c>
      <c r="CW80" s="13">
        <f t="shared" si="128"/>
        <v>0.40646497802255066</v>
      </c>
      <c r="CX80" s="13">
        <f t="shared" si="128"/>
        <v>0.40647073962099717</v>
      </c>
      <c r="CY80" s="13">
        <f t="shared" si="128"/>
        <v>0.40647169154566137</v>
      </c>
      <c r="CZ80" s="13">
        <f t="shared" si="128"/>
        <v>0.40647184882198806</v>
      </c>
      <c r="DA80" s="13">
        <f t="shared" si="128"/>
        <v>0.40647187480708435</v>
      </c>
      <c r="DB80" s="13">
        <f t="shared" si="113"/>
        <v>650</v>
      </c>
      <c r="DC80" s="13">
        <f t="shared" si="49"/>
        <v>650</v>
      </c>
      <c r="DD80" s="13">
        <f t="shared" si="49"/>
        <v>650</v>
      </c>
      <c r="DE80" s="13">
        <f t="shared" si="49"/>
        <v>650</v>
      </c>
      <c r="DF80" s="13">
        <f t="shared" si="49"/>
        <v>650</v>
      </c>
      <c r="DG80" s="13">
        <f t="shared" si="49"/>
        <v>650</v>
      </c>
      <c r="DH80" s="13">
        <f t="shared" si="49"/>
        <v>650</v>
      </c>
      <c r="DI80" s="13">
        <f t="shared" si="49"/>
        <v>650</v>
      </c>
      <c r="DJ80" s="13">
        <f t="shared" si="49"/>
        <v>650</v>
      </c>
      <c r="DK80" s="13">
        <f t="shared" si="49"/>
        <v>650</v>
      </c>
      <c r="DL80" s="25">
        <v>49</v>
      </c>
      <c r="DM80" s="26">
        <f t="shared" si="50"/>
        <v>0.44444444444444442</v>
      </c>
      <c r="DQ80" s="84"/>
      <c r="DR80" s="85"/>
      <c r="DS80" s="25">
        <v>49</v>
      </c>
      <c r="DT80" s="26">
        <f t="shared" si="51"/>
        <v>0.44444444444444442</v>
      </c>
      <c r="DU80" s="13">
        <f t="shared" si="52"/>
        <v>600</v>
      </c>
      <c r="DV80" s="13">
        <f t="shared" si="52"/>
        <v>600</v>
      </c>
      <c r="DW80" s="13">
        <f t="shared" si="52"/>
        <v>600</v>
      </c>
      <c r="DX80" s="13">
        <f t="shared" si="52"/>
        <v>600</v>
      </c>
      <c r="DY80" s="13">
        <f t="shared" si="52"/>
        <v>600</v>
      </c>
      <c r="DZ80" s="13">
        <f t="shared" si="52"/>
        <v>600</v>
      </c>
      <c r="EA80" s="13">
        <f t="shared" si="52"/>
        <v>600</v>
      </c>
      <c r="EB80" s="13">
        <f t="shared" si="52"/>
        <v>600</v>
      </c>
      <c r="EC80" s="13">
        <f t="shared" si="52"/>
        <v>600</v>
      </c>
      <c r="ED80" s="13">
        <f t="shared" si="114"/>
        <v>600</v>
      </c>
      <c r="EE80" s="13">
        <f>Q80</f>
        <v>693.65440912875329</v>
      </c>
      <c r="EF80" s="13">
        <f t="shared" si="115"/>
        <v>453.32333930281311</v>
      </c>
      <c r="EG80" s="13">
        <f t="shared" si="116"/>
        <v>421.12099104854155</v>
      </c>
      <c r="EH80" s="13">
        <f t="shared" si="117"/>
        <v>417.01906148239772</v>
      </c>
      <c r="EI80" s="13">
        <f t="shared" si="118"/>
        <v>417.36762164540193</v>
      </c>
      <c r="EJ80" s="13">
        <f t="shared" si="119"/>
        <v>418.33451059833851</v>
      </c>
      <c r="EK80" s="13">
        <f t="shared" si="120"/>
        <v>419.27922656031626</v>
      </c>
      <c r="EL80" s="13">
        <f t="shared" si="121"/>
        <v>420.09947490088581</v>
      </c>
      <c r="EM80" s="13">
        <f t="shared" si="122"/>
        <v>420.8881021852502</v>
      </c>
      <c r="EN80" s="13">
        <f t="shared" si="123"/>
        <v>421.96874554471913</v>
      </c>
      <c r="EO80" s="13">
        <f t="shared" si="124"/>
        <v>171.5184271115555</v>
      </c>
      <c r="EP80" s="13">
        <f t="shared" si="125"/>
        <v>650</v>
      </c>
      <c r="EQ80" s="13">
        <f t="shared" si="54"/>
        <v>650</v>
      </c>
      <c r="ER80" s="13">
        <f t="shared" si="54"/>
        <v>650</v>
      </c>
      <c r="ES80" s="13">
        <f t="shared" si="54"/>
        <v>650</v>
      </c>
      <c r="ET80" s="13">
        <f t="shared" si="54"/>
        <v>650</v>
      </c>
      <c r="EU80" s="13">
        <f t="shared" si="54"/>
        <v>650</v>
      </c>
      <c r="EV80" s="13">
        <f t="shared" si="54"/>
        <v>650</v>
      </c>
      <c r="EW80" s="13">
        <f t="shared" si="54"/>
        <v>650</v>
      </c>
      <c r="EX80" s="13">
        <f t="shared" si="54"/>
        <v>650</v>
      </c>
      <c r="EY80" s="13">
        <f t="shared" si="54"/>
        <v>650</v>
      </c>
      <c r="EZ80" s="25">
        <v>49</v>
      </c>
      <c r="FA80" s="26">
        <f t="shared" si="55"/>
        <v>0.44444444444444442</v>
      </c>
    </row>
    <row r="81" spans="3:157" x14ac:dyDescent="0.25">
      <c r="C81" s="84"/>
      <c r="D81" s="85"/>
      <c r="E81" s="25">
        <v>48</v>
      </c>
      <c r="F81" s="26">
        <f t="shared" si="36"/>
        <v>0.43518518518518517</v>
      </c>
      <c r="G81" s="13">
        <f t="shared" si="37"/>
        <v>600</v>
      </c>
      <c r="H81" s="13">
        <f t="shared" si="37"/>
        <v>600</v>
      </c>
      <c r="I81" s="13">
        <f t="shared" si="37"/>
        <v>600</v>
      </c>
      <c r="J81" s="13">
        <f t="shared" si="37"/>
        <v>600</v>
      </c>
      <c r="K81" s="13">
        <f t="shared" si="37"/>
        <v>600</v>
      </c>
      <c r="L81" s="13">
        <f t="shared" si="37"/>
        <v>600</v>
      </c>
      <c r="M81" s="13">
        <f t="shared" si="37"/>
        <v>600</v>
      </c>
      <c r="N81" s="13">
        <f t="shared" si="37"/>
        <v>600</v>
      </c>
      <c r="O81" s="13">
        <f t="shared" si="37"/>
        <v>600</v>
      </c>
      <c r="P81" s="13">
        <f t="shared" si="87"/>
        <v>600</v>
      </c>
      <c r="Q81" s="13">
        <f t="shared" ref="Q81:Q119" si="129">$R$2</f>
        <v>600</v>
      </c>
      <c r="R81" s="13">
        <f t="shared" si="126"/>
        <v>678.30875309427665</v>
      </c>
      <c r="S81" s="13">
        <f t="shared" ref="S81" si="130">CS81*T81+EG81</f>
        <v>681.1955342348831</v>
      </c>
      <c r="T81" s="13">
        <f t="shared" ref="T81" si="131">CT81*U81+EH81</f>
        <v>682.64983955154901</v>
      </c>
      <c r="U81" s="13">
        <f t="shared" ref="U81" si="132">CU81*V81+EI81</f>
        <v>684.2042538986957</v>
      </c>
      <c r="V81" s="13">
        <f t="shared" ref="V81" si="133">CV81*W81+EJ81</f>
        <v>685.7808502620444</v>
      </c>
      <c r="W81" s="13">
        <f t="shared" ref="W81" si="134">CW81*X81+EK81</f>
        <v>687.36121607058067</v>
      </c>
      <c r="X81" s="13">
        <f t="shared" ref="X81" si="135">CX81*Y81+EL81</f>
        <v>688.99395652601891</v>
      </c>
      <c r="Y81" s="13">
        <f t="shared" ref="Y81" si="136">CY81*Z81+EM81</f>
        <v>690.78899852486961</v>
      </c>
      <c r="Z81" s="13">
        <f t="shared" si="127"/>
        <v>690.92451223686385</v>
      </c>
      <c r="AA81" s="13">
        <f t="shared" ref="AA81:AA119" si="137">$R$3</f>
        <v>650</v>
      </c>
      <c r="AB81" s="13">
        <f t="shared" si="99"/>
        <v>650</v>
      </c>
      <c r="AC81" s="13">
        <f t="shared" si="39"/>
        <v>650</v>
      </c>
      <c r="AD81" s="13">
        <f t="shared" si="39"/>
        <v>650</v>
      </c>
      <c r="AE81" s="13">
        <f t="shared" si="39"/>
        <v>650</v>
      </c>
      <c r="AF81" s="13">
        <f t="shared" si="39"/>
        <v>650</v>
      </c>
      <c r="AG81" s="13">
        <f t="shared" si="39"/>
        <v>650</v>
      </c>
      <c r="AH81" s="13">
        <f t="shared" si="39"/>
        <v>650</v>
      </c>
      <c r="AI81" s="13">
        <f t="shared" si="39"/>
        <v>650</v>
      </c>
      <c r="AJ81" s="13">
        <f t="shared" si="39"/>
        <v>650</v>
      </c>
      <c r="AK81" s="13">
        <f t="shared" si="39"/>
        <v>650</v>
      </c>
      <c r="AL81" s="25">
        <v>48</v>
      </c>
      <c r="AM81" s="26">
        <f t="shared" si="40"/>
        <v>0.43518518518518517</v>
      </c>
      <c r="AP81" s="87"/>
      <c r="AQ81" s="86"/>
      <c r="AR81" s="25">
        <v>48</v>
      </c>
      <c r="AS81" s="26">
        <f t="shared" si="41"/>
        <v>0.43518518518518517</v>
      </c>
      <c r="AT81" s="13">
        <f t="shared" si="42"/>
        <v>600</v>
      </c>
      <c r="AU81" s="13">
        <f t="shared" si="42"/>
        <v>600</v>
      </c>
      <c r="AV81" s="13">
        <f t="shared" si="42"/>
        <v>600</v>
      </c>
      <c r="AW81" s="13">
        <f t="shared" si="42"/>
        <v>600</v>
      </c>
      <c r="AX81" s="13">
        <f t="shared" si="42"/>
        <v>600</v>
      </c>
      <c r="AY81" s="13">
        <f t="shared" si="42"/>
        <v>600</v>
      </c>
      <c r="AZ81" s="13">
        <f t="shared" si="42"/>
        <v>600</v>
      </c>
      <c r="BA81" s="13">
        <f t="shared" si="42"/>
        <v>600</v>
      </c>
      <c r="BB81" s="13">
        <f t="shared" si="42"/>
        <v>600</v>
      </c>
      <c r="BC81" s="13">
        <f t="shared" si="100"/>
        <v>600</v>
      </c>
      <c r="BD81" s="13">
        <f t="shared" ref="BD81:BD119" si="138">$R$2</f>
        <v>600</v>
      </c>
      <c r="BE81" s="52"/>
      <c r="BF81" s="13">
        <f t="shared" ref="BF81" si="139">-($F$3*$F$2)/$B$8*S18</f>
        <v>-2450060026.7458739</v>
      </c>
      <c r="BG81" s="13">
        <f t="shared" ref="BG81:BG82" si="140">-($F$3*$F$2)/$B$8*T18</f>
        <v>-2448933172.9247675</v>
      </c>
      <c r="BH81" s="13">
        <f t="shared" ref="BH81:BH82" si="141">-($F$3*$F$2)/$B$8*U18</f>
        <v>-2454833029.4414439</v>
      </c>
      <c r="BI81" s="13">
        <f t="shared" ref="BI81:BI82" si="142">-($F$3*$F$2)/$B$8*V18</f>
        <v>-2460566085.2371397</v>
      </c>
      <c r="BJ81" s="13">
        <f t="shared" ref="BJ81:BJ82" si="143">-($F$3*$F$2)/$B$8*W18</f>
        <v>-2466035212.2230697</v>
      </c>
      <c r="BK81" s="13">
        <f t="shared" ref="BK81:BK82" si="144">-($F$3*$F$2)/$B$8*X18</f>
        <v>-2471438387.625627</v>
      </c>
      <c r="BL81" s="13">
        <f t="shared" ref="BL81" si="145">-($F$3*$F$2)/$B$8*Y18</f>
        <v>-2485421373.8148179</v>
      </c>
      <c r="BM81" s="52"/>
      <c r="BN81" s="13">
        <f t="shared" ref="BN81:BN119" si="146">$R$3</f>
        <v>650</v>
      </c>
      <c r="BO81" s="13">
        <f t="shared" si="110"/>
        <v>650</v>
      </c>
      <c r="BP81" s="13">
        <f t="shared" si="44"/>
        <v>650</v>
      </c>
      <c r="BQ81" s="13">
        <f t="shared" si="44"/>
        <v>650</v>
      </c>
      <c r="BR81" s="13">
        <f t="shared" si="44"/>
        <v>650</v>
      </c>
      <c r="BS81" s="13">
        <f t="shared" si="44"/>
        <v>650</v>
      </c>
      <c r="BT81" s="13">
        <f t="shared" si="44"/>
        <v>650</v>
      </c>
      <c r="BU81" s="13">
        <f t="shared" si="44"/>
        <v>650</v>
      </c>
      <c r="BV81" s="13">
        <f t="shared" si="44"/>
        <v>650</v>
      </c>
      <c r="BW81" s="13">
        <f t="shared" si="44"/>
        <v>650</v>
      </c>
      <c r="BX81" s="13">
        <f t="shared" si="44"/>
        <v>650</v>
      </c>
      <c r="BY81" s="25">
        <v>48</v>
      </c>
      <c r="BZ81" s="26">
        <f t="shared" si="45"/>
        <v>0.43518518518518517</v>
      </c>
      <c r="CC81" s="84"/>
      <c r="CD81" s="85"/>
      <c r="CE81" s="25">
        <v>48</v>
      </c>
      <c r="CF81" s="26">
        <f t="shared" si="46"/>
        <v>0.43518518518518517</v>
      </c>
      <c r="CG81" s="13">
        <f t="shared" si="47"/>
        <v>600</v>
      </c>
      <c r="CH81" s="13">
        <f t="shared" si="47"/>
        <v>600</v>
      </c>
      <c r="CI81" s="13">
        <f t="shared" si="47"/>
        <v>600</v>
      </c>
      <c r="CJ81" s="13">
        <f t="shared" si="47"/>
        <v>600</v>
      </c>
      <c r="CK81" s="13">
        <f t="shared" si="47"/>
        <v>600</v>
      </c>
      <c r="CL81" s="13">
        <f t="shared" si="47"/>
        <v>600</v>
      </c>
      <c r="CM81" s="13">
        <f t="shared" si="47"/>
        <v>600</v>
      </c>
      <c r="CN81" s="13">
        <f t="shared" si="47"/>
        <v>600</v>
      </c>
      <c r="CO81" s="13">
        <f t="shared" si="47"/>
        <v>600</v>
      </c>
      <c r="CP81" s="13">
        <f t="shared" si="111"/>
        <v>600</v>
      </c>
      <c r="CQ81" s="13">
        <f t="shared" ref="CQ81:CQ119" si="147">$R$2</f>
        <v>600</v>
      </c>
      <c r="CR81" s="13">
        <v>0</v>
      </c>
      <c r="CS81" s="13">
        <f t="shared" si="128"/>
        <v>0.34883720930232553</v>
      </c>
      <c r="CT81" s="13">
        <f t="shared" si="128"/>
        <v>0.39716748768472904</v>
      </c>
      <c r="CU81" s="13">
        <f t="shared" si="128"/>
        <v>0.40494040593779607</v>
      </c>
      <c r="CV81" s="13">
        <f t="shared" si="128"/>
        <v>0.4062190081621499</v>
      </c>
      <c r="CW81" s="13">
        <f t="shared" si="128"/>
        <v>0.40643010492156101</v>
      </c>
      <c r="CX81" s="13">
        <f t="shared" si="128"/>
        <v>0.40646497802255066</v>
      </c>
      <c r="CY81" s="13">
        <f t="shared" si="128"/>
        <v>0.40647073962099717</v>
      </c>
      <c r="CZ81" s="13">
        <f t="shared" si="128"/>
        <v>0.40647169154566137</v>
      </c>
      <c r="DA81" s="13">
        <f t="shared" ref="DA81:DA119" si="148">$R$3</f>
        <v>650</v>
      </c>
      <c r="DB81" s="13">
        <f t="shared" si="113"/>
        <v>650</v>
      </c>
      <c r="DC81" s="13">
        <f t="shared" si="49"/>
        <v>650</v>
      </c>
      <c r="DD81" s="13">
        <f t="shared" si="49"/>
        <v>650</v>
      </c>
      <c r="DE81" s="13">
        <f t="shared" si="49"/>
        <v>650</v>
      </c>
      <c r="DF81" s="13">
        <f t="shared" si="49"/>
        <v>650</v>
      </c>
      <c r="DG81" s="13">
        <f t="shared" si="49"/>
        <v>650</v>
      </c>
      <c r="DH81" s="13">
        <f t="shared" si="49"/>
        <v>650</v>
      </c>
      <c r="DI81" s="13">
        <f t="shared" si="49"/>
        <v>650</v>
      </c>
      <c r="DJ81" s="13">
        <f t="shared" si="49"/>
        <v>650</v>
      </c>
      <c r="DK81" s="13">
        <f t="shared" si="49"/>
        <v>650</v>
      </c>
      <c r="DL81" s="25">
        <v>48</v>
      </c>
      <c r="DM81" s="26">
        <f t="shared" si="50"/>
        <v>0.43518518518518517</v>
      </c>
      <c r="DQ81" s="84"/>
      <c r="DR81" s="85"/>
      <c r="DS81" s="25">
        <v>48</v>
      </c>
      <c r="DT81" s="26">
        <f t="shared" si="51"/>
        <v>0.43518518518518517</v>
      </c>
      <c r="DU81" s="13">
        <f t="shared" si="52"/>
        <v>600</v>
      </c>
      <c r="DV81" s="13">
        <f t="shared" si="52"/>
        <v>600</v>
      </c>
      <c r="DW81" s="13">
        <f t="shared" si="52"/>
        <v>600</v>
      </c>
      <c r="DX81" s="13">
        <f t="shared" si="52"/>
        <v>600</v>
      </c>
      <c r="DY81" s="13">
        <f t="shared" si="52"/>
        <v>600</v>
      </c>
      <c r="DZ81" s="13">
        <f t="shared" si="52"/>
        <v>600</v>
      </c>
      <c r="EA81" s="13">
        <f t="shared" si="52"/>
        <v>600</v>
      </c>
      <c r="EB81" s="13">
        <f t="shared" si="52"/>
        <v>600</v>
      </c>
      <c r="EC81" s="13">
        <f t="shared" si="52"/>
        <v>600</v>
      </c>
      <c r="ED81" s="13">
        <f t="shared" si="114"/>
        <v>600</v>
      </c>
      <c r="EE81" s="13">
        <f t="shared" ref="EE81:EE119" si="149">$R$2</f>
        <v>600</v>
      </c>
      <c r="EF81" s="13">
        <f>R81</f>
        <v>678.30875309427665</v>
      </c>
      <c r="EG81" s="13">
        <f t="shared" ref="EG81" si="150">(EF81*$L$4-BF81)/($L$3-$L$4*CR81)</f>
        <v>443.06186927504041</v>
      </c>
      <c r="EH81" s="13">
        <f t="shared" ref="EH81" si="151">(EG81*$L$4-BG81)/($L$3-$L$4*CS81)</f>
        <v>410.90615496739957</v>
      </c>
      <c r="EI81" s="13">
        <f t="shared" ref="EI81" si="152">(EH81*$L$4-BH81)/($L$3-$L$4*CT81)</f>
        <v>406.50387800921652</v>
      </c>
      <c r="EJ81" s="13">
        <f t="shared" ref="EJ81" si="153">(EI81*$L$4-BI81)/($L$3-$L$4*CU81)</f>
        <v>406.56165882072395</v>
      </c>
      <c r="EK81" s="13">
        <f t="shared" ref="EK81" si="154">(EJ81*$L$4-BJ81)/($L$3-$L$4*CV81)</f>
        <v>407.3333300293894</v>
      </c>
      <c r="EL81" s="13">
        <f t="shared" ref="EL81" si="155">(EK81*$L$4-BK81)/($L$3-$L$4*CW81)</f>
        <v>408.21242142238799</v>
      </c>
      <c r="EM81" s="13">
        <f t="shared" ref="EM81" si="156">(EL81*$L$4-BL81)/($L$3-$L$4*CX81)</f>
        <v>409.94840101367492</v>
      </c>
      <c r="EN81" s="13">
        <f t="shared" ref="EN81" si="157">(EM81*$L$4-BM81)/($L$3-$L$4*CY81)</f>
        <v>166.63242000646758</v>
      </c>
      <c r="EO81" s="13">
        <f t="shared" ref="EO81:EO119" si="158">$R$3</f>
        <v>650</v>
      </c>
      <c r="EP81" s="13">
        <f t="shared" si="125"/>
        <v>650</v>
      </c>
      <c r="EQ81" s="13">
        <f t="shared" si="54"/>
        <v>650</v>
      </c>
      <c r="ER81" s="13">
        <f t="shared" si="54"/>
        <v>650</v>
      </c>
      <c r="ES81" s="13">
        <f t="shared" si="54"/>
        <v>650</v>
      </c>
      <c r="ET81" s="13">
        <f t="shared" si="54"/>
        <v>650</v>
      </c>
      <c r="EU81" s="13">
        <f t="shared" si="54"/>
        <v>650</v>
      </c>
      <c r="EV81" s="13">
        <f t="shared" si="54"/>
        <v>650</v>
      </c>
      <c r="EW81" s="13">
        <f t="shared" si="54"/>
        <v>650</v>
      </c>
      <c r="EX81" s="13">
        <f t="shared" si="54"/>
        <v>650</v>
      </c>
      <c r="EY81" s="13">
        <f t="shared" si="54"/>
        <v>650</v>
      </c>
      <c r="EZ81" s="25">
        <v>48</v>
      </c>
      <c r="FA81" s="26">
        <f t="shared" si="55"/>
        <v>0.43518518518518517</v>
      </c>
    </row>
    <row r="82" spans="3:157" x14ac:dyDescent="0.25">
      <c r="C82" s="84"/>
      <c r="D82" s="85"/>
      <c r="E82" s="25">
        <v>47</v>
      </c>
      <c r="F82" s="26">
        <f t="shared" si="36"/>
        <v>0.42592592592592593</v>
      </c>
      <c r="G82" s="13">
        <f t="shared" si="37"/>
        <v>600</v>
      </c>
      <c r="H82" s="13">
        <f t="shared" si="37"/>
        <v>600</v>
      </c>
      <c r="I82" s="13">
        <f t="shared" si="37"/>
        <v>600</v>
      </c>
      <c r="J82" s="13">
        <f t="shared" si="37"/>
        <v>600</v>
      </c>
      <c r="K82" s="13">
        <f t="shared" si="37"/>
        <v>600</v>
      </c>
      <c r="L82" s="13">
        <f t="shared" si="37"/>
        <v>600</v>
      </c>
      <c r="M82" s="13">
        <f t="shared" si="37"/>
        <v>600</v>
      </c>
      <c r="N82" s="13">
        <f t="shared" si="37"/>
        <v>600</v>
      </c>
      <c r="O82" s="13">
        <f t="shared" si="37"/>
        <v>600</v>
      </c>
      <c r="P82" s="13">
        <f t="shared" si="87"/>
        <v>600</v>
      </c>
      <c r="Q82" s="13">
        <f t="shared" si="129"/>
        <v>600</v>
      </c>
      <c r="R82" s="13">
        <f t="shared" ref="R82:R117" si="159">$R$2</f>
        <v>600</v>
      </c>
      <c r="S82" s="13">
        <f t="shared" si="126"/>
        <v>658.85657334457267</v>
      </c>
      <c r="T82" s="13">
        <f t="shared" ref="T82" si="160">CT82*U82+EH82</f>
        <v>661.55994966267122</v>
      </c>
      <c r="U82" s="13">
        <f t="shared" ref="U82" si="161">CU82*V82+EI82</f>
        <v>663.6492068922837</v>
      </c>
      <c r="V82" s="13">
        <f t="shared" ref="V82" si="162">CV82*W82+EJ82</f>
        <v>665.27784923679201</v>
      </c>
      <c r="W82" s="13">
        <f t="shared" ref="W82" si="163">CW82*X82+EK82</f>
        <v>666.45870696192151</v>
      </c>
      <c r="X82" s="13">
        <f t="shared" ref="X82" si="164">CX82*Y82+EL82</f>
        <v>667.16628030501602</v>
      </c>
      <c r="Y82" s="13">
        <f t="shared" si="127"/>
        <v>667.19816943652654</v>
      </c>
      <c r="Z82" s="13">
        <f t="shared" ref="Z82:Z117" si="165">$R$3</f>
        <v>650</v>
      </c>
      <c r="AA82" s="13">
        <f t="shared" si="137"/>
        <v>650</v>
      </c>
      <c r="AB82" s="13">
        <f t="shared" si="99"/>
        <v>650</v>
      </c>
      <c r="AC82" s="13">
        <f t="shared" si="39"/>
        <v>650</v>
      </c>
      <c r="AD82" s="13">
        <f t="shared" si="39"/>
        <v>650</v>
      </c>
      <c r="AE82" s="13">
        <f t="shared" si="39"/>
        <v>650</v>
      </c>
      <c r="AF82" s="13">
        <f t="shared" si="39"/>
        <v>650</v>
      </c>
      <c r="AG82" s="13">
        <f t="shared" si="39"/>
        <v>650</v>
      </c>
      <c r="AH82" s="13">
        <f t="shared" si="39"/>
        <v>650</v>
      </c>
      <c r="AI82" s="13">
        <f t="shared" si="39"/>
        <v>650</v>
      </c>
      <c r="AJ82" s="13">
        <f t="shared" si="39"/>
        <v>650</v>
      </c>
      <c r="AK82" s="13">
        <f t="shared" si="39"/>
        <v>650</v>
      </c>
      <c r="AL82" s="25">
        <v>47</v>
      </c>
      <c r="AM82" s="26">
        <f t="shared" si="40"/>
        <v>0.42592592592592593</v>
      </c>
      <c r="AP82" s="87"/>
      <c r="AQ82" s="86"/>
      <c r="AR82" s="25">
        <v>47</v>
      </c>
      <c r="AS82" s="26">
        <f t="shared" si="41"/>
        <v>0.42592592592592593</v>
      </c>
      <c r="AT82" s="13">
        <f t="shared" si="42"/>
        <v>600</v>
      </c>
      <c r="AU82" s="13">
        <f t="shared" si="42"/>
        <v>600</v>
      </c>
      <c r="AV82" s="13">
        <f t="shared" si="42"/>
        <v>600</v>
      </c>
      <c r="AW82" s="13">
        <f t="shared" si="42"/>
        <v>600</v>
      </c>
      <c r="AX82" s="13">
        <f t="shared" si="42"/>
        <v>600</v>
      </c>
      <c r="AY82" s="13">
        <f t="shared" si="42"/>
        <v>600</v>
      </c>
      <c r="AZ82" s="13">
        <f t="shared" si="42"/>
        <v>600</v>
      </c>
      <c r="BA82" s="13">
        <f t="shared" si="42"/>
        <v>600</v>
      </c>
      <c r="BB82" s="13">
        <f t="shared" si="42"/>
        <v>600</v>
      </c>
      <c r="BC82" s="13">
        <f t="shared" si="100"/>
        <v>600</v>
      </c>
      <c r="BD82" s="13">
        <f t="shared" si="138"/>
        <v>600</v>
      </c>
      <c r="BE82" s="13">
        <f t="shared" ref="BE82:BE117" si="166">$R$2</f>
        <v>600</v>
      </c>
      <c r="BF82" s="52"/>
      <c r="BG82" s="13">
        <f t="shared" si="140"/>
        <v>-2376219552.4159975</v>
      </c>
      <c r="BH82" s="13">
        <f t="shared" si="141"/>
        <v>-2383080299.953845</v>
      </c>
      <c r="BI82" s="13">
        <f t="shared" si="142"/>
        <v>-2388870751.3858371</v>
      </c>
      <c r="BJ82" s="13">
        <f t="shared" si="143"/>
        <v>-2393213237.921</v>
      </c>
      <c r="BK82" s="13">
        <f t="shared" si="144"/>
        <v>-2396589946.3703556</v>
      </c>
      <c r="BL82" s="52"/>
      <c r="BM82" s="13">
        <f t="shared" ref="BM82:BM117" si="167">$R$3</f>
        <v>650</v>
      </c>
      <c r="BN82" s="13">
        <f t="shared" si="146"/>
        <v>650</v>
      </c>
      <c r="BO82" s="13">
        <f t="shared" si="110"/>
        <v>650</v>
      </c>
      <c r="BP82" s="13">
        <f t="shared" si="44"/>
        <v>650</v>
      </c>
      <c r="BQ82" s="13">
        <f t="shared" si="44"/>
        <v>650</v>
      </c>
      <c r="BR82" s="13">
        <f t="shared" si="44"/>
        <v>650</v>
      </c>
      <c r="BS82" s="13">
        <f t="shared" si="44"/>
        <v>650</v>
      </c>
      <c r="BT82" s="13">
        <f t="shared" si="44"/>
        <v>650</v>
      </c>
      <c r="BU82" s="13">
        <f t="shared" si="44"/>
        <v>650</v>
      </c>
      <c r="BV82" s="13">
        <f t="shared" si="44"/>
        <v>650</v>
      </c>
      <c r="BW82" s="13">
        <f t="shared" si="44"/>
        <v>650</v>
      </c>
      <c r="BX82" s="13">
        <f t="shared" si="44"/>
        <v>650</v>
      </c>
      <c r="BY82" s="25">
        <v>47</v>
      </c>
      <c r="BZ82" s="26">
        <f t="shared" si="45"/>
        <v>0.42592592592592593</v>
      </c>
      <c r="CC82" s="84"/>
      <c r="CD82" s="85"/>
      <c r="CE82" s="25">
        <v>47</v>
      </c>
      <c r="CF82" s="26">
        <f t="shared" si="46"/>
        <v>0.42592592592592593</v>
      </c>
      <c r="CG82" s="13">
        <f t="shared" si="47"/>
        <v>600</v>
      </c>
      <c r="CH82" s="13">
        <f t="shared" si="47"/>
        <v>600</v>
      </c>
      <c r="CI82" s="13">
        <f t="shared" si="47"/>
        <v>600</v>
      </c>
      <c r="CJ82" s="13">
        <f t="shared" si="47"/>
        <v>600</v>
      </c>
      <c r="CK82" s="13">
        <f t="shared" si="47"/>
        <v>600</v>
      </c>
      <c r="CL82" s="13">
        <f t="shared" si="47"/>
        <v>600</v>
      </c>
      <c r="CM82" s="13">
        <f t="shared" si="47"/>
        <v>600</v>
      </c>
      <c r="CN82" s="13">
        <f t="shared" si="47"/>
        <v>600</v>
      </c>
      <c r="CO82" s="13">
        <f t="shared" si="47"/>
        <v>600</v>
      </c>
      <c r="CP82" s="13">
        <f t="shared" si="111"/>
        <v>600</v>
      </c>
      <c r="CQ82" s="13">
        <f t="shared" si="147"/>
        <v>600</v>
      </c>
      <c r="CR82" s="13">
        <f t="shared" ref="CR82:CR117" si="168">$R$2</f>
        <v>600</v>
      </c>
      <c r="CS82" s="13">
        <v>0</v>
      </c>
      <c r="CT82" s="13">
        <f t="shared" si="128"/>
        <v>0.34883720930232553</v>
      </c>
      <c r="CU82" s="13">
        <f t="shared" si="128"/>
        <v>0.39716748768472904</v>
      </c>
      <c r="CV82" s="13">
        <f t="shared" si="128"/>
        <v>0.40494040593779607</v>
      </c>
      <c r="CW82" s="13">
        <f t="shared" si="128"/>
        <v>0.4062190081621499</v>
      </c>
      <c r="CX82" s="13">
        <f t="shared" si="128"/>
        <v>0.40643010492156101</v>
      </c>
      <c r="CY82" s="13">
        <f t="shared" si="128"/>
        <v>0.40646497802255066</v>
      </c>
      <c r="CZ82" s="13">
        <f t="shared" ref="CZ82:CZ117" si="169">$R$3</f>
        <v>650</v>
      </c>
      <c r="DA82" s="13">
        <f t="shared" si="148"/>
        <v>650</v>
      </c>
      <c r="DB82" s="13">
        <f t="shared" si="113"/>
        <v>650</v>
      </c>
      <c r="DC82" s="13">
        <f t="shared" si="49"/>
        <v>650</v>
      </c>
      <c r="DD82" s="13">
        <f t="shared" si="49"/>
        <v>650</v>
      </c>
      <c r="DE82" s="13">
        <f t="shared" si="49"/>
        <v>650</v>
      </c>
      <c r="DF82" s="13">
        <f t="shared" si="49"/>
        <v>650</v>
      </c>
      <c r="DG82" s="13">
        <f t="shared" si="49"/>
        <v>650</v>
      </c>
      <c r="DH82" s="13">
        <f t="shared" si="49"/>
        <v>650</v>
      </c>
      <c r="DI82" s="13">
        <f t="shared" si="49"/>
        <v>650</v>
      </c>
      <c r="DJ82" s="13">
        <f t="shared" si="49"/>
        <v>650</v>
      </c>
      <c r="DK82" s="13">
        <f t="shared" si="49"/>
        <v>650</v>
      </c>
      <c r="DL82" s="25">
        <v>47</v>
      </c>
      <c r="DM82" s="26">
        <f t="shared" si="50"/>
        <v>0.42592592592592593</v>
      </c>
      <c r="DQ82" s="84"/>
      <c r="DR82" s="85"/>
      <c r="DS82" s="25">
        <v>47</v>
      </c>
      <c r="DT82" s="26">
        <f t="shared" si="51"/>
        <v>0.42592592592592593</v>
      </c>
      <c r="DU82" s="13">
        <f t="shared" si="52"/>
        <v>600</v>
      </c>
      <c r="DV82" s="13">
        <f t="shared" si="52"/>
        <v>600</v>
      </c>
      <c r="DW82" s="13">
        <f t="shared" si="52"/>
        <v>600</v>
      </c>
      <c r="DX82" s="13">
        <f t="shared" si="52"/>
        <v>600</v>
      </c>
      <c r="DY82" s="13">
        <f t="shared" si="52"/>
        <v>600</v>
      </c>
      <c r="DZ82" s="13">
        <f t="shared" si="52"/>
        <v>600</v>
      </c>
      <c r="EA82" s="13">
        <f t="shared" si="52"/>
        <v>600</v>
      </c>
      <c r="EB82" s="13">
        <f t="shared" si="52"/>
        <v>600</v>
      </c>
      <c r="EC82" s="13">
        <f t="shared" si="52"/>
        <v>600</v>
      </c>
      <c r="ED82" s="13">
        <f t="shared" si="114"/>
        <v>600</v>
      </c>
      <c r="EE82" s="13">
        <f t="shared" si="149"/>
        <v>600</v>
      </c>
      <c r="EF82" s="13">
        <f t="shared" ref="EF82:EF117" si="170">$R$2</f>
        <v>600</v>
      </c>
      <c r="EG82" s="13">
        <f>S82</f>
        <v>658.85657334457267</v>
      </c>
      <c r="EH82" s="13">
        <f t="shared" ref="EH82" si="171">(EG82*$L$4-BG82)/($L$3-$L$4*CS82)</f>
        <v>430.05441237466533</v>
      </c>
      <c r="EI82" s="13">
        <f t="shared" ref="EI82" si="172">(EH82*$L$4-BH82)/($L$3-$L$4*CT82)</f>
        <v>399.42247489860711</v>
      </c>
      <c r="EJ82" s="13">
        <f t="shared" ref="EJ82" si="173">(EI82*$L$4-BI82)/($L$3-$L$4*CU82)</f>
        <v>395.40178989885277</v>
      </c>
      <c r="EK82" s="13">
        <f t="shared" ref="EK82" si="174">(EJ82*$L$4-BJ82)/($L$3-$L$4*CV82)</f>
        <v>395.443082297187</v>
      </c>
      <c r="EL82" s="13">
        <f t="shared" ref="EL82" si="175">(EK82*$L$4-BK82)/($L$3-$L$4*CW82)</f>
        <v>395.99685829745511</v>
      </c>
      <c r="EM82" s="13">
        <f t="shared" ref="EM82" si="176">(EL82*$L$4-BL82)/($L$3-$L$4*CX82)</f>
        <v>160.95885430487419</v>
      </c>
      <c r="EN82" s="13">
        <f t="shared" ref="EN82:EN117" si="177">$R$3</f>
        <v>650</v>
      </c>
      <c r="EO82" s="13">
        <f t="shared" si="158"/>
        <v>650</v>
      </c>
      <c r="EP82" s="13">
        <f t="shared" si="125"/>
        <v>650</v>
      </c>
      <c r="EQ82" s="13">
        <f t="shared" si="54"/>
        <v>650</v>
      </c>
      <c r="ER82" s="13">
        <f t="shared" si="54"/>
        <v>650</v>
      </c>
      <c r="ES82" s="13">
        <f t="shared" si="54"/>
        <v>650</v>
      </c>
      <c r="ET82" s="13">
        <f t="shared" si="54"/>
        <v>650</v>
      </c>
      <c r="EU82" s="13">
        <f t="shared" si="54"/>
        <v>650</v>
      </c>
      <c r="EV82" s="13">
        <f t="shared" si="54"/>
        <v>650</v>
      </c>
      <c r="EW82" s="13">
        <f t="shared" si="54"/>
        <v>650</v>
      </c>
      <c r="EX82" s="13">
        <f t="shared" si="54"/>
        <v>650</v>
      </c>
      <c r="EY82" s="13">
        <f t="shared" si="54"/>
        <v>650</v>
      </c>
      <c r="EZ82" s="25">
        <v>47</v>
      </c>
      <c r="FA82" s="26">
        <f t="shared" si="55"/>
        <v>0.42592592592592593</v>
      </c>
    </row>
    <row r="83" spans="3:157" x14ac:dyDescent="0.25">
      <c r="C83" s="84"/>
      <c r="D83" s="85"/>
      <c r="E83" s="25">
        <v>46</v>
      </c>
      <c r="F83" s="26">
        <f t="shared" si="36"/>
        <v>0.41666666666666663</v>
      </c>
      <c r="G83" s="13">
        <f t="shared" si="37"/>
        <v>600</v>
      </c>
      <c r="H83" s="13">
        <f t="shared" si="37"/>
        <v>600</v>
      </c>
      <c r="I83" s="13">
        <f t="shared" si="37"/>
        <v>600</v>
      </c>
      <c r="J83" s="13">
        <f t="shared" si="37"/>
        <v>600</v>
      </c>
      <c r="K83" s="13">
        <f t="shared" si="37"/>
        <v>600</v>
      </c>
      <c r="L83" s="13">
        <f t="shared" si="37"/>
        <v>600</v>
      </c>
      <c r="M83" s="13">
        <f t="shared" si="37"/>
        <v>600</v>
      </c>
      <c r="N83" s="13">
        <f t="shared" si="37"/>
        <v>600</v>
      </c>
      <c r="O83" s="13">
        <f t="shared" si="37"/>
        <v>600</v>
      </c>
      <c r="P83" s="13">
        <f t="shared" si="87"/>
        <v>600</v>
      </c>
      <c r="Q83" s="13">
        <f t="shared" si="129"/>
        <v>600</v>
      </c>
      <c r="R83" s="13">
        <f t="shared" si="159"/>
        <v>600</v>
      </c>
      <c r="S83" s="13">
        <f t="shared" ref="S83:S115" si="178">$R$2</f>
        <v>600</v>
      </c>
      <c r="T83" s="13">
        <f t="shared" ref="T83" si="179">($F$5*$B$5*S20+$F$4*U20)/($F$4+$F$5*$B$5)</f>
        <v>645.38863632762514</v>
      </c>
      <c r="U83" s="13">
        <f t="shared" ref="U83:U84" si="180">CU83*V83+EI83</f>
        <v>647.44191757024407</v>
      </c>
      <c r="V83" s="13">
        <f t="shared" ref="U83:AB128" si="181">CV83*W83+EJ83</f>
        <v>648.99431396802504</v>
      </c>
      <c r="W83" s="13">
        <f t="shared" ref="W83:W84" si="182">CW83*X83+EK83</f>
        <v>650.06131255827677</v>
      </c>
      <c r="X83" s="13">
        <f t="shared" ref="X83" si="183">($F$6*$B$5*Y20+$F$4*W20)/($F$4+$F$6*$B$5)</f>
        <v>650.62039543556625</v>
      </c>
      <c r="Y83" s="13">
        <f t="shared" ref="Y83:Y115" si="184">$R$3</f>
        <v>650</v>
      </c>
      <c r="Z83" s="13">
        <f t="shared" si="165"/>
        <v>650</v>
      </c>
      <c r="AA83" s="13">
        <f t="shared" si="137"/>
        <v>650</v>
      </c>
      <c r="AB83" s="13">
        <f t="shared" si="99"/>
        <v>650</v>
      </c>
      <c r="AC83" s="13">
        <f t="shared" si="39"/>
        <v>650</v>
      </c>
      <c r="AD83" s="13">
        <f t="shared" si="39"/>
        <v>650</v>
      </c>
      <c r="AE83" s="13">
        <f t="shared" si="39"/>
        <v>650</v>
      </c>
      <c r="AF83" s="13">
        <f t="shared" si="39"/>
        <v>650</v>
      </c>
      <c r="AG83" s="13">
        <f t="shared" si="39"/>
        <v>650</v>
      </c>
      <c r="AH83" s="13">
        <f t="shared" si="39"/>
        <v>650</v>
      </c>
      <c r="AI83" s="13">
        <f t="shared" si="39"/>
        <v>650</v>
      </c>
      <c r="AJ83" s="13">
        <f t="shared" si="39"/>
        <v>650</v>
      </c>
      <c r="AK83" s="13">
        <f t="shared" si="39"/>
        <v>650</v>
      </c>
      <c r="AL83" s="25">
        <v>46</v>
      </c>
      <c r="AM83" s="26">
        <f t="shared" si="40"/>
        <v>0.41666666666666663</v>
      </c>
      <c r="AP83" s="87"/>
      <c r="AQ83" s="86"/>
      <c r="AR83" s="25">
        <v>46</v>
      </c>
      <c r="AS83" s="26">
        <f t="shared" si="41"/>
        <v>0.41666666666666663</v>
      </c>
      <c r="AT83" s="13">
        <f t="shared" si="42"/>
        <v>600</v>
      </c>
      <c r="AU83" s="13">
        <f t="shared" si="42"/>
        <v>600</v>
      </c>
      <c r="AV83" s="13">
        <f t="shared" si="42"/>
        <v>600</v>
      </c>
      <c r="AW83" s="13">
        <f t="shared" si="42"/>
        <v>600</v>
      </c>
      <c r="AX83" s="13">
        <f t="shared" si="42"/>
        <v>600</v>
      </c>
      <c r="AY83" s="13">
        <f t="shared" si="42"/>
        <v>600</v>
      </c>
      <c r="AZ83" s="13">
        <f t="shared" si="42"/>
        <v>600</v>
      </c>
      <c r="BA83" s="13">
        <f t="shared" si="42"/>
        <v>600</v>
      </c>
      <c r="BB83" s="13">
        <f t="shared" si="42"/>
        <v>600</v>
      </c>
      <c r="BC83" s="13">
        <f t="shared" si="100"/>
        <v>600</v>
      </c>
      <c r="BD83" s="13">
        <f t="shared" si="138"/>
        <v>600</v>
      </c>
      <c r="BE83" s="13">
        <f t="shared" si="166"/>
        <v>600</v>
      </c>
      <c r="BF83" s="13">
        <f t="shared" ref="BF83:BF115" si="185">$R$2</f>
        <v>600</v>
      </c>
      <c r="BG83" s="52"/>
      <c r="BH83" s="13">
        <f t="shared" ref="BH83:BH84" si="186">-($F$3*$F$2)/$B$8*U20</f>
        <v>-2325095263.4996653</v>
      </c>
      <c r="BI83" s="13">
        <f t="shared" ref="BI83" si="187">-($F$3*$F$2)/$B$8*V20</f>
        <v>-2330601145.4404445</v>
      </c>
      <c r="BJ83" s="13">
        <f t="shared" ref="BJ83:BJ84" si="188">-($F$3*$F$2)/$B$8*W20</f>
        <v>-2334522760.5107603</v>
      </c>
      <c r="BK83" s="52"/>
      <c r="BL83" s="13">
        <f t="shared" ref="BL83:BL115" si="189">$R$3</f>
        <v>650</v>
      </c>
      <c r="BM83" s="13">
        <f t="shared" si="167"/>
        <v>650</v>
      </c>
      <c r="BN83" s="13">
        <f t="shared" si="146"/>
        <v>650</v>
      </c>
      <c r="BO83" s="13">
        <f t="shared" si="110"/>
        <v>650</v>
      </c>
      <c r="BP83" s="13">
        <f t="shared" si="44"/>
        <v>650</v>
      </c>
      <c r="BQ83" s="13">
        <f t="shared" si="44"/>
        <v>650</v>
      </c>
      <c r="BR83" s="13">
        <f t="shared" si="44"/>
        <v>650</v>
      </c>
      <c r="BS83" s="13">
        <f t="shared" si="44"/>
        <v>650</v>
      </c>
      <c r="BT83" s="13">
        <f t="shared" si="44"/>
        <v>650</v>
      </c>
      <c r="BU83" s="13">
        <f t="shared" si="44"/>
        <v>650</v>
      </c>
      <c r="BV83" s="13">
        <f t="shared" si="44"/>
        <v>650</v>
      </c>
      <c r="BW83" s="13">
        <f t="shared" si="44"/>
        <v>650</v>
      </c>
      <c r="BX83" s="13">
        <f t="shared" si="44"/>
        <v>650</v>
      </c>
      <c r="BY83" s="25">
        <v>46</v>
      </c>
      <c r="BZ83" s="26">
        <f t="shared" si="45"/>
        <v>0.41666666666666663</v>
      </c>
      <c r="CC83" s="84"/>
      <c r="CD83" s="85"/>
      <c r="CE83" s="25">
        <v>46</v>
      </c>
      <c r="CF83" s="26">
        <f t="shared" si="46"/>
        <v>0.41666666666666663</v>
      </c>
      <c r="CG83" s="13">
        <f t="shared" si="47"/>
        <v>600</v>
      </c>
      <c r="CH83" s="13">
        <f t="shared" si="47"/>
        <v>600</v>
      </c>
      <c r="CI83" s="13">
        <f t="shared" si="47"/>
        <v>600</v>
      </c>
      <c r="CJ83" s="13">
        <f t="shared" si="47"/>
        <v>600</v>
      </c>
      <c r="CK83" s="13">
        <f t="shared" si="47"/>
        <v>600</v>
      </c>
      <c r="CL83" s="13">
        <f t="shared" si="47"/>
        <v>600</v>
      </c>
      <c r="CM83" s="13">
        <f t="shared" si="47"/>
        <v>600</v>
      </c>
      <c r="CN83" s="13">
        <f t="shared" si="47"/>
        <v>600</v>
      </c>
      <c r="CO83" s="13">
        <f t="shared" si="47"/>
        <v>600</v>
      </c>
      <c r="CP83" s="13">
        <f t="shared" si="111"/>
        <v>600</v>
      </c>
      <c r="CQ83" s="13">
        <f t="shared" si="147"/>
        <v>600</v>
      </c>
      <c r="CR83" s="13">
        <f t="shared" si="168"/>
        <v>600</v>
      </c>
      <c r="CS83" s="13">
        <f t="shared" ref="CS83:CS115" si="190">$R$2</f>
        <v>600</v>
      </c>
      <c r="CT83" s="13">
        <v>0</v>
      </c>
      <c r="CU83" s="13">
        <f t="shared" ref="CU83:CX83" si="191">$L$2/($L$3-$L$4*CT83)</f>
        <v>0.34883720930232553</v>
      </c>
      <c r="CV83" s="13">
        <f t="shared" si="191"/>
        <v>0.39716748768472904</v>
      </c>
      <c r="CW83" s="13">
        <f t="shared" si="191"/>
        <v>0.40494040593779607</v>
      </c>
      <c r="CX83" s="13">
        <f t="shared" si="191"/>
        <v>0.4062190081621499</v>
      </c>
      <c r="CY83" s="13">
        <f t="shared" ref="CY83:CY115" si="192">$R$3</f>
        <v>650</v>
      </c>
      <c r="CZ83" s="13">
        <f t="shared" si="169"/>
        <v>650</v>
      </c>
      <c r="DA83" s="13">
        <f t="shared" si="148"/>
        <v>650</v>
      </c>
      <c r="DB83" s="13">
        <f t="shared" si="113"/>
        <v>650</v>
      </c>
      <c r="DC83" s="13">
        <f t="shared" si="49"/>
        <v>650</v>
      </c>
      <c r="DD83" s="13">
        <f t="shared" si="49"/>
        <v>650</v>
      </c>
      <c r="DE83" s="13">
        <f t="shared" si="49"/>
        <v>650</v>
      </c>
      <c r="DF83" s="13">
        <f t="shared" si="49"/>
        <v>650</v>
      </c>
      <c r="DG83" s="13">
        <f t="shared" si="49"/>
        <v>650</v>
      </c>
      <c r="DH83" s="13">
        <f t="shared" si="49"/>
        <v>650</v>
      </c>
      <c r="DI83" s="13">
        <f t="shared" si="49"/>
        <v>650</v>
      </c>
      <c r="DJ83" s="13">
        <f t="shared" si="49"/>
        <v>650</v>
      </c>
      <c r="DK83" s="13">
        <f t="shared" si="49"/>
        <v>650</v>
      </c>
      <c r="DL83" s="25">
        <v>46</v>
      </c>
      <c r="DM83" s="26">
        <f t="shared" si="50"/>
        <v>0.41666666666666663</v>
      </c>
      <c r="DQ83" s="84"/>
      <c r="DR83" s="85"/>
      <c r="DS83" s="25">
        <v>46</v>
      </c>
      <c r="DT83" s="26">
        <f t="shared" si="51"/>
        <v>0.41666666666666663</v>
      </c>
      <c r="DU83" s="13">
        <f t="shared" si="52"/>
        <v>600</v>
      </c>
      <c r="DV83" s="13">
        <f t="shared" si="52"/>
        <v>600</v>
      </c>
      <c r="DW83" s="13">
        <f t="shared" si="52"/>
        <v>600</v>
      </c>
      <c r="DX83" s="13">
        <f t="shared" si="52"/>
        <v>600</v>
      </c>
      <c r="DY83" s="13">
        <f t="shared" si="52"/>
        <v>600</v>
      </c>
      <c r="DZ83" s="13">
        <f t="shared" si="52"/>
        <v>600</v>
      </c>
      <c r="EA83" s="13">
        <f t="shared" si="52"/>
        <v>600</v>
      </c>
      <c r="EB83" s="13">
        <f t="shared" si="52"/>
        <v>600</v>
      </c>
      <c r="EC83" s="13">
        <f t="shared" si="52"/>
        <v>600</v>
      </c>
      <c r="ED83" s="13">
        <f t="shared" si="114"/>
        <v>600</v>
      </c>
      <c r="EE83" s="13">
        <f t="shared" si="149"/>
        <v>600</v>
      </c>
      <c r="EF83" s="13">
        <f t="shared" si="170"/>
        <v>600</v>
      </c>
      <c r="EG83" s="13">
        <f t="shared" ref="EG83:EG115" si="193">$R$2</f>
        <v>600</v>
      </c>
      <c r="EH83" s="13">
        <f>T83</f>
        <v>645.38863632762514</v>
      </c>
      <c r="EI83" s="13">
        <f t="shared" ref="EI83:EI84" si="194">(EH83*$L$4-BH83)/($L$3-$L$4*CT83)</f>
        <v>421.04855223256095</v>
      </c>
      <c r="EJ83" s="13">
        <f t="shared" ref="EJ83:EJ84" si="195">(EI83*$L$4-BI83)/($L$3-$L$4*CU83)</f>
        <v>390.81109561821688</v>
      </c>
      <c r="EK83" s="13">
        <f t="shared" ref="EK83:EK84" si="196">(EJ83*$L$4-BJ83)/($L$3-$L$4*CV83)</f>
        <v>386.59882551918918</v>
      </c>
      <c r="EL83" s="13">
        <f t="shared" ref="EL83:EL84" si="197">(EK83*$L$4-BK83)/($L$3-$L$4*CW83)</f>
        <v>157.04379145905708</v>
      </c>
      <c r="EM83" s="13">
        <f t="shared" ref="EM83:EM115" si="198">$R$3</f>
        <v>650</v>
      </c>
      <c r="EN83" s="13">
        <f t="shared" si="177"/>
        <v>650</v>
      </c>
      <c r="EO83" s="13">
        <f t="shared" si="158"/>
        <v>650</v>
      </c>
      <c r="EP83" s="13">
        <f t="shared" si="125"/>
        <v>650</v>
      </c>
      <c r="EQ83" s="13">
        <f t="shared" si="54"/>
        <v>650</v>
      </c>
      <c r="ER83" s="13">
        <f t="shared" si="54"/>
        <v>650</v>
      </c>
      <c r="ES83" s="13">
        <f t="shared" si="54"/>
        <v>650</v>
      </c>
      <c r="ET83" s="13">
        <f t="shared" si="54"/>
        <v>650</v>
      </c>
      <c r="EU83" s="13">
        <f t="shared" si="54"/>
        <v>650</v>
      </c>
      <c r="EV83" s="13">
        <f t="shared" si="54"/>
        <v>650</v>
      </c>
      <c r="EW83" s="13">
        <f t="shared" si="54"/>
        <v>650</v>
      </c>
      <c r="EX83" s="13">
        <f t="shared" si="54"/>
        <v>650</v>
      </c>
      <c r="EY83" s="13">
        <f t="shared" si="54"/>
        <v>650</v>
      </c>
      <c r="EZ83" s="25">
        <v>46</v>
      </c>
      <c r="FA83" s="26">
        <f t="shared" si="55"/>
        <v>0.41666666666666663</v>
      </c>
    </row>
    <row r="84" spans="3:157" x14ac:dyDescent="0.25">
      <c r="C84" s="84"/>
      <c r="D84" s="85"/>
      <c r="E84" s="25">
        <v>45</v>
      </c>
      <c r="F84" s="26">
        <f t="shared" si="36"/>
        <v>0.40740740740740738</v>
      </c>
      <c r="G84" s="13">
        <f t="shared" ref="G84:O93" si="199">$R$2</f>
        <v>600</v>
      </c>
      <c r="H84" s="13">
        <f t="shared" si="199"/>
        <v>600</v>
      </c>
      <c r="I84" s="13">
        <f t="shared" si="199"/>
        <v>600</v>
      </c>
      <c r="J84" s="13">
        <f t="shared" si="199"/>
        <v>600</v>
      </c>
      <c r="K84" s="13">
        <f t="shared" si="199"/>
        <v>600</v>
      </c>
      <c r="L84" s="13">
        <f t="shared" si="199"/>
        <v>600</v>
      </c>
      <c r="M84" s="13">
        <f t="shared" si="199"/>
        <v>600</v>
      </c>
      <c r="N84" s="13">
        <f t="shared" si="199"/>
        <v>600</v>
      </c>
      <c r="O84" s="13">
        <f t="shared" si="199"/>
        <v>600</v>
      </c>
      <c r="P84" s="13">
        <f t="shared" si="87"/>
        <v>600</v>
      </c>
      <c r="Q84" s="13">
        <f t="shared" si="129"/>
        <v>600</v>
      </c>
      <c r="R84" s="13">
        <f t="shared" si="159"/>
        <v>600</v>
      </c>
      <c r="S84" s="13">
        <f t="shared" si="178"/>
        <v>600</v>
      </c>
      <c r="T84" s="13">
        <f t="shared" ref="T84" si="200">($F$5*$B$5*S21+$F$4*U21)/($F$4+$F$5*$B$5)</f>
        <v>633.97492964565299</v>
      </c>
      <c r="U84" s="13">
        <f t="shared" si="180"/>
        <v>635.62122994814558</v>
      </c>
      <c r="V84" s="13">
        <f t="shared" si="181"/>
        <v>636.98737085910409</v>
      </c>
      <c r="W84" s="13">
        <f t="shared" si="182"/>
        <v>638.09657031643496</v>
      </c>
      <c r="X84" s="13">
        <f t="shared" ref="X84" si="201">($F$6*$B$5*Y21+$F$4*W21)/($F$4+$F$6*$B$5)</f>
        <v>638.91455874667156</v>
      </c>
      <c r="Y84" s="13">
        <f t="shared" si="184"/>
        <v>650</v>
      </c>
      <c r="Z84" s="13">
        <f t="shared" si="165"/>
        <v>650</v>
      </c>
      <c r="AA84" s="13">
        <f t="shared" si="137"/>
        <v>650</v>
      </c>
      <c r="AB84" s="13">
        <f t="shared" si="99"/>
        <v>650</v>
      </c>
      <c r="AC84" s="13">
        <f t="shared" ref="AC84:AK93" si="202">$R$3</f>
        <v>650</v>
      </c>
      <c r="AD84" s="13">
        <f t="shared" si="202"/>
        <v>650</v>
      </c>
      <c r="AE84" s="13">
        <f t="shared" si="202"/>
        <v>650</v>
      </c>
      <c r="AF84" s="13">
        <f t="shared" si="202"/>
        <v>650</v>
      </c>
      <c r="AG84" s="13">
        <f t="shared" si="202"/>
        <v>650</v>
      </c>
      <c r="AH84" s="13">
        <f t="shared" si="202"/>
        <v>650</v>
      </c>
      <c r="AI84" s="13">
        <f t="shared" si="202"/>
        <v>650</v>
      </c>
      <c r="AJ84" s="13">
        <f t="shared" si="202"/>
        <v>650</v>
      </c>
      <c r="AK84" s="13">
        <f t="shared" si="202"/>
        <v>650</v>
      </c>
      <c r="AL84" s="25">
        <v>45</v>
      </c>
      <c r="AM84" s="26">
        <f t="shared" si="40"/>
        <v>0.40740740740740738</v>
      </c>
      <c r="AP84" s="87"/>
      <c r="AQ84" s="86"/>
      <c r="AR84" s="25">
        <v>45</v>
      </c>
      <c r="AS84" s="26">
        <f t="shared" si="41"/>
        <v>0.40740740740740738</v>
      </c>
      <c r="AT84" s="13">
        <f t="shared" ref="AT84:BB93" si="203">$R$2</f>
        <v>600</v>
      </c>
      <c r="AU84" s="13">
        <f t="shared" si="203"/>
        <v>600</v>
      </c>
      <c r="AV84" s="13">
        <f t="shared" si="203"/>
        <v>600</v>
      </c>
      <c r="AW84" s="13">
        <f t="shared" si="203"/>
        <v>600</v>
      </c>
      <c r="AX84" s="13">
        <f t="shared" si="203"/>
        <v>600</v>
      </c>
      <c r="AY84" s="13">
        <f t="shared" si="203"/>
        <v>600</v>
      </c>
      <c r="AZ84" s="13">
        <f t="shared" si="203"/>
        <v>600</v>
      </c>
      <c r="BA84" s="13">
        <f t="shared" si="203"/>
        <v>600</v>
      </c>
      <c r="BB84" s="13">
        <f t="shared" si="203"/>
        <v>600</v>
      </c>
      <c r="BC84" s="13">
        <f t="shared" si="100"/>
        <v>600</v>
      </c>
      <c r="BD84" s="13">
        <f t="shared" si="138"/>
        <v>600</v>
      </c>
      <c r="BE84" s="13">
        <f t="shared" si="166"/>
        <v>600</v>
      </c>
      <c r="BF84" s="13">
        <f t="shared" si="185"/>
        <v>600</v>
      </c>
      <c r="BG84" s="52"/>
      <c r="BH84" s="13">
        <f t="shared" si="186"/>
        <v>-2281768832.9348984</v>
      </c>
      <c r="BI84" s="13">
        <f>-($F$3*$F$2)/$B$8*V21</f>
        <v>-2286574424.2604828</v>
      </c>
      <c r="BJ84" s="13">
        <f t="shared" si="188"/>
        <v>-2290696107.9475384</v>
      </c>
      <c r="BK84" s="52"/>
      <c r="BL84" s="13">
        <f t="shared" si="189"/>
        <v>650</v>
      </c>
      <c r="BM84" s="13">
        <f t="shared" si="167"/>
        <v>650</v>
      </c>
      <c r="BN84" s="13">
        <f t="shared" si="146"/>
        <v>650</v>
      </c>
      <c r="BO84" s="13">
        <f t="shared" si="110"/>
        <v>650</v>
      </c>
      <c r="BP84" s="13">
        <f t="shared" ref="BP84:BX93" si="204">$R$3</f>
        <v>650</v>
      </c>
      <c r="BQ84" s="13">
        <f t="shared" si="204"/>
        <v>650</v>
      </c>
      <c r="BR84" s="13">
        <f t="shared" si="204"/>
        <v>650</v>
      </c>
      <c r="BS84" s="13">
        <f t="shared" si="204"/>
        <v>650</v>
      </c>
      <c r="BT84" s="13">
        <f t="shared" si="204"/>
        <v>650</v>
      </c>
      <c r="BU84" s="13">
        <f t="shared" si="204"/>
        <v>650</v>
      </c>
      <c r="BV84" s="13">
        <f t="shared" si="204"/>
        <v>650</v>
      </c>
      <c r="BW84" s="13">
        <f t="shared" si="204"/>
        <v>650</v>
      </c>
      <c r="BX84" s="13">
        <f t="shared" si="204"/>
        <v>650</v>
      </c>
      <c r="BY84" s="25">
        <v>45</v>
      </c>
      <c r="BZ84" s="26">
        <f t="shared" si="45"/>
        <v>0.40740740740740738</v>
      </c>
      <c r="CC84" s="84"/>
      <c r="CD84" s="85"/>
      <c r="CE84" s="25">
        <v>45</v>
      </c>
      <c r="CF84" s="26">
        <f t="shared" si="46"/>
        <v>0.40740740740740738</v>
      </c>
      <c r="CG84" s="13">
        <f t="shared" ref="CG84:CO93" si="205">$R$2</f>
        <v>600</v>
      </c>
      <c r="CH84" s="13">
        <f t="shared" si="205"/>
        <v>600</v>
      </c>
      <c r="CI84" s="13">
        <f t="shared" si="205"/>
        <v>600</v>
      </c>
      <c r="CJ84" s="13">
        <f t="shared" si="205"/>
        <v>600</v>
      </c>
      <c r="CK84" s="13">
        <f t="shared" si="205"/>
        <v>600</v>
      </c>
      <c r="CL84" s="13">
        <f t="shared" si="205"/>
        <v>600</v>
      </c>
      <c r="CM84" s="13">
        <f t="shared" si="205"/>
        <v>600</v>
      </c>
      <c r="CN84" s="13">
        <f t="shared" si="205"/>
        <v>600</v>
      </c>
      <c r="CO84" s="13">
        <f t="shared" si="205"/>
        <v>600</v>
      </c>
      <c r="CP84" s="13">
        <f t="shared" si="111"/>
        <v>600</v>
      </c>
      <c r="CQ84" s="13">
        <f t="shared" si="147"/>
        <v>600</v>
      </c>
      <c r="CR84" s="13">
        <f t="shared" si="168"/>
        <v>600</v>
      </c>
      <c r="CS84" s="13">
        <f t="shared" si="190"/>
        <v>600</v>
      </c>
      <c r="CT84" s="13">
        <v>0</v>
      </c>
      <c r="CU84" s="13">
        <f t="shared" ref="CU84:CX84" si="206">$L$2/($L$3-$L$4*CT84)</f>
        <v>0.34883720930232553</v>
      </c>
      <c r="CV84" s="13">
        <f t="shared" si="206"/>
        <v>0.39716748768472904</v>
      </c>
      <c r="CW84" s="13">
        <f t="shared" si="206"/>
        <v>0.40494040593779607</v>
      </c>
      <c r="CX84" s="13">
        <f t="shared" si="206"/>
        <v>0.4062190081621499</v>
      </c>
      <c r="CY84" s="13">
        <f t="shared" si="192"/>
        <v>650</v>
      </c>
      <c r="CZ84" s="13">
        <f t="shared" si="169"/>
        <v>650</v>
      </c>
      <c r="DA84" s="13">
        <f t="shared" si="148"/>
        <v>650</v>
      </c>
      <c r="DB84" s="13">
        <f t="shared" si="113"/>
        <v>650</v>
      </c>
      <c r="DC84" s="13">
        <f t="shared" ref="DC84:DK93" si="207">$R$3</f>
        <v>650</v>
      </c>
      <c r="DD84" s="13">
        <f t="shared" si="207"/>
        <v>650</v>
      </c>
      <c r="DE84" s="13">
        <f t="shared" si="207"/>
        <v>650</v>
      </c>
      <c r="DF84" s="13">
        <f t="shared" si="207"/>
        <v>650</v>
      </c>
      <c r="DG84" s="13">
        <f t="shared" si="207"/>
        <v>650</v>
      </c>
      <c r="DH84" s="13">
        <f t="shared" si="207"/>
        <v>650</v>
      </c>
      <c r="DI84" s="13">
        <f t="shared" si="207"/>
        <v>650</v>
      </c>
      <c r="DJ84" s="13">
        <f t="shared" si="207"/>
        <v>650</v>
      </c>
      <c r="DK84" s="13">
        <f t="shared" si="207"/>
        <v>650</v>
      </c>
      <c r="DL84" s="25">
        <v>45</v>
      </c>
      <c r="DM84" s="26">
        <f t="shared" si="50"/>
        <v>0.40740740740740738</v>
      </c>
      <c r="DQ84" s="84"/>
      <c r="DR84" s="85"/>
      <c r="DS84" s="25">
        <v>45</v>
      </c>
      <c r="DT84" s="26">
        <f t="shared" si="51"/>
        <v>0.40740740740740738</v>
      </c>
      <c r="DU84" s="13">
        <f t="shared" ref="DU84:EC93" si="208">$R$2</f>
        <v>600</v>
      </c>
      <c r="DV84" s="13">
        <f t="shared" si="208"/>
        <v>600</v>
      </c>
      <c r="DW84" s="13">
        <f t="shared" si="208"/>
        <v>600</v>
      </c>
      <c r="DX84" s="13">
        <f t="shared" si="208"/>
        <v>600</v>
      </c>
      <c r="DY84" s="13">
        <f t="shared" si="208"/>
        <v>600</v>
      </c>
      <c r="DZ84" s="13">
        <f t="shared" si="208"/>
        <v>600</v>
      </c>
      <c r="EA84" s="13">
        <f t="shared" si="208"/>
        <v>600</v>
      </c>
      <c r="EB84" s="13">
        <f t="shared" si="208"/>
        <v>600</v>
      </c>
      <c r="EC84" s="13">
        <f t="shared" si="208"/>
        <v>600</v>
      </c>
      <c r="ED84" s="13">
        <f t="shared" si="114"/>
        <v>600</v>
      </c>
      <c r="EE84" s="13">
        <f t="shared" si="149"/>
        <v>600</v>
      </c>
      <c r="EF84" s="13">
        <f t="shared" si="170"/>
        <v>600</v>
      </c>
      <c r="EG84" s="13">
        <f t="shared" si="193"/>
        <v>600</v>
      </c>
      <c r="EH84" s="13">
        <f>T84</f>
        <v>633.97492964565299</v>
      </c>
      <c r="EI84" s="13">
        <f t="shared" si="194"/>
        <v>413.4163331368303</v>
      </c>
      <c r="EJ84" s="13">
        <f t="shared" si="195"/>
        <v>383.55615912628355</v>
      </c>
      <c r="EK84" s="13">
        <f t="shared" si="196"/>
        <v>379.3742495379899</v>
      </c>
      <c r="EL84" s="13">
        <f t="shared" si="197"/>
        <v>154.10903136958223</v>
      </c>
      <c r="EM84" s="13">
        <f t="shared" si="198"/>
        <v>650</v>
      </c>
      <c r="EN84" s="13">
        <f t="shared" si="177"/>
        <v>650</v>
      </c>
      <c r="EO84" s="13">
        <f t="shared" si="158"/>
        <v>650</v>
      </c>
      <c r="EP84" s="13">
        <f t="shared" si="125"/>
        <v>650</v>
      </c>
      <c r="EQ84" s="13">
        <f t="shared" ref="EQ84:EY93" si="209">$R$3</f>
        <v>650</v>
      </c>
      <c r="ER84" s="13">
        <f t="shared" si="209"/>
        <v>650</v>
      </c>
      <c r="ES84" s="13">
        <f t="shared" si="209"/>
        <v>650</v>
      </c>
      <c r="ET84" s="13">
        <f t="shared" si="209"/>
        <v>650</v>
      </c>
      <c r="EU84" s="13">
        <f t="shared" si="209"/>
        <v>650</v>
      </c>
      <c r="EV84" s="13">
        <f t="shared" si="209"/>
        <v>650</v>
      </c>
      <c r="EW84" s="13">
        <f t="shared" si="209"/>
        <v>650</v>
      </c>
      <c r="EX84" s="13">
        <f t="shared" si="209"/>
        <v>650</v>
      </c>
      <c r="EY84" s="13">
        <f t="shared" si="209"/>
        <v>650</v>
      </c>
      <c r="EZ84" s="25">
        <v>45</v>
      </c>
      <c r="FA84" s="26">
        <f t="shared" si="55"/>
        <v>0.40740740740740738</v>
      </c>
    </row>
    <row r="85" spans="3:157" x14ac:dyDescent="0.25">
      <c r="C85" s="84"/>
      <c r="D85" s="85"/>
      <c r="E85" s="25">
        <v>44</v>
      </c>
      <c r="F85" s="26">
        <f t="shared" si="36"/>
        <v>0.39814814814814814</v>
      </c>
      <c r="G85" s="13">
        <f t="shared" si="199"/>
        <v>600</v>
      </c>
      <c r="H85" s="13">
        <f t="shared" si="199"/>
        <v>600</v>
      </c>
      <c r="I85" s="13">
        <f t="shared" si="199"/>
        <v>600</v>
      </c>
      <c r="J85" s="13">
        <f t="shared" si="199"/>
        <v>600</v>
      </c>
      <c r="K85" s="13">
        <f t="shared" si="199"/>
        <v>600</v>
      </c>
      <c r="L85" s="13">
        <f t="shared" si="199"/>
        <v>600</v>
      </c>
      <c r="M85" s="13">
        <f t="shared" si="199"/>
        <v>600</v>
      </c>
      <c r="N85" s="13">
        <f t="shared" si="199"/>
        <v>600</v>
      </c>
      <c r="O85" s="13">
        <f t="shared" si="199"/>
        <v>600</v>
      </c>
      <c r="P85" s="13">
        <f t="shared" si="87"/>
        <v>600</v>
      </c>
      <c r="Q85" s="13">
        <f t="shared" si="129"/>
        <v>600</v>
      </c>
      <c r="R85" s="13">
        <f t="shared" si="159"/>
        <v>600</v>
      </c>
      <c r="S85" s="13">
        <f t="shared" si="178"/>
        <v>600</v>
      </c>
      <c r="T85" s="13">
        <f t="shared" ref="T85:T112" si="210">$R$2</f>
        <v>600</v>
      </c>
      <c r="U85" s="13">
        <f t="shared" ref="U85" si="211">($F$5*$B$5*T22+$F$4*V22)/($F$4+$F$5*$B$5)</f>
        <v>625.71456624946097</v>
      </c>
      <c r="V85" s="13">
        <f t="shared" si="181"/>
        <v>626.65049236911489</v>
      </c>
      <c r="W85" s="13">
        <f t="shared" ref="W85" si="212">($F$6*$B$5*X22+$F$4*V22)/($F$4+$F$6*$B$5)</f>
        <v>628.15504633625903</v>
      </c>
      <c r="X85" s="13">
        <f t="shared" ref="X85:X112" si="213">$R$3</f>
        <v>650</v>
      </c>
      <c r="Y85" s="13">
        <f t="shared" si="184"/>
        <v>650</v>
      </c>
      <c r="Z85" s="13">
        <f t="shared" si="165"/>
        <v>650</v>
      </c>
      <c r="AA85" s="13">
        <f t="shared" si="137"/>
        <v>650</v>
      </c>
      <c r="AB85" s="13">
        <f t="shared" si="99"/>
        <v>650</v>
      </c>
      <c r="AC85" s="13">
        <f t="shared" si="202"/>
        <v>650</v>
      </c>
      <c r="AD85" s="13">
        <f t="shared" si="202"/>
        <v>650</v>
      </c>
      <c r="AE85" s="13">
        <f t="shared" si="202"/>
        <v>650</v>
      </c>
      <c r="AF85" s="13">
        <f t="shared" si="202"/>
        <v>650</v>
      </c>
      <c r="AG85" s="13">
        <f t="shared" si="202"/>
        <v>650</v>
      </c>
      <c r="AH85" s="13">
        <f t="shared" si="202"/>
        <v>650</v>
      </c>
      <c r="AI85" s="13">
        <f t="shared" si="202"/>
        <v>650</v>
      </c>
      <c r="AJ85" s="13">
        <f t="shared" si="202"/>
        <v>650</v>
      </c>
      <c r="AK85" s="13">
        <f t="shared" si="202"/>
        <v>650</v>
      </c>
      <c r="AL85" s="25">
        <v>44</v>
      </c>
      <c r="AM85" s="26">
        <f t="shared" si="40"/>
        <v>0.39814814814814814</v>
      </c>
      <c r="AP85" s="87"/>
      <c r="AQ85" s="86"/>
      <c r="AR85" s="25">
        <v>44</v>
      </c>
      <c r="AS85" s="26">
        <f t="shared" si="41"/>
        <v>0.39814814814814814</v>
      </c>
      <c r="AT85" s="13">
        <f t="shared" si="203"/>
        <v>600</v>
      </c>
      <c r="AU85" s="13">
        <f t="shared" si="203"/>
        <v>600</v>
      </c>
      <c r="AV85" s="13">
        <f t="shared" si="203"/>
        <v>600</v>
      </c>
      <c r="AW85" s="13">
        <f t="shared" si="203"/>
        <v>600</v>
      </c>
      <c r="AX85" s="13">
        <f t="shared" si="203"/>
        <v>600</v>
      </c>
      <c r="AY85" s="13">
        <f t="shared" si="203"/>
        <v>600</v>
      </c>
      <c r="AZ85" s="13">
        <f t="shared" si="203"/>
        <v>600</v>
      </c>
      <c r="BA85" s="13">
        <f t="shared" si="203"/>
        <v>600</v>
      </c>
      <c r="BB85" s="13">
        <f t="shared" si="203"/>
        <v>600</v>
      </c>
      <c r="BC85" s="13">
        <f t="shared" si="100"/>
        <v>600</v>
      </c>
      <c r="BD85" s="13">
        <f t="shared" si="138"/>
        <v>600</v>
      </c>
      <c r="BE85" s="13">
        <f t="shared" si="166"/>
        <v>600</v>
      </c>
      <c r="BF85" s="13">
        <f t="shared" si="185"/>
        <v>600</v>
      </c>
      <c r="BG85" s="13">
        <f t="shared" ref="BG85:BG112" si="214">$R$2</f>
        <v>600</v>
      </c>
      <c r="BH85" s="52"/>
      <c r="BI85" s="13">
        <f t="shared" ref="BI85:BI128" si="215">-($F$3*$F$2)/$B$8*V22</f>
        <v>-2250412493.4829535</v>
      </c>
      <c r="BJ85" s="52"/>
      <c r="BK85" s="13">
        <f t="shared" ref="BK85:BK112" si="216">$R$3</f>
        <v>650</v>
      </c>
      <c r="BL85" s="13">
        <f t="shared" si="189"/>
        <v>650</v>
      </c>
      <c r="BM85" s="13">
        <f t="shared" si="167"/>
        <v>650</v>
      </c>
      <c r="BN85" s="13">
        <f t="shared" si="146"/>
        <v>650</v>
      </c>
      <c r="BO85" s="13">
        <f t="shared" si="110"/>
        <v>650</v>
      </c>
      <c r="BP85" s="13">
        <f t="shared" si="204"/>
        <v>650</v>
      </c>
      <c r="BQ85" s="13">
        <f t="shared" si="204"/>
        <v>650</v>
      </c>
      <c r="BR85" s="13">
        <f t="shared" si="204"/>
        <v>650</v>
      </c>
      <c r="BS85" s="13">
        <f t="shared" si="204"/>
        <v>650</v>
      </c>
      <c r="BT85" s="13">
        <f t="shared" si="204"/>
        <v>650</v>
      </c>
      <c r="BU85" s="13">
        <f t="shared" si="204"/>
        <v>650</v>
      </c>
      <c r="BV85" s="13">
        <f t="shared" si="204"/>
        <v>650</v>
      </c>
      <c r="BW85" s="13">
        <f t="shared" si="204"/>
        <v>650</v>
      </c>
      <c r="BX85" s="13">
        <f t="shared" si="204"/>
        <v>650</v>
      </c>
      <c r="BY85" s="25">
        <v>44</v>
      </c>
      <c r="BZ85" s="26">
        <f t="shared" si="45"/>
        <v>0.39814814814814814</v>
      </c>
      <c r="CC85" s="84"/>
      <c r="CD85" s="85"/>
      <c r="CE85" s="25">
        <v>44</v>
      </c>
      <c r="CF85" s="26">
        <f t="shared" si="46"/>
        <v>0.39814814814814814</v>
      </c>
      <c r="CG85" s="13">
        <f t="shared" si="205"/>
        <v>600</v>
      </c>
      <c r="CH85" s="13">
        <f t="shared" si="205"/>
        <v>600</v>
      </c>
      <c r="CI85" s="13">
        <f t="shared" si="205"/>
        <v>600</v>
      </c>
      <c r="CJ85" s="13">
        <f t="shared" si="205"/>
        <v>600</v>
      </c>
      <c r="CK85" s="13">
        <f t="shared" si="205"/>
        <v>600</v>
      </c>
      <c r="CL85" s="13">
        <f t="shared" si="205"/>
        <v>600</v>
      </c>
      <c r="CM85" s="13">
        <f t="shared" si="205"/>
        <v>600</v>
      </c>
      <c r="CN85" s="13">
        <f t="shared" si="205"/>
        <v>600</v>
      </c>
      <c r="CO85" s="13">
        <f t="shared" si="205"/>
        <v>600</v>
      </c>
      <c r="CP85" s="13">
        <f t="shared" si="111"/>
        <v>600</v>
      </c>
      <c r="CQ85" s="13">
        <f t="shared" si="147"/>
        <v>600</v>
      </c>
      <c r="CR85" s="13">
        <f t="shared" si="168"/>
        <v>600</v>
      </c>
      <c r="CS85" s="13">
        <f t="shared" si="190"/>
        <v>600</v>
      </c>
      <c r="CT85" s="13">
        <f t="shared" ref="CT85:CT112" si="217">$R$2</f>
        <v>600</v>
      </c>
      <c r="CU85" s="13">
        <f t="shared" ref="CU85:CW85" si="218">$L$2/($L$3-$L$4*CT85)</f>
        <v>-1.6746678575415876E-3</v>
      </c>
      <c r="CV85" s="13">
        <f t="shared" si="218"/>
        <v>0.34863354230673421</v>
      </c>
      <c r="CW85" s="13">
        <f t="shared" si="218"/>
        <v>0.39713536344133415</v>
      </c>
      <c r="CX85" s="13">
        <f t="shared" ref="CX85:CX112" si="219">$R$3</f>
        <v>650</v>
      </c>
      <c r="CY85" s="13">
        <f t="shared" si="192"/>
        <v>650</v>
      </c>
      <c r="CZ85" s="13">
        <f t="shared" si="169"/>
        <v>650</v>
      </c>
      <c r="DA85" s="13">
        <f t="shared" si="148"/>
        <v>650</v>
      </c>
      <c r="DB85" s="13">
        <f t="shared" si="113"/>
        <v>650</v>
      </c>
      <c r="DC85" s="13">
        <f t="shared" si="207"/>
        <v>650</v>
      </c>
      <c r="DD85" s="13">
        <f t="shared" si="207"/>
        <v>650</v>
      </c>
      <c r="DE85" s="13">
        <f t="shared" si="207"/>
        <v>650</v>
      </c>
      <c r="DF85" s="13">
        <f t="shared" si="207"/>
        <v>650</v>
      </c>
      <c r="DG85" s="13">
        <f t="shared" si="207"/>
        <v>650</v>
      </c>
      <c r="DH85" s="13">
        <f t="shared" si="207"/>
        <v>650</v>
      </c>
      <c r="DI85" s="13">
        <f t="shared" si="207"/>
        <v>650</v>
      </c>
      <c r="DJ85" s="13">
        <f t="shared" si="207"/>
        <v>650</v>
      </c>
      <c r="DK85" s="13">
        <f t="shared" si="207"/>
        <v>650</v>
      </c>
      <c r="DL85" s="25">
        <v>44</v>
      </c>
      <c r="DM85" s="26">
        <f t="shared" si="50"/>
        <v>0.39814814814814814</v>
      </c>
      <c r="DQ85" s="84"/>
      <c r="DR85" s="85"/>
      <c r="DS85" s="25">
        <v>44</v>
      </c>
      <c r="DT85" s="26">
        <f t="shared" si="51"/>
        <v>0.39814814814814814</v>
      </c>
      <c r="DU85" s="13">
        <f t="shared" si="208"/>
        <v>600</v>
      </c>
      <c r="DV85" s="13">
        <f t="shared" si="208"/>
        <v>600</v>
      </c>
      <c r="DW85" s="13">
        <f t="shared" si="208"/>
        <v>600</v>
      </c>
      <c r="DX85" s="13">
        <f t="shared" si="208"/>
        <v>600</v>
      </c>
      <c r="DY85" s="13">
        <f t="shared" si="208"/>
        <v>600</v>
      </c>
      <c r="DZ85" s="13">
        <f t="shared" si="208"/>
        <v>600</v>
      </c>
      <c r="EA85" s="13">
        <f t="shared" si="208"/>
        <v>600</v>
      </c>
      <c r="EB85" s="13">
        <f t="shared" si="208"/>
        <v>600</v>
      </c>
      <c r="EC85" s="13">
        <f t="shared" si="208"/>
        <v>600</v>
      </c>
      <c r="ED85" s="13">
        <f t="shared" si="114"/>
        <v>600</v>
      </c>
      <c r="EE85" s="13">
        <f t="shared" si="149"/>
        <v>600</v>
      </c>
      <c r="EF85" s="13">
        <f t="shared" si="170"/>
        <v>600</v>
      </c>
      <c r="EG85" s="13">
        <f t="shared" si="193"/>
        <v>600</v>
      </c>
      <c r="EH85" s="13">
        <f t="shared" ref="EH85:EH112" si="220">$R$2</f>
        <v>600</v>
      </c>
      <c r="EI85" s="13">
        <f>U85</f>
        <v>625.71456624946097</v>
      </c>
      <c r="EJ85" s="13">
        <f t="shared" ref="EJ85:EJ128" si="221">(EI85*$L$4-BI85)/($L$3-$L$4*CU85)</f>
        <v>407.65457344705413</v>
      </c>
      <c r="EK85" s="13">
        <f t="shared" ref="EK85:EK128" si="222">(EJ85*$L$4-BJ85)/($L$3-$L$4*CV85)</f>
        <v>161.8940471844179</v>
      </c>
      <c r="EL85" s="13">
        <f t="shared" ref="EL85:EL112" si="223">$R$3</f>
        <v>650</v>
      </c>
      <c r="EM85" s="13">
        <f t="shared" si="198"/>
        <v>650</v>
      </c>
      <c r="EN85" s="13">
        <f t="shared" si="177"/>
        <v>650</v>
      </c>
      <c r="EO85" s="13">
        <f t="shared" si="158"/>
        <v>650</v>
      </c>
      <c r="EP85" s="13">
        <f t="shared" si="125"/>
        <v>650</v>
      </c>
      <c r="EQ85" s="13">
        <f t="shared" si="209"/>
        <v>650</v>
      </c>
      <c r="ER85" s="13">
        <f t="shared" si="209"/>
        <v>650</v>
      </c>
      <c r="ES85" s="13">
        <f t="shared" si="209"/>
        <v>650</v>
      </c>
      <c r="ET85" s="13">
        <f t="shared" si="209"/>
        <v>650</v>
      </c>
      <c r="EU85" s="13">
        <f t="shared" si="209"/>
        <v>650</v>
      </c>
      <c r="EV85" s="13">
        <f t="shared" si="209"/>
        <v>650</v>
      </c>
      <c r="EW85" s="13">
        <f t="shared" si="209"/>
        <v>650</v>
      </c>
      <c r="EX85" s="13">
        <f t="shared" si="209"/>
        <v>650</v>
      </c>
      <c r="EY85" s="13">
        <f t="shared" si="209"/>
        <v>650</v>
      </c>
      <c r="EZ85" s="25">
        <v>44</v>
      </c>
      <c r="FA85" s="26">
        <f t="shared" si="55"/>
        <v>0.39814814814814814</v>
      </c>
    </row>
    <row r="86" spans="3:157" x14ac:dyDescent="0.25">
      <c r="C86" s="84"/>
      <c r="D86" s="85"/>
      <c r="E86" s="25">
        <v>43</v>
      </c>
      <c r="F86" s="26">
        <f t="shared" si="36"/>
        <v>0.38888888888888884</v>
      </c>
      <c r="G86" s="13">
        <f t="shared" si="199"/>
        <v>600</v>
      </c>
      <c r="H86" s="13">
        <f t="shared" si="199"/>
        <v>600</v>
      </c>
      <c r="I86" s="13">
        <f t="shared" si="199"/>
        <v>600</v>
      </c>
      <c r="J86" s="13">
        <f t="shared" si="199"/>
        <v>600</v>
      </c>
      <c r="K86" s="13">
        <f t="shared" si="199"/>
        <v>600</v>
      </c>
      <c r="L86" s="13">
        <f t="shared" si="199"/>
        <v>600</v>
      </c>
      <c r="M86" s="13">
        <f t="shared" si="199"/>
        <v>600</v>
      </c>
      <c r="N86" s="13">
        <f t="shared" si="199"/>
        <v>600</v>
      </c>
      <c r="O86" s="13">
        <f t="shared" si="199"/>
        <v>600</v>
      </c>
      <c r="P86" s="13">
        <f t="shared" si="87"/>
        <v>600</v>
      </c>
      <c r="Q86" s="13">
        <f t="shared" si="129"/>
        <v>600</v>
      </c>
      <c r="R86" s="13">
        <f t="shared" si="159"/>
        <v>600</v>
      </c>
      <c r="S86" s="13">
        <f t="shared" si="178"/>
        <v>600</v>
      </c>
      <c r="T86" s="13">
        <f t="shared" si="210"/>
        <v>600</v>
      </c>
      <c r="U86" s="13">
        <f t="shared" ref="U86" si="224">($F$5*$B$5*T23+$F$4*V23)/($F$4+$F$5*$B$5)</f>
        <v>619.8081668171784</v>
      </c>
      <c r="V86" s="13">
        <f t="shared" si="181"/>
        <v>620.61548596043485</v>
      </c>
      <c r="W86" s="13">
        <f t="shared" ref="W86" si="225">($F$6*$B$5*X23+$F$4*V23)/($F$4+$F$6*$B$5)</f>
        <v>622.16661357852809</v>
      </c>
      <c r="X86" s="13">
        <f t="shared" si="213"/>
        <v>650</v>
      </c>
      <c r="Y86" s="13">
        <f t="shared" si="184"/>
        <v>650</v>
      </c>
      <c r="Z86" s="13">
        <f t="shared" si="165"/>
        <v>650</v>
      </c>
      <c r="AA86" s="13">
        <f t="shared" si="137"/>
        <v>650</v>
      </c>
      <c r="AB86" s="13">
        <f t="shared" si="99"/>
        <v>650</v>
      </c>
      <c r="AC86" s="13">
        <f t="shared" si="202"/>
        <v>650</v>
      </c>
      <c r="AD86" s="13">
        <f t="shared" si="202"/>
        <v>650</v>
      </c>
      <c r="AE86" s="13">
        <f t="shared" si="202"/>
        <v>650</v>
      </c>
      <c r="AF86" s="13">
        <f t="shared" si="202"/>
        <v>650</v>
      </c>
      <c r="AG86" s="13">
        <f t="shared" si="202"/>
        <v>650</v>
      </c>
      <c r="AH86" s="13">
        <f t="shared" si="202"/>
        <v>650</v>
      </c>
      <c r="AI86" s="13">
        <f t="shared" si="202"/>
        <v>650</v>
      </c>
      <c r="AJ86" s="13">
        <f t="shared" si="202"/>
        <v>650</v>
      </c>
      <c r="AK86" s="13">
        <f t="shared" si="202"/>
        <v>650</v>
      </c>
      <c r="AL86" s="25">
        <v>43</v>
      </c>
      <c r="AM86" s="26">
        <f t="shared" si="40"/>
        <v>0.38888888888888884</v>
      </c>
      <c r="AP86" s="87"/>
      <c r="AQ86" s="86"/>
      <c r="AR86" s="25">
        <v>43</v>
      </c>
      <c r="AS86" s="26">
        <f t="shared" si="41"/>
        <v>0.38888888888888884</v>
      </c>
      <c r="AT86" s="13">
        <f t="shared" si="203"/>
        <v>600</v>
      </c>
      <c r="AU86" s="13">
        <f t="shared" si="203"/>
        <v>600</v>
      </c>
      <c r="AV86" s="13">
        <f t="shared" si="203"/>
        <v>600</v>
      </c>
      <c r="AW86" s="13">
        <f t="shared" si="203"/>
        <v>600</v>
      </c>
      <c r="AX86" s="13">
        <f t="shared" si="203"/>
        <v>600</v>
      </c>
      <c r="AY86" s="13">
        <f t="shared" si="203"/>
        <v>600</v>
      </c>
      <c r="AZ86" s="13">
        <f t="shared" si="203"/>
        <v>600</v>
      </c>
      <c r="BA86" s="13">
        <f t="shared" si="203"/>
        <v>600</v>
      </c>
      <c r="BB86" s="13">
        <f t="shared" si="203"/>
        <v>600</v>
      </c>
      <c r="BC86" s="13">
        <f t="shared" si="100"/>
        <v>600</v>
      </c>
      <c r="BD86" s="13">
        <f t="shared" si="138"/>
        <v>600</v>
      </c>
      <c r="BE86" s="13">
        <f t="shared" si="166"/>
        <v>600</v>
      </c>
      <c r="BF86" s="13">
        <f t="shared" si="185"/>
        <v>600</v>
      </c>
      <c r="BG86" s="13">
        <f t="shared" si="214"/>
        <v>600</v>
      </c>
      <c r="BH86" s="52"/>
      <c r="BI86" s="13">
        <f t="shared" si="215"/>
        <v>-2227991801.2380095</v>
      </c>
      <c r="BJ86" s="52"/>
      <c r="BK86" s="13">
        <f t="shared" si="216"/>
        <v>650</v>
      </c>
      <c r="BL86" s="13">
        <f t="shared" si="189"/>
        <v>650</v>
      </c>
      <c r="BM86" s="13">
        <f t="shared" si="167"/>
        <v>650</v>
      </c>
      <c r="BN86" s="13">
        <f t="shared" si="146"/>
        <v>650</v>
      </c>
      <c r="BO86" s="13">
        <f t="shared" si="110"/>
        <v>650</v>
      </c>
      <c r="BP86" s="13">
        <f t="shared" si="204"/>
        <v>650</v>
      </c>
      <c r="BQ86" s="13">
        <f t="shared" si="204"/>
        <v>650</v>
      </c>
      <c r="BR86" s="13">
        <f t="shared" si="204"/>
        <v>650</v>
      </c>
      <c r="BS86" s="13">
        <f t="shared" si="204"/>
        <v>650</v>
      </c>
      <c r="BT86" s="13">
        <f t="shared" si="204"/>
        <v>650</v>
      </c>
      <c r="BU86" s="13">
        <f t="shared" si="204"/>
        <v>650</v>
      </c>
      <c r="BV86" s="13">
        <f t="shared" si="204"/>
        <v>650</v>
      </c>
      <c r="BW86" s="13">
        <f t="shared" si="204"/>
        <v>650</v>
      </c>
      <c r="BX86" s="13">
        <f t="shared" si="204"/>
        <v>650</v>
      </c>
      <c r="BY86" s="25">
        <v>43</v>
      </c>
      <c r="BZ86" s="26">
        <f t="shared" si="45"/>
        <v>0.38888888888888884</v>
      </c>
      <c r="CC86" s="84"/>
      <c r="CD86" s="85"/>
      <c r="CE86" s="25">
        <v>43</v>
      </c>
      <c r="CF86" s="26">
        <f t="shared" si="46"/>
        <v>0.38888888888888884</v>
      </c>
      <c r="CG86" s="13">
        <f t="shared" si="205"/>
        <v>600</v>
      </c>
      <c r="CH86" s="13">
        <f t="shared" si="205"/>
        <v>600</v>
      </c>
      <c r="CI86" s="13">
        <f t="shared" si="205"/>
        <v>600</v>
      </c>
      <c r="CJ86" s="13">
        <f t="shared" si="205"/>
        <v>600</v>
      </c>
      <c r="CK86" s="13">
        <f t="shared" si="205"/>
        <v>600</v>
      </c>
      <c r="CL86" s="13">
        <f t="shared" si="205"/>
        <v>600</v>
      </c>
      <c r="CM86" s="13">
        <f t="shared" si="205"/>
        <v>600</v>
      </c>
      <c r="CN86" s="13">
        <f t="shared" si="205"/>
        <v>600</v>
      </c>
      <c r="CO86" s="13">
        <f t="shared" si="205"/>
        <v>600</v>
      </c>
      <c r="CP86" s="13">
        <f t="shared" si="111"/>
        <v>600</v>
      </c>
      <c r="CQ86" s="13">
        <f t="shared" si="147"/>
        <v>600</v>
      </c>
      <c r="CR86" s="13">
        <f t="shared" si="168"/>
        <v>600</v>
      </c>
      <c r="CS86" s="13">
        <f t="shared" si="190"/>
        <v>600</v>
      </c>
      <c r="CT86" s="13">
        <f t="shared" si="217"/>
        <v>600</v>
      </c>
      <c r="CU86" s="13">
        <f t="shared" ref="CU86:CW86" si="226">$L$2/($L$3-$L$4*CT86)</f>
        <v>-1.6746678575415876E-3</v>
      </c>
      <c r="CV86" s="13">
        <f t="shared" si="226"/>
        <v>0.34863354230673421</v>
      </c>
      <c r="CW86" s="13">
        <f t="shared" si="226"/>
        <v>0.39713536344133415</v>
      </c>
      <c r="CX86" s="13">
        <f t="shared" si="219"/>
        <v>650</v>
      </c>
      <c r="CY86" s="13">
        <f t="shared" si="192"/>
        <v>650</v>
      </c>
      <c r="CZ86" s="13">
        <f t="shared" si="169"/>
        <v>650</v>
      </c>
      <c r="DA86" s="13">
        <f t="shared" si="148"/>
        <v>650</v>
      </c>
      <c r="DB86" s="13">
        <f t="shared" si="113"/>
        <v>650</v>
      </c>
      <c r="DC86" s="13">
        <f t="shared" si="207"/>
        <v>650</v>
      </c>
      <c r="DD86" s="13">
        <f t="shared" si="207"/>
        <v>650</v>
      </c>
      <c r="DE86" s="13">
        <f t="shared" si="207"/>
        <v>650</v>
      </c>
      <c r="DF86" s="13">
        <f t="shared" si="207"/>
        <v>650</v>
      </c>
      <c r="DG86" s="13">
        <f t="shared" si="207"/>
        <v>650</v>
      </c>
      <c r="DH86" s="13">
        <f t="shared" si="207"/>
        <v>650</v>
      </c>
      <c r="DI86" s="13">
        <f t="shared" si="207"/>
        <v>650</v>
      </c>
      <c r="DJ86" s="13">
        <f t="shared" si="207"/>
        <v>650</v>
      </c>
      <c r="DK86" s="13">
        <f t="shared" si="207"/>
        <v>650</v>
      </c>
      <c r="DL86" s="25">
        <v>43</v>
      </c>
      <c r="DM86" s="26">
        <f t="shared" si="50"/>
        <v>0.38888888888888884</v>
      </c>
      <c r="DQ86" s="84"/>
      <c r="DR86" s="85"/>
      <c r="DS86" s="25">
        <v>43</v>
      </c>
      <c r="DT86" s="26">
        <f t="shared" si="51"/>
        <v>0.38888888888888884</v>
      </c>
      <c r="DU86" s="13">
        <f t="shared" si="208"/>
        <v>600</v>
      </c>
      <c r="DV86" s="13">
        <f t="shared" si="208"/>
        <v>600</v>
      </c>
      <c r="DW86" s="13">
        <f t="shared" si="208"/>
        <v>600</v>
      </c>
      <c r="DX86" s="13">
        <f t="shared" si="208"/>
        <v>600</v>
      </c>
      <c r="DY86" s="13">
        <f t="shared" si="208"/>
        <v>600</v>
      </c>
      <c r="DZ86" s="13">
        <f t="shared" si="208"/>
        <v>600</v>
      </c>
      <c r="EA86" s="13">
        <f t="shared" si="208"/>
        <v>600</v>
      </c>
      <c r="EB86" s="13">
        <f t="shared" si="208"/>
        <v>600</v>
      </c>
      <c r="EC86" s="13">
        <f t="shared" si="208"/>
        <v>600</v>
      </c>
      <c r="ED86" s="13">
        <f t="shared" si="114"/>
        <v>600</v>
      </c>
      <c r="EE86" s="13">
        <f t="shared" si="149"/>
        <v>600</v>
      </c>
      <c r="EF86" s="13">
        <f t="shared" si="170"/>
        <v>600</v>
      </c>
      <c r="EG86" s="13">
        <f t="shared" si="193"/>
        <v>600</v>
      </c>
      <c r="EH86" s="13">
        <f t="shared" si="220"/>
        <v>600</v>
      </c>
      <c r="EI86" s="13">
        <f t="shared" ref="EH86:EI114" si="227">U86</f>
        <v>619.8081668171784</v>
      </c>
      <c r="EJ86" s="13">
        <f t="shared" si="221"/>
        <v>403.70733556356754</v>
      </c>
      <c r="EK86" s="13">
        <f t="shared" si="222"/>
        <v>160.32645943297004</v>
      </c>
      <c r="EL86" s="13">
        <f t="shared" si="223"/>
        <v>650</v>
      </c>
      <c r="EM86" s="13">
        <f t="shared" si="198"/>
        <v>650</v>
      </c>
      <c r="EN86" s="13">
        <f t="shared" si="177"/>
        <v>650</v>
      </c>
      <c r="EO86" s="13">
        <f t="shared" si="158"/>
        <v>650</v>
      </c>
      <c r="EP86" s="13">
        <f t="shared" si="125"/>
        <v>650</v>
      </c>
      <c r="EQ86" s="13">
        <f t="shared" si="209"/>
        <v>650</v>
      </c>
      <c r="ER86" s="13">
        <f t="shared" si="209"/>
        <v>650</v>
      </c>
      <c r="ES86" s="13">
        <f t="shared" si="209"/>
        <v>650</v>
      </c>
      <c r="ET86" s="13">
        <f t="shared" si="209"/>
        <v>650</v>
      </c>
      <c r="EU86" s="13">
        <f t="shared" si="209"/>
        <v>650</v>
      </c>
      <c r="EV86" s="13">
        <f t="shared" si="209"/>
        <v>650</v>
      </c>
      <c r="EW86" s="13">
        <f t="shared" si="209"/>
        <v>650</v>
      </c>
      <c r="EX86" s="13">
        <f t="shared" si="209"/>
        <v>650</v>
      </c>
      <c r="EY86" s="13">
        <f t="shared" si="209"/>
        <v>650</v>
      </c>
      <c r="EZ86" s="25">
        <v>43</v>
      </c>
      <c r="FA86" s="26">
        <f t="shared" si="55"/>
        <v>0.38888888888888884</v>
      </c>
    </row>
    <row r="87" spans="3:157" x14ac:dyDescent="0.25">
      <c r="C87" s="84"/>
      <c r="D87" s="85"/>
      <c r="E87" s="25">
        <v>42</v>
      </c>
      <c r="F87" s="26">
        <f t="shared" si="36"/>
        <v>0.37962962962962959</v>
      </c>
      <c r="G87" s="13">
        <f t="shared" si="199"/>
        <v>600</v>
      </c>
      <c r="H87" s="13">
        <f t="shared" si="199"/>
        <v>600</v>
      </c>
      <c r="I87" s="13">
        <f t="shared" si="199"/>
        <v>600</v>
      </c>
      <c r="J87" s="13">
        <f t="shared" si="199"/>
        <v>600</v>
      </c>
      <c r="K87" s="13">
        <f t="shared" si="199"/>
        <v>600</v>
      </c>
      <c r="L87" s="13">
        <f t="shared" si="199"/>
        <v>600</v>
      </c>
      <c r="M87" s="13">
        <f t="shared" si="199"/>
        <v>600</v>
      </c>
      <c r="N87" s="13">
        <f t="shared" si="199"/>
        <v>600</v>
      </c>
      <c r="O87" s="13">
        <f t="shared" si="199"/>
        <v>600</v>
      </c>
      <c r="P87" s="13">
        <f t="shared" si="87"/>
        <v>600</v>
      </c>
      <c r="Q87" s="13">
        <f t="shared" si="129"/>
        <v>600</v>
      </c>
      <c r="R87" s="13">
        <f t="shared" si="159"/>
        <v>600</v>
      </c>
      <c r="S87" s="13">
        <f t="shared" si="178"/>
        <v>600</v>
      </c>
      <c r="T87" s="13">
        <f t="shared" si="210"/>
        <v>600</v>
      </c>
      <c r="U87" s="13">
        <f t="shared" ref="U87" si="228">($F$5*$B$5*T24+$F$4*V24)/($F$4+$F$5*$B$5)</f>
        <v>616.16096370877938</v>
      </c>
      <c r="V87" s="13">
        <f t="shared" si="181"/>
        <v>616.88886801234264</v>
      </c>
      <c r="W87" s="13">
        <f t="shared" ref="W87" si="229">($F$6*$B$5*X24+$F$4*V24)/($F$4+$F$6*$B$5)</f>
        <v>618.4687548714013</v>
      </c>
      <c r="X87" s="13">
        <f t="shared" si="213"/>
        <v>650</v>
      </c>
      <c r="Y87" s="13">
        <f t="shared" si="184"/>
        <v>650</v>
      </c>
      <c r="Z87" s="13">
        <f t="shared" si="165"/>
        <v>650</v>
      </c>
      <c r="AA87" s="13">
        <f t="shared" si="137"/>
        <v>650</v>
      </c>
      <c r="AB87" s="13">
        <f t="shared" si="99"/>
        <v>650</v>
      </c>
      <c r="AC87" s="13">
        <f t="shared" si="202"/>
        <v>650</v>
      </c>
      <c r="AD87" s="13">
        <f t="shared" si="202"/>
        <v>650</v>
      </c>
      <c r="AE87" s="13">
        <f t="shared" si="202"/>
        <v>650</v>
      </c>
      <c r="AF87" s="13">
        <f t="shared" si="202"/>
        <v>650</v>
      </c>
      <c r="AG87" s="13">
        <f t="shared" si="202"/>
        <v>650</v>
      </c>
      <c r="AH87" s="13">
        <f t="shared" si="202"/>
        <v>650</v>
      </c>
      <c r="AI87" s="13">
        <f t="shared" si="202"/>
        <v>650</v>
      </c>
      <c r="AJ87" s="13">
        <f t="shared" si="202"/>
        <v>650</v>
      </c>
      <c r="AK87" s="13">
        <f t="shared" si="202"/>
        <v>650</v>
      </c>
      <c r="AL87" s="25">
        <v>42</v>
      </c>
      <c r="AM87" s="26">
        <f t="shared" si="40"/>
        <v>0.37962962962962959</v>
      </c>
      <c r="AP87" s="87"/>
      <c r="AQ87" s="86"/>
      <c r="AR87" s="25">
        <v>42</v>
      </c>
      <c r="AS87" s="26">
        <f t="shared" si="41"/>
        <v>0.37962962962962959</v>
      </c>
      <c r="AT87" s="13">
        <f t="shared" si="203"/>
        <v>600</v>
      </c>
      <c r="AU87" s="13">
        <f t="shared" si="203"/>
        <v>600</v>
      </c>
      <c r="AV87" s="13">
        <f t="shared" si="203"/>
        <v>600</v>
      </c>
      <c r="AW87" s="13">
        <f t="shared" si="203"/>
        <v>600</v>
      </c>
      <c r="AX87" s="13">
        <f t="shared" si="203"/>
        <v>600</v>
      </c>
      <c r="AY87" s="13">
        <f t="shared" si="203"/>
        <v>600</v>
      </c>
      <c r="AZ87" s="13">
        <f t="shared" si="203"/>
        <v>600</v>
      </c>
      <c r="BA87" s="13">
        <f t="shared" si="203"/>
        <v>600</v>
      </c>
      <c r="BB87" s="13">
        <f t="shared" si="203"/>
        <v>600</v>
      </c>
      <c r="BC87" s="13">
        <f t="shared" si="100"/>
        <v>600</v>
      </c>
      <c r="BD87" s="13">
        <f t="shared" si="138"/>
        <v>600</v>
      </c>
      <c r="BE87" s="13">
        <f t="shared" si="166"/>
        <v>600</v>
      </c>
      <c r="BF87" s="13">
        <f t="shared" si="185"/>
        <v>600</v>
      </c>
      <c r="BG87" s="13">
        <f t="shared" si="214"/>
        <v>600</v>
      </c>
      <c r="BH87" s="52"/>
      <c r="BI87" s="13">
        <f t="shared" si="215"/>
        <v>-2214147018.2385263</v>
      </c>
      <c r="BJ87" s="52"/>
      <c r="BK87" s="13">
        <f t="shared" si="216"/>
        <v>650</v>
      </c>
      <c r="BL87" s="13">
        <f t="shared" si="189"/>
        <v>650</v>
      </c>
      <c r="BM87" s="13">
        <f t="shared" si="167"/>
        <v>650</v>
      </c>
      <c r="BN87" s="13">
        <f t="shared" si="146"/>
        <v>650</v>
      </c>
      <c r="BO87" s="13">
        <f t="shared" si="110"/>
        <v>650</v>
      </c>
      <c r="BP87" s="13">
        <f t="shared" si="204"/>
        <v>650</v>
      </c>
      <c r="BQ87" s="13">
        <f t="shared" si="204"/>
        <v>650</v>
      </c>
      <c r="BR87" s="13">
        <f t="shared" si="204"/>
        <v>650</v>
      </c>
      <c r="BS87" s="13">
        <f t="shared" si="204"/>
        <v>650</v>
      </c>
      <c r="BT87" s="13">
        <f t="shared" si="204"/>
        <v>650</v>
      </c>
      <c r="BU87" s="13">
        <f t="shared" si="204"/>
        <v>650</v>
      </c>
      <c r="BV87" s="13">
        <f t="shared" si="204"/>
        <v>650</v>
      </c>
      <c r="BW87" s="13">
        <f t="shared" si="204"/>
        <v>650</v>
      </c>
      <c r="BX87" s="13">
        <f t="shared" si="204"/>
        <v>650</v>
      </c>
      <c r="BY87" s="25">
        <v>42</v>
      </c>
      <c r="BZ87" s="26">
        <f t="shared" si="45"/>
        <v>0.37962962962962959</v>
      </c>
      <c r="CC87" s="84"/>
      <c r="CD87" s="85"/>
      <c r="CE87" s="25">
        <v>42</v>
      </c>
      <c r="CF87" s="26">
        <f t="shared" si="46"/>
        <v>0.37962962962962959</v>
      </c>
      <c r="CG87" s="13">
        <f t="shared" si="205"/>
        <v>600</v>
      </c>
      <c r="CH87" s="13">
        <f t="shared" si="205"/>
        <v>600</v>
      </c>
      <c r="CI87" s="13">
        <f t="shared" si="205"/>
        <v>600</v>
      </c>
      <c r="CJ87" s="13">
        <f t="shared" si="205"/>
        <v>600</v>
      </c>
      <c r="CK87" s="13">
        <f t="shared" si="205"/>
        <v>600</v>
      </c>
      <c r="CL87" s="13">
        <f t="shared" si="205"/>
        <v>600</v>
      </c>
      <c r="CM87" s="13">
        <f t="shared" si="205"/>
        <v>600</v>
      </c>
      <c r="CN87" s="13">
        <f t="shared" si="205"/>
        <v>600</v>
      </c>
      <c r="CO87" s="13">
        <f t="shared" si="205"/>
        <v>600</v>
      </c>
      <c r="CP87" s="13">
        <f t="shared" si="111"/>
        <v>600</v>
      </c>
      <c r="CQ87" s="13">
        <f t="shared" si="147"/>
        <v>600</v>
      </c>
      <c r="CR87" s="13">
        <f t="shared" si="168"/>
        <v>600</v>
      </c>
      <c r="CS87" s="13">
        <f t="shared" si="190"/>
        <v>600</v>
      </c>
      <c r="CT87" s="13">
        <f t="shared" si="217"/>
        <v>600</v>
      </c>
      <c r="CU87" s="13">
        <f t="shared" ref="CU87:CW87" si="230">$L$2/($L$3-$L$4*CT87)</f>
        <v>-1.6746678575415876E-3</v>
      </c>
      <c r="CV87" s="13">
        <f t="shared" si="230"/>
        <v>0.34863354230673421</v>
      </c>
      <c r="CW87" s="13">
        <f t="shared" si="230"/>
        <v>0.39713536344133415</v>
      </c>
      <c r="CX87" s="13">
        <f t="shared" si="219"/>
        <v>650</v>
      </c>
      <c r="CY87" s="13">
        <f t="shared" si="192"/>
        <v>650</v>
      </c>
      <c r="CZ87" s="13">
        <f t="shared" si="169"/>
        <v>650</v>
      </c>
      <c r="DA87" s="13">
        <f t="shared" si="148"/>
        <v>650</v>
      </c>
      <c r="DB87" s="13">
        <f t="shared" si="113"/>
        <v>650</v>
      </c>
      <c r="DC87" s="13">
        <f t="shared" si="207"/>
        <v>650</v>
      </c>
      <c r="DD87" s="13">
        <f t="shared" si="207"/>
        <v>650</v>
      </c>
      <c r="DE87" s="13">
        <f t="shared" si="207"/>
        <v>650</v>
      </c>
      <c r="DF87" s="13">
        <f t="shared" si="207"/>
        <v>650</v>
      </c>
      <c r="DG87" s="13">
        <f t="shared" si="207"/>
        <v>650</v>
      </c>
      <c r="DH87" s="13">
        <f t="shared" si="207"/>
        <v>650</v>
      </c>
      <c r="DI87" s="13">
        <f t="shared" si="207"/>
        <v>650</v>
      </c>
      <c r="DJ87" s="13">
        <f t="shared" si="207"/>
        <v>650</v>
      </c>
      <c r="DK87" s="13">
        <f t="shared" si="207"/>
        <v>650</v>
      </c>
      <c r="DL87" s="25">
        <v>42</v>
      </c>
      <c r="DM87" s="26">
        <f t="shared" si="50"/>
        <v>0.37962962962962959</v>
      </c>
      <c r="DQ87" s="84"/>
      <c r="DR87" s="85"/>
      <c r="DS87" s="25">
        <v>42</v>
      </c>
      <c r="DT87" s="26">
        <f t="shared" si="51"/>
        <v>0.37962962962962959</v>
      </c>
      <c r="DU87" s="13">
        <f t="shared" si="208"/>
        <v>600</v>
      </c>
      <c r="DV87" s="13">
        <f t="shared" si="208"/>
        <v>600</v>
      </c>
      <c r="DW87" s="13">
        <f t="shared" si="208"/>
        <v>600</v>
      </c>
      <c r="DX87" s="13">
        <f t="shared" si="208"/>
        <v>600</v>
      </c>
      <c r="DY87" s="13">
        <f t="shared" si="208"/>
        <v>600</v>
      </c>
      <c r="DZ87" s="13">
        <f t="shared" si="208"/>
        <v>600</v>
      </c>
      <c r="EA87" s="13">
        <f t="shared" si="208"/>
        <v>600</v>
      </c>
      <c r="EB87" s="13">
        <f t="shared" si="208"/>
        <v>600</v>
      </c>
      <c r="EC87" s="13">
        <f t="shared" si="208"/>
        <v>600</v>
      </c>
      <c r="ED87" s="13">
        <f t="shared" si="114"/>
        <v>600</v>
      </c>
      <c r="EE87" s="13">
        <f t="shared" si="149"/>
        <v>600</v>
      </c>
      <c r="EF87" s="13">
        <f t="shared" si="170"/>
        <v>600</v>
      </c>
      <c r="EG87" s="13">
        <f t="shared" si="193"/>
        <v>600</v>
      </c>
      <c r="EH87" s="13">
        <f t="shared" si="220"/>
        <v>600</v>
      </c>
      <c r="EI87" s="13">
        <f t="shared" si="227"/>
        <v>616.16096370877938</v>
      </c>
      <c r="EJ87" s="13">
        <f t="shared" si="221"/>
        <v>401.26991519549068</v>
      </c>
      <c r="EK87" s="13">
        <f t="shared" si="222"/>
        <v>159.35847360923452</v>
      </c>
      <c r="EL87" s="13">
        <f t="shared" si="223"/>
        <v>650</v>
      </c>
      <c r="EM87" s="13">
        <f t="shared" si="198"/>
        <v>650</v>
      </c>
      <c r="EN87" s="13">
        <f t="shared" si="177"/>
        <v>650</v>
      </c>
      <c r="EO87" s="13">
        <f t="shared" si="158"/>
        <v>650</v>
      </c>
      <c r="EP87" s="13">
        <f t="shared" si="125"/>
        <v>650</v>
      </c>
      <c r="EQ87" s="13">
        <f t="shared" si="209"/>
        <v>650</v>
      </c>
      <c r="ER87" s="13">
        <f t="shared" si="209"/>
        <v>650</v>
      </c>
      <c r="ES87" s="13">
        <f t="shared" si="209"/>
        <v>650</v>
      </c>
      <c r="ET87" s="13">
        <f t="shared" si="209"/>
        <v>650</v>
      </c>
      <c r="EU87" s="13">
        <f t="shared" si="209"/>
        <v>650</v>
      </c>
      <c r="EV87" s="13">
        <f t="shared" si="209"/>
        <v>650</v>
      </c>
      <c r="EW87" s="13">
        <f t="shared" si="209"/>
        <v>650</v>
      </c>
      <c r="EX87" s="13">
        <f t="shared" si="209"/>
        <v>650</v>
      </c>
      <c r="EY87" s="13">
        <f t="shared" si="209"/>
        <v>650</v>
      </c>
      <c r="EZ87" s="25">
        <v>42</v>
      </c>
      <c r="FA87" s="26">
        <f t="shared" si="55"/>
        <v>0.37962962962962959</v>
      </c>
    </row>
    <row r="88" spans="3:157" x14ac:dyDescent="0.25">
      <c r="C88" s="84"/>
      <c r="D88" s="85"/>
      <c r="E88" s="25">
        <v>41</v>
      </c>
      <c r="F88" s="26">
        <f t="shared" si="36"/>
        <v>0.37037037037037035</v>
      </c>
      <c r="G88" s="13">
        <f t="shared" si="199"/>
        <v>600</v>
      </c>
      <c r="H88" s="13">
        <f t="shared" si="199"/>
        <v>600</v>
      </c>
      <c r="I88" s="13">
        <f t="shared" si="199"/>
        <v>600</v>
      </c>
      <c r="J88" s="13">
        <f t="shared" si="199"/>
        <v>600</v>
      </c>
      <c r="K88" s="13">
        <f t="shared" si="199"/>
        <v>600</v>
      </c>
      <c r="L88" s="13">
        <f t="shared" si="199"/>
        <v>600</v>
      </c>
      <c r="M88" s="13">
        <f t="shared" si="199"/>
        <v>600</v>
      </c>
      <c r="N88" s="13">
        <f t="shared" si="199"/>
        <v>600</v>
      </c>
      <c r="O88" s="13">
        <f t="shared" si="199"/>
        <v>600</v>
      </c>
      <c r="P88" s="13">
        <f t="shared" si="87"/>
        <v>600</v>
      </c>
      <c r="Q88" s="13">
        <f t="shared" si="129"/>
        <v>600</v>
      </c>
      <c r="R88" s="13">
        <f t="shared" si="159"/>
        <v>600</v>
      </c>
      <c r="S88" s="13">
        <f t="shared" si="178"/>
        <v>600</v>
      </c>
      <c r="T88" s="13">
        <f t="shared" si="210"/>
        <v>600</v>
      </c>
      <c r="U88" s="13">
        <f t="shared" ref="U88" si="231">($F$5*$B$5*T25+$F$4*V25)/($F$4+$F$5*$B$5)</f>
        <v>613.91221246033479</v>
      </c>
      <c r="V88" s="13">
        <f t="shared" si="181"/>
        <v>614.59115206009699</v>
      </c>
      <c r="W88" s="13">
        <f t="shared" ref="W88" si="232">($F$6*$B$5*X25+$F$4*V25)/($F$4+$F$6*$B$5)</f>
        <v>616.18877096672838</v>
      </c>
      <c r="X88" s="13">
        <f t="shared" si="213"/>
        <v>650</v>
      </c>
      <c r="Y88" s="13">
        <f t="shared" si="184"/>
        <v>650</v>
      </c>
      <c r="Z88" s="13">
        <f t="shared" si="165"/>
        <v>650</v>
      </c>
      <c r="AA88" s="13">
        <f t="shared" si="137"/>
        <v>650</v>
      </c>
      <c r="AB88" s="13">
        <f t="shared" si="99"/>
        <v>650</v>
      </c>
      <c r="AC88" s="13">
        <f t="shared" si="202"/>
        <v>650</v>
      </c>
      <c r="AD88" s="13">
        <f t="shared" si="202"/>
        <v>650</v>
      </c>
      <c r="AE88" s="13">
        <f t="shared" si="202"/>
        <v>650</v>
      </c>
      <c r="AF88" s="13">
        <f t="shared" si="202"/>
        <v>650</v>
      </c>
      <c r="AG88" s="13">
        <f t="shared" si="202"/>
        <v>650</v>
      </c>
      <c r="AH88" s="13">
        <f t="shared" si="202"/>
        <v>650</v>
      </c>
      <c r="AI88" s="13">
        <f t="shared" si="202"/>
        <v>650</v>
      </c>
      <c r="AJ88" s="13">
        <f t="shared" si="202"/>
        <v>650</v>
      </c>
      <c r="AK88" s="13">
        <f t="shared" si="202"/>
        <v>650</v>
      </c>
      <c r="AL88" s="25">
        <v>41</v>
      </c>
      <c r="AM88" s="26">
        <f t="shared" si="40"/>
        <v>0.37037037037037035</v>
      </c>
      <c r="AP88" s="87"/>
      <c r="AQ88" s="86"/>
      <c r="AR88" s="25">
        <v>41</v>
      </c>
      <c r="AS88" s="26">
        <f t="shared" si="41"/>
        <v>0.37037037037037035</v>
      </c>
      <c r="AT88" s="13">
        <f t="shared" si="203"/>
        <v>600</v>
      </c>
      <c r="AU88" s="13">
        <f t="shared" si="203"/>
        <v>600</v>
      </c>
      <c r="AV88" s="13">
        <f t="shared" si="203"/>
        <v>600</v>
      </c>
      <c r="AW88" s="13">
        <f t="shared" si="203"/>
        <v>600</v>
      </c>
      <c r="AX88" s="13">
        <f t="shared" si="203"/>
        <v>600</v>
      </c>
      <c r="AY88" s="13">
        <f t="shared" si="203"/>
        <v>600</v>
      </c>
      <c r="AZ88" s="13">
        <f t="shared" si="203"/>
        <v>600</v>
      </c>
      <c r="BA88" s="13">
        <f t="shared" si="203"/>
        <v>600</v>
      </c>
      <c r="BB88" s="13">
        <f t="shared" si="203"/>
        <v>600</v>
      </c>
      <c r="BC88" s="13">
        <f t="shared" si="100"/>
        <v>600</v>
      </c>
      <c r="BD88" s="13">
        <f t="shared" si="138"/>
        <v>600</v>
      </c>
      <c r="BE88" s="13">
        <f t="shared" si="166"/>
        <v>600</v>
      </c>
      <c r="BF88" s="13">
        <f t="shared" si="185"/>
        <v>600</v>
      </c>
      <c r="BG88" s="13">
        <f t="shared" si="214"/>
        <v>600</v>
      </c>
      <c r="BH88" s="52"/>
      <c r="BI88" s="13">
        <f t="shared" si="215"/>
        <v>-2205610758.4994307</v>
      </c>
      <c r="BJ88" s="52"/>
      <c r="BK88" s="13">
        <f t="shared" si="216"/>
        <v>650</v>
      </c>
      <c r="BL88" s="13">
        <f t="shared" si="189"/>
        <v>650</v>
      </c>
      <c r="BM88" s="13">
        <f t="shared" si="167"/>
        <v>650</v>
      </c>
      <c r="BN88" s="13">
        <f t="shared" si="146"/>
        <v>650</v>
      </c>
      <c r="BO88" s="13">
        <f t="shared" si="110"/>
        <v>650</v>
      </c>
      <c r="BP88" s="13">
        <f t="shared" si="204"/>
        <v>650</v>
      </c>
      <c r="BQ88" s="13">
        <f t="shared" si="204"/>
        <v>650</v>
      </c>
      <c r="BR88" s="13">
        <f t="shared" si="204"/>
        <v>650</v>
      </c>
      <c r="BS88" s="13">
        <f t="shared" si="204"/>
        <v>650</v>
      </c>
      <c r="BT88" s="13">
        <f t="shared" si="204"/>
        <v>650</v>
      </c>
      <c r="BU88" s="13">
        <f t="shared" si="204"/>
        <v>650</v>
      </c>
      <c r="BV88" s="13">
        <f t="shared" si="204"/>
        <v>650</v>
      </c>
      <c r="BW88" s="13">
        <f t="shared" si="204"/>
        <v>650</v>
      </c>
      <c r="BX88" s="13">
        <f t="shared" si="204"/>
        <v>650</v>
      </c>
      <c r="BY88" s="25">
        <v>41</v>
      </c>
      <c r="BZ88" s="26">
        <f t="shared" si="45"/>
        <v>0.37037037037037035</v>
      </c>
      <c r="CC88" s="84"/>
      <c r="CD88" s="85"/>
      <c r="CE88" s="25">
        <v>41</v>
      </c>
      <c r="CF88" s="26">
        <f t="shared" si="46"/>
        <v>0.37037037037037035</v>
      </c>
      <c r="CG88" s="13">
        <f t="shared" si="205"/>
        <v>600</v>
      </c>
      <c r="CH88" s="13">
        <f t="shared" si="205"/>
        <v>600</v>
      </c>
      <c r="CI88" s="13">
        <f t="shared" si="205"/>
        <v>600</v>
      </c>
      <c r="CJ88" s="13">
        <f t="shared" si="205"/>
        <v>600</v>
      </c>
      <c r="CK88" s="13">
        <f t="shared" si="205"/>
        <v>600</v>
      </c>
      <c r="CL88" s="13">
        <f t="shared" si="205"/>
        <v>600</v>
      </c>
      <c r="CM88" s="13">
        <f t="shared" si="205"/>
        <v>600</v>
      </c>
      <c r="CN88" s="13">
        <f t="shared" si="205"/>
        <v>600</v>
      </c>
      <c r="CO88" s="13">
        <f t="shared" si="205"/>
        <v>600</v>
      </c>
      <c r="CP88" s="13">
        <f t="shared" si="111"/>
        <v>600</v>
      </c>
      <c r="CQ88" s="13">
        <f t="shared" si="147"/>
        <v>600</v>
      </c>
      <c r="CR88" s="13">
        <f t="shared" si="168"/>
        <v>600</v>
      </c>
      <c r="CS88" s="13">
        <f t="shared" si="190"/>
        <v>600</v>
      </c>
      <c r="CT88" s="13">
        <f t="shared" si="217"/>
        <v>600</v>
      </c>
      <c r="CU88" s="13">
        <f t="shared" ref="CU88:CW88" si="233">$L$2/($L$3-$L$4*CT88)</f>
        <v>-1.6746678575415876E-3</v>
      </c>
      <c r="CV88" s="13">
        <f t="shared" si="233"/>
        <v>0.34863354230673421</v>
      </c>
      <c r="CW88" s="13">
        <f t="shared" si="233"/>
        <v>0.39713536344133415</v>
      </c>
      <c r="CX88" s="13">
        <f t="shared" si="219"/>
        <v>650</v>
      </c>
      <c r="CY88" s="13">
        <f t="shared" si="192"/>
        <v>650</v>
      </c>
      <c r="CZ88" s="13">
        <f t="shared" si="169"/>
        <v>650</v>
      </c>
      <c r="DA88" s="13">
        <f t="shared" si="148"/>
        <v>650</v>
      </c>
      <c r="DB88" s="13">
        <f t="shared" si="113"/>
        <v>650</v>
      </c>
      <c r="DC88" s="13">
        <f t="shared" si="207"/>
        <v>650</v>
      </c>
      <c r="DD88" s="13">
        <f t="shared" si="207"/>
        <v>650</v>
      </c>
      <c r="DE88" s="13">
        <f t="shared" si="207"/>
        <v>650</v>
      </c>
      <c r="DF88" s="13">
        <f t="shared" si="207"/>
        <v>650</v>
      </c>
      <c r="DG88" s="13">
        <f t="shared" si="207"/>
        <v>650</v>
      </c>
      <c r="DH88" s="13">
        <f t="shared" si="207"/>
        <v>650</v>
      </c>
      <c r="DI88" s="13">
        <f t="shared" si="207"/>
        <v>650</v>
      </c>
      <c r="DJ88" s="13">
        <f t="shared" si="207"/>
        <v>650</v>
      </c>
      <c r="DK88" s="13">
        <f t="shared" si="207"/>
        <v>650</v>
      </c>
      <c r="DL88" s="25">
        <v>41</v>
      </c>
      <c r="DM88" s="26">
        <f t="shared" si="50"/>
        <v>0.37037037037037035</v>
      </c>
      <c r="DQ88" s="84"/>
      <c r="DR88" s="85"/>
      <c r="DS88" s="25">
        <v>41</v>
      </c>
      <c r="DT88" s="26">
        <f t="shared" si="51"/>
        <v>0.37037037037037035</v>
      </c>
      <c r="DU88" s="13">
        <f t="shared" si="208"/>
        <v>600</v>
      </c>
      <c r="DV88" s="13">
        <f t="shared" si="208"/>
        <v>600</v>
      </c>
      <c r="DW88" s="13">
        <f t="shared" si="208"/>
        <v>600</v>
      </c>
      <c r="DX88" s="13">
        <f t="shared" si="208"/>
        <v>600</v>
      </c>
      <c r="DY88" s="13">
        <f t="shared" si="208"/>
        <v>600</v>
      </c>
      <c r="DZ88" s="13">
        <f t="shared" si="208"/>
        <v>600</v>
      </c>
      <c r="EA88" s="13">
        <f t="shared" si="208"/>
        <v>600</v>
      </c>
      <c r="EB88" s="13">
        <f t="shared" si="208"/>
        <v>600</v>
      </c>
      <c r="EC88" s="13">
        <f t="shared" si="208"/>
        <v>600</v>
      </c>
      <c r="ED88" s="13">
        <f t="shared" si="114"/>
        <v>600</v>
      </c>
      <c r="EE88" s="13">
        <f t="shared" si="149"/>
        <v>600</v>
      </c>
      <c r="EF88" s="13">
        <f t="shared" si="170"/>
        <v>600</v>
      </c>
      <c r="EG88" s="13">
        <f t="shared" si="193"/>
        <v>600</v>
      </c>
      <c r="EH88" s="13">
        <f t="shared" si="220"/>
        <v>600</v>
      </c>
      <c r="EI88" s="13">
        <f t="shared" si="227"/>
        <v>613.91221246033479</v>
      </c>
      <c r="EJ88" s="13">
        <f t="shared" si="221"/>
        <v>399.76707810833352</v>
      </c>
      <c r="EK88" s="13">
        <f t="shared" si="222"/>
        <v>158.76164385643327</v>
      </c>
      <c r="EL88" s="13">
        <f t="shared" si="223"/>
        <v>650</v>
      </c>
      <c r="EM88" s="13">
        <f t="shared" si="198"/>
        <v>650</v>
      </c>
      <c r="EN88" s="13">
        <f t="shared" si="177"/>
        <v>650</v>
      </c>
      <c r="EO88" s="13">
        <f t="shared" si="158"/>
        <v>650</v>
      </c>
      <c r="EP88" s="13">
        <f t="shared" si="125"/>
        <v>650</v>
      </c>
      <c r="EQ88" s="13">
        <f t="shared" si="209"/>
        <v>650</v>
      </c>
      <c r="ER88" s="13">
        <f t="shared" si="209"/>
        <v>650</v>
      </c>
      <c r="ES88" s="13">
        <f t="shared" si="209"/>
        <v>650</v>
      </c>
      <c r="ET88" s="13">
        <f t="shared" si="209"/>
        <v>650</v>
      </c>
      <c r="EU88" s="13">
        <f t="shared" si="209"/>
        <v>650</v>
      </c>
      <c r="EV88" s="13">
        <f t="shared" si="209"/>
        <v>650</v>
      </c>
      <c r="EW88" s="13">
        <f t="shared" si="209"/>
        <v>650</v>
      </c>
      <c r="EX88" s="13">
        <f t="shared" si="209"/>
        <v>650</v>
      </c>
      <c r="EY88" s="13">
        <f t="shared" si="209"/>
        <v>650</v>
      </c>
      <c r="EZ88" s="25">
        <v>41</v>
      </c>
      <c r="FA88" s="26">
        <f t="shared" si="55"/>
        <v>0.37037037037037035</v>
      </c>
    </row>
    <row r="89" spans="3:157" x14ac:dyDescent="0.25">
      <c r="C89" s="84"/>
      <c r="D89" s="85"/>
      <c r="E89" s="25">
        <v>40</v>
      </c>
      <c r="F89" s="26">
        <f t="shared" si="36"/>
        <v>0.3611111111111111</v>
      </c>
      <c r="G89" s="13">
        <f t="shared" si="199"/>
        <v>600</v>
      </c>
      <c r="H89" s="13">
        <f t="shared" si="199"/>
        <v>600</v>
      </c>
      <c r="I89" s="13">
        <f t="shared" si="199"/>
        <v>600</v>
      </c>
      <c r="J89" s="13">
        <f t="shared" si="199"/>
        <v>600</v>
      </c>
      <c r="K89" s="13">
        <f t="shared" si="199"/>
        <v>600</v>
      </c>
      <c r="L89" s="13">
        <f t="shared" si="199"/>
        <v>600</v>
      </c>
      <c r="M89" s="13">
        <f t="shared" si="199"/>
        <v>600</v>
      </c>
      <c r="N89" s="13">
        <f t="shared" si="199"/>
        <v>600</v>
      </c>
      <c r="O89" s="13">
        <f t="shared" si="199"/>
        <v>600</v>
      </c>
      <c r="P89" s="13">
        <f t="shared" si="87"/>
        <v>600</v>
      </c>
      <c r="Q89" s="13">
        <f t="shared" si="129"/>
        <v>600</v>
      </c>
      <c r="R89" s="13">
        <f t="shared" si="159"/>
        <v>600</v>
      </c>
      <c r="S89" s="13">
        <f t="shared" si="178"/>
        <v>600</v>
      </c>
      <c r="T89" s="13">
        <f t="shared" si="210"/>
        <v>600</v>
      </c>
      <c r="U89" s="13">
        <f t="shared" ref="U89" si="234">($F$5*$B$5*T26+$F$4*V26)/($F$4+$F$5*$B$5)</f>
        <v>612.52816474039798</v>
      </c>
      <c r="V89" s="13">
        <f t="shared" si="181"/>
        <v>613.17696784253712</v>
      </c>
      <c r="W89" s="13">
        <f t="shared" ref="W89" si="235">($F$6*$B$5*X26+$F$4*V26)/($F$4+$F$6*$B$5)</f>
        <v>614.78550036179229</v>
      </c>
      <c r="X89" s="13">
        <f t="shared" si="213"/>
        <v>650</v>
      </c>
      <c r="Y89" s="13">
        <f t="shared" si="184"/>
        <v>650</v>
      </c>
      <c r="Z89" s="13">
        <f t="shared" si="165"/>
        <v>650</v>
      </c>
      <c r="AA89" s="13">
        <f t="shared" si="137"/>
        <v>650</v>
      </c>
      <c r="AB89" s="13">
        <f t="shared" si="99"/>
        <v>650</v>
      </c>
      <c r="AC89" s="13">
        <f t="shared" si="202"/>
        <v>650</v>
      </c>
      <c r="AD89" s="13">
        <f t="shared" si="202"/>
        <v>650</v>
      </c>
      <c r="AE89" s="13">
        <f t="shared" si="202"/>
        <v>650</v>
      </c>
      <c r="AF89" s="13">
        <f t="shared" si="202"/>
        <v>650</v>
      </c>
      <c r="AG89" s="13">
        <f t="shared" si="202"/>
        <v>650</v>
      </c>
      <c r="AH89" s="13">
        <f t="shared" si="202"/>
        <v>650</v>
      </c>
      <c r="AI89" s="13">
        <f t="shared" si="202"/>
        <v>650</v>
      </c>
      <c r="AJ89" s="13">
        <f t="shared" si="202"/>
        <v>650</v>
      </c>
      <c r="AK89" s="13">
        <f t="shared" si="202"/>
        <v>650</v>
      </c>
      <c r="AL89" s="25">
        <v>40</v>
      </c>
      <c r="AM89" s="26">
        <f t="shared" si="40"/>
        <v>0.3611111111111111</v>
      </c>
      <c r="AP89" s="87"/>
      <c r="AQ89" s="86"/>
      <c r="AR89" s="25">
        <v>40</v>
      </c>
      <c r="AS89" s="26">
        <f t="shared" si="41"/>
        <v>0.3611111111111111</v>
      </c>
      <c r="AT89" s="13">
        <f t="shared" si="203"/>
        <v>600</v>
      </c>
      <c r="AU89" s="13">
        <f t="shared" si="203"/>
        <v>600</v>
      </c>
      <c r="AV89" s="13">
        <f t="shared" si="203"/>
        <v>600</v>
      </c>
      <c r="AW89" s="13">
        <f t="shared" si="203"/>
        <v>600</v>
      </c>
      <c r="AX89" s="13">
        <f t="shared" si="203"/>
        <v>600</v>
      </c>
      <c r="AY89" s="13">
        <f t="shared" si="203"/>
        <v>600</v>
      </c>
      <c r="AZ89" s="13">
        <f t="shared" si="203"/>
        <v>600</v>
      </c>
      <c r="BA89" s="13">
        <f t="shared" si="203"/>
        <v>600</v>
      </c>
      <c r="BB89" s="13">
        <f t="shared" si="203"/>
        <v>600</v>
      </c>
      <c r="BC89" s="13">
        <f t="shared" si="100"/>
        <v>600</v>
      </c>
      <c r="BD89" s="13">
        <f t="shared" si="138"/>
        <v>600</v>
      </c>
      <c r="BE89" s="13">
        <f t="shared" si="166"/>
        <v>600</v>
      </c>
      <c r="BF89" s="13">
        <f t="shared" si="185"/>
        <v>600</v>
      </c>
      <c r="BG89" s="13">
        <f t="shared" si="214"/>
        <v>600</v>
      </c>
      <c r="BH89" s="52"/>
      <c r="BI89" s="13">
        <f t="shared" si="215"/>
        <v>-2200356913.3545504</v>
      </c>
      <c r="BJ89" s="52"/>
      <c r="BK89" s="13">
        <f t="shared" si="216"/>
        <v>650</v>
      </c>
      <c r="BL89" s="13">
        <f t="shared" si="189"/>
        <v>650</v>
      </c>
      <c r="BM89" s="13">
        <f t="shared" si="167"/>
        <v>650</v>
      </c>
      <c r="BN89" s="13">
        <f t="shared" si="146"/>
        <v>650</v>
      </c>
      <c r="BO89" s="13">
        <f t="shared" si="110"/>
        <v>650</v>
      </c>
      <c r="BP89" s="13">
        <f t="shared" si="204"/>
        <v>650</v>
      </c>
      <c r="BQ89" s="13">
        <f t="shared" si="204"/>
        <v>650</v>
      </c>
      <c r="BR89" s="13">
        <f t="shared" si="204"/>
        <v>650</v>
      </c>
      <c r="BS89" s="13">
        <f t="shared" si="204"/>
        <v>650</v>
      </c>
      <c r="BT89" s="13">
        <f t="shared" si="204"/>
        <v>650</v>
      </c>
      <c r="BU89" s="13">
        <f t="shared" si="204"/>
        <v>650</v>
      </c>
      <c r="BV89" s="13">
        <f t="shared" si="204"/>
        <v>650</v>
      </c>
      <c r="BW89" s="13">
        <f t="shared" si="204"/>
        <v>650</v>
      </c>
      <c r="BX89" s="13">
        <f t="shared" si="204"/>
        <v>650</v>
      </c>
      <c r="BY89" s="25">
        <v>40</v>
      </c>
      <c r="BZ89" s="26">
        <f t="shared" si="45"/>
        <v>0.3611111111111111</v>
      </c>
      <c r="CC89" s="84"/>
      <c r="CD89" s="85"/>
      <c r="CE89" s="25">
        <v>40</v>
      </c>
      <c r="CF89" s="26">
        <f t="shared" si="46"/>
        <v>0.3611111111111111</v>
      </c>
      <c r="CG89" s="13">
        <f t="shared" si="205"/>
        <v>600</v>
      </c>
      <c r="CH89" s="13">
        <f t="shared" si="205"/>
        <v>600</v>
      </c>
      <c r="CI89" s="13">
        <f t="shared" si="205"/>
        <v>600</v>
      </c>
      <c r="CJ89" s="13">
        <f t="shared" si="205"/>
        <v>600</v>
      </c>
      <c r="CK89" s="13">
        <f t="shared" si="205"/>
        <v>600</v>
      </c>
      <c r="CL89" s="13">
        <f t="shared" si="205"/>
        <v>600</v>
      </c>
      <c r="CM89" s="13">
        <f t="shared" si="205"/>
        <v>600</v>
      </c>
      <c r="CN89" s="13">
        <f t="shared" si="205"/>
        <v>600</v>
      </c>
      <c r="CO89" s="13">
        <f t="shared" si="205"/>
        <v>600</v>
      </c>
      <c r="CP89" s="13">
        <f t="shared" si="111"/>
        <v>600</v>
      </c>
      <c r="CQ89" s="13">
        <f t="shared" si="147"/>
        <v>600</v>
      </c>
      <c r="CR89" s="13">
        <f t="shared" si="168"/>
        <v>600</v>
      </c>
      <c r="CS89" s="13">
        <f t="shared" si="190"/>
        <v>600</v>
      </c>
      <c r="CT89" s="13">
        <f t="shared" si="217"/>
        <v>600</v>
      </c>
      <c r="CU89" s="13">
        <f t="shared" ref="CU89:CW89" si="236">$L$2/($L$3-$L$4*CT89)</f>
        <v>-1.6746678575415876E-3</v>
      </c>
      <c r="CV89" s="13">
        <f t="shared" si="236"/>
        <v>0.34863354230673421</v>
      </c>
      <c r="CW89" s="13">
        <f t="shared" si="236"/>
        <v>0.39713536344133415</v>
      </c>
      <c r="CX89" s="13">
        <f t="shared" si="219"/>
        <v>650</v>
      </c>
      <c r="CY89" s="13">
        <f t="shared" si="192"/>
        <v>650</v>
      </c>
      <c r="CZ89" s="13">
        <f t="shared" si="169"/>
        <v>650</v>
      </c>
      <c r="DA89" s="13">
        <f t="shared" si="148"/>
        <v>650</v>
      </c>
      <c r="DB89" s="13">
        <f t="shared" si="113"/>
        <v>650</v>
      </c>
      <c r="DC89" s="13">
        <f t="shared" si="207"/>
        <v>650</v>
      </c>
      <c r="DD89" s="13">
        <f t="shared" si="207"/>
        <v>650</v>
      </c>
      <c r="DE89" s="13">
        <f t="shared" si="207"/>
        <v>650</v>
      </c>
      <c r="DF89" s="13">
        <f t="shared" si="207"/>
        <v>650</v>
      </c>
      <c r="DG89" s="13">
        <f t="shared" si="207"/>
        <v>650</v>
      </c>
      <c r="DH89" s="13">
        <f t="shared" si="207"/>
        <v>650</v>
      </c>
      <c r="DI89" s="13">
        <f t="shared" si="207"/>
        <v>650</v>
      </c>
      <c r="DJ89" s="13">
        <f t="shared" si="207"/>
        <v>650</v>
      </c>
      <c r="DK89" s="13">
        <f t="shared" si="207"/>
        <v>650</v>
      </c>
      <c r="DL89" s="25">
        <v>40</v>
      </c>
      <c r="DM89" s="26">
        <f t="shared" si="50"/>
        <v>0.3611111111111111</v>
      </c>
      <c r="DQ89" s="84"/>
      <c r="DR89" s="85"/>
      <c r="DS89" s="25">
        <v>40</v>
      </c>
      <c r="DT89" s="26">
        <f t="shared" si="51"/>
        <v>0.3611111111111111</v>
      </c>
      <c r="DU89" s="13">
        <f t="shared" si="208"/>
        <v>600</v>
      </c>
      <c r="DV89" s="13">
        <f t="shared" si="208"/>
        <v>600</v>
      </c>
      <c r="DW89" s="13">
        <f t="shared" si="208"/>
        <v>600</v>
      </c>
      <c r="DX89" s="13">
        <f t="shared" si="208"/>
        <v>600</v>
      </c>
      <c r="DY89" s="13">
        <f t="shared" si="208"/>
        <v>600</v>
      </c>
      <c r="DZ89" s="13">
        <f t="shared" si="208"/>
        <v>600</v>
      </c>
      <c r="EA89" s="13">
        <f t="shared" si="208"/>
        <v>600</v>
      </c>
      <c r="EB89" s="13">
        <f t="shared" si="208"/>
        <v>600</v>
      </c>
      <c r="EC89" s="13">
        <f t="shared" si="208"/>
        <v>600</v>
      </c>
      <c r="ED89" s="13">
        <f t="shared" si="114"/>
        <v>600</v>
      </c>
      <c r="EE89" s="13">
        <f t="shared" si="149"/>
        <v>600</v>
      </c>
      <c r="EF89" s="13">
        <f t="shared" si="170"/>
        <v>600</v>
      </c>
      <c r="EG89" s="13">
        <f t="shared" si="193"/>
        <v>600</v>
      </c>
      <c r="EH89" s="13">
        <f t="shared" si="220"/>
        <v>600</v>
      </c>
      <c r="EI89" s="13">
        <f t="shared" si="227"/>
        <v>612.52816474039798</v>
      </c>
      <c r="EJ89" s="13">
        <f t="shared" si="221"/>
        <v>398.84212109258749</v>
      </c>
      <c r="EK89" s="13">
        <f t="shared" si="222"/>
        <v>158.39431071581734</v>
      </c>
      <c r="EL89" s="13">
        <f t="shared" si="223"/>
        <v>650</v>
      </c>
      <c r="EM89" s="13">
        <f t="shared" si="198"/>
        <v>650</v>
      </c>
      <c r="EN89" s="13">
        <f t="shared" si="177"/>
        <v>650</v>
      </c>
      <c r="EO89" s="13">
        <f t="shared" si="158"/>
        <v>650</v>
      </c>
      <c r="EP89" s="13">
        <f t="shared" si="125"/>
        <v>650</v>
      </c>
      <c r="EQ89" s="13">
        <f t="shared" si="209"/>
        <v>650</v>
      </c>
      <c r="ER89" s="13">
        <f t="shared" si="209"/>
        <v>650</v>
      </c>
      <c r="ES89" s="13">
        <f t="shared" si="209"/>
        <v>650</v>
      </c>
      <c r="ET89" s="13">
        <f t="shared" si="209"/>
        <v>650</v>
      </c>
      <c r="EU89" s="13">
        <f t="shared" si="209"/>
        <v>650</v>
      </c>
      <c r="EV89" s="13">
        <f t="shared" si="209"/>
        <v>650</v>
      </c>
      <c r="EW89" s="13">
        <f t="shared" si="209"/>
        <v>650</v>
      </c>
      <c r="EX89" s="13">
        <f t="shared" si="209"/>
        <v>650</v>
      </c>
      <c r="EY89" s="13">
        <f t="shared" si="209"/>
        <v>650</v>
      </c>
      <c r="EZ89" s="25">
        <v>40</v>
      </c>
      <c r="FA89" s="26">
        <f t="shared" si="55"/>
        <v>0.3611111111111111</v>
      </c>
    </row>
    <row r="90" spans="3:157" x14ac:dyDescent="0.25">
      <c r="C90" s="84"/>
      <c r="D90" s="85"/>
      <c r="E90" s="25">
        <v>39</v>
      </c>
      <c r="F90" s="26">
        <f t="shared" si="36"/>
        <v>0.35185185185185186</v>
      </c>
      <c r="G90" s="13">
        <f t="shared" si="199"/>
        <v>600</v>
      </c>
      <c r="H90" s="13">
        <f t="shared" si="199"/>
        <v>600</v>
      </c>
      <c r="I90" s="13">
        <f t="shared" si="199"/>
        <v>600</v>
      </c>
      <c r="J90" s="13">
        <f t="shared" si="199"/>
        <v>600</v>
      </c>
      <c r="K90" s="13">
        <f t="shared" si="199"/>
        <v>600</v>
      </c>
      <c r="L90" s="13">
        <f t="shared" si="199"/>
        <v>600</v>
      </c>
      <c r="M90" s="13">
        <f t="shared" si="199"/>
        <v>600</v>
      </c>
      <c r="N90" s="13">
        <f t="shared" si="199"/>
        <v>600</v>
      </c>
      <c r="O90" s="13">
        <f t="shared" si="199"/>
        <v>600</v>
      </c>
      <c r="P90" s="13">
        <f t="shared" si="87"/>
        <v>600</v>
      </c>
      <c r="Q90" s="13">
        <f t="shared" si="129"/>
        <v>600</v>
      </c>
      <c r="R90" s="13">
        <f t="shared" si="159"/>
        <v>600</v>
      </c>
      <c r="S90" s="13">
        <f t="shared" si="178"/>
        <v>600</v>
      </c>
      <c r="T90" s="13">
        <f t="shared" si="210"/>
        <v>600</v>
      </c>
      <c r="U90" s="13">
        <f t="shared" ref="U90" si="237">($F$5*$B$5*T27+$F$4*V27)/($F$4+$F$5*$B$5)</f>
        <v>611.6780857081568</v>
      </c>
      <c r="V90" s="13">
        <f t="shared" si="181"/>
        <v>612.30837904046268</v>
      </c>
      <c r="W90" s="13">
        <f t="shared" ref="W90" si="238">($F$6*$B$5*X27+$F$4*V27)/($F$4+$F$6*$B$5)</f>
        <v>613.92361467632566</v>
      </c>
      <c r="X90" s="13">
        <f t="shared" si="213"/>
        <v>650</v>
      </c>
      <c r="Y90" s="13">
        <f t="shared" si="184"/>
        <v>650</v>
      </c>
      <c r="Z90" s="13">
        <f t="shared" si="165"/>
        <v>650</v>
      </c>
      <c r="AA90" s="13">
        <f t="shared" si="137"/>
        <v>650</v>
      </c>
      <c r="AB90" s="13">
        <f t="shared" si="99"/>
        <v>650</v>
      </c>
      <c r="AC90" s="13">
        <f t="shared" si="202"/>
        <v>650</v>
      </c>
      <c r="AD90" s="13">
        <f t="shared" si="202"/>
        <v>650</v>
      </c>
      <c r="AE90" s="13">
        <f t="shared" si="202"/>
        <v>650</v>
      </c>
      <c r="AF90" s="13">
        <f t="shared" si="202"/>
        <v>650</v>
      </c>
      <c r="AG90" s="13">
        <f t="shared" si="202"/>
        <v>650</v>
      </c>
      <c r="AH90" s="13">
        <f t="shared" si="202"/>
        <v>650</v>
      </c>
      <c r="AI90" s="13">
        <f t="shared" si="202"/>
        <v>650</v>
      </c>
      <c r="AJ90" s="13">
        <f t="shared" si="202"/>
        <v>650</v>
      </c>
      <c r="AK90" s="13">
        <f t="shared" si="202"/>
        <v>650</v>
      </c>
      <c r="AL90" s="25">
        <v>39</v>
      </c>
      <c r="AM90" s="26">
        <f t="shared" si="40"/>
        <v>0.35185185185185186</v>
      </c>
      <c r="AP90" s="87"/>
      <c r="AQ90" s="86"/>
      <c r="AR90" s="25">
        <v>39</v>
      </c>
      <c r="AS90" s="26">
        <f t="shared" si="41"/>
        <v>0.35185185185185186</v>
      </c>
      <c r="AT90" s="13">
        <f t="shared" si="203"/>
        <v>600</v>
      </c>
      <c r="AU90" s="13">
        <f t="shared" si="203"/>
        <v>600</v>
      </c>
      <c r="AV90" s="13">
        <f t="shared" si="203"/>
        <v>600</v>
      </c>
      <c r="AW90" s="13">
        <f t="shared" si="203"/>
        <v>600</v>
      </c>
      <c r="AX90" s="13">
        <f t="shared" si="203"/>
        <v>600</v>
      </c>
      <c r="AY90" s="13">
        <f t="shared" si="203"/>
        <v>600</v>
      </c>
      <c r="AZ90" s="13">
        <f t="shared" si="203"/>
        <v>600</v>
      </c>
      <c r="BA90" s="13">
        <f t="shared" si="203"/>
        <v>600</v>
      </c>
      <c r="BB90" s="13">
        <f t="shared" si="203"/>
        <v>600</v>
      </c>
      <c r="BC90" s="13">
        <f t="shared" si="100"/>
        <v>600</v>
      </c>
      <c r="BD90" s="13">
        <f t="shared" si="138"/>
        <v>600</v>
      </c>
      <c r="BE90" s="13">
        <f t="shared" si="166"/>
        <v>600</v>
      </c>
      <c r="BF90" s="13">
        <f t="shared" si="185"/>
        <v>600</v>
      </c>
      <c r="BG90" s="13">
        <f t="shared" si="214"/>
        <v>600</v>
      </c>
      <c r="BH90" s="52"/>
      <c r="BI90" s="13">
        <f t="shared" si="215"/>
        <v>-2197130013.3481631</v>
      </c>
      <c r="BJ90" s="52"/>
      <c r="BK90" s="13">
        <f t="shared" si="216"/>
        <v>650</v>
      </c>
      <c r="BL90" s="13">
        <f t="shared" si="189"/>
        <v>650</v>
      </c>
      <c r="BM90" s="13">
        <f t="shared" si="167"/>
        <v>650</v>
      </c>
      <c r="BN90" s="13">
        <f t="shared" si="146"/>
        <v>650</v>
      </c>
      <c r="BO90" s="13">
        <f t="shared" si="110"/>
        <v>650</v>
      </c>
      <c r="BP90" s="13">
        <f t="shared" si="204"/>
        <v>650</v>
      </c>
      <c r="BQ90" s="13">
        <f t="shared" si="204"/>
        <v>650</v>
      </c>
      <c r="BR90" s="13">
        <f t="shared" si="204"/>
        <v>650</v>
      </c>
      <c r="BS90" s="13">
        <f t="shared" si="204"/>
        <v>650</v>
      </c>
      <c r="BT90" s="13">
        <f t="shared" si="204"/>
        <v>650</v>
      </c>
      <c r="BU90" s="13">
        <f t="shared" si="204"/>
        <v>650</v>
      </c>
      <c r="BV90" s="13">
        <f t="shared" si="204"/>
        <v>650</v>
      </c>
      <c r="BW90" s="13">
        <f t="shared" si="204"/>
        <v>650</v>
      </c>
      <c r="BX90" s="13">
        <f t="shared" si="204"/>
        <v>650</v>
      </c>
      <c r="BY90" s="25">
        <v>39</v>
      </c>
      <c r="BZ90" s="26">
        <f t="shared" si="45"/>
        <v>0.35185185185185186</v>
      </c>
      <c r="CC90" s="84"/>
      <c r="CD90" s="85"/>
      <c r="CE90" s="25">
        <v>39</v>
      </c>
      <c r="CF90" s="26">
        <f t="shared" si="46"/>
        <v>0.35185185185185186</v>
      </c>
      <c r="CG90" s="13">
        <f t="shared" si="205"/>
        <v>600</v>
      </c>
      <c r="CH90" s="13">
        <f t="shared" si="205"/>
        <v>600</v>
      </c>
      <c r="CI90" s="13">
        <f t="shared" si="205"/>
        <v>600</v>
      </c>
      <c r="CJ90" s="13">
        <f t="shared" si="205"/>
        <v>600</v>
      </c>
      <c r="CK90" s="13">
        <f t="shared" si="205"/>
        <v>600</v>
      </c>
      <c r="CL90" s="13">
        <f t="shared" si="205"/>
        <v>600</v>
      </c>
      <c r="CM90" s="13">
        <f t="shared" si="205"/>
        <v>600</v>
      </c>
      <c r="CN90" s="13">
        <f t="shared" si="205"/>
        <v>600</v>
      </c>
      <c r="CO90" s="13">
        <f t="shared" si="205"/>
        <v>600</v>
      </c>
      <c r="CP90" s="13">
        <f t="shared" si="111"/>
        <v>600</v>
      </c>
      <c r="CQ90" s="13">
        <f t="shared" si="147"/>
        <v>600</v>
      </c>
      <c r="CR90" s="13">
        <f t="shared" si="168"/>
        <v>600</v>
      </c>
      <c r="CS90" s="13">
        <f t="shared" si="190"/>
        <v>600</v>
      </c>
      <c r="CT90" s="13">
        <f t="shared" si="217"/>
        <v>600</v>
      </c>
      <c r="CU90" s="13">
        <f t="shared" ref="CU90:CW90" si="239">$L$2/($L$3-$L$4*CT90)</f>
        <v>-1.6746678575415876E-3</v>
      </c>
      <c r="CV90" s="13">
        <f t="shared" si="239"/>
        <v>0.34863354230673421</v>
      </c>
      <c r="CW90" s="13">
        <f t="shared" si="239"/>
        <v>0.39713536344133415</v>
      </c>
      <c r="CX90" s="13">
        <f t="shared" si="219"/>
        <v>650</v>
      </c>
      <c r="CY90" s="13">
        <f t="shared" si="192"/>
        <v>650</v>
      </c>
      <c r="CZ90" s="13">
        <f t="shared" si="169"/>
        <v>650</v>
      </c>
      <c r="DA90" s="13">
        <f t="shared" si="148"/>
        <v>650</v>
      </c>
      <c r="DB90" s="13">
        <f t="shared" si="113"/>
        <v>650</v>
      </c>
      <c r="DC90" s="13">
        <f t="shared" si="207"/>
        <v>650</v>
      </c>
      <c r="DD90" s="13">
        <f t="shared" si="207"/>
        <v>650</v>
      </c>
      <c r="DE90" s="13">
        <f t="shared" si="207"/>
        <v>650</v>
      </c>
      <c r="DF90" s="13">
        <f t="shared" si="207"/>
        <v>650</v>
      </c>
      <c r="DG90" s="13">
        <f t="shared" si="207"/>
        <v>650</v>
      </c>
      <c r="DH90" s="13">
        <f t="shared" si="207"/>
        <v>650</v>
      </c>
      <c r="DI90" s="13">
        <f t="shared" si="207"/>
        <v>650</v>
      </c>
      <c r="DJ90" s="13">
        <f t="shared" si="207"/>
        <v>650</v>
      </c>
      <c r="DK90" s="13">
        <f t="shared" si="207"/>
        <v>650</v>
      </c>
      <c r="DL90" s="25">
        <v>39</v>
      </c>
      <c r="DM90" s="26">
        <f t="shared" si="50"/>
        <v>0.35185185185185186</v>
      </c>
      <c r="DQ90" s="84"/>
      <c r="DR90" s="85"/>
      <c r="DS90" s="25">
        <v>39</v>
      </c>
      <c r="DT90" s="26">
        <f t="shared" si="51"/>
        <v>0.35185185185185186</v>
      </c>
      <c r="DU90" s="13">
        <f t="shared" si="208"/>
        <v>600</v>
      </c>
      <c r="DV90" s="13">
        <f t="shared" si="208"/>
        <v>600</v>
      </c>
      <c r="DW90" s="13">
        <f t="shared" si="208"/>
        <v>600</v>
      </c>
      <c r="DX90" s="13">
        <f t="shared" si="208"/>
        <v>600</v>
      </c>
      <c r="DY90" s="13">
        <f t="shared" si="208"/>
        <v>600</v>
      </c>
      <c r="DZ90" s="13">
        <f t="shared" si="208"/>
        <v>600</v>
      </c>
      <c r="EA90" s="13">
        <f t="shared" si="208"/>
        <v>600</v>
      </c>
      <c r="EB90" s="13">
        <f t="shared" si="208"/>
        <v>600</v>
      </c>
      <c r="EC90" s="13">
        <f t="shared" si="208"/>
        <v>600</v>
      </c>
      <c r="ED90" s="13">
        <f t="shared" si="114"/>
        <v>600</v>
      </c>
      <c r="EE90" s="13">
        <f t="shared" si="149"/>
        <v>600</v>
      </c>
      <c r="EF90" s="13">
        <f t="shared" si="170"/>
        <v>600</v>
      </c>
      <c r="EG90" s="13">
        <f t="shared" si="193"/>
        <v>600</v>
      </c>
      <c r="EH90" s="13">
        <f t="shared" si="220"/>
        <v>600</v>
      </c>
      <c r="EI90" s="13">
        <f t="shared" si="227"/>
        <v>611.6780857081568</v>
      </c>
      <c r="EJ90" s="13">
        <f t="shared" si="221"/>
        <v>398.27401455010073</v>
      </c>
      <c r="EK90" s="13">
        <f t="shared" si="222"/>
        <v>158.16869551759348</v>
      </c>
      <c r="EL90" s="13">
        <f t="shared" si="223"/>
        <v>650</v>
      </c>
      <c r="EM90" s="13">
        <f t="shared" si="198"/>
        <v>650</v>
      </c>
      <c r="EN90" s="13">
        <f t="shared" si="177"/>
        <v>650</v>
      </c>
      <c r="EO90" s="13">
        <f t="shared" si="158"/>
        <v>650</v>
      </c>
      <c r="EP90" s="13">
        <f t="shared" si="125"/>
        <v>650</v>
      </c>
      <c r="EQ90" s="13">
        <f t="shared" si="209"/>
        <v>650</v>
      </c>
      <c r="ER90" s="13">
        <f t="shared" si="209"/>
        <v>650</v>
      </c>
      <c r="ES90" s="13">
        <f t="shared" si="209"/>
        <v>650</v>
      </c>
      <c r="ET90" s="13">
        <f t="shared" si="209"/>
        <v>650</v>
      </c>
      <c r="EU90" s="13">
        <f t="shared" si="209"/>
        <v>650</v>
      </c>
      <c r="EV90" s="13">
        <f t="shared" si="209"/>
        <v>650</v>
      </c>
      <c r="EW90" s="13">
        <f t="shared" si="209"/>
        <v>650</v>
      </c>
      <c r="EX90" s="13">
        <f t="shared" si="209"/>
        <v>650</v>
      </c>
      <c r="EY90" s="13">
        <f t="shared" si="209"/>
        <v>650</v>
      </c>
      <c r="EZ90" s="25">
        <v>39</v>
      </c>
      <c r="FA90" s="26">
        <f t="shared" si="55"/>
        <v>0.35185185185185186</v>
      </c>
    </row>
    <row r="91" spans="3:157" x14ac:dyDescent="0.25">
      <c r="C91" s="84"/>
      <c r="D91" s="85"/>
      <c r="E91" s="25">
        <v>38</v>
      </c>
      <c r="F91" s="26">
        <f t="shared" si="36"/>
        <v>0.34259259259259256</v>
      </c>
      <c r="G91" s="13">
        <f t="shared" si="199"/>
        <v>600</v>
      </c>
      <c r="H91" s="13">
        <f t="shared" si="199"/>
        <v>600</v>
      </c>
      <c r="I91" s="13">
        <f t="shared" si="199"/>
        <v>600</v>
      </c>
      <c r="J91" s="13">
        <f t="shared" si="199"/>
        <v>600</v>
      </c>
      <c r="K91" s="13">
        <f t="shared" si="199"/>
        <v>600</v>
      </c>
      <c r="L91" s="13">
        <f t="shared" si="199"/>
        <v>600</v>
      </c>
      <c r="M91" s="13">
        <f t="shared" si="199"/>
        <v>600</v>
      </c>
      <c r="N91" s="13">
        <f t="shared" si="199"/>
        <v>600</v>
      </c>
      <c r="O91" s="13">
        <f t="shared" si="199"/>
        <v>600</v>
      </c>
      <c r="P91" s="13">
        <f t="shared" si="87"/>
        <v>600</v>
      </c>
      <c r="Q91" s="13">
        <f t="shared" si="129"/>
        <v>600</v>
      </c>
      <c r="R91" s="13">
        <f t="shared" si="159"/>
        <v>600</v>
      </c>
      <c r="S91" s="13">
        <f t="shared" si="178"/>
        <v>600</v>
      </c>
      <c r="T91" s="13">
        <f t="shared" si="210"/>
        <v>600</v>
      </c>
      <c r="U91" s="13">
        <f t="shared" ref="U91" si="240">($F$5*$B$5*T28+$F$4*V28)/($F$4+$F$5*$B$5)</f>
        <v>611.15721232908334</v>
      </c>
      <c r="V91" s="13">
        <f t="shared" si="181"/>
        <v>611.77616407314474</v>
      </c>
      <c r="W91" s="13">
        <f t="shared" ref="W91" si="241">($F$6*$B$5*X28+$F$4*V28)/($F$4+$F$6*$B$5)</f>
        <v>613.39550694476497</v>
      </c>
      <c r="X91" s="13">
        <f t="shared" si="213"/>
        <v>650</v>
      </c>
      <c r="Y91" s="13">
        <f t="shared" si="184"/>
        <v>650</v>
      </c>
      <c r="Z91" s="13">
        <f t="shared" si="165"/>
        <v>650</v>
      </c>
      <c r="AA91" s="13">
        <f t="shared" si="137"/>
        <v>650</v>
      </c>
      <c r="AB91" s="13">
        <f t="shared" si="99"/>
        <v>650</v>
      </c>
      <c r="AC91" s="13">
        <f t="shared" si="202"/>
        <v>650</v>
      </c>
      <c r="AD91" s="13">
        <f t="shared" si="202"/>
        <v>650</v>
      </c>
      <c r="AE91" s="13">
        <f t="shared" si="202"/>
        <v>650</v>
      </c>
      <c r="AF91" s="13">
        <f t="shared" si="202"/>
        <v>650</v>
      </c>
      <c r="AG91" s="13">
        <f t="shared" si="202"/>
        <v>650</v>
      </c>
      <c r="AH91" s="13">
        <f t="shared" si="202"/>
        <v>650</v>
      </c>
      <c r="AI91" s="13">
        <f t="shared" si="202"/>
        <v>650</v>
      </c>
      <c r="AJ91" s="13">
        <f t="shared" si="202"/>
        <v>650</v>
      </c>
      <c r="AK91" s="13">
        <f t="shared" si="202"/>
        <v>650</v>
      </c>
      <c r="AL91" s="25">
        <v>38</v>
      </c>
      <c r="AM91" s="26">
        <f t="shared" si="40"/>
        <v>0.34259259259259256</v>
      </c>
      <c r="AP91" s="87"/>
      <c r="AQ91" s="86"/>
      <c r="AR91" s="25">
        <v>38</v>
      </c>
      <c r="AS91" s="26">
        <f t="shared" si="41"/>
        <v>0.34259259259259256</v>
      </c>
      <c r="AT91" s="13">
        <f t="shared" si="203"/>
        <v>600</v>
      </c>
      <c r="AU91" s="13">
        <f t="shared" si="203"/>
        <v>600</v>
      </c>
      <c r="AV91" s="13">
        <f t="shared" si="203"/>
        <v>600</v>
      </c>
      <c r="AW91" s="13">
        <f t="shared" si="203"/>
        <v>600</v>
      </c>
      <c r="AX91" s="13">
        <f t="shared" si="203"/>
        <v>600</v>
      </c>
      <c r="AY91" s="13">
        <f t="shared" si="203"/>
        <v>600</v>
      </c>
      <c r="AZ91" s="13">
        <f t="shared" si="203"/>
        <v>600</v>
      </c>
      <c r="BA91" s="13">
        <f t="shared" si="203"/>
        <v>600</v>
      </c>
      <c r="BB91" s="13">
        <f t="shared" si="203"/>
        <v>600</v>
      </c>
      <c r="BC91" s="13">
        <f t="shared" si="100"/>
        <v>600</v>
      </c>
      <c r="BD91" s="13">
        <f t="shared" si="138"/>
        <v>600</v>
      </c>
      <c r="BE91" s="13">
        <f t="shared" si="166"/>
        <v>600</v>
      </c>
      <c r="BF91" s="13">
        <f t="shared" si="185"/>
        <v>600</v>
      </c>
      <c r="BG91" s="13">
        <f t="shared" si="214"/>
        <v>600</v>
      </c>
      <c r="BH91" s="52"/>
      <c r="BI91" s="13">
        <f t="shared" si="215"/>
        <v>-2195152778.0012002</v>
      </c>
      <c r="BJ91" s="52"/>
      <c r="BK91" s="13">
        <f t="shared" si="216"/>
        <v>650</v>
      </c>
      <c r="BL91" s="13">
        <f t="shared" si="189"/>
        <v>650</v>
      </c>
      <c r="BM91" s="13">
        <f t="shared" si="167"/>
        <v>650</v>
      </c>
      <c r="BN91" s="13">
        <f t="shared" si="146"/>
        <v>650</v>
      </c>
      <c r="BO91" s="13">
        <f t="shared" si="110"/>
        <v>650</v>
      </c>
      <c r="BP91" s="13">
        <f t="shared" si="204"/>
        <v>650</v>
      </c>
      <c r="BQ91" s="13">
        <f t="shared" si="204"/>
        <v>650</v>
      </c>
      <c r="BR91" s="13">
        <f t="shared" si="204"/>
        <v>650</v>
      </c>
      <c r="BS91" s="13">
        <f t="shared" si="204"/>
        <v>650</v>
      </c>
      <c r="BT91" s="13">
        <f t="shared" si="204"/>
        <v>650</v>
      </c>
      <c r="BU91" s="13">
        <f t="shared" si="204"/>
        <v>650</v>
      </c>
      <c r="BV91" s="13">
        <f t="shared" si="204"/>
        <v>650</v>
      </c>
      <c r="BW91" s="13">
        <f t="shared" si="204"/>
        <v>650</v>
      </c>
      <c r="BX91" s="13">
        <f t="shared" si="204"/>
        <v>650</v>
      </c>
      <c r="BY91" s="25">
        <v>38</v>
      </c>
      <c r="BZ91" s="26">
        <f t="shared" si="45"/>
        <v>0.34259259259259256</v>
      </c>
      <c r="CC91" s="84"/>
      <c r="CD91" s="85"/>
      <c r="CE91" s="25">
        <v>38</v>
      </c>
      <c r="CF91" s="26">
        <f t="shared" si="46"/>
        <v>0.34259259259259256</v>
      </c>
      <c r="CG91" s="13">
        <f t="shared" si="205"/>
        <v>600</v>
      </c>
      <c r="CH91" s="13">
        <f t="shared" si="205"/>
        <v>600</v>
      </c>
      <c r="CI91" s="13">
        <f t="shared" si="205"/>
        <v>600</v>
      </c>
      <c r="CJ91" s="13">
        <f t="shared" si="205"/>
        <v>600</v>
      </c>
      <c r="CK91" s="13">
        <f t="shared" si="205"/>
        <v>600</v>
      </c>
      <c r="CL91" s="13">
        <f t="shared" si="205"/>
        <v>600</v>
      </c>
      <c r="CM91" s="13">
        <f t="shared" si="205"/>
        <v>600</v>
      </c>
      <c r="CN91" s="13">
        <f t="shared" si="205"/>
        <v>600</v>
      </c>
      <c r="CO91" s="13">
        <f t="shared" si="205"/>
        <v>600</v>
      </c>
      <c r="CP91" s="13">
        <f t="shared" si="111"/>
        <v>600</v>
      </c>
      <c r="CQ91" s="13">
        <f t="shared" si="147"/>
        <v>600</v>
      </c>
      <c r="CR91" s="13">
        <f t="shared" si="168"/>
        <v>600</v>
      </c>
      <c r="CS91" s="13">
        <f t="shared" si="190"/>
        <v>600</v>
      </c>
      <c r="CT91" s="13">
        <f t="shared" si="217"/>
        <v>600</v>
      </c>
      <c r="CU91" s="13">
        <f t="shared" ref="CU91:CW91" si="242">$L$2/($L$3-$L$4*CT91)</f>
        <v>-1.6746678575415876E-3</v>
      </c>
      <c r="CV91" s="13">
        <f t="shared" si="242"/>
        <v>0.34863354230673421</v>
      </c>
      <c r="CW91" s="13">
        <f t="shared" si="242"/>
        <v>0.39713536344133415</v>
      </c>
      <c r="CX91" s="13">
        <f t="shared" si="219"/>
        <v>650</v>
      </c>
      <c r="CY91" s="13">
        <f t="shared" si="192"/>
        <v>650</v>
      </c>
      <c r="CZ91" s="13">
        <f t="shared" si="169"/>
        <v>650</v>
      </c>
      <c r="DA91" s="13">
        <f t="shared" si="148"/>
        <v>650</v>
      </c>
      <c r="DB91" s="13">
        <f t="shared" si="113"/>
        <v>650</v>
      </c>
      <c r="DC91" s="13">
        <f t="shared" si="207"/>
        <v>650</v>
      </c>
      <c r="DD91" s="13">
        <f t="shared" si="207"/>
        <v>650</v>
      </c>
      <c r="DE91" s="13">
        <f t="shared" si="207"/>
        <v>650</v>
      </c>
      <c r="DF91" s="13">
        <f t="shared" si="207"/>
        <v>650</v>
      </c>
      <c r="DG91" s="13">
        <f t="shared" si="207"/>
        <v>650</v>
      </c>
      <c r="DH91" s="13">
        <f t="shared" si="207"/>
        <v>650</v>
      </c>
      <c r="DI91" s="13">
        <f t="shared" si="207"/>
        <v>650</v>
      </c>
      <c r="DJ91" s="13">
        <f t="shared" si="207"/>
        <v>650</v>
      </c>
      <c r="DK91" s="13">
        <f t="shared" si="207"/>
        <v>650</v>
      </c>
      <c r="DL91" s="25">
        <v>38</v>
      </c>
      <c r="DM91" s="26">
        <f t="shared" si="50"/>
        <v>0.34259259259259256</v>
      </c>
      <c r="DQ91" s="84"/>
      <c r="DR91" s="85"/>
      <c r="DS91" s="25">
        <v>38</v>
      </c>
      <c r="DT91" s="26">
        <f t="shared" si="51"/>
        <v>0.34259259259259256</v>
      </c>
      <c r="DU91" s="13">
        <f t="shared" si="208"/>
        <v>600</v>
      </c>
      <c r="DV91" s="13">
        <f t="shared" si="208"/>
        <v>600</v>
      </c>
      <c r="DW91" s="13">
        <f t="shared" si="208"/>
        <v>600</v>
      </c>
      <c r="DX91" s="13">
        <f t="shared" si="208"/>
        <v>600</v>
      </c>
      <c r="DY91" s="13">
        <f t="shared" si="208"/>
        <v>600</v>
      </c>
      <c r="DZ91" s="13">
        <f t="shared" si="208"/>
        <v>600</v>
      </c>
      <c r="EA91" s="13">
        <f t="shared" si="208"/>
        <v>600</v>
      </c>
      <c r="EB91" s="13">
        <f t="shared" si="208"/>
        <v>600</v>
      </c>
      <c r="EC91" s="13">
        <f t="shared" si="208"/>
        <v>600</v>
      </c>
      <c r="ED91" s="13">
        <f t="shared" si="114"/>
        <v>600</v>
      </c>
      <c r="EE91" s="13">
        <f t="shared" si="149"/>
        <v>600</v>
      </c>
      <c r="EF91" s="13">
        <f t="shared" si="170"/>
        <v>600</v>
      </c>
      <c r="EG91" s="13">
        <f t="shared" si="193"/>
        <v>600</v>
      </c>
      <c r="EH91" s="13">
        <f t="shared" si="220"/>
        <v>600</v>
      </c>
      <c r="EI91" s="13">
        <f t="shared" si="227"/>
        <v>611.15721232908334</v>
      </c>
      <c r="EJ91" s="13">
        <f t="shared" si="221"/>
        <v>397.92591565195636</v>
      </c>
      <c r="EK91" s="13">
        <f t="shared" si="222"/>
        <v>158.03045313516537</v>
      </c>
      <c r="EL91" s="13">
        <f t="shared" si="223"/>
        <v>650</v>
      </c>
      <c r="EM91" s="13">
        <f t="shared" si="198"/>
        <v>650</v>
      </c>
      <c r="EN91" s="13">
        <f t="shared" si="177"/>
        <v>650</v>
      </c>
      <c r="EO91" s="13">
        <f t="shared" si="158"/>
        <v>650</v>
      </c>
      <c r="EP91" s="13">
        <f t="shared" si="125"/>
        <v>650</v>
      </c>
      <c r="EQ91" s="13">
        <f t="shared" si="209"/>
        <v>650</v>
      </c>
      <c r="ER91" s="13">
        <f t="shared" si="209"/>
        <v>650</v>
      </c>
      <c r="ES91" s="13">
        <f t="shared" si="209"/>
        <v>650</v>
      </c>
      <c r="ET91" s="13">
        <f t="shared" si="209"/>
        <v>650</v>
      </c>
      <c r="EU91" s="13">
        <f t="shared" si="209"/>
        <v>650</v>
      </c>
      <c r="EV91" s="13">
        <f t="shared" si="209"/>
        <v>650</v>
      </c>
      <c r="EW91" s="13">
        <f t="shared" si="209"/>
        <v>650</v>
      </c>
      <c r="EX91" s="13">
        <f t="shared" si="209"/>
        <v>650</v>
      </c>
      <c r="EY91" s="13">
        <f t="shared" si="209"/>
        <v>650</v>
      </c>
      <c r="EZ91" s="25">
        <v>38</v>
      </c>
      <c r="FA91" s="26">
        <f t="shared" si="55"/>
        <v>0.34259259259259256</v>
      </c>
    </row>
    <row r="92" spans="3:157" x14ac:dyDescent="0.25">
      <c r="C92" s="84"/>
      <c r="D92" s="85"/>
      <c r="E92" s="25">
        <v>37</v>
      </c>
      <c r="F92" s="26">
        <f t="shared" si="36"/>
        <v>0.33333333333333331</v>
      </c>
      <c r="G92" s="13">
        <f t="shared" si="199"/>
        <v>600</v>
      </c>
      <c r="H92" s="13">
        <f t="shared" si="199"/>
        <v>600</v>
      </c>
      <c r="I92" s="13">
        <f t="shared" si="199"/>
        <v>600</v>
      </c>
      <c r="J92" s="13">
        <f t="shared" si="199"/>
        <v>600</v>
      </c>
      <c r="K92" s="13">
        <f t="shared" si="199"/>
        <v>600</v>
      </c>
      <c r="L92" s="13">
        <f t="shared" si="199"/>
        <v>600</v>
      </c>
      <c r="M92" s="13">
        <f t="shared" si="199"/>
        <v>600</v>
      </c>
      <c r="N92" s="13">
        <f t="shared" si="199"/>
        <v>600</v>
      </c>
      <c r="O92" s="13">
        <f t="shared" si="199"/>
        <v>600</v>
      </c>
      <c r="P92" s="13">
        <f t="shared" si="87"/>
        <v>600</v>
      </c>
      <c r="Q92" s="13">
        <f t="shared" si="129"/>
        <v>600</v>
      </c>
      <c r="R92" s="13">
        <f t="shared" si="159"/>
        <v>600</v>
      </c>
      <c r="S92" s="13">
        <f t="shared" si="178"/>
        <v>600</v>
      </c>
      <c r="T92" s="13">
        <f t="shared" si="210"/>
        <v>600</v>
      </c>
      <c r="U92" s="13">
        <f t="shared" ref="U92" si="243">($F$5*$B$5*T29+$F$4*V29)/($F$4+$F$5*$B$5)</f>
        <v>610.83889633161868</v>
      </c>
      <c r="V92" s="13">
        <f t="shared" si="181"/>
        <v>611.45091700736305</v>
      </c>
      <c r="W92" s="13">
        <f t="shared" ref="W92" si="244">($F$6*$B$5*X29+$F$4*V29)/($F$4+$F$6*$B$5)</f>
        <v>613.07276989178001</v>
      </c>
      <c r="X92" s="13">
        <f t="shared" si="213"/>
        <v>650</v>
      </c>
      <c r="Y92" s="13">
        <f t="shared" si="184"/>
        <v>650</v>
      </c>
      <c r="Z92" s="13">
        <f t="shared" si="165"/>
        <v>650</v>
      </c>
      <c r="AA92" s="13">
        <f t="shared" si="137"/>
        <v>650</v>
      </c>
      <c r="AB92" s="13">
        <f t="shared" si="99"/>
        <v>650</v>
      </c>
      <c r="AC92" s="13">
        <f t="shared" si="202"/>
        <v>650</v>
      </c>
      <c r="AD92" s="13">
        <f t="shared" si="202"/>
        <v>650</v>
      </c>
      <c r="AE92" s="13">
        <f t="shared" si="202"/>
        <v>650</v>
      </c>
      <c r="AF92" s="13">
        <f t="shared" si="202"/>
        <v>650</v>
      </c>
      <c r="AG92" s="13">
        <f t="shared" si="202"/>
        <v>650</v>
      </c>
      <c r="AH92" s="13">
        <f t="shared" si="202"/>
        <v>650</v>
      </c>
      <c r="AI92" s="13">
        <f t="shared" si="202"/>
        <v>650</v>
      </c>
      <c r="AJ92" s="13">
        <f t="shared" si="202"/>
        <v>650</v>
      </c>
      <c r="AK92" s="13">
        <f t="shared" si="202"/>
        <v>650</v>
      </c>
      <c r="AL92" s="25">
        <v>37</v>
      </c>
      <c r="AM92" s="26">
        <f t="shared" si="40"/>
        <v>0.33333333333333331</v>
      </c>
      <c r="AP92" s="87"/>
      <c r="AQ92" s="86"/>
      <c r="AR92" s="25">
        <v>37</v>
      </c>
      <c r="AS92" s="26">
        <f t="shared" si="41"/>
        <v>0.33333333333333331</v>
      </c>
      <c r="AT92" s="13">
        <f t="shared" si="203"/>
        <v>600</v>
      </c>
      <c r="AU92" s="13">
        <f t="shared" si="203"/>
        <v>600</v>
      </c>
      <c r="AV92" s="13">
        <f t="shared" si="203"/>
        <v>600</v>
      </c>
      <c r="AW92" s="13">
        <f t="shared" si="203"/>
        <v>600</v>
      </c>
      <c r="AX92" s="13">
        <f t="shared" si="203"/>
        <v>600</v>
      </c>
      <c r="AY92" s="13">
        <f t="shared" si="203"/>
        <v>600</v>
      </c>
      <c r="AZ92" s="13">
        <f t="shared" si="203"/>
        <v>600</v>
      </c>
      <c r="BA92" s="13">
        <f t="shared" si="203"/>
        <v>600</v>
      </c>
      <c r="BB92" s="13">
        <f t="shared" si="203"/>
        <v>600</v>
      </c>
      <c r="BC92" s="13">
        <f t="shared" si="100"/>
        <v>600</v>
      </c>
      <c r="BD92" s="13">
        <f t="shared" si="138"/>
        <v>600</v>
      </c>
      <c r="BE92" s="13">
        <f t="shared" si="166"/>
        <v>600</v>
      </c>
      <c r="BF92" s="13">
        <f t="shared" si="185"/>
        <v>600</v>
      </c>
      <c r="BG92" s="13">
        <f t="shared" si="214"/>
        <v>600</v>
      </c>
      <c r="BH92" s="52"/>
      <c r="BI92" s="13">
        <f t="shared" si="215"/>
        <v>-2193944450.4748244</v>
      </c>
      <c r="BJ92" s="52"/>
      <c r="BK92" s="13">
        <f t="shared" si="216"/>
        <v>650</v>
      </c>
      <c r="BL92" s="13">
        <f t="shared" si="189"/>
        <v>650</v>
      </c>
      <c r="BM92" s="13">
        <f t="shared" si="167"/>
        <v>650</v>
      </c>
      <c r="BN92" s="13">
        <f t="shared" si="146"/>
        <v>650</v>
      </c>
      <c r="BO92" s="13">
        <f t="shared" si="110"/>
        <v>650</v>
      </c>
      <c r="BP92" s="13">
        <f t="shared" si="204"/>
        <v>650</v>
      </c>
      <c r="BQ92" s="13">
        <f t="shared" si="204"/>
        <v>650</v>
      </c>
      <c r="BR92" s="13">
        <f t="shared" si="204"/>
        <v>650</v>
      </c>
      <c r="BS92" s="13">
        <f t="shared" si="204"/>
        <v>650</v>
      </c>
      <c r="BT92" s="13">
        <f t="shared" si="204"/>
        <v>650</v>
      </c>
      <c r="BU92" s="13">
        <f t="shared" si="204"/>
        <v>650</v>
      </c>
      <c r="BV92" s="13">
        <f t="shared" si="204"/>
        <v>650</v>
      </c>
      <c r="BW92" s="13">
        <f t="shared" si="204"/>
        <v>650</v>
      </c>
      <c r="BX92" s="13">
        <f t="shared" si="204"/>
        <v>650</v>
      </c>
      <c r="BY92" s="25">
        <v>37</v>
      </c>
      <c r="BZ92" s="26">
        <f t="shared" si="45"/>
        <v>0.33333333333333331</v>
      </c>
      <c r="CC92" s="84"/>
      <c r="CD92" s="85"/>
      <c r="CE92" s="25">
        <v>37</v>
      </c>
      <c r="CF92" s="26">
        <f t="shared" si="46"/>
        <v>0.33333333333333331</v>
      </c>
      <c r="CG92" s="13">
        <f t="shared" si="205"/>
        <v>600</v>
      </c>
      <c r="CH92" s="13">
        <f t="shared" si="205"/>
        <v>600</v>
      </c>
      <c r="CI92" s="13">
        <f t="shared" si="205"/>
        <v>600</v>
      </c>
      <c r="CJ92" s="13">
        <f t="shared" si="205"/>
        <v>600</v>
      </c>
      <c r="CK92" s="13">
        <f t="shared" si="205"/>
        <v>600</v>
      </c>
      <c r="CL92" s="13">
        <f t="shared" si="205"/>
        <v>600</v>
      </c>
      <c r="CM92" s="13">
        <f t="shared" si="205"/>
        <v>600</v>
      </c>
      <c r="CN92" s="13">
        <f t="shared" si="205"/>
        <v>600</v>
      </c>
      <c r="CO92" s="13">
        <f t="shared" si="205"/>
        <v>600</v>
      </c>
      <c r="CP92" s="13">
        <f t="shared" si="111"/>
        <v>600</v>
      </c>
      <c r="CQ92" s="13">
        <f t="shared" si="147"/>
        <v>600</v>
      </c>
      <c r="CR92" s="13">
        <f t="shared" si="168"/>
        <v>600</v>
      </c>
      <c r="CS92" s="13">
        <f t="shared" si="190"/>
        <v>600</v>
      </c>
      <c r="CT92" s="13">
        <f t="shared" si="217"/>
        <v>600</v>
      </c>
      <c r="CU92" s="13">
        <f t="shared" ref="CU92:CW92" si="245">$L$2/($L$3-$L$4*CT92)</f>
        <v>-1.6746678575415876E-3</v>
      </c>
      <c r="CV92" s="13">
        <f t="shared" si="245"/>
        <v>0.34863354230673421</v>
      </c>
      <c r="CW92" s="13">
        <f t="shared" si="245"/>
        <v>0.39713536344133415</v>
      </c>
      <c r="CX92" s="13">
        <f t="shared" si="219"/>
        <v>650</v>
      </c>
      <c r="CY92" s="13">
        <f t="shared" si="192"/>
        <v>650</v>
      </c>
      <c r="CZ92" s="13">
        <f t="shared" si="169"/>
        <v>650</v>
      </c>
      <c r="DA92" s="13">
        <f t="shared" si="148"/>
        <v>650</v>
      </c>
      <c r="DB92" s="13">
        <f t="shared" si="113"/>
        <v>650</v>
      </c>
      <c r="DC92" s="13">
        <f t="shared" si="207"/>
        <v>650</v>
      </c>
      <c r="DD92" s="13">
        <f t="shared" si="207"/>
        <v>650</v>
      </c>
      <c r="DE92" s="13">
        <f t="shared" si="207"/>
        <v>650</v>
      </c>
      <c r="DF92" s="13">
        <f t="shared" si="207"/>
        <v>650</v>
      </c>
      <c r="DG92" s="13">
        <f t="shared" si="207"/>
        <v>650</v>
      </c>
      <c r="DH92" s="13">
        <f t="shared" si="207"/>
        <v>650</v>
      </c>
      <c r="DI92" s="13">
        <f t="shared" si="207"/>
        <v>650</v>
      </c>
      <c r="DJ92" s="13">
        <f t="shared" si="207"/>
        <v>650</v>
      </c>
      <c r="DK92" s="13">
        <f t="shared" si="207"/>
        <v>650</v>
      </c>
      <c r="DL92" s="25">
        <v>37</v>
      </c>
      <c r="DM92" s="26">
        <f t="shared" si="50"/>
        <v>0.33333333333333331</v>
      </c>
      <c r="DQ92" s="84"/>
      <c r="DR92" s="85"/>
      <c r="DS92" s="25">
        <v>37</v>
      </c>
      <c r="DT92" s="26">
        <f t="shared" si="51"/>
        <v>0.33333333333333331</v>
      </c>
      <c r="DU92" s="13">
        <f t="shared" si="208"/>
        <v>600</v>
      </c>
      <c r="DV92" s="13">
        <f t="shared" si="208"/>
        <v>600</v>
      </c>
      <c r="DW92" s="13">
        <f t="shared" si="208"/>
        <v>600</v>
      </c>
      <c r="DX92" s="13">
        <f t="shared" si="208"/>
        <v>600</v>
      </c>
      <c r="DY92" s="13">
        <f t="shared" si="208"/>
        <v>600</v>
      </c>
      <c r="DZ92" s="13">
        <f t="shared" si="208"/>
        <v>600</v>
      </c>
      <c r="EA92" s="13">
        <f t="shared" si="208"/>
        <v>600</v>
      </c>
      <c r="EB92" s="13">
        <f t="shared" si="208"/>
        <v>600</v>
      </c>
      <c r="EC92" s="13">
        <f t="shared" si="208"/>
        <v>600</v>
      </c>
      <c r="ED92" s="13">
        <f t="shared" si="114"/>
        <v>600</v>
      </c>
      <c r="EE92" s="13">
        <f t="shared" si="149"/>
        <v>600</v>
      </c>
      <c r="EF92" s="13">
        <f t="shared" si="170"/>
        <v>600</v>
      </c>
      <c r="EG92" s="13">
        <f t="shared" si="193"/>
        <v>600</v>
      </c>
      <c r="EH92" s="13">
        <f t="shared" si="220"/>
        <v>600</v>
      </c>
      <c r="EI92" s="13">
        <f t="shared" si="227"/>
        <v>610.83889633161868</v>
      </c>
      <c r="EJ92" s="13">
        <f t="shared" si="221"/>
        <v>397.71318554819044</v>
      </c>
      <c r="EK92" s="13">
        <f t="shared" si="222"/>
        <v>157.94597048809138</v>
      </c>
      <c r="EL92" s="13">
        <f t="shared" si="223"/>
        <v>650</v>
      </c>
      <c r="EM92" s="13">
        <f t="shared" si="198"/>
        <v>650</v>
      </c>
      <c r="EN92" s="13">
        <f t="shared" si="177"/>
        <v>650</v>
      </c>
      <c r="EO92" s="13">
        <f t="shared" si="158"/>
        <v>650</v>
      </c>
      <c r="EP92" s="13">
        <f t="shared" si="125"/>
        <v>650</v>
      </c>
      <c r="EQ92" s="13">
        <f t="shared" si="209"/>
        <v>650</v>
      </c>
      <c r="ER92" s="13">
        <f t="shared" si="209"/>
        <v>650</v>
      </c>
      <c r="ES92" s="13">
        <f t="shared" si="209"/>
        <v>650</v>
      </c>
      <c r="ET92" s="13">
        <f t="shared" si="209"/>
        <v>650</v>
      </c>
      <c r="EU92" s="13">
        <f t="shared" si="209"/>
        <v>650</v>
      </c>
      <c r="EV92" s="13">
        <f t="shared" si="209"/>
        <v>650</v>
      </c>
      <c r="EW92" s="13">
        <f t="shared" si="209"/>
        <v>650</v>
      </c>
      <c r="EX92" s="13">
        <f t="shared" si="209"/>
        <v>650</v>
      </c>
      <c r="EY92" s="13">
        <f t="shared" si="209"/>
        <v>650</v>
      </c>
      <c r="EZ92" s="25">
        <v>37</v>
      </c>
      <c r="FA92" s="26">
        <f t="shared" si="55"/>
        <v>0.33333333333333331</v>
      </c>
    </row>
    <row r="93" spans="3:157" x14ac:dyDescent="0.25">
      <c r="C93" s="84"/>
      <c r="D93" s="85"/>
      <c r="E93" s="25">
        <v>36</v>
      </c>
      <c r="F93" s="26">
        <f t="shared" si="36"/>
        <v>0.32407407407407407</v>
      </c>
      <c r="G93" s="13">
        <f t="shared" si="199"/>
        <v>600</v>
      </c>
      <c r="H93" s="13">
        <f t="shared" si="199"/>
        <v>600</v>
      </c>
      <c r="I93" s="13">
        <f t="shared" si="199"/>
        <v>600</v>
      </c>
      <c r="J93" s="13">
        <f t="shared" si="199"/>
        <v>600</v>
      </c>
      <c r="K93" s="13">
        <f t="shared" si="199"/>
        <v>600</v>
      </c>
      <c r="L93" s="13">
        <f t="shared" si="199"/>
        <v>600</v>
      </c>
      <c r="M93" s="13">
        <f t="shared" si="199"/>
        <v>600</v>
      </c>
      <c r="N93" s="13">
        <f t="shared" si="199"/>
        <v>600</v>
      </c>
      <c r="O93" s="13">
        <f t="shared" si="199"/>
        <v>600</v>
      </c>
      <c r="P93" s="13">
        <f t="shared" si="87"/>
        <v>600</v>
      </c>
      <c r="Q93" s="13">
        <f t="shared" si="129"/>
        <v>600</v>
      </c>
      <c r="R93" s="13">
        <f t="shared" si="159"/>
        <v>600</v>
      </c>
      <c r="S93" s="13">
        <f t="shared" si="178"/>
        <v>600</v>
      </c>
      <c r="T93" s="13">
        <f t="shared" si="210"/>
        <v>600</v>
      </c>
      <c r="U93" s="13">
        <f t="shared" ref="U93" si="246">($F$5*$B$5*T30+$F$4*V30)/($F$4+$F$5*$B$5)</f>
        <v>610.64488718878499</v>
      </c>
      <c r="V93" s="13">
        <f t="shared" si="181"/>
        <v>611.25268347545114</v>
      </c>
      <c r="W93" s="13">
        <f t="shared" ref="W93" si="247">($F$6*$B$5*X30+$F$4*V30)/($F$4+$F$6*$B$5)</f>
        <v>612.87606617751806</v>
      </c>
      <c r="X93" s="13">
        <f t="shared" si="213"/>
        <v>650</v>
      </c>
      <c r="Y93" s="13">
        <f t="shared" si="184"/>
        <v>650</v>
      </c>
      <c r="Z93" s="13">
        <f t="shared" si="165"/>
        <v>650</v>
      </c>
      <c r="AA93" s="13">
        <f t="shared" si="137"/>
        <v>650</v>
      </c>
      <c r="AB93" s="13">
        <f t="shared" si="99"/>
        <v>650</v>
      </c>
      <c r="AC93" s="13">
        <f t="shared" si="202"/>
        <v>650</v>
      </c>
      <c r="AD93" s="13">
        <f t="shared" si="202"/>
        <v>650</v>
      </c>
      <c r="AE93" s="13">
        <f t="shared" si="202"/>
        <v>650</v>
      </c>
      <c r="AF93" s="13">
        <f t="shared" si="202"/>
        <v>650</v>
      </c>
      <c r="AG93" s="13">
        <f t="shared" si="202"/>
        <v>650</v>
      </c>
      <c r="AH93" s="13">
        <f t="shared" si="202"/>
        <v>650</v>
      </c>
      <c r="AI93" s="13">
        <f t="shared" si="202"/>
        <v>650</v>
      </c>
      <c r="AJ93" s="13">
        <f t="shared" si="202"/>
        <v>650</v>
      </c>
      <c r="AK93" s="13">
        <f t="shared" si="202"/>
        <v>650</v>
      </c>
      <c r="AL93" s="25">
        <v>36</v>
      </c>
      <c r="AM93" s="26">
        <f t="shared" si="40"/>
        <v>0.32407407407407407</v>
      </c>
      <c r="AP93" s="87"/>
      <c r="AQ93" s="86"/>
      <c r="AR93" s="25">
        <v>36</v>
      </c>
      <c r="AS93" s="26">
        <f t="shared" si="41"/>
        <v>0.32407407407407407</v>
      </c>
      <c r="AT93" s="13">
        <f t="shared" si="203"/>
        <v>600</v>
      </c>
      <c r="AU93" s="13">
        <f t="shared" si="203"/>
        <v>600</v>
      </c>
      <c r="AV93" s="13">
        <f t="shared" si="203"/>
        <v>600</v>
      </c>
      <c r="AW93" s="13">
        <f t="shared" si="203"/>
        <v>600</v>
      </c>
      <c r="AX93" s="13">
        <f t="shared" si="203"/>
        <v>600</v>
      </c>
      <c r="AY93" s="13">
        <f t="shared" si="203"/>
        <v>600</v>
      </c>
      <c r="AZ93" s="13">
        <f t="shared" si="203"/>
        <v>600</v>
      </c>
      <c r="BA93" s="13">
        <f t="shared" si="203"/>
        <v>600</v>
      </c>
      <c r="BB93" s="13">
        <f t="shared" si="203"/>
        <v>600</v>
      </c>
      <c r="BC93" s="13">
        <f t="shared" si="100"/>
        <v>600</v>
      </c>
      <c r="BD93" s="13">
        <f t="shared" si="138"/>
        <v>600</v>
      </c>
      <c r="BE93" s="13">
        <f t="shared" si="166"/>
        <v>600</v>
      </c>
      <c r="BF93" s="13">
        <f t="shared" si="185"/>
        <v>600</v>
      </c>
      <c r="BG93" s="13">
        <f t="shared" si="214"/>
        <v>600</v>
      </c>
      <c r="BH93" s="52"/>
      <c r="BI93" s="13">
        <f t="shared" si="215"/>
        <v>-2193207991.7686276</v>
      </c>
      <c r="BJ93" s="52"/>
      <c r="BK93" s="13">
        <f t="shared" si="216"/>
        <v>650</v>
      </c>
      <c r="BL93" s="13">
        <f t="shared" si="189"/>
        <v>650</v>
      </c>
      <c r="BM93" s="13">
        <f t="shared" si="167"/>
        <v>650</v>
      </c>
      <c r="BN93" s="13">
        <f t="shared" si="146"/>
        <v>650</v>
      </c>
      <c r="BO93" s="13">
        <f t="shared" si="110"/>
        <v>650</v>
      </c>
      <c r="BP93" s="13">
        <f t="shared" si="204"/>
        <v>650</v>
      </c>
      <c r="BQ93" s="13">
        <f t="shared" si="204"/>
        <v>650</v>
      </c>
      <c r="BR93" s="13">
        <f t="shared" si="204"/>
        <v>650</v>
      </c>
      <c r="BS93" s="13">
        <f t="shared" si="204"/>
        <v>650</v>
      </c>
      <c r="BT93" s="13">
        <f t="shared" si="204"/>
        <v>650</v>
      </c>
      <c r="BU93" s="13">
        <f t="shared" si="204"/>
        <v>650</v>
      </c>
      <c r="BV93" s="13">
        <f t="shared" si="204"/>
        <v>650</v>
      </c>
      <c r="BW93" s="13">
        <f t="shared" si="204"/>
        <v>650</v>
      </c>
      <c r="BX93" s="13">
        <f t="shared" si="204"/>
        <v>650</v>
      </c>
      <c r="BY93" s="25">
        <v>36</v>
      </c>
      <c r="BZ93" s="26">
        <f t="shared" si="45"/>
        <v>0.32407407407407407</v>
      </c>
      <c r="CC93" s="84"/>
      <c r="CD93" s="85"/>
      <c r="CE93" s="25">
        <v>36</v>
      </c>
      <c r="CF93" s="26">
        <f t="shared" si="46"/>
        <v>0.32407407407407407</v>
      </c>
      <c r="CG93" s="13">
        <f t="shared" si="205"/>
        <v>600</v>
      </c>
      <c r="CH93" s="13">
        <f t="shared" si="205"/>
        <v>600</v>
      </c>
      <c r="CI93" s="13">
        <f t="shared" si="205"/>
        <v>600</v>
      </c>
      <c r="CJ93" s="13">
        <f t="shared" si="205"/>
        <v>600</v>
      </c>
      <c r="CK93" s="13">
        <f t="shared" si="205"/>
        <v>600</v>
      </c>
      <c r="CL93" s="13">
        <f t="shared" si="205"/>
        <v>600</v>
      </c>
      <c r="CM93" s="13">
        <f t="shared" si="205"/>
        <v>600</v>
      </c>
      <c r="CN93" s="13">
        <f t="shared" si="205"/>
        <v>600</v>
      </c>
      <c r="CO93" s="13">
        <f t="shared" si="205"/>
        <v>600</v>
      </c>
      <c r="CP93" s="13">
        <f t="shared" si="111"/>
        <v>600</v>
      </c>
      <c r="CQ93" s="13">
        <f t="shared" si="147"/>
        <v>600</v>
      </c>
      <c r="CR93" s="13">
        <f t="shared" si="168"/>
        <v>600</v>
      </c>
      <c r="CS93" s="13">
        <f t="shared" si="190"/>
        <v>600</v>
      </c>
      <c r="CT93" s="13">
        <f t="shared" si="217"/>
        <v>600</v>
      </c>
      <c r="CU93" s="13">
        <f t="shared" ref="CU93:CW93" si="248">$L$2/($L$3-$L$4*CT93)</f>
        <v>-1.6746678575415876E-3</v>
      </c>
      <c r="CV93" s="13">
        <f t="shared" si="248"/>
        <v>0.34863354230673421</v>
      </c>
      <c r="CW93" s="13">
        <f t="shared" si="248"/>
        <v>0.39713536344133415</v>
      </c>
      <c r="CX93" s="13">
        <f t="shared" si="219"/>
        <v>650</v>
      </c>
      <c r="CY93" s="13">
        <f t="shared" si="192"/>
        <v>650</v>
      </c>
      <c r="CZ93" s="13">
        <f t="shared" si="169"/>
        <v>650</v>
      </c>
      <c r="DA93" s="13">
        <f t="shared" si="148"/>
        <v>650</v>
      </c>
      <c r="DB93" s="13">
        <f t="shared" si="113"/>
        <v>650</v>
      </c>
      <c r="DC93" s="13">
        <f t="shared" si="207"/>
        <v>650</v>
      </c>
      <c r="DD93" s="13">
        <f t="shared" si="207"/>
        <v>650</v>
      </c>
      <c r="DE93" s="13">
        <f t="shared" si="207"/>
        <v>650</v>
      </c>
      <c r="DF93" s="13">
        <f t="shared" si="207"/>
        <v>650</v>
      </c>
      <c r="DG93" s="13">
        <f t="shared" si="207"/>
        <v>650</v>
      </c>
      <c r="DH93" s="13">
        <f t="shared" si="207"/>
        <v>650</v>
      </c>
      <c r="DI93" s="13">
        <f t="shared" si="207"/>
        <v>650</v>
      </c>
      <c r="DJ93" s="13">
        <f t="shared" si="207"/>
        <v>650</v>
      </c>
      <c r="DK93" s="13">
        <f t="shared" si="207"/>
        <v>650</v>
      </c>
      <c r="DL93" s="25">
        <v>36</v>
      </c>
      <c r="DM93" s="26">
        <f t="shared" si="50"/>
        <v>0.32407407407407407</v>
      </c>
      <c r="DQ93" s="84"/>
      <c r="DR93" s="85"/>
      <c r="DS93" s="25">
        <v>36</v>
      </c>
      <c r="DT93" s="26">
        <f t="shared" si="51"/>
        <v>0.32407407407407407</v>
      </c>
      <c r="DU93" s="13">
        <f t="shared" si="208"/>
        <v>600</v>
      </c>
      <c r="DV93" s="13">
        <f t="shared" si="208"/>
        <v>600</v>
      </c>
      <c r="DW93" s="13">
        <f t="shared" si="208"/>
        <v>600</v>
      </c>
      <c r="DX93" s="13">
        <f t="shared" si="208"/>
        <v>600</v>
      </c>
      <c r="DY93" s="13">
        <f t="shared" si="208"/>
        <v>600</v>
      </c>
      <c r="DZ93" s="13">
        <f t="shared" si="208"/>
        <v>600</v>
      </c>
      <c r="EA93" s="13">
        <f t="shared" si="208"/>
        <v>600</v>
      </c>
      <c r="EB93" s="13">
        <f t="shared" si="208"/>
        <v>600</v>
      </c>
      <c r="EC93" s="13">
        <f t="shared" si="208"/>
        <v>600</v>
      </c>
      <c r="ED93" s="13">
        <f t="shared" si="114"/>
        <v>600</v>
      </c>
      <c r="EE93" s="13">
        <f t="shared" si="149"/>
        <v>600</v>
      </c>
      <c r="EF93" s="13">
        <f t="shared" si="170"/>
        <v>600</v>
      </c>
      <c r="EG93" s="13">
        <f t="shared" si="193"/>
        <v>600</v>
      </c>
      <c r="EH93" s="13">
        <f t="shared" si="220"/>
        <v>600</v>
      </c>
      <c r="EI93" s="13">
        <f t="shared" si="227"/>
        <v>610.64488718878499</v>
      </c>
      <c r="EJ93" s="13">
        <f t="shared" si="221"/>
        <v>397.58352952896655</v>
      </c>
      <c r="EK93" s="13">
        <f t="shared" si="222"/>
        <v>157.89447949777454</v>
      </c>
      <c r="EL93" s="13">
        <f t="shared" si="223"/>
        <v>650</v>
      </c>
      <c r="EM93" s="13">
        <f t="shared" si="198"/>
        <v>650</v>
      </c>
      <c r="EN93" s="13">
        <f t="shared" si="177"/>
        <v>650</v>
      </c>
      <c r="EO93" s="13">
        <f t="shared" si="158"/>
        <v>650</v>
      </c>
      <c r="EP93" s="13">
        <f t="shared" si="125"/>
        <v>650</v>
      </c>
      <c r="EQ93" s="13">
        <f t="shared" si="209"/>
        <v>650</v>
      </c>
      <c r="ER93" s="13">
        <f t="shared" si="209"/>
        <v>650</v>
      </c>
      <c r="ES93" s="13">
        <f t="shared" si="209"/>
        <v>650</v>
      </c>
      <c r="ET93" s="13">
        <f t="shared" si="209"/>
        <v>650</v>
      </c>
      <c r="EU93" s="13">
        <f t="shared" si="209"/>
        <v>650</v>
      </c>
      <c r="EV93" s="13">
        <f t="shared" si="209"/>
        <v>650</v>
      </c>
      <c r="EW93" s="13">
        <f t="shared" si="209"/>
        <v>650</v>
      </c>
      <c r="EX93" s="13">
        <f t="shared" si="209"/>
        <v>650</v>
      </c>
      <c r="EY93" s="13">
        <f t="shared" si="209"/>
        <v>650</v>
      </c>
      <c r="EZ93" s="25">
        <v>36</v>
      </c>
      <c r="FA93" s="26">
        <f t="shared" si="55"/>
        <v>0.32407407407407407</v>
      </c>
    </row>
    <row r="94" spans="3:157" x14ac:dyDescent="0.25">
      <c r="C94" s="84"/>
      <c r="D94" s="85"/>
      <c r="E94" s="25">
        <v>35</v>
      </c>
      <c r="F94" s="26">
        <f t="shared" si="36"/>
        <v>0.31481481481481477</v>
      </c>
      <c r="G94" s="13">
        <f t="shared" ref="G94:O103" si="249">$R$2</f>
        <v>600</v>
      </c>
      <c r="H94" s="13">
        <f t="shared" si="249"/>
        <v>600</v>
      </c>
      <c r="I94" s="13">
        <f t="shared" si="249"/>
        <v>600</v>
      </c>
      <c r="J94" s="13">
        <f t="shared" si="249"/>
        <v>600</v>
      </c>
      <c r="K94" s="13">
        <f t="shared" si="249"/>
        <v>600</v>
      </c>
      <c r="L94" s="13">
        <f t="shared" si="249"/>
        <v>600</v>
      </c>
      <c r="M94" s="13">
        <f t="shared" si="249"/>
        <v>600</v>
      </c>
      <c r="N94" s="13">
        <f t="shared" si="249"/>
        <v>600</v>
      </c>
      <c r="O94" s="13">
        <f t="shared" si="249"/>
        <v>600</v>
      </c>
      <c r="P94" s="13">
        <f t="shared" si="87"/>
        <v>600</v>
      </c>
      <c r="Q94" s="13">
        <f t="shared" si="129"/>
        <v>600</v>
      </c>
      <c r="R94" s="13">
        <f t="shared" si="159"/>
        <v>600</v>
      </c>
      <c r="S94" s="13">
        <f t="shared" si="178"/>
        <v>600</v>
      </c>
      <c r="T94" s="13">
        <f t="shared" si="210"/>
        <v>600</v>
      </c>
      <c r="U94" s="13">
        <f t="shared" ref="U94" si="250">($F$5*$B$5*T31+$F$4*V31)/($F$4+$F$5*$B$5)</f>
        <v>610.52688623748656</v>
      </c>
      <c r="V94" s="13">
        <f t="shared" si="181"/>
        <v>611.13211315075819</v>
      </c>
      <c r="W94" s="13">
        <f t="shared" ref="W94" si="251">($F$6*$B$5*X31+$F$4*V31)/($F$4+$F$6*$B$5)</f>
        <v>612.75642632411825</v>
      </c>
      <c r="X94" s="13">
        <f t="shared" si="213"/>
        <v>650</v>
      </c>
      <c r="Y94" s="13">
        <f t="shared" si="184"/>
        <v>650</v>
      </c>
      <c r="Z94" s="13">
        <f t="shared" si="165"/>
        <v>650</v>
      </c>
      <c r="AA94" s="13">
        <f t="shared" si="137"/>
        <v>650</v>
      </c>
      <c r="AB94" s="13">
        <f t="shared" si="99"/>
        <v>650</v>
      </c>
      <c r="AC94" s="13">
        <f t="shared" ref="AC94:AK103" si="252">$R$3</f>
        <v>650</v>
      </c>
      <c r="AD94" s="13">
        <f t="shared" si="252"/>
        <v>650</v>
      </c>
      <c r="AE94" s="13">
        <f t="shared" si="252"/>
        <v>650</v>
      </c>
      <c r="AF94" s="13">
        <f t="shared" si="252"/>
        <v>650</v>
      </c>
      <c r="AG94" s="13">
        <f t="shared" si="252"/>
        <v>650</v>
      </c>
      <c r="AH94" s="13">
        <f t="shared" si="252"/>
        <v>650</v>
      </c>
      <c r="AI94" s="13">
        <f t="shared" si="252"/>
        <v>650</v>
      </c>
      <c r="AJ94" s="13">
        <f t="shared" si="252"/>
        <v>650</v>
      </c>
      <c r="AK94" s="13">
        <f t="shared" si="252"/>
        <v>650</v>
      </c>
      <c r="AL94" s="25">
        <v>35</v>
      </c>
      <c r="AM94" s="26">
        <f t="shared" si="40"/>
        <v>0.31481481481481477</v>
      </c>
      <c r="AP94" s="87"/>
      <c r="AQ94" s="86"/>
      <c r="AR94" s="25">
        <v>35</v>
      </c>
      <c r="AS94" s="26">
        <f t="shared" si="41"/>
        <v>0.31481481481481477</v>
      </c>
      <c r="AT94" s="13">
        <f t="shared" ref="AT94:BB103" si="253">$R$2</f>
        <v>600</v>
      </c>
      <c r="AU94" s="13">
        <f t="shared" si="253"/>
        <v>600</v>
      </c>
      <c r="AV94" s="13">
        <f t="shared" si="253"/>
        <v>600</v>
      </c>
      <c r="AW94" s="13">
        <f t="shared" si="253"/>
        <v>600</v>
      </c>
      <c r="AX94" s="13">
        <f t="shared" si="253"/>
        <v>600</v>
      </c>
      <c r="AY94" s="13">
        <f t="shared" si="253"/>
        <v>600</v>
      </c>
      <c r="AZ94" s="13">
        <f t="shared" si="253"/>
        <v>600</v>
      </c>
      <c r="BA94" s="13">
        <f t="shared" si="253"/>
        <v>600</v>
      </c>
      <c r="BB94" s="13">
        <f t="shared" si="253"/>
        <v>600</v>
      </c>
      <c r="BC94" s="13">
        <f t="shared" si="100"/>
        <v>600</v>
      </c>
      <c r="BD94" s="13">
        <f t="shared" si="138"/>
        <v>600</v>
      </c>
      <c r="BE94" s="13">
        <f t="shared" si="166"/>
        <v>600</v>
      </c>
      <c r="BF94" s="13">
        <f t="shared" si="185"/>
        <v>600</v>
      </c>
      <c r="BG94" s="13">
        <f t="shared" si="214"/>
        <v>600</v>
      </c>
      <c r="BH94" s="52"/>
      <c r="BI94" s="13">
        <f t="shared" si="215"/>
        <v>-2192760060.1574988</v>
      </c>
      <c r="BJ94" s="52"/>
      <c r="BK94" s="13">
        <f t="shared" si="216"/>
        <v>650</v>
      </c>
      <c r="BL94" s="13">
        <f t="shared" si="189"/>
        <v>650</v>
      </c>
      <c r="BM94" s="13">
        <f t="shared" si="167"/>
        <v>650</v>
      </c>
      <c r="BN94" s="13">
        <f t="shared" si="146"/>
        <v>650</v>
      </c>
      <c r="BO94" s="13">
        <f t="shared" si="110"/>
        <v>650</v>
      </c>
      <c r="BP94" s="13">
        <f t="shared" ref="BP94:BX103" si="254">$R$3</f>
        <v>650</v>
      </c>
      <c r="BQ94" s="13">
        <f t="shared" si="254"/>
        <v>650</v>
      </c>
      <c r="BR94" s="13">
        <f t="shared" si="254"/>
        <v>650</v>
      </c>
      <c r="BS94" s="13">
        <f t="shared" si="254"/>
        <v>650</v>
      </c>
      <c r="BT94" s="13">
        <f t="shared" si="254"/>
        <v>650</v>
      </c>
      <c r="BU94" s="13">
        <f t="shared" si="254"/>
        <v>650</v>
      </c>
      <c r="BV94" s="13">
        <f t="shared" si="254"/>
        <v>650</v>
      </c>
      <c r="BW94" s="13">
        <f t="shared" si="254"/>
        <v>650</v>
      </c>
      <c r="BX94" s="13">
        <f t="shared" si="254"/>
        <v>650</v>
      </c>
      <c r="BY94" s="25">
        <v>35</v>
      </c>
      <c r="BZ94" s="26">
        <f t="shared" si="45"/>
        <v>0.31481481481481477</v>
      </c>
      <c r="CC94" s="84"/>
      <c r="CD94" s="85"/>
      <c r="CE94" s="25">
        <v>35</v>
      </c>
      <c r="CF94" s="26">
        <f t="shared" si="46"/>
        <v>0.31481481481481477</v>
      </c>
      <c r="CG94" s="13">
        <f t="shared" ref="CG94:CO103" si="255">$R$2</f>
        <v>600</v>
      </c>
      <c r="CH94" s="13">
        <f t="shared" si="255"/>
        <v>600</v>
      </c>
      <c r="CI94" s="13">
        <f t="shared" si="255"/>
        <v>600</v>
      </c>
      <c r="CJ94" s="13">
        <f t="shared" si="255"/>
        <v>600</v>
      </c>
      <c r="CK94" s="13">
        <f t="shared" si="255"/>
        <v>600</v>
      </c>
      <c r="CL94" s="13">
        <f t="shared" si="255"/>
        <v>600</v>
      </c>
      <c r="CM94" s="13">
        <f t="shared" si="255"/>
        <v>600</v>
      </c>
      <c r="CN94" s="13">
        <f t="shared" si="255"/>
        <v>600</v>
      </c>
      <c r="CO94" s="13">
        <f t="shared" si="255"/>
        <v>600</v>
      </c>
      <c r="CP94" s="13">
        <f t="shared" si="111"/>
        <v>600</v>
      </c>
      <c r="CQ94" s="13">
        <f t="shared" si="147"/>
        <v>600</v>
      </c>
      <c r="CR94" s="13">
        <f t="shared" si="168"/>
        <v>600</v>
      </c>
      <c r="CS94" s="13">
        <f t="shared" si="190"/>
        <v>600</v>
      </c>
      <c r="CT94" s="13">
        <f t="shared" si="217"/>
        <v>600</v>
      </c>
      <c r="CU94" s="13">
        <f t="shared" ref="CU94:CW94" si="256">$L$2/($L$3-$L$4*CT94)</f>
        <v>-1.6746678575415876E-3</v>
      </c>
      <c r="CV94" s="13">
        <f t="shared" si="256"/>
        <v>0.34863354230673421</v>
      </c>
      <c r="CW94" s="13">
        <f t="shared" si="256"/>
        <v>0.39713536344133415</v>
      </c>
      <c r="CX94" s="13">
        <f t="shared" si="219"/>
        <v>650</v>
      </c>
      <c r="CY94" s="13">
        <f t="shared" si="192"/>
        <v>650</v>
      </c>
      <c r="CZ94" s="13">
        <f t="shared" si="169"/>
        <v>650</v>
      </c>
      <c r="DA94" s="13">
        <f t="shared" si="148"/>
        <v>650</v>
      </c>
      <c r="DB94" s="13">
        <f t="shared" si="113"/>
        <v>650</v>
      </c>
      <c r="DC94" s="13">
        <f t="shared" ref="DC94:DK103" si="257">$R$3</f>
        <v>650</v>
      </c>
      <c r="DD94" s="13">
        <f t="shared" si="257"/>
        <v>650</v>
      </c>
      <c r="DE94" s="13">
        <f t="shared" si="257"/>
        <v>650</v>
      </c>
      <c r="DF94" s="13">
        <f t="shared" si="257"/>
        <v>650</v>
      </c>
      <c r="DG94" s="13">
        <f t="shared" si="257"/>
        <v>650</v>
      </c>
      <c r="DH94" s="13">
        <f t="shared" si="257"/>
        <v>650</v>
      </c>
      <c r="DI94" s="13">
        <f t="shared" si="257"/>
        <v>650</v>
      </c>
      <c r="DJ94" s="13">
        <f t="shared" si="257"/>
        <v>650</v>
      </c>
      <c r="DK94" s="13">
        <f t="shared" si="257"/>
        <v>650</v>
      </c>
      <c r="DL94" s="25">
        <v>35</v>
      </c>
      <c r="DM94" s="26">
        <f t="shared" si="50"/>
        <v>0.31481481481481477</v>
      </c>
      <c r="DQ94" s="84"/>
      <c r="DR94" s="85"/>
      <c r="DS94" s="25">
        <v>35</v>
      </c>
      <c r="DT94" s="26">
        <f t="shared" si="51"/>
        <v>0.31481481481481477</v>
      </c>
      <c r="DU94" s="13">
        <f t="shared" ref="DU94:EC103" si="258">$R$2</f>
        <v>600</v>
      </c>
      <c r="DV94" s="13">
        <f t="shared" si="258"/>
        <v>600</v>
      </c>
      <c r="DW94" s="13">
        <f t="shared" si="258"/>
        <v>600</v>
      </c>
      <c r="DX94" s="13">
        <f t="shared" si="258"/>
        <v>600</v>
      </c>
      <c r="DY94" s="13">
        <f t="shared" si="258"/>
        <v>600</v>
      </c>
      <c r="DZ94" s="13">
        <f t="shared" si="258"/>
        <v>600</v>
      </c>
      <c r="EA94" s="13">
        <f t="shared" si="258"/>
        <v>600</v>
      </c>
      <c r="EB94" s="13">
        <f t="shared" si="258"/>
        <v>600</v>
      </c>
      <c r="EC94" s="13">
        <f t="shared" si="258"/>
        <v>600</v>
      </c>
      <c r="ED94" s="13">
        <f t="shared" si="114"/>
        <v>600</v>
      </c>
      <c r="EE94" s="13">
        <f t="shared" si="149"/>
        <v>600</v>
      </c>
      <c r="EF94" s="13">
        <f t="shared" si="170"/>
        <v>600</v>
      </c>
      <c r="EG94" s="13">
        <f t="shared" si="193"/>
        <v>600</v>
      </c>
      <c r="EH94" s="13">
        <f t="shared" si="220"/>
        <v>600</v>
      </c>
      <c r="EI94" s="13">
        <f t="shared" si="227"/>
        <v>610.52688623748656</v>
      </c>
      <c r="EJ94" s="13">
        <f t="shared" si="221"/>
        <v>397.50466967016547</v>
      </c>
      <c r="EK94" s="13">
        <f t="shared" si="222"/>
        <v>157.86316145908864</v>
      </c>
      <c r="EL94" s="13">
        <f t="shared" si="223"/>
        <v>650</v>
      </c>
      <c r="EM94" s="13">
        <f t="shared" si="198"/>
        <v>650</v>
      </c>
      <c r="EN94" s="13">
        <f t="shared" si="177"/>
        <v>650</v>
      </c>
      <c r="EO94" s="13">
        <f t="shared" si="158"/>
        <v>650</v>
      </c>
      <c r="EP94" s="13">
        <f t="shared" si="125"/>
        <v>650</v>
      </c>
      <c r="EQ94" s="13">
        <f t="shared" ref="EQ94:EY103" si="259">$R$3</f>
        <v>650</v>
      </c>
      <c r="ER94" s="13">
        <f t="shared" si="259"/>
        <v>650</v>
      </c>
      <c r="ES94" s="13">
        <f t="shared" si="259"/>
        <v>650</v>
      </c>
      <c r="ET94" s="13">
        <f t="shared" si="259"/>
        <v>650</v>
      </c>
      <c r="EU94" s="13">
        <f t="shared" si="259"/>
        <v>650</v>
      </c>
      <c r="EV94" s="13">
        <f t="shared" si="259"/>
        <v>650</v>
      </c>
      <c r="EW94" s="13">
        <f t="shared" si="259"/>
        <v>650</v>
      </c>
      <c r="EX94" s="13">
        <f t="shared" si="259"/>
        <v>650</v>
      </c>
      <c r="EY94" s="13">
        <f t="shared" si="259"/>
        <v>650</v>
      </c>
      <c r="EZ94" s="25">
        <v>35</v>
      </c>
      <c r="FA94" s="26">
        <f t="shared" si="55"/>
        <v>0.31481481481481477</v>
      </c>
    </row>
    <row r="95" spans="3:157" x14ac:dyDescent="0.25">
      <c r="C95" s="84"/>
      <c r="D95" s="85"/>
      <c r="E95" s="25">
        <v>34</v>
      </c>
      <c r="F95" s="26">
        <f t="shared" si="36"/>
        <v>0.30555555555555552</v>
      </c>
      <c r="G95" s="13">
        <f t="shared" si="249"/>
        <v>600</v>
      </c>
      <c r="H95" s="13">
        <f t="shared" si="249"/>
        <v>600</v>
      </c>
      <c r="I95" s="13">
        <f t="shared" si="249"/>
        <v>600</v>
      </c>
      <c r="J95" s="13">
        <f t="shared" si="249"/>
        <v>600</v>
      </c>
      <c r="K95" s="13">
        <f t="shared" si="249"/>
        <v>600</v>
      </c>
      <c r="L95" s="13">
        <f t="shared" si="249"/>
        <v>600</v>
      </c>
      <c r="M95" s="13">
        <f t="shared" si="249"/>
        <v>600</v>
      </c>
      <c r="N95" s="13">
        <f t="shared" si="249"/>
        <v>600</v>
      </c>
      <c r="O95" s="13">
        <f t="shared" si="249"/>
        <v>600</v>
      </c>
      <c r="P95" s="13">
        <f t="shared" si="87"/>
        <v>600</v>
      </c>
      <c r="Q95" s="13">
        <f t="shared" si="129"/>
        <v>600</v>
      </c>
      <c r="R95" s="13">
        <f t="shared" si="159"/>
        <v>600</v>
      </c>
      <c r="S95" s="13">
        <f t="shared" si="178"/>
        <v>600</v>
      </c>
      <c r="T95" s="13">
        <f t="shared" si="210"/>
        <v>600</v>
      </c>
      <c r="U95" s="13">
        <f t="shared" ref="U95" si="260">($F$5*$B$5*T32+$F$4*V32)/($F$4+$F$5*$B$5)</f>
        <v>610.45510060970548</v>
      </c>
      <c r="V95" s="13">
        <f t="shared" si="181"/>
        <v>611.05876445013655</v>
      </c>
      <c r="W95" s="13">
        <f t="shared" ref="W95" si="261">($F$6*$B$5*X32+$F$4*V32)/($F$4+$F$6*$B$5)</f>
        <v>612.68364367372908</v>
      </c>
      <c r="X95" s="13">
        <f t="shared" si="213"/>
        <v>650</v>
      </c>
      <c r="Y95" s="13">
        <f t="shared" si="184"/>
        <v>650</v>
      </c>
      <c r="Z95" s="13">
        <f t="shared" si="165"/>
        <v>650</v>
      </c>
      <c r="AA95" s="13">
        <f t="shared" si="137"/>
        <v>650</v>
      </c>
      <c r="AB95" s="13">
        <f t="shared" si="99"/>
        <v>650</v>
      </c>
      <c r="AC95" s="13">
        <f t="shared" si="252"/>
        <v>650</v>
      </c>
      <c r="AD95" s="13">
        <f t="shared" si="252"/>
        <v>650</v>
      </c>
      <c r="AE95" s="13">
        <f t="shared" si="252"/>
        <v>650</v>
      </c>
      <c r="AF95" s="13">
        <f t="shared" si="252"/>
        <v>650</v>
      </c>
      <c r="AG95" s="13">
        <f t="shared" si="252"/>
        <v>650</v>
      </c>
      <c r="AH95" s="13">
        <f t="shared" si="252"/>
        <v>650</v>
      </c>
      <c r="AI95" s="13">
        <f t="shared" si="252"/>
        <v>650</v>
      </c>
      <c r="AJ95" s="13">
        <f t="shared" si="252"/>
        <v>650</v>
      </c>
      <c r="AK95" s="13">
        <f t="shared" si="252"/>
        <v>650</v>
      </c>
      <c r="AL95" s="25">
        <v>34</v>
      </c>
      <c r="AM95" s="26">
        <f t="shared" si="40"/>
        <v>0.30555555555555552</v>
      </c>
      <c r="AP95" s="87"/>
      <c r="AQ95" s="86"/>
      <c r="AR95" s="25">
        <v>34</v>
      </c>
      <c r="AS95" s="26">
        <f t="shared" si="41"/>
        <v>0.30555555555555552</v>
      </c>
      <c r="AT95" s="13">
        <f t="shared" si="253"/>
        <v>600</v>
      </c>
      <c r="AU95" s="13">
        <f t="shared" si="253"/>
        <v>600</v>
      </c>
      <c r="AV95" s="13">
        <f t="shared" si="253"/>
        <v>600</v>
      </c>
      <c r="AW95" s="13">
        <f t="shared" si="253"/>
        <v>600</v>
      </c>
      <c r="AX95" s="13">
        <f t="shared" si="253"/>
        <v>600</v>
      </c>
      <c r="AY95" s="13">
        <f t="shared" si="253"/>
        <v>600</v>
      </c>
      <c r="AZ95" s="13">
        <f t="shared" si="253"/>
        <v>600</v>
      </c>
      <c r="BA95" s="13">
        <f t="shared" si="253"/>
        <v>600</v>
      </c>
      <c r="BB95" s="13">
        <f t="shared" si="253"/>
        <v>600</v>
      </c>
      <c r="BC95" s="13">
        <f t="shared" si="100"/>
        <v>600</v>
      </c>
      <c r="BD95" s="13">
        <f t="shared" si="138"/>
        <v>600</v>
      </c>
      <c r="BE95" s="13">
        <f t="shared" si="166"/>
        <v>600</v>
      </c>
      <c r="BF95" s="13">
        <f t="shared" si="185"/>
        <v>600</v>
      </c>
      <c r="BG95" s="13">
        <f t="shared" si="214"/>
        <v>600</v>
      </c>
      <c r="BH95" s="52"/>
      <c r="BI95" s="13">
        <f t="shared" si="215"/>
        <v>-2192487561.9144416</v>
      </c>
      <c r="BJ95" s="52"/>
      <c r="BK95" s="13">
        <f t="shared" si="216"/>
        <v>650</v>
      </c>
      <c r="BL95" s="13">
        <f t="shared" si="189"/>
        <v>650</v>
      </c>
      <c r="BM95" s="13">
        <f t="shared" si="167"/>
        <v>650</v>
      </c>
      <c r="BN95" s="13">
        <f t="shared" si="146"/>
        <v>650</v>
      </c>
      <c r="BO95" s="13">
        <f t="shared" si="110"/>
        <v>650</v>
      </c>
      <c r="BP95" s="13">
        <f t="shared" si="254"/>
        <v>650</v>
      </c>
      <c r="BQ95" s="13">
        <f t="shared" si="254"/>
        <v>650</v>
      </c>
      <c r="BR95" s="13">
        <f t="shared" si="254"/>
        <v>650</v>
      </c>
      <c r="BS95" s="13">
        <f t="shared" si="254"/>
        <v>650</v>
      </c>
      <c r="BT95" s="13">
        <f t="shared" si="254"/>
        <v>650</v>
      </c>
      <c r="BU95" s="13">
        <f t="shared" si="254"/>
        <v>650</v>
      </c>
      <c r="BV95" s="13">
        <f t="shared" si="254"/>
        <v>650</v>
      </c>
      <c r="BW95" s="13">
        <f t="shared" si="254"/>
        <v>650</v>
      </c>
      <c r="BX95" s="13">
        <f t="shared" si="254"/>
        <v>650</v>
      </c>
      <c r="BY95" s="25">
        <v>34</v>
      </c>
      <c r="BZ95" s="26">
        <f t="shared" si="45"/>
        <v>0.30555555555555552</v>
      </c>
      <c r="CC95" s="84"/>
      <c r="CD95" s="85"/>
      <c r="CE95" s="25">
        <v>34</v>
      </c>
      <c r="CF95" s="26">
        <f t="shared" si="46"/>
        <v>0.30555555555555552</v>
      </c>
      <c r="CG95" s="13">
        <f t="shared" si="255"/>
        <v>600</v>
      </c>
      <c r="CH95" s="13">
        <f t="shared" si="255"/>
        <v>600</v>
      </c>
      <c r="CI95" s="13">
        <f t="shared" si="255"/>
        <v>600</v>
      </c>
      <c r="CJ95" s="13">
        <f t="shared" si="255"/>
        <v>600</v>
      </c>
      <c r="CK95" s="13">
        <f t="shared" si="255"/>
        <v>600</v>
      </c>
      <c r="CL95" s="13">
        <f t="shared" si="255"/>
        <v>600</v>
      </c>
      <c r="CM95" s="13">
        <f t="shared" si="255"/>
        <v>600</v>
      </c>
      <c r="CN95" s="13">
        <f t="shared" si="255"/>
        <v>600</v>
      </c>
      <c r="CO95" s="13">
        <f t="shared" si="255"/>
        <v>600</v>
      </c>
      <c r="CP95" s="13">
        <f t="shared" si="111"/>
        <v>600</v>
      </c>
      <c r="CQ95" s="13">
        <f t="shared" si="147"/>
        <v>600</v>
      </c>
      <c r="CR95" s="13">
        <f t="shared" si="168"/>
        <v>600</v>
      </c>
      <c r="CS95" s="13">
        <f t="shared" si="190"/>
        <v>600</v>
      </c>
      <c r="CT95" s="13">
        <f t="shared" si="217"/>
        <v>600</v>
      </c>
      <c r="CU95" s="13">
        <f t="shared" ref="CU95:CW95" si="262">$L$2/($L$3-$L$4*CT95)</f>
        <v>-1.6746678575415876E-3</v>
      </c>
      <c r="CV95" s="13">
        <f t="shared" si="262"/>
        <v>0.34863354230673421</v>
      </c>
      <c r="CW95" s="13">
        <f t="shared" si="262"/>
        <v>0.39713536344133415</v>
      </c>
      <c r="CX95" s="13">
        <f t="shared" si="219"/>
        <v>650</v>
      </c>
      <c r="CY95" s="13">
        <f t="shared" si="192"/>
        <v>650</v>
      </c>
      <c r="CZ95" s="13">
        <f t="shared" si="169"/>
        <v>650</v>
      </c>
      <c r="DA95" s="13">
        <f t="shared" si="148"/>
        <v>650</v>
      </c>
      <c r="DB95" s="13">
        <f t="shared" si="113"/>
        <v>650</v>
      </c>
      <c r="DC95" s="13">
        <f t="shared" si="257"/>
        <v>650</v>
      </c>
      <c r="DD95" s="13">
        <f t="shared" si="257"/>
        <v>650</v>
      </c>
      <c r="DE95" s="13">
        <f t="shared" si="257"/>
        <v>650</v>
      </c>
      <c r="DF95" s="13">
        <f t="shared" si="257"/>
        <v>650</v>
      </c>
      <c r="DG95" s="13">
        <f t="shared" si="257"/>
        <v>650</v>
      </c>
      <c r="DH95" s="13">
        <f t="shared" si="257"/>
        <v>650</v>
      </c>
      <c r="DI95" s="13">
        <f t="shared" si="257"/>
        <v>650</v>
      </c>
      <c r="DJ95" s="13">
        <f t="shared" si="257"/>
        <v>650</v>
      </c>
      <c r="DK95" s="13">
        <f t="shared" si="257"/>
        <v>650</v>
      </c>
      <c r="DL95" s="25">
        <v>34</v>
      </c>
      <c r="DM95" s="26">
        <f t="shared" si="50"/>
        <v>0.30555555555555552</v>
      </c>
      <c r="DQ95" s="84"/>
      <c r="DR95" s="85"/>
      <c r="DS95" s="25">
        <v>34</v>
      </c>
      <c r="DT95" s="26">
        <f t="shared" si="51"/>
        <v>0.30555555555555552</v>
      </c>
      <c r="DU95" s="13">
        <f t="shared" si="258"/>
        <v>600</v>
      </c>
      <c r="DV95" s="13">
        <f t="shared" si="258"/>
        <v>600</v>
      </c>
      <c r="DW95" s="13">
        <f t="shared" si="258"/>
        <v>600</v>
      </c>
      <c r="DX95" s="13">
        <f t="shared" si="258"/>
        <v>600</v>
      </c>
      <c r="DY95" s="13">
        <f t="shared" si="258"/>
        <v>600</v>
      </c>
      <c r="DZ95" s="13">
        <f t="shared" si="258"/>
        <v>600</v>
      </c>
      <c r="EA95" s="13">
        <f t="shared" si="258"/>
        <v>600</v>
      </c>
      <c r="EB95" s="13">
        <f t="shared" si="258"/>
        <v>600</v>
      </c>
      <c r="EC95" s="13">
        <f t="shared" si="258"/>
        <v>600</v>
      </c>
      <c r="ED95" s="13">
        <f t="shared" si="114"/>
        <v>600</v>
      </c>
      <c r="EE95" s="13">
        <f t="shared" si="149"/>
        <v>600</v>
      </c>
      <c r="EF95" s="13">
        <f t="shared" si="170"/>
        <v>600</v>
      </c>
      <c r="EG95" s="13">
        <f t="shared" si="193"/>
        <v>600</v>
      </c>
      <c r="EH95" s="13">
        <f t="shared" si="220"/>
        <v>600</v>
      </c>
      <c r="EI95" s="13">
        <f t="shared" si="227"/>
        <v>610.45510060970548</v>
      </c>
      <c r="EJ95" s="13">
        <f t="shared" si="221"/>
        <v>397.45669544276751</v>
      </c>
      <c r="EK95" s="13">
        <f t="shared" si="222"/>
        <v>157.84410919685513</v>
      </c>
      <c r="EL95" s="13">
        <f t="shared" si="223"/>
        <v>650</v>
      </c>
      <c r="EM95" s="13">
        <f t="shared" si="198"/>
        <v>650</v>
      </c>
      <c r="EN95" s="13">
        <f t="shared" si="177"/>
        <v>650</v>
      </c>
      <c r="EO95" s="13">
        <f t="shared" si="158"/>
        <v>650</v>
      </c>
      <c r="EP95" s="13">
        <f t="shared" si="125"/>
        <v>650</v>
      </c>
      <c r="EQ95" s="13">
        <f t="shared" si="259"/>
        <v>650</v>
      </c>
      <c r="ER95" s="13">
        <f t="shared" si="259"/>
        <v>650</v>
      </c>
      <c r="ES95" s="13">
        <f t="shared" si="259"/>
        <v>650</v>
      </c>
      <c r="ET95" s="13">
        <f t="shared" si="259"/>
        <v>650</v>
      </c>
      <c r="EU95" s="13">
        <f t="shared" si="259"/>
        <v>650</v>
      </c>
      <c r="EV95" s="13">
        <f t="shared" si="259"/>
        <v>650</v>
      </c>
      <c r="EW95" s="13">
        <f t="shared" si="259"/>
        <v>650</v>
      </c>
      <c r="EX95" s="13">
        <f t="shared" si="259"/>
        <v>650</v>
      </c>
      <c r="EY95" s="13">
        <f t="shared" si="259"/>
        <v>650</v>
      </c>
      <c r="EZ95" s="25">
        <v>34</v>
      </c>
      <c r="FA95" s="26">
        <f t="shared" si="55"/>
        <v>0.30555555555555552</v>
      </c>
    </row>
    <row r="96" spans="3:157" x14ac:dyDescent="0.25">
      <c r="C96" s="84"/>
      <c r="D96" s="85"/>
      <c r="E96" s="25">
        <v>33</v>
      </c>
      <c r="F96" s="26">
        <f t="shared" si="36"/>
        <v>0.29629629629629628</v>
      </c>
      <c r="G96" s="13">
        <f t="shared" si="249"/>
        <v>600</v>
      </c>
      <c r="H96" s="13">
        <f t="shared" si="249"/>
        <v>600</v>
      </c>
      <c r="I96" s="13">
        <f t="shared" si="249"/>
        <v>600</v>
      </c>
      <c r="J96" s="13">
        <f t="shared" si="249"/>
        <v>600</v>
      </c>
      <c r="K96" s="13">
        <f t="shared" si="249"/>
        <v>600</v>
      </c>
      <c r="L96" s="13">
        <f t="shared" si="249"/>
        <v>600</v>
      </c>
      <c r="M96" s="13">
        <f t="shared" si="249"/>
        <v>600</v>
      </c>
      <c r="N96" s="13">
        <f t="shared" si="249"/>
        <v>600</v>
      </c>
      <c r="O96" s="13">
        <f t="shared" si="249"/>
        <v>600</v>
      </c>
      <c r="P96" s="13">
        <f t="shared" si="87"/>
        <v>600</v>
      </c>
      <c r="Q96" s="13">
        <f t="shared" si="129"/>
        <v>600</v>
      </c>
      <c r="R96" s="13">
        <f t="shared" si="159"/>
        <v>600</v>
      </c>
      <c r="S96" s="13">
        <f t="shared" si="178"/>
        <v>600</v>
      </c>
      <c r="T96" s="13">
        <f t="shared" si="210"/>
        <v>600</v>
      </c>
      <c r="U96" s="13">
        <f t="shared" ref="U96" si="263">($F$5*$B$5*T33+$F$4*V33)/($F$4+$F$5*$B$5)</f>
        <v>610.41114115175014</v>
      </c>
      <c r="V96" s="13">
        <f t="shared" si="181"/>
        <v>611.01384781123943</v>
      </c>
      <c r="W96" s="13">
        <f t="shared" ref="W96" si="264">($F$6*$B$5*X33+$F$4*V33)/($F$4+$F$6*$B$5)</f>
        <v>612.63907366774663</v>
      </c>
      <c r="X96" s="13">
        <f t="shared" si="213"/>
        <v>650</v>
      </c>
      <c r="Y96" s="13">
        <f t="shared" si="184"/>
        <v>650</v>
      </c>
      <c r="Z96" s="13">
        <f t="shared" si="165"/>
        <v>650</v>
      </c>
      <c r="AA96" s="13">
        <f t="shared" si="137"/>
        <v>650</v>
      </c>
      <c r="AB96" s="13">
        <f t="shared" si="99"/>
        <v>650</v>
      </c>
      <c r="AC96" s="13">
        <f t="shared" si="252"/>
        <v>650</v>
      </c>
      <c r="AD96" s="13">
        <f t="shared" si="252"/>
        <v>650</v>
      </c>
      <c r="AE96" s="13">
        <f t="shared" si="252"/>
        <v>650</v>
      </c>
      <c r="AF96" s="13">
        <f t="shared" si="252"/>
        <v>650</v>
      </c>
      <c r="AG96" s="13">
        <f t="shared" si="252"/>
        <v>650</v>
      </c>
      <c r="AH96" s="13">
        <f t="shared" si="252"/>
        <v>650</v>
      </c>
      <c r="AI96" s="13">
        <f t="shared" si="252"/>
        <v>650</v>
      </c>
      <c r="AJ96" s="13">
        <f t="shared" si="252"/>
        <v>650</v>
      </c>
      <c r="AK96" s="13">
        <f t="shared" si="252"/>
        <v>650</v>
      </c>
      <c r="AL96" s="25">
        <v>33</v>
      </c>
      <c r="AM96" s="26">
        <f t="shared" si="40"/>
        <v>0.29629629629629628</v>
      </c>
      <c r="AP96" s="87"/>
      <c r="AQ96" s="86"/>
      <c r="AR96" s="25">
        <v>33</v>
      </c>
      <c r="AS96" s="26">
        <f t="shared" si="41"/>
        <v>0.29629629629629628</v>
      </c>
      <c r="AT96" s="13">
        <f t="shared" si="253"/>
        <v>600</v>
      </c>
      <c r="AU96" s="13">
        <f t="shared" si="253"/>
        <v>600</v>
      </c>
      <c r="AV96" s="13">
        <f t="shared" si="253"/>
        <v>600</v>
      </c>
      <c r="AW96" s="13">
        <f t="shared" si="253"/>
        <v>600</v>
      </c>
      <c r="AX96" s="13">
        <f t="shared" si="253"/>
        <v>600</v>
      </c>
      <c r="AY96" s="13">
        <f t="shared" si="253"/>
        <v>600</v>
      </c>
      <c r="AZ96" s="13">
        <f t="shared" si="253"/>
        <v>600</v>
      </c>
      <c r="BA96" s="13">
        <f t="shared" si="253"/>
        <v>600</v>
      </c>
      <c r="BB96" s="13">
        <f t="shared" si="253"/>
        <v>600</v>
      </c>
      <c r="BC96" s="13">
        <f t="shared" si="100"/>
        <v>600</v>
      </c>
      <c r="BD96" s="13">
        <f t="shared" si="138"/>
        <v>600</v>
      </c>
      <c r="BE96" s="13">
        <f t="shared" si="166"/>
        <v>600</v>
      </c>
      <c r="BF96" s="13">
        <f t="shared" si="185"/>
        <v>600</v>
      </c>
      <c r="BG96" s="13">
        <f t="shared" si="214"/>
        <v>600</v>
      </c>
      <c r="BH96" s="52"/>
      <c r="BI96" s="13">
        <f t="shared" si="215"/>
        <v>-2192320691.8120432</v>
      </c>
      <c r="BJ96" s="52"/>
      <c r="BK96" s="13">
        <f t="shared" si="216"/>
        <v>650</v>
      </c>
      <c r="BL96" s="13">
        <f t="shared" si="189"/>
        <v>650</v>
      </c>
      <c r="BM96" s="13">
        <f t="shared" si="167"/>
        <v>650</v>
      </c>
      <c r="BN96" s="13">
        <f t="shared" si="146"/>
        <v>650</v>
      </c>
      <c r="BO96" s="13">
        <f t="shared" si="110"/>
        <v>650</v>
      </c>
      <c r="BP96" s="13">
        <f t="shared" si="254"/>
        <v>650</v>
      </c>
      <c r="BQ96" s="13">
        <f t="shared" si="254"/>
        <v>650</v>
      </c>
      <c r="BR96" s="13">
        <f t="shared" si="254"/>
        <v>650</v>
      </c>
      <c r="BS96" s="13">
        <f t="shared" si="254"/>
        <v>650</v>
      </c>
      <c r="BT96" s="13">
        <f t="shared" si="254"/>
        <v>650</v>
      </c>
      <c r="BU96" s="13">
        <f t="shared" si="254"/>
        <v>650</v>
      </c>
      <c r="BV96" s="13">
        <f t="shared" si="254"/>
        <v>650</v>
      </c>
      <c r="BW96" s="13">
        <f t="shared" si="254"/>
        <v>650</v>
      </c>
      <c r="BX96" s="13">
        <f t="shared" si="254"/>
        <v>650</v>
      </c>
      <c r="BY96" s="25">
        <v>33</v>
      </c>
      <c r="BZ96" s="26">
        <f t="shared" si="45"/>
        <v>0.29629629629629628</v>
      </c>
      <c r="CC96" s="84"/>
      <c r="CD96" s="85"/>
      <c r="CE96" s="25">
        <v>33</v>
      </c>
      <c r="CF96" s="26">
        <f t="shared" si="46"/>
        <v>0.29629629629629628</v>
      </c>
      <c r="CG96" s="13">
        <f t="shared" si="255"/>
        <v>600</v>
      </c>
      <c r="CH96" s="13">
        <f t="shared" si="255"/>
        <v>600</v>
      </c>
      <c r="CI96" s="13">
        <f t="shared" si="255"/>
        <v>600</v>
      </c>
      <c r="CJ96" s="13">
        <f t="shared" si="255"/>
        <v>600</v>
      </c>
      <c r="CK96" s="13">
        <f t="shared" si="255"/>
        <v>600</v>
      </c>
      <c r="CL96" s="13">
        <f t="shared" si="255"/>
        <v>600</v>
      </c>
      <c r="CM96" s="13">
        <f t="shared" si="255"/>
        <v>600</v>
      </c>
      <c r="CN96" s="13">
        <f t="shared" si="255"/>
        <v>600</v>
      </c>
      <c r="CO96" s="13">
        <f t="shared" si="255"/>
        <v>600</v>
      </c>
      <c r="CP96" s="13">
        <f t="shared" si="111"/>
        <v>600</v>
      </c>
      <c r="CQ96" s="13">
        <f t="shared" si="147"/>
        <v>600</v>
      </c>
      <c r="CR96" s="13">
        <f t="shared" si="168"/>
        <v>600</v>
      </c>
      <c r="CS96" s="13">
        <f t="shared" si="190"/>
        <v>600</v>
      </c>
      <c r="CT96" s="13">
        <f t="shared" si="217"/>
        <v>600</v>
      </c>
      <c r="CU96" s="13">
        <f t="shared" ref="CU96:CW96" si="265">$L$2/($L$3-$L$4*CT96)</f>
        <v>-1.6746678575415876E-3</v>
      </c>
      <c r="CV96" s="13">
        <f t="shared" si="265"/>
        <v>0.34863354230673421</v>
      </c>
      <c r="CW96" s="13">
        <f t="shared" si="265"/>
        <v>0.39713536344133415</v>
      </c>
      <c r="CX96" s="13">
        <f t="shared" si="219"/>
        <v>650</v>
      </c>
      <c r="CY96" s="13">
        <f t="shared" si="192"/>
        <v>650</v>
      </c>
      <c r="CZ96" s="13">
        <f t="shared" si="169"/>
        <v>650</v>
      </c>
      <c r="DA96" s="13">
        <f t="shared" si="148"/>
        <v>650</v>
      </c>
      <c r="DB96" s="13">
        <f t="shared" si="113"/>
        <v>650</v>
      </c>
      <c r="DC96" s="13">
        <f t="shared" si="257"/>
        <v>650</v>
      </c>
      <c r="DD96" s="13">
        <f t="shared" si="257"/>
        <v>650</v>
      </c>
      <c r="DE96" s="13">
        <f t="shared" si="257"/>
        <v>650</v>
      </c>
      <c r="DF96" s="13">
        <f t="shared" si="257"/>
        <v>650</v>
      </c>
      <c r="DG96" s="13">
        <f t="shared" si="257"/>
        <v>650</v>
      </c>
      <c r="DH96" s="13">
        <f t="shared" si="257"/>
        <v>650</v>
      </c>
      <c r="DI96" s="13">
        <f t="shared" si="257"/>
        <v>650</v>
      </c>
      <c r="DJ96" s="13">
        <f t="shared" si="257"/>
        <v>650</v>
      </c>
      <c r="DK96" s="13">
        <f t="shared" si="257"/>
        <v>650</v>
      </c>
      <c r="DL96" s="25">
        <v>33</v>
      </c>
      <c r="DM96" s="26">
        <f t="shared" si="50"/>
        <v>0.29629629629629628</v>
      </c>
      <c r="DQ96" s="84"/>
      <c r="DR96" s="85"/>
      <c r="DS96" s="25">
        <v>33</v>
      </c>
      <c r="DT96" s="26">
        <f t="shared" si="51"/>
        <v>0.29629629629629628</v>
      </c>
      <c r="DU96" s="13">
        <f t="shared" si="258"/>
        <v>600</v>
      </c>
      <c r="DV96" s="13">
        <f t="shared" si="258"/>
        <v>600</v>
      </c>
      <c r="DW96" s="13">
        <f t="shared" si="258"/>
        <v>600</v>
      </c>
      <c r="DX96" s="13">
        <f t="shared" si="258"/>
        <v>600</v>
      </c>
      <c r="DY96" s="13">
        <f t="shared" si="258"/>
        <v>600</v>
      </c>
      <c r="DZ96" s="13">
        <f t="shared" si="258"/>
        <v>600</v>
      </c>
      <c r="EA96" s="13">
        <f t="shared" si="258"/>
        <v>600</v>
      </c>
      <c r="EB96" s="13">
        <f t="shared" si="258"/>
        <v>600</v>
      </c>
      <c r="EC96" s="13">
        <f t="shared" si="258"/>
        <v>600</v>
      </c>
      <c r="ED96" s="13">
        <f t="shared" si="114"/>
        <v>600</v>
      </c>
      <c r="EE96" s="13">
        <f t="shared" si="149"/>
        <v>600</v>
      </c>
      <c r="EF96" s="13">
        <f t="shared" si="170"/>
        <v>600</v>
      </c>
      <c r="EG96" s="13">
        <f t="shared" si="193"/>
        <v>600</v>
      </c>
      <c r="EH96" s="13">
        <f t="shared" si="220"/>
        <v>600</v>
      </c>
      <c r="EI96" s="13">
        <f t="shared" si="227"/>
        <v>610.41114115175014</v>
      </c>
      <c r="EJ96" s="13">
        <f t="shared" si="221"/>
        <v>397.42731740293658</v>
      </c>
      <c r="EK96" s="13">
        <f t="shared" si="222"/>
        <v>157.83244213832967</v>
      </c>
      <c r="EL96" s="13">
        <f t="shared" si="223"/>
        <v>650</v>
      </c>
      <c r="EM96" s="13">
        <f t="shared" si="198"/>
        <v>650</v>
      </c>
      <c r="EN96" s="13">
        <f t="shared" si="177"/>
        <v>650</v>
      </c>
      <c r="EO96" s="13">
        <f t="shared" si="158"/>
        <v>650</v>
      </c>
      <c r="EP96" s="13">
        <f t="shared" si="125"/>
        <v>650</v>
      </c>
      <c r="EQ96" s="13">
        <f t="shared" si="259"/>
        <v>650</v>
      </c>
      <c r="ER96" s="13">
        <f t="shared" si="259"/>
        <v>650</v>
      </c>
      <c r="ES96" s="13">
        <f t="shared" si="259"/>
        <v>650</v>
      </c>
      <c r="ET96" s="13">
        <f t="shared" si="259"/>
        <v>650</v>
      </c>
      <c r="EU96" s="13">
        <f t="shared" si="259"/>
        <v>650</v>
      </c>
      <c r="EV96" s="13">
        <f t="shared" si="259"/>
        <v>650</v>
      </c>
      <c r="EW96" s="13">
        <f t="shared" si="259"/>
        <v>650</v>
      </c>
      <c r="EX96" s="13">
        <f t="shared" si="259"/>
        <v>650</v>
      </c>
      <c r="EY96" s="13">
        <f t="shared" si="259"/>
        <v>650</v>
      </c>
      <c r="EZ96" s="25">
        <v>33</v>
      </c>
      <c r="FA96" s="26">
        <f t="shared" si="55"/>
        <v>0.29629629629629628</v>
      </c>
    </row>
    <row r="97" spans="3:157" x14ac:dyDescent="0.25">
      <c r="C97" s="84"/>
      <c r="D97" s="85"/>
      <c r="E97" s="25">
        <v>32</v>
      </c>
      <c r="F97" s="26">
        <f t="shared" si="36"/>
        <v>0.28703703703703703</v>
      </c>
      <c r="G97" s="13">
        <f t="shared" si="249"/>
        <v>600</v>
      </c>
      <c r="H97" s="13">
        <f t="shared" si="249"/>
        <v>600</v>
      </c>
      <c r="I97" s="13">
        <f t="shared" si="249"/>
        <v>600</v>
      </c>
      <c r="J97" s="13">
        <f t="shared" si="249"/>
        <v>600</v>
      </c>
      <c r="K97" s="13">
        <f t="shared" si="249"/>
        <v>600</v>
      </c>
      <c r="L97" s="13">
        <f t="shared" si="249"/>
        <v>600</v>
      </c>
      <c r="M97" s="13">
        <f t="shared" si="249"/>
        <v>600</v>
      </c>
      <c r="N97" s="13">
        <f t="shared" si="249"/>
        <v>600</v>
      </c>
      <c r="O97" s="13">
        <f t="shared" si="249"/>
        <v>600</v>
      </c>
      <c r="P97" s="13">
        <f t="shared" si="87"/>
        <v>600</v>
      </c>
      <c r="Q97" s="13">
        <f t="shared" si="129"/>
        <v>600</v>
      </c>
      <c r="R97" s="13">
        <f t="shared" si="159"/>
        <v>600</v>
      </c>
      <c r="S97" s="13">
        <f t="shared" si="178"/>
        <v>600</v>
      </c>
      <c r="T97" s="13">
        <f t="shared" si="210"/>
        <v>600</v>
      </c>
      <c r="U97" s="13">
        <f t="shared" ref="U97" si="266">($F$5*$B$5*T34+$F$4*V34)/($F$4+$F$5*$B$5)</f>
        <v>610.3836129205157</v>
      </c>
      <c r="V97" s="13">
        <f t="shared" si="181"/>
        <v>610.98572017547349</v>
      </c>
      <c r="W97" s="13">
        <f t="shared" ref="W97" si="267">($F$6*$B$5*X34+$F$4*V34)/($F$4+$F$6*$B$5)</f>
        <v>612.61116309996726</v>
      </c>
      <c r="X97" s="13">
        <f t="shared" si="213"/>
        <v>650</v>
      </c>
      <c r="Y97" s="13">
        <f t="shared" si="184"/>
        <v>650</v>
      </c>
      <c r="Z97" s="13">
        <f t="shared" si="165"/>
        <v>650</v>
      </c>
      <c r="AA97" s="13">
        <f t="shared" si="137"/>
        <v>650</v>
      </c>
      <c r="AB97" s="13">
        <f t="shared" si="99"/>
        <v>650</v>
      </c>
      <c r="AC97" s="13">
        <f t="shared" si="252"/>
        <v>650</v>
      </c>
      <c r="AD97" s="13">
        <f t="shared" si="252"/>
        <v>650</v>
      </c>
      <c r="AE97" s="13">
        <f t="shared" si="252"/>
        <v>650</v>
      </c>
      <c r="AF97" s="13">
        <f t="shared" si="252"/>
        <v>650</v>
      </c>
      <c r="AG97" s="13">
        <f t="shared" si="252"/>
        <v>650</v>
      </c>
      <c r="AH97" s="13">
        <f t="shared" si="252"/>
        <v>650</v>
      </c>
      <c r="AI97" s="13">
        <f t="shared" si="252"/>
        <v>650</v>
      </c>
      <c r="AJ97" s="13">
        <f t="shared" si="252"/>
        <v>650</v>
      </c>
      <c r="AK97" s="13">
        <f t="shared" si="252"/>
        <v>650</v>
      </c>
      <c r="AL97" s="25">
        <v>32</v>
      </c>
      <c r="AM97" s="26">
        <f t="shared" si="40"/>
        <v>0.28703703703703703</v>
      </c>
      <c r="AP97" s="87"/>
      <c r="AQ97" s="86"/>
      <c r="AR97" s="25">
        <v>32</v>
      </c>
      <c r="AS97" s="26">
        <f t="shared" si="41"/>
        <v>0.28703703703703703</v>
      </c>
      <c r="AT97" s="13">
        <f t="shared" si="253"/>
        <v>600</v>
      </c>
      <c r="AU97" s="13">
        <f t="shared" si="253"/>
        <v>600</v>
      </c>
      <c r="AV97" s="13">
        <f t="shared" si="253"/>
        <v>600</v>
      </c>
      <c r="AW97" s="13">
        <f t="shared" si="253"/>
        <v>600</v>
      </c>
      <c r="AX97" s="13">
        <f t="shared" si="253"/>
        <v>600</v>
      </c>
      <c r="AY97" s="13">
        <f t="shared" si="253"/>
        <v>600</v>
      </c>
      <c r="AZ97" s="13">
        <f t="shared" si="253"/>
        <v>600</v>
      </c>
      <c r="BA97" s="13">
        <f t="shared" si="253"/>
        <v>600</v>
      </c>
      <c r="BB97" s="13">
        <f t="shared" si="253"/>
        <v>600</v>
      </c>
      <c r="BC97" s="13">
        <f t="shared" si="100"/>
        <v>600</v>
      </c>
      <c r="BD97" s="13">
        <f t="shared" si="138"/>
        <v>600</v>
      </c>
      <c r="BE97" s="13">
        <f t="shared" si="166"/>
        <v>600</v>
      </c>
      <c r="BF97" s="13">
        <f t="shared" si="185"/>
        <v>600</v>
      </c>
      <c r="BG97" s="13">
        <f t="shared" si="214"/>
        <v>600</v>
      </c>
      <c r="BH97" s="52"/>
      <c r="BI97" s="13">
        <f t="shared" si="215"/>
        <v>-2192216194.6462774</v>
      </c>
      <c r="BJ97" s="52"/>
      <c r="BK97" s="13">
        <f t="shared" si="216"/>
        <v>650</v>
      </c>
      <c r="BL97" s="13">
        <f t="shared" si="189"/>
        <v>650</v>
      </c>
      <c r="BM97" s="13">
        <f t="shared" si="167"/>
        <v>650</v>
      </c>
      <c r="BN97" s="13">
        <f t="shared" si="146"/>
        <v>650</v>
      </c>
      <c r="BO97" s="13">
        <f t="shared" si="110"/>
        <v>650</v>
      </c>
      <c r="BP97" s="13">
        <f t="shared" si="254"/>
        <v>650</v>
      </c>
      <c r="BQ97" s="13">
        <f t="shared" si="254"/>
        <v>650</v>
      </c>
      <c r="BR97" s="13">
        <f t="shared" si="254"/>
        <v>650</v>
      </c>
      <c r="BS97" s="13">
        <f t="shared" si="254"/>
        <v>650</v>
      </c>
      <c r="BT97" s="13">
        <f t="shared" si="254"/>
        <v>650</v>
      </c>
      <c r="BU97" s="13">
        <f t="shared" si="254"/>
        <v>650</v>
      </c>
      <c r="BV97" s="13">
        <f t="shared" si="254"/>
        <v>650</v>
      </c>
      <c r="BW97" s="13">
        <f t="shared" si="254"/>
        <v>650</v>
      </c>
      <c r="BX97" s="13">
        <f t="shared" si="254"/>
        <v>650</v>
      </c>
      <c r="BY97" s="25">
        <v>32</v>
      </c>
      <c r="BZ97" s="26">
        <f t="shared" si="45"/>
        <v>0.28703703703703703</v>
      </c>
      <c r="CC97" s="84"/>
      <c r="CD97" s="85"/>
      <c r="CE97" s="25">
        <v>32</v>
      </c>
      <c r="CF97" s="26">
        <f t="shared" si="46"/>
        <v>0.28703703703703703</v>
      </c>
      <c r="CG97" s="13">
        <f t="shared" si="255"/>
        <v>600</v>
      </c>
      <c r="CH97" s="13">
        <f t="shared" si="255"/>
        <v>600</v>
      </c>
      <c r="CI97" s="13">
        <f t="shared" si="255"/>
        <v>600</v>
      </c>
      <c r="CJ97" s="13">
        <f t="shared" si="255"/>
        <v>600</v>
      </c>
      <c r="CK97" s="13">
        <f t="shared" si="255"/>
        <v>600</v>
      </c>
      <c r="CL97" s="13">
        <f t="shared" si="255"/>
        <v>600</v>
      </c>
      <c r="CM97" s="13">
        <f t="shared" si="255"/>
        <v>600</v>
      </c>
      <c r="CN97" s="13">
        <f t="shared" si="255"/>
        <v>600</v>
      </c>
      <c r="CO97" s="13">
        <f t="shared" si="255"/>
        <v>600</v>
      </c>
      <c r="CP97" s="13">
        <f t="shared" si="111"/>
        <v>600</v>
      </c>
      <c r="CQ97" s="13">
        <f t="shared" si="147"/>
        <v>600</v>
      </c>
      <c r="CR97" s="13">
        <f t="shared" si="168"/>
        <v>600</v>
      </c>
      <c r="CS97" s="13">
        <f t="shared" si="190"/>
        <v>600</v>
      </c>
      <c r="CT97" s="13">
        <f t="shared" si="217"/>
        <v>600</v>
      </c>
      <c r="CU97" s="13">
        <f t="shared" ref="CU97:CW97" si="268">$L$2/($L$3-$L$4*CT97)</f>
        <v>-1.6746678575415876E-3</v>
      </c>
      <c r="CV97" s="13">
        <f t="shared" si="268"/>
        <v>0.34863354230673421</v>
      </c>
      <c r="CW97" s="13">
        <f t="shared" si="268"/>
        <v>0.39713536344133415</v>
      </c>
      <c r="CX97" s="13">
        <f t="shared" si="219"/>
        <v>650</v>
      </c>
      <c r="CY97" s="13">
        <f t="shared" si="192"/>
        <v>650</v>
      </c>
      <c r="CZ97" s="13">
        <f t="shared" si="169"/>
        <v>650</v>
      </c>
      <c r="DA97" s="13">
        <f t="shared" si="148"/>
        <v>650</v>
      </c>
      <c r="DB97" s="13">
        <f t="shared" si="113"/>
        <v>650</v>
      </c>
      <c r="DC97" s="13">
        <f t="shared" si="257"/>
        <v>650</v>
      </c>
      <c r="DD97" s="13">
        <f t="shared" si="257"/>
        <v>650</v>
      </c>
      <c r="DE97" s="13">
        <f t="shared" si="257"/>
        <v>650</v>
      </c>
      <c r="DF97" s="13">
        <f t="shared" si="257"/>
        <v>650</v>
      </c>
      <c r="DG97" s="13">
        <f t="shared" si="257"/>
        <v>650</v>
      </c>
      <c r="DH97" s="13">
        <f t="shared" si="257"/>
        <v>650</v>
      </c>
      <c r="DI97" s="13">
        <f t="shared" si="257"/>
        <v>650</v>
      </c>
      <c r="DJ97" s="13">
        <f t="shared" si="257"/>
        <v>650</v>
      </c>
      <c r="DK97" s="13">
        <f t="shared" si="257"/>
        <v>650</v>
      </c>
      <c r="DL97" s="25">
        <v>32</v>
      </c>
      <c r="DM97" s="26">
        <f t="shared" si="50"/>
        <v>0.28703703703703703</v>
      </c>
      <c r="DQ97" s="84"/>
      <c r="DR97" s="85"/>
      <c r="DS97" s="25">
        <v>32</v>
      </c>
      <c r="DT97" s="26">
        <f t="shared" si="51"/>
        <v>0.28703703703703703</v>
      </c>
      <c r="DU97" s="13">
        <f t="shared" si="258"/>
        <v>600</v>
      </c>
      <c r="DV97" s="13">
        <f t="shared" si="258"/>
        <v>600</v>
      </c>
      <c r="DW97" s="13">
        <f t="shared" si="258"/>
        <v>600</v>
      </c>
      <c r="DX97" s="13">
        <f t="shared" si="258"/>
        <v>600</v>
      </c>
      <c r="DY97" s="13">
        <f t="shared" si="258"/>
        <v>600</v>
      </c>
      <c r="DZ97" s="13">
        <f t="shared" si="258"/>
        <v>600</v>
      </c>
      <c r="EA97" s="13">
        <f t="shared" si="258"/>
        <v>600</v>
      </c>
      <c r="EB97" s="13">
        <f t="shared" si="258"/>
        <v>600</v>
      </c>
      <c r="EC97" s="13">
        <f t="shared" si="258"/>
        <v>600</v>
      </c>
      <c r="ED97" s="13">
        <f t="shared" si="114"/>
        <v>600</v>
      </c>
      <c r="EE97" s="13">
        <f t="shared" si="149"/>
        <v>600</v>
      </c>
      <c r="EF97" s="13">
        <f t="shared" si="170"/>
        <v>600</v>
      </c>
      <c r="EG97" s="13">
        <f t="shared" si="193"/>
        <v>600</v>
      </c>
      <c r="EH97" s="13">
        <f t="shared" si="220"/>
        <v>600</v>
      </c>
      <c r="EI97" s="13">
        <f t="shared" si="227"/>
        <v>610.3836129205157</v>
      </c>
      <c r="EJ97" s="13">
        <f t="shared" si="221"/>
        <v>397.40892032728334</v>
      </c>
      <c r="EK97" s="13">
        <f t="shared" si="222"/>
        <v>157.8251360090039</v>
      </c>
      <c r="EL97" s="13">
        <f t="shared" si="223"/>
        <v>650</v>
      </c>
      <c r="EM97" s="13">
        <f t="shared" si="198"/>
        <v>650</v>
      </c>
      <c r="EN97" s="13">
        <f t="shared" si="177"/>
        <v>650</v>
      </c>
      <c r="EO97" s="13">
        <f t="shared" si="158"/>
        <v>650</v>
      </c>
      <c r="EP97" s="13">
        <f t="shared" si="125"/>
        <v>650</v>
      </c>
      <c r="EQ97" s="13">
        <f t="shared" si="259"/>
        <v>650</v>
      </c>
      <c r="ER97" s="13">
        <f t="shared" si="259"/>
        <v>650</v>
      </c>
      <c r="ES97" s="13">
        <f t="shared" si="259"/>
        <v>650</v>
      </c>
      <c r="ET97" s="13">
        <f t="shared" si="259"/>
        <v>650</v>
      </c>
      <c r="EU97" s="13">
        <f t="shared" si="259"/>
        <v>650</v>
      </c>
      <c r="EV97" s="13">
        <f t="shared" si="259"/>
        <v>650</v>
      </c>
      <c r="EW97" s="13">
        <f t="shared" si="259"/>
        <v>650</v>
      </c>
      <c r="EX97" s="13">
        <f t="shared" si="259"/>
        <v>650</v>
      </c>
      <c r="EY97" s="13">
        <f t="shared" si="259"/>
        <v>650</v>
      </c>
      <c r="EZ97" s="25">
        <v>32</v>
      </c>
      <c r="FA97" s="26">
        <f t="shared" si="55"/>
        <v>0.28703703703703703</v>
      </c>
    </row>
    <row r="98" spans="3:157" x14ac:dyDescent="0.25">
      <c r="C98" s="84"/>
      <c r="D98" s="85"/>
      <c r="E98" s="25">
        <v>31</v>
      </c>
      <c r="F98" s="26">
        <f t="shared" ref="F98:F127" si="269">$B$6*(E98-1)</f>
        <v>0.27777777777777779</v>
      </c>
      <c r="G98" s="13">
        <f t="shared" si="249"/>
        <v>600</v>
      </c>
      <c r="H98" s="13">
        <f t="shared" si="249"/>
        <v>600</v>
      </c>
      <c r="I98" s="13">
        <f t="shared" si="249"/>
        <v>600</v>
      </c>
      <c r="J98" s="13">
        <f t="shared" si="249"/>
        <v>600</v>
      </c>
      <c r="K98" s="13">
        <f t="shared" si="249"/>
        <v>600</v>
      </c>
      <c r="L98" s="13">
        <f t="shared" si="249"/>
        <v>600</v>
      </c>
      <c r="M98" s="13">
        <f t="shared" si="249"/>
        <v>600</v>
      </c>
      <c r="N98" s="13">
        <f t="shared" si="249"/>
        <v>600</v>
      </c>
      <c r="O98" s="13">
        <f t="shared" si="249"/>
        <v>600</v>
      </c>
      <c r="P98" s="13">
        <f t="shared" si="87"/>
        <v>600</v>
      </c>
      <c r="Q98" s="13">
        <f t="shared" si="129"/>
        <v>600</v>
      </c>
      <c r="R98" s="13">
        <f t="shared" si="159"/>
        <v>600</v>
      </c>
      <c r="S98" s="13">
        <f t="shared" si="178"/>
        <v>600</v>
      </c>
      <c r="T98" s="13">
        <f t="shared" si="210"/>
        <v>600</v>
      </c>
      <c r="U98" s="13">
        <f t="shared" ref="U98" si="270">($F$5*$B$5*T35+$F$4*V35)/($F$4+$F$5*$B$5)</f>
        <v>610.36537100998044</v>
      </c>
      <c r="V98" s="13">
        <f t="shared" si="181"/>
        <v>610.967081062381</v>
      </c>
      <c r="W98" s="13">
        <f t="shared" ref="W98" si="271">($F$6*$B$5*X35+$F$4*V35)/($F$4+$F$6*$B$5)</f>
        <v>612.59266782956342</v>
      </c>
      <c r="X98" s="13">
        <f t="shared" si="213"/>
        <v>650</v>
      </c>
      <c r="Y98" s="13">
        <f t="shared" si="184"/>
        <v>650</v>
      </c>
      <c r="Z98" s="13">
        <f t="shared" si="165"/>
        <v>650</v>
      </c>
      <c r="AA98" s="13">
        <f t="shared" si="137"/>
        <v>650</v>
      </c>
      <c r="AB98" s="13">
        <f t="shared" si="99"/>
        <v>650</v>
      </c>
      <c r="AC98" s="13">
        <f t="shared" si="252"/>
        <v>650</v>
      </c>
      <c r="AD98" s="13">
        <f t="shared" si="252"/>
        <v>650</v>
      </c>
      <c r="AE98" s="13">
        <f t="shared" si="252"/>
        <v>650</v>
      </c>
      <c r="AF98" s="13">
        <f t="shared" si="252"/>
        <v>650</v>
      </c>
      <c r="AG98" s="13">
        <f t="shared" si="252"/>
        <v>650</v>
      </c>
      <c r="AH98" s="13">
        <f t="shared" si="252"/>
        <v>650</v>
      </c>
      <c r="AI98" s="13">
        <f t="shared" si="252"/>
        <v>650</v>
      </c>
      <c r="AJ98" s="13">
        <f t="shared" si="252"/>
        <v>650</v>
      </c>
      <c r="AK98" s="13">
        <f t="shared" si="252"/>
        <v>650</v>
      </c>
      <c r="AL98" s="25">
        <v>31</v>
      </c>
      <c r="AM98" s="26">
        <f t="shared" ref="AM98:AM127" si="272">$B$6*(AL98-1)</f>
        <v>0.27777777777777779</v>
      </c>
      <c r="AP98" s="87"/>
      <c r="AQ98" s="86"/>
      <c r="AR98" s="25">
        <v>31</v>
      </c>
      <c r="AS98" s="26">
        <f t="shared" ref="AS98:AS127" si="273">$B$6*(AR98-1)</f>
        <v>0.27777777777777779</v>
      </c>
      <c r="AT98" s="13">
        <f t="shared" si="253"/>
        <v>600</v>
      </c>
      <c r="AU98" s="13">
        <f t="shared" si="253"/>
        <v>600</v>
      </c>
      <c r="AV98" s="13">
        <f t="shared" si="253"/>
        <v>600</v>
      </c>
      <c r="AW98" s="13">
        <f t="shared" si="253"/>
        <v>600</v>
      </c>
      <c r="AX98" s="13">
        <f t="shared" si="253"/>
        <v>600</v>
      </c>
      <c r="AY98" s="13">
        <f t="shared" si="253"/>
        <v>600</v>
      </c>
      <c r="AZ98" s="13">
        <f t="shared" si="253"/>
        <v>600</v>
      </c>
      <c r="BA98" s="13">
        <f t="shared" si="253"/>
        <v>600</v>
      </c>
      <c r="BB98" s="13">
        <f t="shared" si="253"/>
        <v>600</v>
      </c>
      <c r="BC98" s="13">
        <f t="shared" si="100"/>
        <v>600</v>
      </c>
      <c r="BD98" s="13">
        <f t="shared" si="138"/>
        <v>600</v>
      </c>
      <c r="BE98" s="13">
        <f t="shared" si="166"/>
        <v>600</v>
      </c>
      <c r="BF98" s="13">
        <f t="shared" si="185"/>
        <v>600</v>
      </c>
      <c r="BG98" s="13">
        <f t="shared" si="214"/>
        <v>600</v>
      </c>
      <c r="BH98" s="52"/>
      <c r="BI98" s="13">
        <f t="shared" si="215"/>
        <v>-2192146948.3538852</v>
      </c>
      <c r="BJ98" s="52"/>
      <c r="BK98" s="13">
        <f t="shared" si="216"/>
        <v>650</v>
      </c>
      <c r="BL98" s="13">
        <f t="shared" si="189"/>
        <v>650</v>
      </c>
      <c r="BM98" s="13">
        <f t="shared" si="167"/>
        <v>650</v>
      </c>
      <c r="BN98" s="13">
        <f t="shared" si="146"/>
        <v>650</v>
      </c>
      <c r="BO98" s="13">
        <f t="shared" si="110"/>
        <v>650</v>
      </c>
      <c r="BP98" s="13">
        <f t="shared" si="254"/>
        <v>650</v>
      </c>
      <c r="BQ98" s="13">
        <f t="shared" si="254"/>
        <v>650</v>
      </c>
      <c r="BR98" s="13">
        <f t="shared" si="254"/>
        <v>650</v>
      </c>
      <c r="BS98" s="13">
        <f t="shared" si="254"/>
        <v>650</v>
      </c>
      <c r="BT98" s="13">
        <f t="shared" si="254"/>
        <v>650</v>
      </c>
      <c r="BU98" s="13">
        <f t="shared" si="254"/>
        <v>650</v>
      </c>
      <c r="BV98" s="13">
        <f t="shared" si="254"/>
        <v>650</v>
      </c>
      <c r="BW98" s="13">
        <f t="shared" si="254"/>
        <v>650</v>
      </c>
      <c r="BX98" s="13">
        <f t="shared" si="254"/>
        <v>650</v>
      </c>
      <c r="BY98" s="25">
        <v>31</v>
      </c>
      <c r="BZ98" s="26">
        <f t="shared" ref="BZ98:BZ127" si="274">$B$6*(BY98-1)</f>
        <v>0.27777777777777779</v>
      </c>
      <c r="CC98" s="84"/>
      <c r="CD98" s="85"/>
      <c r="CE98" s="25">
        <v>31</v>
      </c>
      <c r="CF98" s="26">
        <f t="shared" ref="CF98:CF127" si="275">$B$6*(CE98-1)</f>
        <v>0.27777777777777779</v>
      </c>
      <c r="CG98" s="13">
        <f t="shared" si="255"/>
        <v>600</v>
      </c>
      <c r="CH98" s="13">
        <f t="shared" si="255"/>
        <v>600</v>
      </c>
      <c r="CI98" s="13">
        <f t="shared" si="255"/>
        <v>600</v>
      </c>
      <c r="CJ98" s="13">
        <f t="shared" si="255"/>
        <v>600</v>
      </c>
      <c r="CK98" s="13">
        <f t="shared" si="255"/>
        <v>600</v>
      </c>
      <c r="CL98" s="13">
        <f t="shared" si="255"/>
        <v>600</v>
      </c>
      <c r="CM98" s="13">
        <f t="shared" si="255"/>
        <v>600</v>
      </c>
      <c r="CN98" s="13">
        <f t="shared" si="255"/>
        <v>600</v>
      </c>
      <c r="CO98" s="13">
        <f t="shared" si="255"/>
        <v>600</v>
      </c>
      <c r="CP98" s="13">
        <f t="shared" si="111"/>
        <v>600</v>
      </c>
      <c r="CQ98" s="13">
        <f t="shared" si="147"/>
        <v>600</v>
      </c>
      <c r="CR98" s="13">
        <f t="shared" si="168"/>
        <v>600</v>
      </c>
      <c r="CS98" s="13">
        <f t="shared" si="190"/>
        <v>600</v>
      </c>
      <c r="CT98" s="13">
        <f t="shared" si="217"/>
        <v>600</v>
      </c>
      <c r="CU98" s="13">
        <f t="shared" ref="CU98:CW98" si="276">$L$2/($L$3-$L$4*CT98)</f>
        <v>-1.6746678575415876E-3</v>
      </c>
      <c r="CV98" s="13">
        <f t="shared" si="276"/>
        <v>0.34863354230673421</v>
      </c>
      <c r="CW98" s="13">
        <f t="shared" si="276"/>
        <v>0.39713536344133415</v>
      </c>
      <c r="CX98" s="13">
        <f t="shared" si="219"/>
        <v>650</v>
      </c>
      <c r="CY98" s="13">
        <f t="shared" si="192"/>
        <v>650</v>
      </c>
      <c r="CZ98" s="13">
        <f t="shared" si="169"/>
        <v>650</v>
      </c>
      <c r="DA98" s="13">
        <f t="shared" si="148"/>
        <v>650</v>
      </c>
      <c r="DB98" s="13">
        <f t="shared" si="113"/>
        <v>650</v>
      </c>
      <c r="DC98" s="13">
        <f t="shared" si="257"/>
        <v>650</v>
      </c>
      <c r="DD98" s="13">
        <f t="shared" si="257"/>
        <v>650</v>
      </c>
      <c r="DE98" s="13">
        <f t="shared" si="257"/>
        <v>650</v>
      </c>
      <c r="DF98" s="13">
        <f t="shared" si="257"/>
        <v>650</v>
      </c>
      <c r="DG98" s="13">
        <f t="shared" si="257"/>
        <v>650</v>
      </c>
      <c r="DH98" s="13">
        <f t="shared" si="257"/>
        <v>650</v>
      </c>
      <c r="DI98" s="13">
        <f t="shared" si="257"/>
        <v>650</v>
      </c>
      <c r="DJ98" s="13">
        <f t="shared" si="257"/>
        <v>650</v>
      </c>
      <c r="DK98" s="13">
        <f t="shared" si="257"/>
        <v>650</v>
      </c>
      <c r="DL98" s="25">
        <v>31</v>
      </c>
      <c r="DM98" s="26">
        <f t="shared" ref="DM98:DM127" si="277">$B$6*(DL98-1)</f>
        <v>0.27777777777777779</v>
      </c>
      <c r="DQ98" s="84"/>
      <c r="DR98" s="85"/>
      <c r="DS98" s="25">
        <v>31</v>
      </c>
      <c r="DT98" s="26">
        <f t="shared" ref="DT98:DT127" si="278">$B$6*(DS98-1)</f>
        <v>0.27777777777777779</v>
      </c>
      <c r="DU98" s="13">
        <f t="shared" si="258"/>
        <v>600</v>
      </c>
      <c r="DV98" s="13">
        <f t="shared" si="258"/>
        <v>600</v>
      </c>
      <c r="DW98" s="13">
        <f t="shared" si="258"/>
        <v>600</v>
      </c>
      <c r="DX98" s="13">
        <f t="shared" si="258"/>
        <v>600</v>
      </c>
      <c r="DY98" s="13">
        <f t="shared" si="258"/>
        <v>600</v>
      </c>
      <c r="DZ98" s="13">
        <f t="shared" si="258"/>
        <v>600</v>
      </c>
      <c r="EA98" s="13">
        <f t="shared" si="258"/>
        <v>600</v>
      </c>
      <c r="EB98" s="13">
        <f t="shared" si="258"/>
        <v>600</v>
      </c>
      <c r="EC98" s="13">
        <f t="shared" si="258"/>
        <v>600</v>
      </c>
      <c r="ED98" s="13">
        <f t="shared" si="114"/>
        <v>600</v>
      </c>
      <c r="EE98" s="13">
        <f t="shared" si="149"/>
        <v>600</v>
      </c>
      <c r="EF98" s="13">
        <f t="shared" si="170"/>
        <v>600</v>
      </c>
      <c r="EG98" s="13">
        <f t="shared" si="193"/>
        <v>600</v>
      </c>
      <c r="EH98" s="13">
        <f t="shared" si="220"/>
        <v>600</v>
      </c>
      <c r="EI98" s="13">
        <f t="shared" si="227"/>
        <v>610.36537100998044</v>
      </c>
      <c r="EJ98" s="13">
        <f t="shared" si="221"/>
        <v>397.39672928582775</v>
      </c>
      <c r="EK98" s="13">
        <f t="shared" si="222"/>
        <v>157.82029451532469</v>
      </c>
      <c r="EL98" s="13">
        <f t="shared" si="223"/>
        <v>650</v>
      </c>
      <c r="EM98" s="13">
        <f t="shared" si="198"/>
        <v>650</v>
      </c>
      <c r="EN98" s="13">
        <f t="shared" si="177"/>
        <v>650</v>
      </c>
      <c r="EO98" s="13">
        <f t="shared" si="158"/>
        <v>650</v>
      </c>
      <c r="EP98" s="13">
        <f t="shared" si="125"/>
        <v>650</v>
      </c>
      <c r="EQ98" s="13">
        <f t="shared" si="259"/>
        <v>650</v>
      </c>
      <c r="ER98" s="13">
        <f t="shared" si="259"/>
        <v>650</v>
      </c>
      <c r="ES98" s="13">
        <f t="shared" si="259"/>
        <v>650</v>
      </c>
      <c r="ET98" s="13">
        <f t="shared" si="259"/>
        <v>650</v>
      </c>
      <c r="EU98" s="13">
        <f t="shared" si="259"/>
        <v>650</v>
      </c>
      <c r="EV98" s="13">
        <f t="shared" si="259"/>
        <v>650</v>
      </c>
      <c r="EW98" s="13">
        <f t="shared" si="259"/>
        <v>650</v>
      </c>
      <c r="EX98" s="13">
        <f t="shared" si="259"/>
        <v>650</v>
      </c>
      <c r="EY98" s="13">
        <f t="shared" si="259"/>
        <v>650</v>
      </c>
      <c r="EZ98" s="25">
        <v>31</v>
      </c>
      <c r="FA98" s="26">
        <f t="shared" ref="FA98:FA127" si="279">$B$6*(EZ98-1)</f>
        <v>0.27777777777777779</v>
      </c>
    </row>
    <row r="99" spans="3:157" x14ac:dyDescent="0.25">
      <c r="C99" s="84"/>
      <c r="D99" s="85"/>
      <c r="E99" s="25">
        <v>30</v>
      </c>
      <c r="F99" s="26">
        <f t="shared" si="269"/>
        <v>0.26851851851851849</v>
      </c>
      <c r="G99" s="13">
        <f t="shared" si="249"/>
        <v>600</v>
      </c>
      <c r="H99" s="13">
        <f t="shared" si="249"/>
        <v>600</v>
      </c>
      <c r="I99" s="13">
        <f t="shared" si="249"/>
        <v>600</v>
      </c>
      <c r="J99" s="13">
        <f t="shared" si="249"/>
        <v>600</v>
      </c>
      <c r="K99" s="13">
        <f t="shared" si="249"/>
        <v>600</v>
      </c>
      <c r="L99" s="13">
        <f t="shared" si="249"/>
        <v>600</v>
      </c>
      <c r="M99" s="13">
        <f t="shared" si="249"/>
        <v>600</v>
      </c>
      <c r="N99" s="13">
        <f t="shared" si="249"/>
        <v>600</v>
      </c>
      <c r="O99" s="13">
        <f t="shared" si="249"/>
        <v>600</v>
      </c>
      <c r="P99" s="13">
        <f t="shared" si="87"/>
        <v>600</v>
      </c>
      <c r="Q99" s="13">
        <f t="shared" si="129"/>
        <v>600</v>
      </c>
      <c r="R99" s="13">
        <f t="shared" si="159"/>
        <v>600</v>
      </c>
      <c r="S99" s="13">
        <f t="shared" si="178"/>
        <v>600</v>
      </c>
      <c r="T99" s="13">
        <f t="shared" si="210"/>
        <v>600</v>
      </c>
      <c r="U99" s="13">
        <f t="shared" ref="U99" si="280">($F$5*$B$5*T36+$F$4*V36)/($F$4+$F$5*$B$5)</f>
        <v>610.35180200704031</v>
      </c>
      <c r="V99" s="13">
        <f t="shared" si="181"/>
        <v>610.95321660559284</v>
      </c>
      <c r="W99" s="13">
        <f t="shared" ref="W99" si="281">($F$6*$B$5*X36+$F$4*V36)/($F$4+$F$6*$B$5)</f>
        <v>612.57891036824913</v>
      </c>
      <c r="X99" s="13">
        <f t="shared" si="213"/>
        <v>650</v>
      </c>
      <c r="Y99" s="13">
        <f t="shared" si="184"/>
        <v>650</v>
      </c>
      <c r="Z99" s="13">
        <f t="shared" si="165"/>
        <v>650</v>
      </c>
      <c r="AA99" s="13">
        <f t="shared" si="137"/>
        <v>650</v>
      </c>
      <c r="AB99" s="13">
        <f t="shared" si="99"/>
        <v>650</v>
      </c>
      <c r="AC99" s="13">
        <f t="shared" si="252"/>
        <v>650</v>
      </c>
      <c r="AD99" s="13">
        <f t="shared" si="252"/>
        <v>650</v>
      </c>
      <c r="AE99" s="13">
        <f t="shared" si="252"/>
        <v>650</v>
      </c>
      <c r="AF99" s="13">
        <f t="shared" si="252"/>
        <v>650</v>
      </c>
      <c r="AG99" s="13">
        <f t="shared" si="252"/>
        <v>650</v>
      </c>
      <c r="AH99" s="13">
        <f t="shared" si="252"/>
        <v>650</v>
      </c>
      <c r="AI99" s="13">
        <f t="shared" si="252"/>
        <v>650</v>
      </c>
      <c r="AJ99" s="13">
        <f t="shared" si="252"/>
        <v>650</v>
      </c>
      <c r="AK99" s="13">
        <f t="shared" si="252"/>
        <v>650</v>
      </c>
      <c r="AL99" s="25">
        <v>30</v>
      </c>
      <c r="AM99" s="26">
        <f t="shared" si="272"/>
        <v>0.26851851851851849</v>
      </c>
      <c r="AP99" s="87"/>
      <c r="AQ99" s="86"/>
      <c r="AR99" s="25">
        <v>30</v>
      </c>
      <c r="AS99" s="26">
        <f t="shared" si="273"/>
        <v>0.26851851851851849</v>
      </c>
      <c r="AT99" s="13">
        <f t="shared" si="253"/>
        <v>600</v>
      </c>
      <c r="AU99" s="13">
        <f t="shared" si="253"/>
        <v>600</v>
      </c>
      <c r="AV99" s="13">
        <f t="shared" si="253"/>
        <v>600</v>
      </c>
      <c r="AW99" s="13">
        <f t="shared" si="253"/>
        <v>600</v>
      </c>
      <c r="AX99" s="13">
        <f t="shared" si="253"/>
        <v>600</v>
      </c>
      <c r="AY99" s="13">
        <f t="shared" si="253"/>
        <v>600</v>
      </c>
      <c r="AZ99" s="13">
        <f t="shared" si="253"/>
        <v>600</v>
      </c>
      <c r="BA99" s="13">
        <f t="shared" si="253"/>
        <v>600</v>
      </c>
      <c r="BB99" s="13">
        <f t="shared" si="253"/>
        <v>600</v>
      </c>
      <c r="BC99" s="13">
        <f t="shared" si="100"/>
        <v>600</v>
      </c>
      <c r="BD99" s="13">
        <f t="shared" si="138"/>
        <v>600</v>
      </c>
      <c r="BE99" s="13">
        <f t="shared" si="166"/>
        <v>600</v>
      </c>
      <c r="BF99" s="13">
        <f t="shared" si="185"/>
        <v>600</v>
      </c>
      <c r="BG99" s="13">
        <f t="shared" si="214"/>
        <v>600</v>
      </c>
      <c r="BH99" s="52"/>
      <c r="BI99" s="13">
        <f t="shared" si="215"/>
        <v>-2192095440.4187245</v>
      </c>
      <c r="BJ99" s="52"/>
      <c r="BK99" s="13">
        <f t="shared" si="216"/>
        <v>650</v>
      </c>
      <c r="BL99" s="13">
        <f t="shared" si="189"/>
        <v>650</v>
      </c>
      <c r="BM99" s="13">
        <f t="shared" si="167"/>
        <v>650</v>
      </c>
      <c r="BN99" s="13">
        <f t="shared" si="146"/>
        <v>650</v>
      </c>
      <c r="BO99" s="13">
        <f t="shared" si="110"/>
        <v>650</v>
      </c>
      <c r="BP99" s="13">
        <f t="shared" si="254"/>
        <v>650</v>
      </c>
      <c r="BQ99" s="13">
        <f t="shared" si="254"/>
        <v>650</v>
      </c>
      <c r="BR99" s="13">
        <f t="shared" si="254"/>
        <v>650</v>
      </c>
      <c r="BS99" s="13">
        <f t="shared" si="254"/>
        <v>650</v>
      </c>
      <c r="BT99" s="13">
        <f t="shared" si="254"/>
        <v>650</v>
      </c>
      <c r="BU99" s="13">
        <f t="shared" si="254"/>
        <v>650</v>
      </c>
      <c r="BV99" s="13">
        <f t="shared" si="254"/>
        <v>650</v>
      </c>
      <c r="BW99" s="13">
        <f t="shared" si="254"/>
        <v>650</v>
      </c>
      <c r="BX99" s="13">
        <f t="shared" si="254"/>
        <v>650</v>
      </c>
      <c r="BY99" s="25">
        <v>30</v>
      </c>
      <c r="BZ99" s="26">
        <f t="shared" si="274"/>
        <v>0.26851851851851849</v>
      </c>
      <c r="CC99" s="84"/>
      <c r="CD99" s="85"/>
      <c r="CE99" s="25">
        <v>30</v>
      </c>
      <c r="CF99" s="26">
        <f t="shared" si="275"/>
        <v>0.26851851851851849</v>
      </c>
      <c r="CG99" s="13">
        <f t="shared" si="255"/>
        <v>600</v>
      </c>
      <c r="CH99" s="13">
        <f t="shared" si="255"/>
        <v>600</v>
      </c>
      <c r="CI99" s="13">
        <f t="shared" si="255"/>
        <v>600</v>
      </c>
      <c r="CJ99" s="13">
        <f t="shared" si="255"/>
        <v>600</v>
      </c>
      <c r="CK99" s="13">
        <f t="shared" si="255"/>
        <v>600</v>
      </c>
      <c r="CL99" s="13">
        <f t="shared" si="255"/>
        <v>600</v>
      </c>
      <c r="CM99" s="13">
        <f t="shared" si="255"/>
        <v>600</v>
      </c>
      <c r="CN99" s="13">
        <f t="shared" si="255"/>
        <v>600</v>
      </c>
      <c r="CO99" s="13">
        <f t="shared" si="255"/>
        <v>600</v>
      </c>
      <c r="CP99" s="13">
        <f t="shared" si="111"/>
        <v>600</v>
      </c>
      <c r="CQ99" s="13">
        <f t="shared" si="147"/>
        <v>600</v>
      </c>
      <c r="CR99" s="13">
        <f t="shared" si="168"/>
        <v>600</v>
      </c>
      <c r="CS99" s="13">
        <f t="shared" si="190"/>
        <v>600</v>
      </c>
      <c r="CT99" s="13">
        <f t="shared" si="217"/>
        <v>600</v>
      </c>
      <c r="CU99" s="13">
        <f t="shared" ref="CU99:CW99" si="282">$L$2/($L$3-$L$4*CT99)</f>
        <v>-1.6746678575415876E-3</v>
      </c>
      <c r="CV99" s="13">
        <f t="shared" si="282"/>
        <v>0.34863354230673421</v>
      </c>
      <c r="CW99" s="13">
        <f t="shared" si="282"/>
        <v>0.39713536344133415</v>
      </c>
      <c r="CX99" s="13">
        <f t="shared" si="219"/>
        <v>650</v>
      </c>
      <c r="CY99" s="13">
        <f t="shared" si="192"/>
        <v>650</v>
      </c>
      <c r="CZ99" s="13">
        <f t="shared" si="169"/>
        <v>650</v>
      </c>
      <c r="DA99" s="13">
        <f t="shared" si="148"/>
        <v>650</v>
      </c>
      <c r="DB99" s="13">
        <f t="shared" si="113"/>
        <v>650</v>
      </c>
      <c r="DC99" s="13">
        <f t="shared" si="257"/>
        <v>650</v>
      </c>
      <c r="DD99" s="13">
        <f t="shared" si="257"/>
        <v>650</v>
      </c>
      <c r="DE99" s="13">
        <f t="shared" si="257"/>
        <v>650</v>
      </c>
      <c r="DF99" s="13">
        <f t="shared" si="257"/>
        <v>650</v>
      </c>
      <c r="DG99" s="13">
        <f t="shared" si="257"/>
        <v>650</v>
      </c>
      <c r="DH99" s="13">
        <f t="shared" si="257"/>
        <v>650</v>
      </c>
      <c r="DI99" s="13">
        <f t="shared" si="257"/>
        <v>650</v>
      </c>
      <c r="DJ99" s="13">
        <f t="shared" si="257"/>
        <v>650</v>
      </c>
      <c r="DK99" s="13">
        <f t="shared" si="257"/>
        <v>650</v>
      </c>
      <c r="DL99" s="25">
        <v>30</v>
      </c>
      <c r="DM99" s="26">
        <f t="shared" si="277"/>
        <v>0.26851851851851849</v>
      </c>
      <c r="DQ99" s="84"/>
      <c r="DR99" s="85"/>
      <c r="DS99" s="25">
        <v>30</v>
      </c>
      <c r="DT99" s="26">
        <f t="shared" si="278"/>
        <v>0.26851851851851849</v>
      </c>
      <c r="DU99" s="13">
        <f t="shared" si="258"/>
        <v>600</v>
      </c>
      <c r="DV99" s="13">
        <f t="shared" si="258"/>
        <v>600</v>
      </c>
      <c r="DW99" s="13">
        <f t="shared" si="258"/>
        <v>600</v>
      </c>
      <c r="DX99" s="13">
        <f t="shared" si="258"/>
        <v>600</v>
      </c>
      <c r="DY99" s="13">
        <f t="shared" si="258"/>
        <v>600</v>
      </c>
      <c r="DZ99" s="13">
        <f t="shared" si="258"/>
        <v>600</v>
      </c>
      <c r="EA99" s="13">
        <f t="shared" si="258"/>
        <v>600</v>
      </c>
      <c r="EB99" s="13">
        <f t="shared" si="258"/>
        <v>600</v>
      </c>
      <c r="EC99" s="13">
        <f t="shared" si="258"/>
        <v>600</v>
      </c>
      <c r="ED99" s="13">
        <f t="shared" si="114"/>
        <v>600</v>
      </c>
      <c r="EE99" s="13">
        <f t="shared" si="149"/>
        <v>600</v>
      </c>
      <c r="EF99" s="13">
        <f t="shared" si="170"/>
        <v>600</v>
      </c>
      <c r="EG99" s="13">
        <f t="shared" si="193"/>
        <v>600</v>
      </c>
      <c r="EH99" s="13">
        <f t="shared" si="220"/>
        <v>600</v>
      </c>
      <c r="EI99" s="13">
        <f t="shared" si="227"/>
        <v>610.35180200704031</v>
      </c>
      <c r="EJ99" s="13">
        <f t="shared" si="221"/>
        <v>397.3876611415107</v>
      </c>
      <c r="EK99" s="13">
        <f t="shared" si="222"/>
        <v>157.81669323453562</v>
      </c>
      <c r="EL99" s="13">
        <f t="shared" si="223"/>
        <v>650</v>
      </c>
      <c r="EM99" s="13">
        <f t="shared" si="198"/>
        <v>650</v>
      </c>
      <c r="EN99" s="13">
        <f t="shared" si="177"/>
        <v>650</v>
      </c>
      <c r="EO99" s="13">
        <f t="shared" si="158"/>
        <v>650</v>
      </c>
      <c r="EP99" s="13">
        <f t="shared" si="125"/>
        <v>650</v>
      </c>
      <c r="EQ99" s="13">
        <f t="shared" si="259"/>
        <v>650</v>
      </c>
      <c r="ER99" s="13">
        <f t="shared" si="259"/>
        <v>650</v>
      </c>
      <c r="ES99" s="13">
        <f t="shared" si="259"/>
        <v>650</v>
      </c>
      <c r="ET99" s="13">
        <f t="shared" si="259"/>
        <v>650</v>
      </c>
      <c r="EU99" s="13">
        <f t="shared" si="259"/>
        <v>650</v>
      </c>
      <c r="EV99" s="13">
        <f t="shared" si="259"/>
        <v>650</v>
      </c>
      <c r="EW99" s="13">
        <f t="shared" si="259"/>
        <v>650</v>
      </c>
      <c r="EX99" s="13">
        <f t="shared" si="259"/>
        <v>650</v>
      </c>
      <c r="EY99" s="13">
        <f t="shared" si="259"/>
        <v>650</v>
      </c>
      <c r="EZ99" s="25">
        <v>30</v>
      </c>
      <c r="FA99" s="26">
        <f t="shared" si="279"/>
        <v>0.26851851851851849</v>
      </c>
    </row>
    <row r="100" spans="3:157" x14ac:dyDescent="0.25">
      <c r="C100" s="84"/>
      <c r="D100" s="85"/>
      <c r="E100" s="25">
        <v>29</v>
      </c>
      <c r="F100" s="26">
        <f t="shared" si="269"/>
        <v>0.25925925925925924</v>
      </c>
      <c r="G100" s="13">
        <f t="shared" si="249"/>
        <v>600</v>
      </c>
      <c r="H100" s="13">
        <f t="shared" si="249"/>
        <v>600</v>
      </c>
      <c r="I100" s="13">
        <f t="shared" si="249"/>
        <v>600</v>
      </c>
      <c r="J100" s="13">
        <f t="shared" si="249"/>
        <v>600</v>
      </c>
      <c r="K100" s="13">
        <f t="shared" si="249"/>
        <v>600</v>
      </c>
      <c r="L100" s="13">
        <f t="shared" si="249"/>
        <v>600</v>
      </c>
      <c r="M100" s="13">
        <f t="shared" si="249"/>
        <v>600</v>
      </c>
      <c r="N100" s="13">
        <f t="shared" si="249"/>
        <v>600</v>
      </c>
      <c r="O100" s="13">
        <f t="shared" si="249"/>
        <v>600</v>
      </c>
      <c r="P100" s="13">
        <f t="shared" si="87"/>
        <v>600</v>
      </c>
      <c r="Q100" s="13">
        <f t="shared" si="129"/>
        <v>600</v>
      </c>
      <c r="R100" s="13">
        <f t="shared" si="159"/>
        <v>600</v>
      </c>
      <c r="S100" s="13">
        <f t="shared" si="178"/>
        <v>600</v>
      </c>
      <c r="T100" s="13">
        <f t="shared" si="210"/>
        <v>600</v>
      </c>
      <c r="U100" s="13">
        <f t="shared" ref="U100" si="283">($F$5*$B$5*T37+$F$4*V37)/($F$4+$F$5*$B$5)</f>
        <v>610.33973167279066</v>
      </c>
      <c r="V100" s="13">
        <f t="shared" si="181"/>
        <v>610.9408834497699</v>
      </c>
      <c r="W100" s="13">
        <f t="shared" ref="W100" si="284">($F$6*$B$5*X37+$F$4*V37)/($F$4+$F$6*$B$5)</f>
        <v>612.56667239046828</v>
      </c>
      <c r="X100" s="13">
        <f t="shared" si="213"/>
        <v>650</v>
      </c>
      <c r="Y100" s="13">
        <f t="shared" si="184"/>
        <v>650</v>
      </c>
      <c r="Z100" s="13">
        <f t="shared" si="165"/>
        <v>650</v>
      </c>
      <c r="AA100" s="13">
        <f t="shared" si="137"/>
        <v>650</v>
      </c>
      <c r="AB100" s="13">
        <f t="shared" si="99"/>
        <v>650</v>
      </c>
      <c r="AC100" s="13">
        <f t="shared" si="252"/>
        <v>650</v>
      </c>
      <c r="AD100" s="13">
        <f t="shared" si="252"/>
        <v>650</v>
      </c>
      <c r="AE100" s="13">
        <f t="shared" si="252"/>
        <v>650</v>
      </c>
      <c r="AF100" s="13">
        <f t="shared" si="252"/>
        <v>650</v>
      </c>
      <c r="AG100" s="13">
        <f t="shared" si="252"/>
        <v>650</v>
      </c>
      <c r="AH100" s="13">
        <f t="shared" si="252"/>
        <v>650</v>
      </c>
      <c r="AI100" s="13">
        <f t="shared" si="252"/>
        <v>650</v>
      </c>
      <c r="AJ100" s="13">
        <f t="shared" si="252"/>
        <v>650</v>
      </c>
      <c r="AK100" s="13">
        <f t="shared" si="252"/>
        <v>650</v>
      </c>
      <c r="AL100" s="25">
        <v>29</v>
      </c>
      <c r="AM100" s="26">
        <f t="shared" si="272"/>
        <v>0.25925925925925924</v>
      </c>
      <c r="AP100" s="87"/>
      <c r="AQ100" s="86"/>
      <c r="AR100" s="25">
        <v>29</v>
      </c>
      <c r="AS100" s="26">
        <f t="shared" si="273"/>
        <v>0.25925925925925924</v>
      </c>
      <c r="AT100" s="13">
        <f t="shared" si="253"/>
        <v>600</v>
      </c>
      <c r="AU100" s="13">
        <f t="shared" si="253"/>
        <v>600</v>
      </c>
      <c r="AV100" s="13">
        <f t="shared" si="253"/>
        <v>600</v>
      </c>
      <c r="AW100" s="13">
        <f t="shared" si="253"/>
        <v>600</v>
      </c>
      <c r="AX100" s="13">
        <f t="shared" si="253"/>
        <v>600</v>
      </c>
      <c r="AY100" s="13">
        <f t="shared" si="253"/>
        <v>600</v>
      </c>
      <c r="AZ100" s="13">
        <f t="shared" si="253"/>
        <v>600</v>
      </c>
      <c r="BA100" s="13">
        <f t="shared" si="253"/>
        <v>600</v>
      </c>
      <c r="BB100" s="13">
        <f t="shared" si="253"/>
        <v>600</v>
      </c>
      <c r="BC100" s="13">
        <f t="shared" si="100"/>
        <v>600</v>
      </c>
      <c r="BD100" s="13">
        <f t="shared" si="138"/>
        <v>600</v>
      </c>
      <c r="BE100" s="13">
        <f t="shared" si="166"/>
        <v>600</v>
      </c>
      <c r="BF100" s="13">
        <f t="shared" si="185"/>
        <v>600</v>
      </c>
      <c r="BG100" s="13">
        <f t="shared" si="214"/>
        <v>600</v>
      </c>
      <c r="BH100" s="52"/>
      <c r="BI100" s="13">
        <f t="shared" si="215"/>
        <v>-2192049621.4299135</v>
      </c>
      <c r="BJ100" s="52"/>
      <c r="BK100" s="13">
        <f t="shared" si="216"/>
        <v>650</v>
      </c>
      <c r="BL100" s="13">
        <f t="shared" si="189"/>
        <v>650</v>
      </c>
      <c r="BM100" s="13">
        <f t="shared" si="167"/>
        <v>650</v>
      </c>
      <c r="BN100" s="13">
        <f t="shared" si="146"/>
        <v>650</v>
      </c>
      <c r="BO100" s="13">
        <f t="shared" si="110"/>
        <v>650</v>
      </c>
      <c r="BP100" s="13">
        <f t="shared" si="254"/>
        <v>650</v>
      </c>
      <c r="BQ100" s="13">
        <f t="shared" si="254"/>
        <v>650</v>
      </c>
      <c r="BR100" s="13">
        <f t="shared" si="254"/>
        <v>650</v>
      </c>
      <c r="BS100" s="13">
        <f t="shared" si="254"/>
        <v>650</v>
      </c>
      <c r="BT100" s="13">
        <f t="shared" si="254"/>
        <v>650</v>
      </c>
      <c r="BU100" s="13">
        <f t="shared" si="254"/>
        <v>650</v>
      </c>
      <c r="BV100" s="13">
        <f t="shared" si="254"/>
        <v>650</v>
      </c>
      <c r="BW100" s="13">
        <f t="shared" si="254"/>
        <v>650</v>
      </c>
      <c r="BX100" s="13">
        <f t="shared" si="254"/>
        <v>650</v>
      </c>
      <c r="BY100" s="25">
        <v>29</v>
      </c>
      <c r="BZ100" s="26">
        <f t="shared" si="274"/>
        <v>0.25925925925925924</v>
      </c>
      <c r="CC100" s="84"/>
      <c r="CD100" s="85"/>
      <c r="CE100" s="25">
        <v>29</v>
      </c>
      <c r="CF100" s="26">
        <f t="shared" si="275"/>
        <v>0.25925925925925924</v>
      </c>
      <c r="CG100" s="13">
        <f t="shared" si="255"/>
        <v>600</v>
      </c>
      <c r="CH100" s="13">
        <f t="shared" si="255"/>
        <v>600</v>
      </c>
      <c r="CI100" s="13">
        <f t="shared" si="255"/>
        <v>600</v>
      </c>
      <c r="CJ100" s="13">
        <f t="shared" si="255"/>
        <v>600</v>
      </c>
      <c r="CK100" s="13">
        <f t="shared" si="255"/>
        <v>600</v>
      </c>
      <c r="CL100" s="13">
        <f t="shared" si="255"/>
        <v>600</v>
      </c>
      <c r="CM100" s="13">
        <f t="shared" si="255"/>
        <v>600</v>
      </c>
      <c r="CN100" s="13">
        <f t="shared" si="255"/>
        <v>600</v>
      </c>
      <c r="CO100" s="13">
        <f t="shared" si="255"/>
        <v>600</v>
      </c>
      <c r="CP100" s="13">
        <f t="shared" si="111"/>
        <v>600</v>
      </c>
      <c r="CQ100" s="13">
        <f t="shared" si="147"/>
        <v>600</v>
      </c>
      <c r="CR100" s="13">
        <f t="shared" si="168"/>
        <v>600</v>
      </c>
      <c r="CS100" s="13">
        <f t="shared" si="190"/>
        <v>600</v>
      </c>
      <c r="CT100" s="13">
        <f t="shared" si="217"/>
        <v>600</v>
      </c>
      <c r="CU100" s="13">
        <f t="shared" ref="CU100:CW100" si="285">$L$2/($L$3-$L$4*CT100)</f>
        <v>-1.6746678575415876E-3</v>
      </c>
      <c r="CV100" s="13">
        <f t="shared" si="285"/>
        <v>0.34863354230673421</v>
      </c>
      <c r="CW100" s="13">
        <f t="shared" si="285"/>
        <v>0.39713536344133415</v>
      </c>
      <c r="CX100" s="13">
        <f t="shared" si="219"/>
        <v>650</v>
      </c>
      <c r="CY100" s="13">
        <f t="shared" si="192"/>
        <v>650</v>
      </c>
      <c r="CZ100" s="13">
        <f t="shared" si="169"/>
        <v>650</v>
      </c>
      <c r="DA100" s="13">
        <f t="shared" si="148"/>
        <v>650</v>
      </c>
      <c r="DB100" s="13">
        <f t="shared" si="113"/>
        <v>650</v>
      </c>
      <c r="DC100" s="13">
        <f t="shared" si="257"/>
        <v>650</v>
      </c>
      <c r="DD100" s="13">
        <f t="shared" si="257"/>
        <v>650</v>
      </c>
      <c r="DE100" s="13">
        <f t="shared" si="257"/>
        <v>650</v>
      </c>
      <c r="DF100" s="13">
        <f t="shared" si="257"/>
        <v>650</v>
      </c>
      <c r="DG100" s="13">
        <f t="shared" si="257"/>
        <v>650</v>
      </c>
      <c r="DH100" s="13">
        <f t="shared" si="257"/>
        <v>650</v>
      </c>
      <c r="DI100" s="13">
        <f t="shared" si="257"/>
        <v>650</v>
      </c>
      <c r="DJ100" s="13">
        <f t="shared" si="257"/>
        <v>650</v>
      </c>
      <c r="DK100" s="13">
        <f t="shared" si="257"/>
        <v>650</v>
      </c>
      <c r="DL100" s="25">
        <v>29</v>
      </c>
      <c r="DM100" s="26">
        <f t="shared" si="277"/>
        <v>0.25925925925925924</v>
      </c>
      <c r="DQ100" s="84"/>
      <c r="DR100" s="85"/>
      <c r="DS100" s="25">
        <v>29</v>
      </c>
      <c r="DT100" s="26">
        <f t="shared" si="278"/>
        <v>0.25925925925925924</v>
      </c>
      <c r="DU100" s="13">
        <f t="shared" si="258"/>
        <v>600</v>
      </c>
      <c r="DV100" s="13">
        <f t="shared" si="258"/>
        <v>600</v>
      </c>
      <c r="DW100" s="13">
        <f t="shared" si="258"/>
        <v>600</v>
      </c>
      <c r="DX100" s="13">
        <f t="shared" si="258"/>
        <v>600</v>
      </c>
      <c r="DY100" s="13">
        <f t="shared" si="258"/>
        <v>600</v>
      </c>
      <c r="DZ100" s="13">
        <f t="shared" si="258"/>
        <v>600</v>
      </c>
      <c r="EA100" s="13">
        <f t="shared" si="258"/>
        <v>600</v>
      </c>
      <c r="EB100" s="13">
        <f t="shared" si="258"/>
        <v>600</v>
      </c>
      <c r="EC100" s="13">
        <f t="shared" si="258"/>
        <v>600</v>
      </c>
      <c r="ED100" s="13">
        <f t="shared" si="114"/>
        <v>600</v>
      </c>
      <c r="EE100" s="13">
        <f t="shared" si="149"/>
        <v>600</v>
      </c>
      <c r="EF100" s="13">
        <f t="shared" si="170"/>
        <v>600</v>
      </c>
      <c r="EG100" s="13">
        <f t="shared" si="193"/>
        <v>600</v>
      </c>
      <c r="EH100" s="13">
        <f t="shared" si="220"/>
        <v>600</v>
      </c>
      <c r="EI100" s="13">
        <f t="shared" si="227"/>
        <v>610.33973167279066</v>
      </c>
      <c r="EJ100" s="13">
        <f t="shared" si="221"/>
        <v>397.37959455523213</v>
      </c>
      <c r="EK100" s="13">
        <f t="shared" si="222"/>
        <v>157.81348970786212</v>
      </c>
      <c r="EL100" s="13">
        <f t="shared" si="223"/>
        <v>650</v>
      </c>
      <c r="EM100" s="13">
        <f t="shared" si="198"/>
        <v>650</v>
      </c>
      <c r="EN100" s="13">
        <f t="shared" si="177"/>
        <v>650</v>
      </c>
      <c r="EO100" s="13">
        <f t="shared" si="158"/>
        <v>650</v>
      </c>
      <c r="EP100" s="13">
        <f t="shared" si="125"/>
        <v>650</v>
      </c>
      <c r="EQ100" s="13">
        <f t="shared" si="259"/>
        <v>650</v>
      </c>
      <c r="ER100" s="13">
        <f t="shared" si="259"/>
        <v>650</v>
      </c>
      <c r="ES100" s="13">
        <f t="shared" si="259"/>
        <v>650</v>
      </c>
      <c r="ET100" s="13">
        <f t="shared" si="259"/>
        <v>650</v>
      </c>
      <c r="EU100" s="13">
        <f t="shared" si="259"/>
        <v>650</v>
      </c>
      <c r="EV100" s="13">
        <f t="shared" si="259"/>
        <v>650</v>
      </c>
      <c r="EW100" s="13">
        <f t="shared" si="259"/>
        <v>650</v>
      </c>
      <c r="EX100" s="13">
        <f t="shared" si="259"/>
        <v>650</v>
      </c>
      <c r="EY100" s="13">
        <f t="shared" si="259"/>
        <v>650</v>
      </c>
      <c r="EZ100" s="25">
        <v>29</v>
      </c>
      <c r="FA100" s="26">
        <f t="shared" si="279"/>
        <v>0.25925925925925924</v>
      </c>
    </row>
    <row r="101" spans="3:157" x14ac:dyDescent="0.25">
      <c r="C101" s="84"/>
      <c r="D101" s="85"/>
      <c r="E101" s="25">
        <v>28</v>
      </c>
      <c r="F101" s="26">
        <f t="shared" si="269"/>
        <v>0.25</v>
      </c>
      <c r="G101" s="13">
        <f t="shared" si="249"/>
        <v>600</v>
      </c>
      <c r="H101" s="13">
        <f t="shared" si="249"/>
        <v>600</v>
      </c>
      <c r="I101" s="13">
        <f t="shared" si="249"/>
        <v>600</v>
      </c>
      <c r="J101" s="13">
        <f t="shared" si="249"/>
        <v>600</v>
      </c>
      <c r="K101" s="13">
        <f t="shared" si="249"/>
        <v>600</v>
      </c>
      <c r="L101" s="13">
        <f t="shared" si="249"/>
        <v>600</v>
      </c>
      <c r="M101" s="13">
        <f t="shared" si="249"/>
        <v>600</v>
      </c>
      <c r="N101" s="13">
        <f t="shared" si="249"/>
        <v>600</v>
      </c>
      <c r="O101" s="13">
        <f t="shared" si="249"/>
        <v>600</v>
      </c>
      <c r="P101" s="13">
        <f t="shared" si="87"/>
        <v>600</v>
      </c>
      <c r="Q101" s="13">
        <f t="shared" si="129"/>
        <v>600</v>
      </c>
      <c r="R101" s="13">
        <f t="shared" si="159"/>
        <v>600</v>
      </c>
      <c r="S101" s="13">
        <f t="shared" si="178"/>
        <v>600</v>
      </c>
      <c r="T101" s="13">
        <f t="shared" si="210"/>
        <v>600</v>
      </c>
      <c r="U101" s="13">
        <f t="shared" ref="U101" si="286">($F$5*$B$5*T38+$F$4*V38)/($F$4+$F$5*$B$5)</f>
        <v>610.3267081314076</v>
      </c>
      <c r="V101" s="13">
        <f t="shared" si="181"/>
        <v>610.92757633151416</v>
      </c>
      <c r="W101" s="13">
        <f t="shared" ref="W101" si="287">($F$6*$B$5*X38+$F$4*V38)/($F$4+$F$6*$B$5)</f>
        <v>612.55346796656602</v>
      </c>
      <c r="X101" s="13">
        <f t="shared" si="213"/>
        <v>650</v>
      </c>
      <c r="Y101" s="13">
        <f t="shared" si="184"/>
        <v>650</v>
      </c>
      <c r="Z101" s="13">
        <f t="shared" si="165"/>
        <v>650</v>
      </c>
      <c r="AA101" s="13">
        <f t="shared" si="137"/>
        <v>650</v>
      </c>
      <c r="AB101" s="13">
        <f t="shared" si="99"/>
        <v>650</v>
      </c>
      <c r="AC101" s="13">
        <f t="shared" si="252"/>
        <v>650</v>
      </c>
      <c r="AD101" s="13">
        <f t="shared" si="252"/>
        <v>650</v>
      </c>
      <c r="AE101" s="13">
        <f t="shared" si="252"/>
        <v>650</v>
      </c>
      <c r="AF101" s="13">
        <f t="shared" si="252"/>
        <v>650</v>
      </c>
      <c r="AG101" s="13">
        <f t="shared" si="252"/>
        <v>650</v>
      </c>
      <c r="AH101" s="13">
        <f t="shared" si="252"/>
        <v>650</v>
      </c>
      <c r="AI101" s="13">
        <f t="shared" si="252"/>
        <v>650</v>
      </c>
      <c r="AJ101" s="13">
        <f t="shared" si="252"/>
        <v>650</v>
      </c>
      <c r="AK101" s="13">
        <f t="shared" si="252"/>
        <v>650</v>
      </c>
      <c r="AL101" s="25">
        <v>28</v>
      </c>
      <c r="AM101" s="26">
        <f t="shared" si="272"/>
        <v>0.25</v>
      </c>
      <c r="AP101" s="87"/>
      <c r="AQ101" s="86"/>
      <c r="AR101" s="25">
        <v>28</v>
      </c>
      <c r="AS101" s="26">
        <f t="shared" si="273"/>
        <v>0.25</v>
      </c>
      <c r="AT101" s="13">
        <f t="shared" si="253"/>
        <v>600</v>
      </c>
      <c r="AU101" s="13">
        <f t="shared" si="253"/>
        <v>600</v>
      </c>
      <c r="AV101" s="13">
        <f t="shared" si="253"/>
        <v>600</v>
      </c>
      <c r="AW101" s="13">
        <f t="shared" si="253"/>
        <v>600</v>
      </c>
      <c r="AX101" s="13">
        <f t="shared" si="253"/>
        <v>600</v>
      </c>
      <c r="AY101" s="13">
        <f t="shared" si="253"/>
        <v>600</v>
      </c>
      <c r="AZ101" s="13">
        <f t="shared" si="253"/>
        <v>600</v>
      </c>
      <c r="BA101" s="13">
        <f t="shared" si="253"/>
        <v>600</v>
      </c>
      <c r="BB101" s="13">
        <f t="shared" si="253"/>
        <v>600</v>
      </c>
      <c r="BC101" s="13">
        <f t="shared" si="100"/>
        <v>600</v>
      </c>
      <c r="BD101" s="13">
        <f t="shared" si="138"/>
        <v>600</v>
      </c>
      <c r="BE101" s="13">
        <f t="shared" si="166"/>
        <v>600</v>
      </c>
      <c r="BF101" s="13">
        <f t="shared" si="185"/>
        <v>600</v>
      </c>
      <c r="BG101" s="13">
        <f t="shared" si="214"/>
        <v>600</v>
      </c>
      <c r="BH101" s="52"/>
      <c r="BI101" s="13">
        <f t="shared" si="215"/>
        <v>-2192000184.066823</v>
      </c>
      <c r="BJ101" s="52"/>
      <c r="BK101" s="13">
        <f t="shared" si="216"/>
        <v>650</v>
      </c>
      <c r="BL101" s="13">
        <f t="shared" si="189"/>
        <v>650</v>
      </c>
      <c r="BM101" s="13">
        <f t="shared" si="167"/>
        <v>650</v>
      </c>
      <c r="BN101" s="13">
        <f t="shared" si="146"/>
        <v>650</v>
      </c>
      <c r="BO101" s="13">
        <f t="shared" si="110"/>
        <v>650</v>
      </c>
      <c r="BP101" s="13">
        <f t="shared" si="254"/>
        <v>650</v>
      </c>
      <c r="BQ101" s="13">
        <f t="shared" si="254"/>
        <v>650</v>
      </c>
      <c r="BR101" s="13">
        <f t="shared" si="254"/>
        <v>650</v>
      </c>
      <c r="BS101" s="13">
        <f t="shared" si="254"/>
        <v>650</v>
      </c>
      <c r="BT101" s="13">
        <f t="shared" si="254"/>
        <v>650</v>
      </c>
      <c r="BU101" s="13">
        <f t="shared" si="254"/>
        <v>650</v>
      </c>
      <c r="BV101" s="13">
        <f t="shared" si="254"/>
        <v>650</v>
      </c>
      <c r="BW101" s="13">
        <f t="shared" si="254"/>
        <v>650</v>
      </c>
      <c r="BX101" s="13">
        <f t="shared" si="254"/>
        <v>650</v>
      </c>
      <c r="BY101" s="25">
        <v>28</v>
      </c>
      <c r="BZ101" s="26">
        <f t="shared" si="274"/>
        <v>0.25</v>
      </c>
      <c r="CC101" s="84"/>
      <c r="CD101" s="85"/>
      <c r="CE101" s="25">
        <v>28</v>
      </c>
      <c r="CF101" s="26">
        <f t="shared" si="275"/>
        <v>0.25</v>
      </c>
      <c r="CG101" s="13">
        <f t="shared" si="255"/>
        <v>600</v>
      </c>
      <c r="CH101" s="13">
        <f t="shared" si="255"/>
        <v>600</v>
      </c>
      <c r="CI101" s="13">
        <f t="shared" si="255"/>
        <v>600</v>
      </c>
      <c r="CJ101" s="13">
        <f t="shared" si="255"/>
        <v>600</v>
      </c>
      <c r="CK101" s="13">
        <f t="shared" si="255"/>
        <v>600</v>
      </c>
      <c r="CL101" s="13">
        <f t="shared" si="255"/>
        <v>600</v>
      </c>
      <c r="CM101" s="13">
        <f t="shared" si="255"/>
        <v>600</v>
      </c>
      <c r="CN101" s="13">
        <f t="shared" si="255"/>
        <v>600</v>
      </c>
      <c r="CO101" s="13">
        <f t="shared" si="255"/>
        <v>600</v>
      </c>
      <c r="CP101" s="13">
        <f t="shared" si="111"/>
        <v>600</v>
      </c>
      <c r="CQ101" s="13">
        <f t="shared" si="147"/>
        <v>600</v>
      </c>
      <c r="CR101" s="13">
        <f t="shared" si="168"/>
        <v>600</v>
      </c>
      <c r="CS101" s="13">
        <f t="shared" si="190"/>
        <v>600</v>
      </c>
      <c r="CT101" s="13">
        <f t="shared" si="217"/>
        <v>600</v>
      </c>
      <c r="CU101" s="13">
        <f t="shared" ref="CU101:CW101" si="288">$L$2/($L$3-$L$4*CT101)</f>
        <v>-1.6746678575415876E-3</v>
      </c>
      <c r="CV101" s="13">
        <f t="shared" si="288"/>
        <v>0.34863354230673421</v>
      </c>
      <c r="CW101" s="13">
        <f t="shared" si="288"/>
        <v>0.39713536344133415</v>
      </c>
      <c r="CX101" s="13">
        <f t="shared" si="219"/>
        <v>650</v>
      </c>
      <c r="CY101" s="13">
        <f t="shared" si="192"/>
        <v>650</v>
      </c>
      <c r="CZ101" s="13">
        <f t="shared" si="169"/>
        <v>650</v>
      </c>
      <c r="DA101" s="13">
        <f t="shared" si="148"/>
        <v>650</v>
      </c>
      <c r="DB101" s="13">
        <f t="shared" si="113"/>
        <v>650</v>
      </c>
      <c r="DC101" s="13">
        <f t="shared" si="257"/>
        <v>650</v>
      </c>
      <c r="DD101" s="13">
        <f t="shared" si="257"/>
        <v>650</v>
      </c>
      <c r="DE101" s="13">
        <f t="shared" si="257"/>
        <v>650</v>
      </c>
      <c r="DF101" s="13">
        <f t="shared" si="257"/>
        <v>650</v>
      </c>
      <c r="DG101" s="13">
        <f t="shared" si="257"/>
        <v>650</v>
      </c>
      <c r="DH101" s="13">
        <f t="shared" si="257"/>
        <v>650</v>
      </c>
      <c r="DI101" s="13">
        <f t="shared" si="257"/>
        <v>650</v>
      </c>
      <c r="DJ101" s="13">
        <f t="shared" si="257"/>
        <v>650</v>
      </c>
      <c r="DK101" s="13">
        <f t="shared" si="257"/>
        <v>650</v>
      </c>
      <c r="DL101" s="25">
        <v>28</v>
      </c>
      <c r="DM101" s="26">
        <f t="shared" si="277"/>
        <v>0.25</v>
      </c>
      <c r="DQ101" s="84"/>
      <c r="DR101" s="85"/>
      <c r="DS101" s="25">
        <v>28</v>
      </c>
      <c r="DT101" s="26">
        <f t="shared" si="278"/>
        <v>0.25</v>
      </c>
      <c r="DU101" s="13">
        <f t="shared" si="258"/>
        <v>600</v>
      </c>
      <c r="DV101" s="13">
        <f t="shared" si="258"/>
        <v>600</v>
      </c>
      <c r="DW101" s="13">
        <f t="shared" si="258"/>
        <v>600</v>
      </c>
      <c r="DX101" s="13">
        <f t="shared" si="258"/>
        <v>600</v>
      </c>
      <c r="DY101" s="13">
        <f t="shared" si="258"/>
        <v>600</v>
      </c>
      <c r="DZ101" s="13">
        <f t="shared" si="258"/>
        <v>600</v>
      </c>
      <c r="EA101" s="13">
        <f t="shared" si="258"/>
        <v>600</v>
      </c>
      <c r="EB101" s="13">
        <f t="shared" si="258"/>
        <v>600</v>
      </c>
      <c r="EC101" s="13">
        <f t="shared" si="258"/>
        <v>600</v>
      </c>
      <c r="ED101" s="13">
        <f t="shared" si="114"/>
        <v>600</v>
      </c>
      <c r="EE101" s="13">
        <f t="shared" si="149"/>
        <v>600</v>
      </c>
      <c r="EF101" s="13">
        <f t="shared" si="170"/>
        <v>600</v>
      </c>
      <c r="EG101" s="13">
        <f t="shared" si="193"/>
        <v>600</v>
      </c>
      <c r="EH101" s="13">
        <f t="shared" si="220"/>
        <v>600</v>
      </c>
      <c r="EI101" s="13">
        <f t="shared" si="227"/>
        <v>610.3267081314076</v>
      </c>
      <c r="EJ101" s="13">
        <f t="shared" si="221"/>
        <v>397.37089094205561</v>
      </c>
      <c r="EK101" s="13">
        <f t="shared" si="222"/>
        <v>157.81003319528003</v>
      </c>
      <c r="EL101" s="13">
        <f t="shared" si="223"/>
        <v>650</v>
      </c>
      <c r="EM101" s="13">
        <f t="shared" si="198"/>
        <v>650</v>
      </c>
      <c r="EN101" s="13">
        <f t="shared" si="177"/>
        <v>650</v>
      </c>
      <c r="EO101" s="13">
        <f t="shared" si="158"/>
        <v>650</v>
      </c>
      <c r="EP101" s="13">
        <f t="shared" si="125"/>
        <v>650</v>
      </c>
      <c r="EQ101" s="13">
        <f t="shared" si="259"/>
        <v>650</v>
      </c>
      <c r="ER101" s="13">
        <f t="shared" si="259"/>
        <v>650</v>
      </c>
      <c r="ES101" s="13">
        <f t="shared" si="259"/>
        <v>650</v>
      </c>
      <c r="ET101" s="13">
        <f t="shared" si="259"/>
        <v>650</v>
      </c>
      <c r="EU101" s="13">
        <f t="shared" si="259"/>
        <v>650</v>
      </c>
      <c r="EV101" s="13">
        <f t="shared" si="259"/>
        <v>650</v>
      </c>
      <c r="EW101" s="13">
        <f t="shared" si="259"/>
        <v>650</v>
      </c>
      <c r="EX101" s="13">
        <f t="shared" si="259"/>
        <v>650</v>
      </c>
      <c r="EY101" s="13">
        <f t="shared" si="259"/>
        <v>650</v>
      </c>
      <c r="EZ101" s="25">
        <v>28</v>
      </c>
      <c r="FA101" s="26">
        <f t="shared" si="279"/>
        <v>0.25</v>
      </c>
    </row>
    <row r="102" spans="3:157" x14ac:dyDescent="0.25">
      <c r="C102" s="84"/>
      <c r="D102" s="85"/>
      <c r="E102" s="25">
        <v>27</v>
      </c>
      <c r="F102" s="26">
        <f t="shared" si="269"/>
        <v>0.24074074074074073</v>
      </c>
      <c r="G102" s="13">
        <f t="shared" si="249"/>
        <v>600</v>
      </c>
      <c r="H102" s="13">
        <f t="shared" si="249"/>
        <v>600</v>
      </c>
      <c r="I102" s="13">
        <f t="shared" si="249"/>
        <v>600</v>
      </c>
      <c r="J102" s="13">
        <f t="shared" si="249"/>
        <v>600</v>
      </c>
      <c r="K102" s="13">
        <f t="shared" si="249"/>
        <v>600</v>
      </c>
      <c r="L102" s="13">
        <f t="shared" si="249"/>
        <v>600</v>
      </c>
      <c r="M102" s="13">
        <f t="shared" si="249"/>
        <v>600</v>
      </c>
      <c r="N102" s="13">
        <f t="shared" si="249"/>
        <v>600</v>
      </c>
      <c r="O102" s="13">
        <f t="shared" si="249"/>
        <v>600</v>
      </c>
      <c r="P102" s="13">
        <f t="shared" si="87"/>
        <v>600</v>
      </c>
      <c r="Q102" s="13">
        <f t="shared" si="129"/>
        <v>600</v>
      </c>
      <c r="R102" s="13">
        <f t="shared" si="159"/>
        <v>600</v>
      </c>
      <c r="S102" s="13">
        <f t="shared" si="178"/>
        <v>600</v>
      </c>
      <c r="T102" s="13">
        <f t="shared" si="210"/>
        <v>600</v>
      </c>
      <c r="U102" s="13">
        <f t="shared" ref="U102" si="289">($F$5*$B$5*T39+$F$4*V39)/($F$4+$F$5*$B$5)</f>
        <v>610.31050164621786</v>
      </c>
      <c r="V102" s="13">
        <f t="shared" si="181"/>
        <v>610.91101696347562</v>
      </c>
      <c r="W102" s="13">
        <f t="shared" ref="W102" si="290">($F$6*$B$5*X39+$F$4*V39)/($F$4+$F$6*$B$5)</f>
        <v>612.53703639130424</v>
      </c>
      <c r="X102" s="13">
        <f t="shared" si="213"/>
        <v>650</v>
      </c>
      <c r="Y102" s="13">
        <f t="shared" si="184"/>
        <v>650</v>
      </c>
      <c r="Z102" s="13">
        <f t="shared" si="165"/>
        <v>650</v>
      </c>
      <c r="AA102" s="13">
        <f t="shared" si="137"/>
        <v>650</v>
      </c>
      <c r="AB102" s="13">
        <f t="shared" si="99"/>
        <v>650</v>
      </c>
      <c r="AC102" s="13">
        <f t="shared" si="252"/>
        <v>650</v>
      </c>
      <c r="AD102" s="13">
        <f t="shared" si="252"/>
        <v>650</v>
      </c>
      <c r="AE102" s="13">
        <f t="shared" si="252"/>
        <v>650</v>
      </c>
      <c r="AF102" s="13">
        <f t="shared" si="252"/>
        <v>650</v>
      </c>
      <c r="AG102" s="13">
        <f t="shared" si="252"/>
        <v>650</v>
      </c>
      <c r="AH102" s="13">
        <f t="shared" si="252"/>
        <v>650</v>
      </c>
      <c r="AI102" s="13">
        <f t="shared" si="252"/>
        <v>650</v>
      </c>
      <c r="AJ102" s="13">
        <f t="shared" si="252"/>
        <v>650</v>
      </c>
      <c r="AK102" s="13">
        <f t="shared" si="252"/>
        <v>650</v>
      </c>
      <c r="AL102" s="25">
        <v>27</v>
      </c>
      <c r="AM102" s="26">
        <f t="shared" si="272"/>
        <v>0.24074074074074073</v>
      </c>
      <c r="AP102" s="87"/>
      <c r="AQ102" s="86"/>
      <c r="AR102" s="25">
        <v>27</v>
      </c>
      <c r="AS102" s="26">
        <f t="shared" si="273"/>
        <v>0.24074074074074073</v>
      </c>
      <c r="AT102" s="13">
        <f t="shared" si="253"/>
        <v>600</v>
      </c>
      <c r="AU102" s="13">
        <f t="shared" si="253"/>
        <v>600</v>
      </c>
      <c r="AV102" s="13">
        <f t="shared" si="253"/>
        <v>600</v>
      </c>
      <c r="AW102" s="13">
        <f t="shared" si="253"/>
        <v>600</v>
      </c>
      <c r="AX102" s="13">
        <f t="shared" si="253"/>
        <v>600</v>
      </c>
      <c r="AY102" s="13">
        <f t="shared" si="253"/>
        <v>600</v>
      </c>
      <c r="AZ102" s="13">
        <f t="shared" si="253"/>
        <v>600</v>
      </c>
      <c r="BA102" s="13">
        <f t="shared" si="253"/>
        <v>600</v>
      </c>
      <c r="BB102" s="13">
        <f t="shared" si="253"/>
        <v>600</v>
      </c>
      <c r="BC102" s="13">
        <f t="shared" si="100"/>
        <v>600</v>
      </c>
      <c r="BD102" s="13">
        <f t="shared" si="138"/>
        <v>600</v>
      </c>
      <c r="BE102" s="13">
        <f t="shared" si="166"/>
        <v>600</v>
      </c>
      <c r="BF102" s="13">
        <f t="shared" si="185"/>
        <v>600</v>
      </c>
      <c r="BG102" s="13">
        <f t="shared" si="214"/>
        <v>600</v>
      </c>
      <c r="BH102" s="52"/>
      <c r="BI102" s="13">
        <f t="shared" si="215"/>
        <v>-2191938664.249043</v>
      </c>
      <c r="BJ102" s="52"/>
      <c r="BK102" s="13">
        <f t="shared" si="216"/>
        <v>650</v>
      </c>
      <c r="BL102" s="13">
        <f t="shared" si="189"/>
        <v>650</v>
      </c>
      <c r="BM102" s="13">
        <f t="shared" si="167"/>
        <v>650</v>
      </c>
      <c r="BN102" s="13">
        <f t="shared" si="146"/>
        <v>650</v>
      </c>
      <c r="BO102" s="13">
        <f t="shared" si="110"/>
        <v>650</v>
      </c>
      <c r="BP102" s="13">
        <f t="shared" si="254"/>
        <v>650</v>
      </c>
      <c r="BQ102" s="13">
        <f t="shared" si="254"/>
        <v>650</v>
      </c>
      <c r="BR102" s="13">
        <f t="shared" si="254"/>
        <v>650</v>
      </c>
      <c r="BS102" s="13">
        <f t="shared" si="254"/>
        <v>650</v>
      </c>
      <c r="BT102" s="13">
        <f t="shared" si="254"/>
        <v>650</v>
      </c>
      <c r="BU102" s="13">
        <f t="shared" si="254"/>
        <v>650</v>
      </c>
      <c r="BV102" s="13">
        <f t="shared" si="254"/>
        <v>650</v>
      </c>
      <c r="BW102" s="13">
        <f t="shared" si="254"/>
        <v>650</v>
      </c>
      <c r="BX102" s="13">
        <f t="shared" si="254"/>
        <v>650</v>
      </c>
      <c r="BY102" s="25">
        <v>27</v>
      </c>
      <c r="BZ102" s="26">
        <f t="shared" si="274"/>
        <v>0.24074074074074073</v>
      </c>
      <c r="CC102" s="84"/>
      <c r="CD102" s="85"/>
      <c r="CE102" s="25">
        <v>27</v>
      </c>
      <c r="CF102" s="26">
        <f t="shared" si="275"/>
        <v>0.24074074074074073</v>
      </c>
      <c r="CG102" s="13">
        <f t="shared" si="255"/>
        <v>600</v>
      </c>
      <c r="CH102" s="13">
        <f t="shared" si="255"/>
        <v>600</v>
      </c>
      <c r="CI102" s="13">
        <f t="shared" si="255"/>
        <v>600</v>
      </c>
      <c r="CJ102" s="13">
        <f t="shared" si="255"/>
        <v>600</v>
      </c>
      <c r="CK102" s="13">
        <f t="shared" si="255"/>
        <v>600</v>
      </c>
      <c r="CL102" s="13">
        <f t="shared" si="255"/>
        <v>600</v>
      </c>
      <c r="CM102" s="13">
        <f t="shared" si="255"/>
        <v>600</v>
      </c>
      <c r="CN102" s="13">
        <f t="shared" si="255"/>
        <v>600</v>
      </c>
      <c r="CO102" s="13">
        <f t="shared" si="255"/>
        <v>600</v>
      </c>
      <c r="CP102" s="13">
        <f t="shared" si="111"/>
        <v>600</v>
      </c>
      <c r="CQ102" s="13">
        <f t="shared" si="147"/>
        <v>600</v>
      </c>
      <c r="CR102" s="13">
        <f t="shared" si="168"/>
        <v>600</v>
      </c>
      <c r="CS102" s="13">
        <f t="shared" si="190"/>
        <v>600</v>
      </c>
      <c r="CT102" s="13">
        <f t="shared" si="217"/>
        <v>600</v>
      </c>
      <c r="CU102" s="13">
        <f t="shared" ref="CU102:CW102" si="291">$L$2/($L$3-$L$4*CT102)</f>
        <v>-1.6746678575415876E-3</v>
      </c>
      <c r="CV102" s="13">
        <f t="shared" si="291"/>
        <v>0.34863354230673421</v>
      </c>
      <c r="CW102" s="13">
        <f t="shared" si="291"/>
        <v>0.39713536344133415</v>
      </c>
      <c r="CX102" s="13">
        <f t="shared" si="219"/>
        <v>650</v>
      </c>
      <c r="CY102" s="13">
        <f t="shared" si="192"/>
        <v>650</v>
      </c>
      <c r="CZ102" s="13">
        <f t="shared" si="169"/>
        <v>650</v>
      </c>
      <c r="DA102" s="13">
        <f t="shared" si="148"/>
        <v>650</v>
      </c>
      <c r="DB102" s="13">
        <f t="shared" si="113"/>
        <v>650</v>
      </c>
      <c r="DC102" s="13">
        <f t="shared" si="257"/>
        <v>650</v>
      </c>
      <c r="DD102" s="13">
        <f t="shared" si="257"/>
        <v>650</v>
      </c>
      <c r="DE102" s="13">
        <f t="shared" si="257"/>
        <v>650</v>
      </c>
      <c r="DF102" s="13">
        <f t="shared" si="257"/>
        <v>650</v>
      </c>
      <c r="DG102" s="13">
        <f t="shared" si="257"/>
        <v>650</v>
      </c>
      <c r="DH102" s="13">
        <f t="shared" si="257"/>
        <v>650</v>
      </c>
      <c r="DI102" s="13">
        <f t="shared" si="257"/>
        <v>650</v>
      </c>
      <c r="DJ102" s="13">
        <f t="shared" si="257"/>
        <v>650</v>
      </c>
      <c r="DK102" s="13">
        <f t="shared" si="257"/>
        <v>650</v>
      </c>
      <c r="DL102" s="25">
        <v>27</v>
      </c>
      <c r="DM102" s="26">
        <f t="shared" si="277"/>
        <v>0.24074074074074073</v>
      </c>
      <c r="DQ102" s="84"/>
      <c r="DR102" s="85"/>
      <c r="DS102" s="25">
        <v>27</v>
      </c>
      <c r="DT102" s="26">
        <f t="shared" si="278"/>
        <v>0.24074074074074073</v>
      </c>
      <c r="DU102" s="13">
        <f t="shared" si="258"/>
        <v>600</v>
      </c>
      <c r="DV102" s="13">
        <f t="shared" si="258"/>
        <v>600</v>
      </c>
      <c r="DW102" s="13">
        <f t="shared" si="258"/>
        <v>600</v>
      </c>
      <c r="DX102" s="13">
        <f t="shared" si="258"/>
        <v>600</v>
      </c>
      <c r="DY102" s="13">
        <f t="shared" si="258"/>
        <v>600</v>
      </c>
      <c r="DZ102" s="13">
        <f t="shared" si="258"/>
        <v>600</v>
      </c>
      <c r="EA102" s="13">
        <f t="shared" si="258"/>
        <v>600</v>
      </c>
      <c r="EB102" s="13">
        <f t="shared" si="258"/>
        <v>600</v>
      </c>
      <c r="EC102" s="13">
        <f t="shared" si="258"/>
        <v>600</v>
      </c>
      <c r="ED102" s="13">
        <f t="shared" si="114"/>
        <v>600</v>
      </c>
      <c r="EE102" s="13">
        <f t="shared" si="149"/>
        <v>600</v>
      </c>
      <c r="EF102" s="13">
        <f t="shared" si="170"/>
        <v>600</v>
      </c>
      <c r="EG102" s="13">
        <f t="shared" si="193"/>
        <v>600</v>
      </c>
      <c r="EH102" s="13">
        <f t="shared" si="220"/>
        <v>600</v>
      </c>
      <c r="EI102" s="13">
        <f t="shared" si="227"/>
        <v>610.31050164621786</v>
      </c>
      <c r="EJ102" s="13">
        <f t="shared" si="221"/>
        <v>397.36006017230625</v>
      </c>
      <c r="EK102" s="13">
        <f t="shared" si="222"/>
        <v>157.80573191359926</v>
      </c>
      <c r="EL102" s="13">
        <f t="shared" si="223"/>
        <v>650</v>
      </c>
      <c r="EM102" s="13">
        <f t="shared" si="198"/>
        <v>650</v>
      </c>
      <c r="EN102" s="13">
        <f t="shared" si="177"/>
        <v>650</v>
      </c>
      <c r="EO102" s="13">
        <f t="shared" si="158"/>
        <v>650</v>
      </c>
      <c r="EP102" s="13">
        <f t="shared" si="125"/>
        <v>650</v>
      </c>
      <c r="EQ102" s="13">
        <f t="shared" si="259"/>
        <v>650</v>
      </c>
      <c r="ER102" s="13">
        <f t="shared" si="259"/>
        <v>650</v>
      </c>
      <c r="ES102" s="13">
        <f t="shared" si="259"/>
        <v>650</v>
      </c>
      <c r="ET102" s="13">
        <f t="shared" si="259"/>
        <v>650</v>
      </c>
      <c r="EU102" s="13">
        <f t="shared" si="259"/>
        <v>650</v>
      </c>
      <c r="EV102" s="13">
        <f t="shared" si="259"/>
        <v>650</v>
      </c>
      <c r="EW102" s="13">
        <f t="shared" si="259"/>
        <v>650</v>
      </c>
      <c r="EX102" s="13">
        <f t="shared" si="259"/>
        <v>650</v>
      </c>
      <c r="EY102" s="13">
        <f t="shared" si="259"/>
        <v>650</v>
      </c>
      <c r="EZ102" s="25">
        <v>27</v>
      </c>
      <c r="FA102" s="26">
        <f t="shared" si="279"/>
        <v>0.24074074074074073</v>
      </c>
    </row>
    <row r="103" spans="3:157" x14ac:dyDescent="0.25">
      <c r="C103" s="84"/>
      <c r="D103" s="85"/>
      <c r="E103" s="25">
        <v>26</v>
      </c>
      <c r="F103" s="26">
        <f t="shared" si="269"/>
        <v>0.23148148148148145</v>
      </c>
      <c r="G103" s="13">
        <f t="shared" si="249"/>
        <v>600</v>
      </c>
      <c r="H103" s="13">
        <f t="shared" si="249"/>
        <v>600</v>
      </c>
      <c r="I103" s="13">
        <f t="shared" si="249"/>
        <v>600</v>
      </c>
      <c r="J103" s="13">
        <f t="shared" si="249"/>
        <v>600</v>
      </c>
      <c r="K103" s="13">
        <f t="shared" si="249"/>
        <v>600</v>
      </c>
      <c r="L103" s="13">
        <f t="shared" si="249"/>
        <v>600</v>
      </c>
      <c r="M103" s="13">
        <f t="shared" si="249"/>
        <v>600</v>
      </c>
      <c r="N103" s="13">
        <f t="shared" si="249"/>
        <v>600</v>
      </c>
      <c r="O103" s="13">
        <f t="shared" si="249"/>
        <v>600</v>
      </c>
      <c r="P103" s="13">
        <f t="shared" si="87"/>
        <v>600</v>
      </c>
      <c r="Q103" s="13">
        <f t="shared" si="129"/>
        <v>600</v>
      </c>
      <c r="R103" s="13">
        <f t="shared" si="159"/>
        <v>600</v>
      </c>
      <c r="S103" s="13">
        <f t="shared" si="178"/>
        <v>600</v>
      </c>
      <c r="T103" s="13">
        <f t="shared" si="210"/>
        <v>600</v>
      </c>
      <c r="U103" s="13">
        <f t="shared" ref="U103" si="292">($F$5*$B$5*T40+$F$4*V40)/($F$4+$F$5*$B$5)</f>
        <v>610.28871882578517</v>
      </c>
      <c r="V103" s="13">
        <f t="shared" si="181"/>
        <v>610.88875984009303</v>
      </c>
      <c r="W103" s="13">
        <f t="shared" ref="W103" si="293">($F$6*$B$5*X40+$F$4*V40)/($F$4+$F$6*$B$5)</f>
        <v>612.51495103169884</v>
      </c>
      <c r="X103" s="13">
        <f t="shared" si="213"/>
        <v>650</v>
      </c>
      <c r="Y103" s="13">
        <f t="shared" si="184"/>
        <v>650</v>
      </c>
      <c r="Z103" s="13">
        <f t="shared" si="165"/>
        <v>650</v>
      </c>
      <c r="AA103" s="13">
        <f t="shared" si="137"/>
        <v>650</v>
      </c>
      <c r="AB103" s="13">
        <f t="shared" si="99"/>
        <v>650</v>
      </c>
      <c r="AC103" s="13">
        <f t="shared" si="252"/>
        <v>650</v>
      </c>
      <c r="AD103" s="13">
        <f t="shared" si="252"/>
        <v>650</v>
      </c>
      <c r="AE103" s="13">
        <f t="shared" si="252"/>
        <v>650</v>
      </c>
      <c r="AF103" s="13">
        <f t="shared" si="252"/>
        <v>650</v>
      </c>
      <c r="AG103" s="13">
        <f t="shared" si="252"/>
        <v>650</v>
      </c>
      <c r="AH103" s="13">
        <f t="shared" si="252"/>
        <v>650</v>
      </c>
      <c r="AI103" s="13">
        <f t="shared" si="252"/>
        <v>650</v>
      </c>
      <c r="AJ103" s="13">
        <f t="shared" si="252"/>
        <v>650</v>
      </c>
      <c r="AK103" s="13">
        <f t="shared" si="252"/>
        <v>650</v>
      </c>
      <c r="AL103" s="25">
        <v>26</v>
      </c>
      <c r="AM103" s="26">
        <f t="shared" si="272"/>
        <v>0.23148148148148145</v>
      </c>
      <c r="AP103" s="87"/>
      <c r="AQ103" s="86"/>
      <c r="AR103" s="25">
        <v>26</v>
      </c>
      <c r="AS103" s="26">
        <f t="shared" si="273"/>
        <v>0.23148148148148145</v>
      </c>
      <c r="AT103" s="13">
        <f t="shared" si="253"/>
        <v>600</v>
      </c>
      <c r="AU103" s="13">
        <f t="shared" si="253"/>
        <v>600</v>
      </c>
      <c r="AV103" s="13">
        <f t="shared" si="253"/>
        <v>600</v>
      </c>
      <c r="AW103" s="13">
        <f t="shared" si="253"/>
        <v>600</v>
      </c>
      <c r="AX103" s="13">
        <f t="shared" si="253"/>
        <v>600</v>
      </c>
      <c r="AY103" s="13">
        <f t="shared" si="253"/>
        <v>600</v>
      </c>
      <c r="AZ103" s="13">
        <f t="shared" si="253"/>
        <v>600</v>
      </c>
      <c r="BA103" s="13">
        <f t="shared" si="253"/>
        <v>600</v>
      </c>
      <c r="BB103" s="13">
        <f t="shared" si="253"/>
        <v>600</v>
      </c>
      <c r="BC103" s="13">
        <f t="shared" si="100"/>
        <v>600</v>
      </c>
      <c r="BD103" s="13">
        <f t="shared" si="138"/>
        <v>600</v>
      </c>
      <c r="BE103" s="13">
        <f t="shared" si="166"/>
        <v>600</v>
      </c>
      <c r="BF103" s="13">
        <f t="shared" si="185"/>
        <v>600</v>
      </c>
      <c r="BG103" s="13">
        <f t="shared" si="214"/>
        <v>600</v>
      </c>
      <c r="BH103" s="52"/>
      <c r="BI103" s="13">
        <f t="shared" si="215"/>
        <v>-2191855976.6626801</v>
      </c>
      <c r="BJ103" s="52"/>
      <c r="BK103" s="13">
        <f t="shared" si="216"/>
        <v>650</v>
      </c>
      <c r="BL103" s="13">
        <f t="shared" si="189"/>
        <v>650</v>
      </c>
      <c r="BM103" s="13">
        <f t="shared" si="167"/>
        <v>650</v>
      </c>
      <c r="BN103" s="13">
        <f t="shared" si="146"/>
        <v>650</v>
      </c>
      <c r="BO103" s="13">
        <f t="shared" si="110"/>
        <v>650</v>
      </c>
      <c r="BP103" s="13">
        <f t="shared" si="254"/>
        <v>650</v>
      </c>
      <c r="BQ103" s="13">
        <f t="shared" si="254"/>
        <v>650</v>
      </c>
      <c r="BR103" s="13">
        <f t="shared" si="254"/>
        <v>650</v>
      </c>
      <c r="BS103" s="13">
        <f t="shared" si="254"/>
        <v>650</v>
      </c>
      <c r="BT103" s="13">
        <f t="shared" si="254"/>
        <v>650</v>
      </c>
      <c r="BU103" s="13">
        <f t="shared" si="254"/>
        <v>650</v>
      </c>
      <c r="BV103" s="13">
        <f t="shared" si="254"/>
        <v>650</v>
      </c>
      <c r="BW103" s="13">
        <f t="shared" si="254"/>
        <v>650</v>
      </c>
      <c r="BX103" s="13">
        <f t="shared" si="254"/>
        <v>650</v>
      </c>
      <c r="BY103" s="25">
        <v>26</v>
      </c>
      <c r="BZ103" s="26">
        <f t="shared" si="274"/>
        <v>0.23148148148148145</v>
      </c>
      <c r="CC103" s="84"/>
      <c r="CD103" s="85"/>
      <c r="CE103" s="25">
        <v>26</v>
      </c>
      <c r="CF103" s="26">
        <f t="shared" si="275"/>
        <v>0.23148148148148145</v>
      </c>
      <c r="CG103" s="13">
        <f t="shared" si="255"/>
        <v>600</v>
      </c>
      <c r="CH103" s="13">
        <f t="shared" si="255"/>
        <v>600</v>
      </c>
      <c r="CI103" s="13">
        <f t="shared" si="255"/>
        <v>600</v>
      </c>
      <c r="CJ103" s="13">
        <f t="shared" si="255"/>
        <v>600</v>
      </c>
      <c r="CK103" s="13">
        <f t="shared" si="255"/>
        <v>600</v>
      </c>
      <c r="CL103" s="13">
        <f t="shared" si="255"/>
        <v>600</v>
      </c>
      <c r="CM103" s="13">
        <f t="shared" si="255"/>
        <v>600</v>
      </c>
      <c r="CN103" s="13">
        <f t="shared" si="255"/>
        <v>600</v>
      </c>
      <c r="CO103" s="13">
        <f t="shared" si="255"/>
        <v>600</v>
      </c>
      <c r="CP103" s="13">
        <f t="shared" si="111"/>
        <v>600</v>
      </c>
      <c r="CQ103" s="13">
        <f t="shared" si="147"/>
        <v>600</v>
      </c>
      <c r="CR103" s="13">
        <f t="shared" si="168"/>
        <v>600</v>
      </c>
      <c r="CS103" s="13">
        <f t="shared" si="190"/>
        <v>600</v>
      </c>
      <c r="CT103" s="13">
        <f t="shared" si="217"/>
        <v>600</v>
      </c>
      <c r="CU103" s="13">
        <f t="shared" ref="CU103:CW103" si="294">$L$2/($L$3-$L$4*CT103)</f>
        <v>-1.6746678575415876E-3</v>
      </c>
      <c r="CV103" s="13">
        <f t="shared" si="294"/>
        <v>0.34863354230673421</v>
      </c>
      <c r="CW103" s="13">
        <f t="shared" si="294"/>
        <v>0.39713536344133415</v>
      </c>
      <c r="CX103" s="13">
        <f t="shared" si="219"/>
        <v>650</v>
      </c>
      <c r="CY103" s="13">
        <f t="shared" si="192"/>
        <v>650</v>
      </c>
      <c r="CZ103" s="13">
        <f t="shared" si="169"/>
        <v>650</v>
      </c>
      <c r="DA103" s="13">
        <f t="shared" si="148"/>
        <v>650</v>
      </c>
      <c r="DB103" s="13">
        <f t="shared" si="113"/>
        <v>650</v>
      </c>
      <c r="DC103" s="13">
        <f t="shared" si="257"/>
        <v>650</v>
      </c>
      <c r="DD103" s="13">
        <f t="shared" si="257"/>
        <v>650</v>
      </c>
      <c r="DE103" s="13">
        <f t="shared" si="257"/>
        <v>650</v>
      </c>
      <c r="DF103" s="13">
        <f t="shared" si="257"/>
        <v>650</v>
      </c>
      <c r="DG103" s="13">
        <f t="shared" si="257"/>
        <v>650</v>
      </c>
      <c r="DH103" s="13">
        <f t="shared" si="257"/>
        <v>650</v>
      </c>
      <c r="DI103" s="13">
        <f t="shared" si="257"/>
        <v>650</v>
      </c>
      <c r="DJ103" s="13">
        <f t="shared" si="257"/>
        <v>650</v>
      </c>
      <c r="DK103" s="13">
        <f t="shared" si="257"/>
        <v>650</v>
      </c>
      <c r="DL103" s="25">
        <v>26</v>
      </c>
      <c r="DM103" s="26">
        <f t="shared" si="277"/>
        <v>0.23148148148148145</v>
      </c>
      <c r="DQ103" s="84"/>
      <c r="DR103" s="85"/>
      <c r="DS103" s="25">
        <v>26</v>
      </c>
      <c r="DT103" s="26">
        <f t="shared" si="278"/>
        <v>0.23148148148148145</v>
      </c>
      <c r="DU103" s="13">
        <f t="shared" si="258"/>
        <v>600</v>
      </c>
      <c r="DV103" s="13">
        <f t="shared" si="258"/>
        <v>600</v>
      </c>
      <c r="DW103" s="13">
        <f t="shared" si="258"/>
        <v>600</v>
      </c>
      <c r="DX103" s="13">
        <f t="shared" si="258"/>
        <v>600</v>
      </c>
      <c r="DY103" s="13">
        <f t="shared" si="258"/>
        <v>600</v>
      </c>
      <c r="DZ103" s="13">
        <f t="shared" si="258"/>
        <v>600</v>
      </c>
      <c r="EA103" s="13">
        <f t="shared" si="258"/>
        <v>600</v>
      </c>
      <c r="EB103" s="13">
        <f t="shared" si="258"/>
        <v>600</v>
      </c>
      <c r="EC103" s="13">
        <f t="shared" si="258"/>
        <v>600</v>
      </c>
      <c r="ED103" s="13">
        <f t="shared" si="114"/>
        <v>600</v>
      </c>
      <c r="EE103" s="13">
        <f t="shared" si="149"/>
        <v>600</v>
      </c>
      <c r="EF103" s="13">
        <f t="shared" si="170"/>
        <v>600</v>
      </c>
      <c r="EG103" s="13">
        <f t="shared" si="193"/>
        <v>600</v>
      </c>
      <c r="EH103" s="13">
        <f t="shared" si="220"/>
        <v>600</v>
      </c>
      <c r="EI103" s="13">
        <f t="shared" si="227"/>
        <v>610.28871882578517</v>
      </c>
      <c r="EJ103" s="13">
        <f t="shared" si="221"/>
        <v>397.34550274607602</v>
      </c>
      <c r="EK103" s="13">
        <f t="shared" si="222"/>
        <v>157.79995064484254</v>
      </c>
      <c r="EL103" s="13">
        <f t="shared" si="223"/>
        <v>650</v>
      </c>
      <c r="EM103" s="13">
        <f t="shared" si="198"/>
        <v>650</v>
      </c>
      <c r="EN103" s="13">
        <f t="shared" si="177"/>
        <v>650</v>
      </c>
      <c r="EO103" s="13">
        <f t="shared" si="158"/>
        <v>650</v>
      </c>
      <c r="EP103" s="13">
        <f t="shared" si="125"/>
        <v>650</v>
      </c>
      <c r="EQ103" s="13">
        <f t="shared" si="259"/>
        <v>650</v>
      </c>
      <c r="ER103" s="13">
        <f t="shared" si="259"/>
        <v>650</v>
      </c>
      <c r="ES103" s="13">
        <f t="shared" si="259"/>
        <v>650</v>
      </c>
      <c r="ET103" s="13">
        <f t="shared" si="259"/>
        <v>650</v>
      </c>
      <c r="EU103" s="13">
        <f t="shared" si="259"/>
        <v>650</v>
      </c>
      <c r="EV103" s="13">
        <f t="shared" si="259"/>
        <v>650</v>
      </c>
      <c r="EW103" s="13">
        <f t="shared" si="259"/>
        <v>650</v>
      </c>
      <c r="EX103" s="13">
        <f t="shared" si="259"/>
        <v>650</v>
      </c>
      <c r="EY103" s="13">
        <f t="shared" si="259"/>
        <v>650</v>
      </c>
      <c r="EZ103" s="25">
        <v>26</v>
      </c>
      <c r="FA103" s="26">
        <f t="shared" si="279"/>
        <v>0.23148148148148145</v>
      </c>
    </row>
    <row r="104" spans="3:157" x14ac:dyDescent="0.25">
      <c r="C104" s="84"/>
      <c r="D104" s="85"/>
      <c r="E104" s="25">
        <v>25</v>
      </c>
      <c r="F104" s="26">
        <f t="shared" si="269"/>
        <v>0.22222222222222221</v>
      </c>
      <c r="G104" s="13">
        <f t="shared" ref="G104:O113" si="295">$R$2</f>
        <v>600</v>
      </c>
      <c r="H104" s="13">
        <f t="shared" si="295"/>
        <v>600</v>
      </c>
      <c r="I104" s="13">
        <f t="shared" si="295"/>
        <v>600</v>
      </c>
      <c r="J104" s="13">
        <f t="shared" si="295"/>
        <v>600</v>
      </c>
      <c r="K104" s="13">
        <f t="shared" si="295"/>
        <v>600</v>
      </c>
      <c r="L104" s="13">
        <f t="shared" si="295"/>
        <v>600</v>
      </c>
      <c r="M104" s="13">
        <f t="shared" si="295"/>
        <v>600</v>
      </c>
      <c r="N104" s="13">
        <f t="shared" si="295"/>
        <v>600</v>
      </c>
      <c r="O104" s="13">
        <f t="shared" si="295"/>
        <v>600</v>
      </c>
      <c r="P104" s="13">
        <f t="shared" si="87"/>
        <v>600</v>
      </c>
      <c r="Q104" s="13">
        <f t="shared" si="129"/>
        <v>600</v>
      </c>
      <c r="R104" s="13">
        <f t="shared" si="159"/>
        <v>600</v>
      </c>
      <c r="S104" s="13">
        <f t="shared" si="178"/>
        <v>600</v>
      </c>
      <c r="T104" s="13">
        <f t="shared" si="210"/>
        <v>600</v>
      </c>
      <c r="U104" s="13">
        <f t="shared" ref="U104" si="296">($F$5*$B$5*T41+$F$4*V41)/($F$4+$F$5*$B$5)</f>
        <v>610.25846495539417</v>
      </c>
      <c r="V104" s="13">
        <f t="shared" si="181"/>
        <v>610.85784721662594</v>
      </c>
      <c r="W104" s="13">
        <f t="shared" ref="W104" si="297">($F$6*$B$5*X41+$F$4*V41)/($F$4+$F$6*$B$5)</f>
        <v>612.48427696866349</v>
      </c>
      <c r="X104" s="13">
        <f t="shared" si="213"/>
        <v>650</v>
      </c>
      <c r="Y104" s="13">
        <f t="shared" si="184"/>
        <v>650</v>
      </c>
      <c r="Z104" s="13">
        <f t="shared" si="165"/>
        <v>650</v>
      </c>
      <c r="AA104" s="13">
        <f t="shared" si="137"/>
        <v>650</v>
      </c>
      <c r="AB104" s="13">
        <f t="shared" si="99"/>
        <v>650</v>
      </c>
      <c r="AC104" s="13">
        <f t="shared" ref="AC104:AK113" si="298">$R$3</f>
        <v>650</v>
      </c>
      <c r="AD104" s="13">
        <f t="shared" si="298"/>
        <v>650</v>
      </c>
      <c r="AE104" s="13">
        <f t="shared" si="298"/>
        <v>650</v>
      </c>
      <c r="AF104" s="13">
        <f t="shared" si="298"/>
        <v>650</v>
      </c>
      <c r="AG104" s="13">
        <f t="shared" si="298"/>
        <v>650</v>
      </c>
      <c r="AH104" s="13">
        <f t="shared" si="298"/>
        <v>650</v>
      </c>
      <c r="AI104" s="13">
        <f t="shared" si="298"/>
        <v>650</v>
      </c>
      <c r="AJ104" s="13">
        <f t="shared" si="298"/>
        <v>650</v>
      </c>
      <c r="AK104" s="13">
        <f t="shared" si="298"/>
        <v>650</v>
      </c>
      <c r="AL104" s="25">
        <v>25</v>
      </c>
      <c r="AM104" s="26">
        <f t="shared" si="272"/>
        <v>0.22222222222222221</v>
      </c>
      <c r="AP104" s="87"/>
      <c r="AQ104" s="86"/>
      <c r="AR104" s="25">
        <v>25</v>
      </c>
      <c r="AS104" s="26">
        <f t="shared" si="273"/>
        <v>0.22222222222222221</v>
      </c>
      <c r="AT104" s="13">
        <f t="shared" ref="AT104:BB113" si="299">$R$2</f>
        <v>600</v>
      </c>
      <c r="AU104" s="13">
        <f t="shared" si="299"/>
        <v>600</v>
      </c>
      <c r="AV104" s="13">
        <f t="shared" si="299"/>
        <v>600</v>
      </c>
      <c r="AW104" s="13">
        <f t="shared" si="299"/>
        <v>600</v>
      </c>
      <c r="AX104" s="13">
        <f t="shared" si="299"/>
        <v>600</v>
      </c>
      <c r="AY104" s="13">
        <f t="shared" si="299"/>
        <v>600</v>
      </c>
      <c r="AZ104" s="13">
        <f t="shared" si="299"/>
        <v>600</v>
      </c>
      <c r="BA104" s="13">
        <f t="shared" si="299"/>
        <v>600</v>
      </c>
      <c r="BB104" s="13">
        <f t="shared" si="299"/>
        <v>600</v>
      </c>
      <c r="BC104" s="13">
        <f t="shared" si="100"/>
        <v>600</v>
      </c>
      <c r="BD104" s="13">
        <f t="shared" si="138"/>
        <v>600</v>
      </c>
      <c r="BE104" s="13">
        <f t="shared" si="166"/>
        <v>600</v>
      </c>
      <c r="BF104" s="13">
        <f t="shared" si="185"/>
        <v>600</v>
      </c>
      <c r="BG104" s="13">
        <f t="shared" si="214"/>
        <v>600</v>
      </c>
      <c r="BH104" s="52"/>
      <c r="BI104" s="13">
        <f t="shared" si="215"/>
        <v>-2191741132.9706764</v>
      </c>
      <c r="BJ104" s="52"/>
      <c r="BK104" s="13">
        <f t="shared" si="216"/>
        <v>650</v>
      </c>
      <c r="BL104" s="13">
        <f t="shared" si="189"/>
        <v>650</v>
      </c>
      <c r="BM104" s="13">
        <f t="shared" si="167"/>
        <v>650</v>
      </c>
      <c r="BN104" s="13">
        <f t="shared" si="146"/>
        <v>650</v>
      </c>
      <c r="BO104" s="13">
        <f t="shared" si="110"/>
        <v>650</v>
      </c>
      <c r="BP104" s="13">
        <f t="shared" ref="BP104:BX113" si="300">$R$3</f>
        <v>650</v>
      </c>
      <c r="BQ104" s="13">
        <f t="shared" si="300"/>
        <v>650</v>
      </c>
      <c r="BR104" s="13">
        <f t="shared" si="300"/>
        <v>650</v>
      </c>
      <c r="BS104" s="13">
        <f t="shared" si="300"/>
        <v>650</v>
      </c>
      <c r="BT104" s="13">
        <f t="shared" si="300"/>
        <v>650</v>
      </c>
      <c r="BU104" s="13">
        <f t="shared" si="300"/>
        <v>650</v>
      </c>
      <c r="BV104" s="13">
        <f t="shared" si="300"/>
        <v>650</v>
      </c>
      <c r="BW104" s="13">
        <f t="shared" si="300"/>
        <v>650</v>
      </c>
      <c r="BX104" s="13">
        <f t="shared" si="300"/>
        <v>650</v>
      </c>
      <c r="BY104" s="25">
        <v>25</v>
      </c>
      <c r="BZ104" s="26">
        <f t="shared" si="274"/>
        <v>0.22222222222222221</v>
      </c>
      <c r="CC104" s="84"/>
      <c r="CD104" s="85"/>
      <c r="CE104" s="25">
        <v>25</v>
      </c>
      <c r="CF104" s="26">
        <f t="shared" si="275"/>
        <v>0.22222222222222221</v>
      </c>
      <c r="CG104" s="13">
        <f t="shared" ref="CG104:CO113" si="301">$R$2</f>
        <v>600</v>
      </c>
      <c r="CH104" s="13">
        <f t="shared" si="301"/>
        <v>600</v>
      </c>
      <c r="CI104" s="13">
        <f t="shared" si="301"/>
        <v>600</v>
      </c>
      <c r="CJ104" s="13">
        <f t="shared" si="301"/>
        <v>600</v>
      </c>
      <c r="CK104" s="13">
        <f t="shared" si="301"/>
        <v>600</v>
      </c>
      <c r="CL104" s="13">
        <f t="shared" si="301"/>
        <v>600</v>
      </c>
      <c r="CM104" s="13">
        <f t="shared" si="301"/>
        <v>600</v>
      </c>
      <c r="CN104" s="13">
        <f t="shared" si="301"/>
        <v>600</v>
      </c>
      <c r="CO104" s="13">
        <f t="shared" si="301"/>
        <v>600</v>
      </c>
      <c r="CP104" s="13">
        <f t="shared" si="111"/>
        <v>600</v>
      </c>
      <c r="CQ104" s="13">
        <f t="shared" si="147"/>
        <v>600</v>
      </c>
      <c r="CR104" s="13">
        <f t="shared" si="168"/>
        <v>600</v>
      </c>
      <c r="CS104" s="13">
        <f t="shared" si="190"/>
        <v>600</v>
      </c>
      <c r="CT104" s="13">
        <f t="shared" si="217"/>
        <v>600</v>
      </c>
      <c r="CU104" s="13">
        <f t="shared" ref="CU104:CW104" si="302">$L$2/($L$3-$L$4*CT104)</f>
        <v>-1.6746678575415876E-3</v>
      </c>
      <c r="CV104" s="13">
        <f t="shared" si="302"/>
        <v>0.34863354230673421</v>
      </c>
      <c r="CW104" s="13">
        <f t="shared" si="302"/>
        <v>0.39713536344133415</v>
      </c>
      <c r="CX104" s="13">
        <f t="shared" si="219"/>
        <v>650</v>
      </c>
      <c r="CY104" s="13">
        <f t="shared" si="192"/>
        <v>650</v>
      </c>
      <c r="CZ104" s="13">
        <f t="shared" si="169"/>
        <v>650</v>
      </c>
      <c r="DA104" s="13">
        <f t="shared" si="148"/>
        <v>650</v>
      </c>
      <c r="DB104" s="13">
        <f t="shared" si="113"/>
        <v>650</v>
      </c>
      <c r="DC104" s="13">
        <f t="shared" ref="DC104:DK113" si="303">$R$3</f>
        <v>650</v>
      </c>
      <c r="DD104" s="13">
        <f t="shared" si="303"/>
        <v>650</v>
      </c>
      <c r="DE104" s="13">
        <f t="shared" si="303"/>
        <v>650</v>
      </c>
      <c r="DF104" s="13">
        <f t="shared" si="303"/>
        <v>650</v>
      </c>
      <c r="DG104" s="13">
        <f t="shared" si="303"/>
        <v>650</v>
      </c>
      <c r="DH104" s="13">
        <f t="shared" si="303"/>
        <v>650</v>
      </c>
      <c r="DI104" s="13">
        <f t="shared" si="303"/>
        <v>650</v>
      </c>
      <c r="DJ104" s="13">
        <f t="shared" si="303"/>
        <v>650</v>
      </c>
      <c r="DK104" s="13">
        <f t="shared" si="303"/>
        <v>650</v>
      </c>
      <c r="DL104" s="25">
        <v>25</v>
      </c>
      <c r="DM104" s="26">
        <f t="shared" si="277"/>
        <v>0.22222222222222221</v>
      </c>
      <c r="DQ104" s="84"/>
      <c r="DR104" s="85"/>
      <c r="DS104" s="25">
        <v>25</v>
      </c>
      <c r="DT104" s="26">
        <f t="shared" si="278"/>
        <v>0.22222222222222221</v>
      </c>
      <c r="DU104" s="13">
        <f t="shared" ref="DU104:EC113" si="304">$R$2</f>
        <v>600</v>
      </c>
      <c r="DV104" s="13">
        <f t="shared" si="304"/>
        <v>600</v>
      </c>
      <c r="DW104" s="13">
        <f t="shared" si="304"/>
        <v>600</v>
      </c>
      <c r="DX104" s="13">
        <f t="shared" si="304"/>
        <v>600</v>
      </c>
      <c r="DY104" s="13">
        <f t="shared" si="304"/>
        <v>600</v>
      </c>
      <c r="DZ104" s="13">
        <f t="shared" si="304"/>
        <v>600</v>
      </c>
      <c r="EA104" s="13">
        <f t="shared" si="304"/>
        <v>600</v>
      </c>
      <c r="EB104" s="13">
        <f t="shared" si="304"/>
        <v>600</v>
      </c>
      <c r="EC104" s="13">
        <f t="shared" si="304"/>
        <v>600</v>
      </c>
      <c r="ED104" s="13">
        <f t="shared" si="114"/>
        <v>600</v>
      </c>
      <c r="EE104" s="13">
        <f t="shared" si="149"/>
        <v>600</v>
      </c>
      <c r="EF104" s="13">
        <f t="shared" si="170"/>
        <v>600</v>
      </c>
      <c r="EG104" s="13">
        <f t="shared" si="193"/>
        <v>600</v>
      </c>
      <c r="EH104" s="13">
        <f t="shared" si="220"/>
        <v>600</v>
      </c>
      <c r="EI104" s="13">
        <f t="shared" si="227"/>
        <v>610.25846495539417</v>
      </c>
      <c r="EJ104" s="13">
        <f t="shared" si="221"/>
        <v>397.32528412986181</v>
      </c>
      <c r="EK104" s="13">
        <f t="shared" si="222"/>
        <v>157.79192111734403</v>
      </c>
      <c r="EL104" s="13">
        <f t="shared" si="223"/>
        <v>650</v>
      </c>
      <c r="EM104" s="13">
        <f t="shared" si="198"/>
        <v>650</v>
      </c>
      <c r="EN104" s="13">
        <f t="shared" si="177"/>
        <v>650</v>
      </c>
      <c r="EO104" s="13">
        <f t="shared" si="158"/>
        <v>650</v>
      </c>
      <c r="EP104" s="13">
        <f t="shared" si="125"/>
        <v>650</v>
      </c>
      <c r="EQ104" s="13">
        <f t="shared" ref="EQ104:EY113" si="305">$R$3</f>
        <v>650</v>
      </c>
      <c r="ER104" s="13">
        <f t="shared" si="305"/>
        <v>650</v>
      </c>
      <c r="ES104" s="13">
        <f t="shared" si="305"/>
        <v>650</v>
      </c>
      <c r="ET104" s="13">
        <f t="shared" si="305"/>
        <v>650</v>
      </c>
      <c r="EU104" s="13">
        <f t="shared" si="305"/>
        <v>650</v>
      </c>
      <c r="EV104" s="13">
        <f t="shared" si="305"/>
        <v>650</v>
      </c>
      <c r="EW104" s="13">
        <f t="shared" si="305"/>
        <v>650</v>
      </c>
      <c r="EX104" s="13">
        <f t="shared" si="305"/>
        <v>650</v>
      </c>
      <c r="EY104" s="13">
        <f t="shared" si="305"/>
        <v>650</v>
      </c>
      <c r="EZ104" s="25">
        <v>25</v>
      </c>
      <c r="FA104" s="26">
        <f t="shared" si="279"/>
        <v>0.22222222222222221</v>
      </c>
    </row>
    <row r="105" spans="3:157" ht="15" customHeight="1" x14ac:dyDescent="0.25">
      <c r="C105" s="84"/>
      <c r="D105" s="85"/>
      <c r="E105" s="25">
        <v>24</v>
      </c>
      <c r="F105" s="26">
        <f t="shared" si="269"/>
        <v>0.21296296296296297</v>
      </c>
      <c r="G105" s="13">
        <f t="shared" si="295"/>
        <v>600</v>
      </c>
      <c r="H105" s="13">
        <f t="shared" si="295"/>
        <v>600</v>
      </c>
      <c r="I105" s="13">
        <f t="shared" si="295"/>
        <v>600</v>
      </c>
      <c r="J105" s="13">
        <f t="shared" si="295"/>
        <v>600</v>
      </c>
      <c r="K105" s="13">
        <f t="shared" si="295"/>
        <v>600</v>
      </c>
      <c r="L105" s="13">
        <f t="shared" si="295"/>
        <v>600</v>
      </c>
      <c r="M105" s="13">
        <f t="shared" si="295"/>
        <v>600</v>
      </c>
      <c r="N105" s="13">
        <f t="shared" si="295"/>
        <v>600</v>
      </c>
      <c r="O105" s="13">
        <f t="shared" si="295"/>
        <v>600</v>
      </c>
      <c r="P105" s="13">
        <f t="shared" si="87"/>
        <v>600</v>
      </c>
      <c r="Q105" s="13">
        <f t="shared" si="129"/>
        <v>600</v>
      </c>
      <c r="R105" s="13">
        <f t="shared" si="159"/>
        <v>600</v>
      </c>
      <c r="S105" s="13">
        <f t="shared" si="178"/>
        <v>600</v>
      </c>
      <c r="T105" s="13">
        <f t="shared" si="210"/>
        <v>600</v>
      </c>
      <c r="U105" s="13">
        <f t="shared" ref="U105" si="306">($F$5*$B$5*T42+$F$4*V42)/($F$4+$F$5*$B$5)</f>
        <v>610.21601290903936</v>
      </c>
      <c r="V105" s="13">
        <f t="shared" si="181"/>
        <v>610.81447081197348</v>
      </c>
      <c r="W105" s="13">
        <f t="shared" ref="W105" si="307">($F$6*$B$5*X42+$F$4*V42)/($F$4+$F$6*$B$5)</f>
        <v>612.44123531055368</v>
      </c>
      <c r="X105" s="13">
        <f t="shared" si="213"/>
        <v>650</v>
      </c>
      <c r="Y105" s="13">
        <f t="shared" si="184"/>
        <v>650</v>
      </c>
      <c r="Z105" s="13">
        <f t="shared" si="165"/>
        <v>650</v>
      </c>
      <c r="AA105" s="13">
        <f t="shared" si="137"/>
        <v>650</v>
      </c>
      <c r="AB105" s="13">
        <f t="shared" si="99"/>
        <v>650</v>
      </c>
      <c r="AC105" s="13">
        <f t="shared" si="298"/>
        <v>650</v>
      </c>
      <c r="AD105" s="13">
        <f t="shared" si="298"/>
        <v>650</v>
      </c>
      <c r="AE105" s="13">
        <f t="shared" si="298"/>
        <v>650</v>
      </c>
      <c r="AF105" s="13">
        <f t="shared" si="298"/>
        <v>650</v>
      </c>
      <c r="AG105" s="13">
        <f t="shared" si="298"/>
        <v>650</v>
      </c>
      <c r="AH105" s="13">
        <f t="shared" si="298"/>
        <v>650</v>
      </c>
      <c r="AI105" s="13">
        <f t="shared" si="298"/>
        <v>650</v>
      </c>
      <c r="AJ105" s="13">
        <f t="shared" si="298"/>
        <v>650</v>
      </c>
      <c r="AK105" s="13">
        <f t="shared" si="298"/>
        <v>650</v>
      </c>
      <c r="AL105" s="25">
        <v>24</v>
      </c>
      <c r="AM105" s="26">
        <f t="shared" si="272"/>
        <v>0.21296296296296297</v>
      </c>
      <c r="AP105" s="87"/>
      <c r="AQ105" s="86"/>
      <c r="AR105" s="25">
        <v>24</v>
      </c>
      <c r="AS105" s="26">
        <f t="shared" si="273"/>
        <v>0.21296296296296297</v>
      </c>
      <c r="AT105" s="13">
        <f t="shared" si="299"/>
        <v>600</v>
      </c>
      <c r="AU105" s="13">
        <f t="shared" si="299"/>
        <v>600</v>
      </c>
      <c r="AV105" s="13">
        <f t="shared" si="299"/>
        <v>600</v>
      </c>
      <c r="AW105" s="13">
        <f t="shared" si="299"/>
        <v>600</v>
      </c>
      <c r="AX105" s="13">
        <f t="shared" si="299"/>
        <v>600</v>
      </c>
      <c r="AY105" s="13">
        <f t="shared" si="299"/>
        <v>600</v>
      </c>
      <c r="AZ105" s="13">
        <f t="shared" si="299"/>
        <v>600</v>
      </c>
      <c r="BA105" s="13">
        <f t="shared" si="299"/>
        <v>600</v>
      </c>
      <c r="BB105" s="13">
        <f t="shared" si="299"/>
        <v>600</v>
      </c>
      <c r="BC105" s="13">
        <f t="shared" si="100"/>
        <v>600</v>
      </c>
      <c r="BD105" s="13">
        <f t="shared" si="138"/>
        <v>600</v>
      </c>
      <c r="BE105" s="13">
        <f t="shared" si="166"/>
        <v>600</v>
      </c>
      <c r="BF105" s="13">
        <f t="shared" si="185"/>
        <v>600</v>
      </c>
      <c r="BG105" s="13">
        <f t="shared" si="214"/>
        <v>600</v>
      </c>
      <c r="BH105" s="52"/>
      <c r="BI105" s="13">
        <f t="shared" si="215"/>
        <v>-2191579985.0027132</v>
      </c>
      <c r="BJ105" s="52"/>
      <c r="BK105" s="13">
        <f t="shared" si="216"/>
        <v>650</v>
      </c>
      <c r="BL105" s="13">
        <f t="shared" si="189"/>
        <v>650</v>
      </c>
      <c r="BM105" s="13">
        <f t="shared" si="167"/>
        <v>650</v>
      </c>
      <c r="BN105" s="13">
        <f t="shared" si="146"/>
        <v>650</v>
      </c>
      <c r="BO105" s="13">
        <f t="shared" si="110"/>
        <v>650</v>
      </c>
      <c r="BP105" s="13">
        <f t="shared" si="300"/>
        <v>650</v>
      </c>
      <c r="BQ105" s="13">
        <f t="shared" si="300"/>
        <v>650</v>
      </c>
      <c r="BR105" s="13">
        <f t="shared" si="300"/>
        <v>650</v>
      </c>
      <c r="BS105" s="13">
        <f t="shared" si="300"/>
        <v>650</v>
      </c>
      <c r="BT105" s="13">
        <f t="shared" si="300"/>
        <v>650</v>
      </c>
      <c r="BU105" s="13">
        <f t="shared" si="300"/>
        <v>650</v>
      </c>
      <c r="BV105" s="13">
        <f t="shared" si="300"/>
        <v>650</v>
      </c>
      <c r="BW105" s="13">
        <f t="shared" si="300"/>
        <v>650</v>
      </c>
      <c r="BX105" s="13">
        <f t="shared" si="300"/>
        <v>650</v>
      </c>
      <c r="BY105" s="25">
        <v>24</v>
      </c>
      <c r="BZ105" s="26">
        <f t="shared" si="274"/>
        <v>0.21296296296296297</v>
      </c>
      <c r="CC105" s="84"/>
      <c r="CD105" s="85"/>
      <c r="CE105" s="25">
        <v>24</v>
      </c>
      <c r="CF105" s="26">
        <f t="shared" si="275"/>
        <v>0.21296296296296297</v>
      </c>
      <c r="CG105" s="13">
        <f t="shared" si="301"/>
        <v>600</v>
      </c>
      <c r="CH105" s="13">
        <f t="shared" si="301"/>
        <v>600</v>
      </c>
      <c r="CI105" s="13">
        <f t="shared" si="301"/>
        <v>600</v>
      </c>
      <c r="CJ105" s="13">
        <f t="shared" si="301"/>
        <v>600</v>
      </c>
      <c r="CK105" s="13">
        <f t="shared" si="301"/>
        <v>600</v>
      </c>
      <c r="CL105" s="13">
        <f t="shared" si="301"/>
        <v>600</v>
      </c>
      <c r="CM105" s="13">
        <f t="shared" si="301"/>
        <v>600</v>
      </c>
      <c r="CN105" s="13">
        <f t="shared" si="301"/>
        <v>600</v>
      </c>
      <c r="CO105" s="13">
        <f t="shared" si="301"/>
        <v>600</v>
      </c>
      <c r="CP105" s="13">
        <f t="shared" si="111"/>
        <v>600</v>
      </c>
      <c r="CQ105" s="13">
        <f t="shared" si="147"/>
        <v>600</v>
      </c>
      <c r="CR105" s="13">
        <f t="shared" si="168"/>
        <v>600</v>
      </c>
      <c r="CS105" s="13">
        <f t="shared" si="190"/>
        <v>600</v>
      </c>
      <c r="CT105" s="13">
        <f t="shared" si="217"/>
        <v>600</v>
      </c>
      <c r="CU105" s="13">
        <f t="shared" ref="CU105:CW105" si="308">$L$2/($L$3-$L$4*CT105)</f>
        <v>-1.6746678575415876E-3</v>
      </c>
      <c r="CV105" s="13">
        <f t="shared" si="308"/>
        <v>0.34863354230673421</v>
      </c>
      <c r="CW105" s="13">
        <f t="shared" si="308"/>
        <v>0.39713536344133415</v>
      </c>
      <c r="CX105" s="13">
        <f t="shared" si="219"/>
        <v>650</v>
      </c>
      <c r="CY105" s="13">
        <f t="shared" si="192"/>
        <v>650</v>
      </c>
      <c r="CZ105" s="13">
        <f t="shared" si="169"/>
        <v>650</v>
      </c>
      <c r="DA105" s="13">
        <f t="shared" si="148"/>
        <v>650</v>
      </c>
      <c r="DB105" s="13">
        <f t="shared" si="113"/>
        <v>650</v>
      </c>
      <c r="DC105" s="13">
        <f t="shared" si="303"/>
        <v>650</v>
      </c>
      <c r="DD105" s="13">
        <f t="shared" si="303"/>
        <v>650</v>
      </c>
      <c r="DE105" s="13">
        <f t="shared" si="303"/>
        <v>650</v>
      </c>
      <c r="DF105" s="13">
        <f t="shared" si="303"/>
        <v>650</v>
      </c>
      <c r="DG105" s="13">
        <f t="shared" si="303"/>
        <v>650</v>
      </c>
      <c r="DH105" s="13">
        <f t="shared" si="303"/>
        <v>650</v>
      </c>
      <c r="DI105" s="13">
        <f t="shared" si="303"/>
        <v>650</v>
      </c>
      <c r="DJ105" s="13">
        <f t="shared" si="303"/>
        <v>650</v>
      </c>
      <c r="DK105" s="13">
        <f t="shared" si="303"/>
        <v>650</v>
      </c>
      <c r="DL105" s="25">
        <v>24</v>
      </c>
      <c r="DM105" s="26">
        <f t="shared" si="277"/>
        <v>0.21296296296296297</v>
      </c>
      <c r="DQ105" s="84"/>
      <c r="DR105" s="85"/>
      <c r="DS105" s="25">
        <v>24</v>
      </c>
      <c r="DT105" s="26">
        <f t="shared" si="278"/>
        <v>0.21296296296296297</v>
      </c>
      <c r="DU105" s="13">
        <f t="shared" si="304"/>
        <v>600</v>
      </c>
      <c r="DV105" s="13">
        <f t="shared" si="304"/>
        <v>600</v>
      </c>
      <c r="DW105" s="13">
        <f t="shared" si="304"/>
        <v>600</v>
      </c>
      <c r="DX105" s="13">
        <f t="shared" si="304"/>
        <v>600</v>
      </c>
      <c r="DY105" s="13">
        <f t="shared" si="304"/>
        <v>600</v>
      </c>
      <c r="DZ105" s="13">
        <f t="shared" si="304"/>
        <v>600</v>
      </c>
      <c r="EA105" s="13">
        <f t="shared" si="304"/>
        <v>600</v>
      </c>
      <c r="EB105" s="13">
        <f t="shared" si="304"/>
        <v>600</v>
      </c>
      <c r="EC105" s="13">
        <f t="shared" si="304"/>
        <v>600</v>
      </c>
      <c r="ED105" s="13">
        <f t="shared" si="114"/>
        <v>600</v>
      </c>
      <c r="EE105" s="13">
        <f t="shared" si="149"/>
        <v>600</v>
      </c>
      <c r="EF105" s="13">
        <f t="shared" si="170"/>
        <v>600</v>
      </c>
      <c r="EG105" s="13">
        <f t="shared" si="193"/>
        <v>600</v>
      </c>
      <c r="EH105" s="13">
        <f t="shared" si="220"/>
        <v>600</v>
      </c>
      <c r="EI105" s="13">
        <f t="shared" si="227"/>
        <v>610.21601290903936</v>
      </c>
      <c r="EJ105" s="13">
        <f t="shared" si="221"/>
        <v>397.29691349094304</v>
      </c>
      <c r="EK105" s="13">
        <f t="shared" si="222"/>
        <v>157.78065413334596</v>
      </c>
      <c r="EL105" s="13">
        <f t="shared" si="223"/>
        <v>650</v>
      </c>
      <c r="EM105" s="13">
        <f t="shared" si="198"/>
        <v>650</v>
      </c>
      <c r="EN105" s="13">
        <f t="shared" si="177"/>
        <v>650</v>
      </c>
      <c r="EO105" s="13">
        <f t="shared" si="158"/>
        <v>650</v>
      </c>
      <c r="EP105" s="13">
        <f t="shared" si="125"/>
        <v>650</v>
      </c>
      <c r="EQ105" s="13">
        <f t="shared" si="305"/>
        <v>650</v>
      </c>
      <c r="ER105" s="13">
        <f t="shared" si="305"/>
        <v>650</v>
      </c>
      <c r="ES105" s="13">
        <f t="shared" si="305"/>
        <v>650</v>
      </c>
      <c r="ET105" s="13">
        <f t="shared" si="305"/>
        <v>650</v>
      </c>
      <c r="EU105" s="13">
        <f t="shared" si="305"/>
        <v>650</v>
      </c>
      <c r="EV105" s="13">
        <f t="shared" si="305"/>
        <v>650</v>
      </c>
      <c r="EW105" s="13">
        <f t="shared" si="305"/>
        <v>650</v>
      </c>
      <c r="EX105" s="13">
        <f t="shared" si="305"/>
        <v>650</v>
      </c>
      <c r="EY105" s="13">
        <f t="shared" si="305"/>
        <v>650</v>
      </c>
      <c r="EZ105" s="25">
        <v>24</v>
      </c>
      <c r="FA105" s="26">
        <f t="shared" si="279"/>
        <v>0.21296296296296297</v>
      </c>
    </row>
    <row r="106" spans="3:157" ht="15" customHeight="1" x14ac:dyDescent="0.25">
      <c r="C106" s="84"/>
      <c r="D106" s="85"/>
      <c r="E106" s="25">
        <v>23</v>
      </c>
      <c r="F106" s="26">
        <f t="shared" si="269"/>
        <v>0.20370370370370369</v>
      </c>
      <c r="G106" s="13">
        <f t="shared" si="295"/>
        <v>600</v>
      </c>
      <c r="H106" s="13">
        <f t="shared" si="295"/>
        <v>600</v>
      </c>
      <c r="I106" s="13">
        <f t="shared" si="295"/>
        <v>600</v>
      </c>
      <c r="J106" s="13">
        <f t="shared" si="295"/>
        <v>600</v>
      </c>
      <c r="K106" s="13">
        <f t="shared" si="295"/>
        <v>600</v>
      </c>
      <c r="L106" s="13">
        <f t="shared" si="295"/>
        <v>600</v>
      </c>
      <c r="M106" s="13">
        <f t="shared" si="295"/>
        <v>600</v>
      </c>
      <c r="N106" s="13">
        <f t="shared" si="295"/>
        <v>600</v>
      </c>
      <c r="O106" s="13">
        <f t="shared" si="295"/>
        <v>600</v>
      </c>
      <c r="P106" s="13">
        <f t="shared" si="87"/>
        <v>600</v>
      </c>
      <c r="Q106" s="13">
        <f t="shared" si="129"/>
        <v>600</v>
      </c>
      <c r="R106" s="13">
        <f t="shared" si="159"/>
        <v>600</v>
      </c>
      <c r="S106" s="13">
        <f t="shared" si="178"/>
        <v>600</v>
      </c>
      <c r="T106" s="13">
        <f t="shared" si="210"/>
        <v>600</v>
      </c>
      <c r="U106" s="13">
        <f t="shared" ref="U106" si="309">($F$5*$B$5*T43+$F$4*V43)/($F$4+$F$5*$B$5)</f>
        <v>610.1564588070994</v>
      </c>
      <c r="V106" s="13">
        <f t="shared" si="181"/>
        <v>610.75361996858044</v>
      </c>
      <c r="W106" s="13">
        <f t="shared" ref="W106" si="310">($F$6*$B$5*X43+$F$4*V43)/($F$4+$F$6*$B$5)</f>
        <v>612.38085406830908</v>
      </c>
      <c r="X106" s="13">
        <f t="shared" si="213"/>
        <v>650</v>
      </c>
      <c r="Y106" s="13">
        <f t="shared" si="184"/>
        <v>650</v>
      </c>
      <c r="Z106" s="13">
        <f t="shared" si="165"/>
        <v>650</v>
      </c>
      <c r="AA106" s="13">
        <f t="shared" si="137"/>
        <v>650</v>
      </c>
      <c r="AB106" s="13">
        <f t="shared" si="99"/>
        <v>650</v>
      </c>
      <c r="AC106" s="13">
        <f t="shared" si="298"/>
        <v>650</v>
      </c>
      <c r="AD106" s="13">
        <f t="shared" si="298"/>
        <v>650</v>
      </c>
      <c r="AE106" s="13">
        <f t="shared" si="298"/>
        <v>650</v>
      </c>
      <c r="AF106" s="13">
        <f t="shared" si="298"/>
        <v>650</v>
      </c>
      <c r="AG106" s="13">
        <f t="shared" si="298"/>
        <v>650</v>
      </c>
      <c r="AH106" s="13">
        <f t="shared" si="298"/>
        <v>650</v>
      </c>
      <c r="AI106" s="13">
        <f t="shared" si="298"/>
        <v>650</v>
      </c>
      <c r="AJ106" s="13">
        <f t="shared" si="298"/>
        <v>650</v>
      </c>
      <c r="AK106" s="13">
        <f t="shared" si="298"/>
        <v>650</v>
      </c>
      <c r="AL106" s="25">
        <v>23</v>
      </c>
      <c r="AM106" s="26">
        <f t="shared" si="272"/>
        <v>0.20370370370370369</v>
      </c>
      <c r="AP106" s="87"/>
      <c r="AQ106" s="86"/>
      <c r="AR106" s="25">
        <v>23</v>
      </c>
      <c r="AS106" s="26">
        <f t="shared" si="273"/>
        <v>0.20370370370370369</v>
      </c>
      <c r="AT106" s="13">
        <f t="shared" si="299"/>
        <v>600</v>
      </c>
      <c r="AU106" s="13">
        <f t="shared" si="299"/>
        <v>600</v>
      </c>
      <c r="AV106" s="13">
        <f t="shared" si="299"/>
        <v>600</v>
      </c>
      <c r="AW106" s="13">
        <f t="shared" si="299"/>
        <v>600</v>
      </c>
      <c r="AX106" s="13">
        <f t="shared" si="299"/>
        <v>600</v>
      </c>
      <c r="AY106" s="13">
        <f t="shared" si="299"/>
        <v>600</v>
      </c>
      <c r="AZ106" s="13">
        <f t="shared" si="299"/>
        <v>600</v>
      </c>
      <c r="BA106" s="13">
        <f t="shared" si="299"/>
        <v>600</v>
      </c>
      <c r="BB106" s="13">
        <f t="shared" si="299"/>
        <v>600</v>
      </c>
      <c r="BC106" s="13">
        <f t="shared" si="100"/>
        <v>600</v>
      </c>
      <c r="BD106" s="13">
        <f t="shared" si="138"/>
        <v>600</v>
      </c>
      <c r="BE106" s="13">
        <f t="shared" si="166"/>
        <v>600</v>
      </c>
      <c r="BF106" s="13">
        <f t="shared" si="185"/>
        <v>600</v>
      </c>
      <c r="BG106" s="13">
        <f t="shared" si="214"/>
        <v>600</v>
      </c>
      <c r="BH106" s="52"/>
      <c r="BI106" s="13">
        <f t="shared" si="215"/>
        <v>-2191353917.6317492</v>
      </c>
      <c r="BJ106" s="52"/>
      <c r="BK106" s="13">
        <f t="shared" si="216"/>
        <v>650</v>
      </c>
      <c r="BL106" s="13">
        <f t="shared" si="189"/>
        <v>650</v>
      </c>
      <c r="BM106" s="13">
        <f t="shared" si="167"/>
        <v>650</v>
      </c>
      <c r="BN106" s="13">
        <f t="shared" si="146"/>
        <v>650</v>
      </c>
      <c r="BO106" s="13">
        <f t="shared" si="110"/>
        <v>650</v>
      </c>
      <c r="BP106" s="13">
        <f t="shared" si="300"/>
        <v>650</v>
      </c>
      <c r="BQ106" s="13">
        <f t="shared" si="300"/>
        <v>650</v>
      </c>
      <c r="BR106" s="13">
        <f t="shared" si="300"/>
        <v>650</v>
      </c>
      <c r="BS106" s="13">
        <f t="shared" si="300"/>
        <v>650</v>
      </c>
      <c r="BT106" s="13">
        <f t="shared" si="300"/>
        <v>650</v>
      </c>
      <c r="BU106" s="13">
        <f t="shared" si="300"/>
        <v>650</v>
      </c>
      <c r="BV106" s="13">
        <f t="shared" si="300"/>
        <v>650</v>
      </c>
      <c r="BW106" s="13">
        <f t="shared" si="300"/>
        <v>650</v>
      </c>
      <c r="BX106" s="13">
        <f t="shared" si="300"/>
        <v>650</v>
      </c>
      <c r="BY106" s="25">
        <v>23</v>
      </c>
      <c r="BZ106" s="26">
        <f t="shared" si="274"/>
        <v>0.20370370370370369</v>
      </c>
      <c r="CC106" s="84"/>
      <c r="CD106" s="85"/>
      <c r="CE106" s="25">
        <v>23</v>
      </c>
      <c r="CF106" s="26">
        <f t="shared" si="275"/>
        <v>0.20370370370370369</v>
      </c>
      <c r="CG106" s="13">
        <f t="shared" si="301"/>
        <v>600</v>
      </c>
      <c r="CH106" s="13">
        <f t="shared" si="301"/>
        <v>600</v>
      </c>
      <c r="CI106" s="13">
        <f t="shared" si="301"/>
        <v>600</v>
      </c>
      <c r="CJ106" s="13">
        <f t="shared" si="301"/>
        <v>600</v>
      </c>
      <c r="CK106" s="13">
        <f t="shared" si="301"/>
        <v>600</v>
      </c>
      <c r="CL106" s="13">
        <f t="shared" si="301"/>
        <v>600</v>
      </c>
      <c r="CM106" s="13">
        <f t="shared" si="301"/>
        <v>600</v>
      </c>
      <c r="CN106" s="13">
        <f t="shared" si="301"/>
        <v>600</v>
      </c>
      <c r="CO106" s="13">
        <f t="shared" si="301"/>
        <v>600</v>
      </c>
      <c r="CP106" s="13">
        <f t="shared" si="111"/>
        <v>600</v>
      </c>
      <c r="CQ106" s="13">
        <f t="shared" si="147"/>
        <v>600</v>
      </c>
      <c r="CR106" s="13">
        <f t="shared" si="168"/>
        <v>600</v>
      </c>
      <c r="CS106" s="13">
        <f t="shared" si="190"/>
        <v>600</v>
      </c>
      <c r="CT106" s="13">
        <f t="shared" si="217"/>
        <v>600</v>
      </c>
      <c r="CU106" s="13">
        <f t="shared" ref="CU106:CW106" si="311">$L$2/($L$3-$L$4*CT106)</f>
        <v>-1.6746678575415876E-3</v>
      </c>
      <c r="CV106" s="13">
        <f t="shared" si="311"/>
        <v>0.34863354230673421</v>
      </c>
      <c r="CW106" s="13">
        <f t="shared" si="311"/>
        <v>0.39713536344133415</v>
      </c>
      <c r="CX106" s="13">
        <f t="shared" si="219"/>
        <v>650</v>
      </c>
      <c r="CY106" s="13">
        <f t="shared" si="192"/>
        <v>650</v>
      </c>
      <c r="CZ106" s="13">
        <f t="shared" si="169"/>
        <v>650</v>
      </c>
      <c r="DA106" s="13">
        <f t="shared" si="148"/>
        <v>650</v>
      </c>
      <c r="DB106" s="13">
        <f t="shared" si="113"/>
        <v>650</v>
      </c>
      <c r="DC106" s="13">
        <f t="shared" si="303"/>
        <v>650</v>
      </c>
      <c r="DD106" s="13">
        <f t="shared" si="303"/>
        <v>650</v>
      </c>
      <c r="DE106" s="13">
        <f t="shared" si="303"/>
        <v>650</v>
      </c>
      <c r="DF106" s="13">
        <f t="shared" si="303"/>
        <v>650</v>
      </c>
      <c r="DG106" s="13">
        <f t="shared" si="303"/>
        <v>650</v>
      </c>
      <c r="DH106" s="13">
        <f t="shared" si="303"/>
        <v>650</v>
      </c>
      <c r="DI106" s="13">
        <f t="shared" si="303"/>
        <v>650</v>
      </c>
      <c r="DJ106" s="13">
        <f t="shared" si="303"/>
        <v>650</v>
      </c>
      <c r="DK106" s="13">
        <f t="shared" si="303"/>
        <v>650</v>
      </c>
      <c r="DL106" s="25">
        <v>23</v>
      </c>
      <c r="DM106" s="26">
        <f t="shared" si="277"/>
        <v>0.20370370370370369</v>
      </c>
      <c r="DQ106" s="84"/>
      <c r="DR106" s="85"/>
      <c r="DS106" s="25">
        <v>23</v>
      </c>
      <c r="DT106" s="26">
        <f t="shared" si="278"/>
        <v>0.20370370370370369</v>
      </c>
      <c r="DU106" s="13">
        <f t="shared" si="304"/>
        <v>600</v>
      </c>
      <c r="DV106" s="13">
        <f t="shared" si="304"/>
        <v>600</v>
      </c>
      <c r="DW106" s="13">
        <f t="shared" si="304"/>
        <v>600</v>
      </c>
      <c r="DX106" s="13">
        <f t="shared" si="304"/>
        <v>600</v>
      </c>
      <c r="DY106" s="13">
        <f t="shared" si="304"/>
        <v>600</v>
      </c>
      <c r="DZ106" s="13">
        <f t="shared" si="304"/>
        <v>600</v>
      </c>
      <c r="EA106" s="13">
        <f t="shared" si="304"/>
        <v>600</v>
      </c>
      <c r="EB106" s="13">
        <f t="shared" si="304"/>
        <v>600</v>
      </c>
      <c r="EC106" s="13">
        <f t="shared" si="304"/>
        <v>600</v>
      </c>
      <c r="ED106" s="13">
        <f t="shared" si="114"/>
        <v>600</v>
      </c>
      <c r="EE106" s="13">
        <f t="shared" si="149"/>
        <v>600</v>
      </c>
      <c r="EF106" s="13">
        <f t="shared" si="170"/>
        <v>600</v>
      </c>
      <c r="EG106" s="13">
        <f t="shared" si="193"/>
        <v>600</v>
      </c>
      <c r="EH106" s="13">
        <f t="shared" si="220"/>
        <v>600</v>
      </c>
      <c r="EI106" s="13">
        <f t="shared" si="227"/>
        <v>610.1564588070994</v>
      </c>
      <c r="EJ106" s="13">
        <f t="shared" si="221"/>
        <v>397.2571135739226</v>
      </c>
      <c r="EK106" s="13">
        <f t="shared" si="222"/>
        <v>157.76484817883511</v>
      </c>
      <c r="EL106" s="13">
        <f t="shared" si="223"/>
        <v>650</v>
      </c>
      <c r="EM106" s="13">
        <f t="shared" si="198"/>
        <v>650</v>
      </c>
      <c r="EN106" s="13">
        <f t="shared" si="177"/>
        <v>650</v>
      </c>
      <c r="EO106" s="13">
        <f t="shared" si="158"/>
        <v>650</v>
      </c>
      <c r="EP106" s="13">
        <f t="shared" si="125"/>
        <v>650</v>
      </c>
      <c r="EQ106" s="13">
        <f t="shared" si="305"/>
        <v>650</v>
      </c>
      <c r="ER106" s="13">
        <f t="shared" si="305"/>
        <v>650</v>
      </c>
      <c r="ES106" s="13">
        <f t="shared" si="305"/>
        <v>650</v>
      </c>
      <c r="ET106" s="13">
        <f t="shared" si="305"/>
        <v>650</v>
      </c>
      <c r="EU106" s="13">
        <f t="shared" si="305"/>
        <v>650</v>
      </c>
      <c r="EV106" s="13">
        <f t="shared" si="305"/>
        <v>650</v>
      </c>
      <c r="EW106" s="13">
        <f t="shared" si="305"/>
        <v>650</v>
      </c>
      <c r="EX106" s="13">
        <f t="shared" si="305"/>
        <v>650</v>
      </c>
      <c r="EY106" s="13">
        <f t="shared" si="305"/>
        <v>650</v>
      </c>
      <c r="EZ106" s="25">
        <v>23</v>
      </c>
      <c r="FA106" s="26">
        <f t="shared" si="279"/>
        <v>0.20370370370370369</v>
      </c>
    </row>
    <row r="107" spans="3:157" ht="15" customHeight="1" x14ac:dyDescent="0.25">
      <c r="C107" s="84"/>
      <c r="D107" s="85"/>
      <c r="E107" s="25">
        <v>22</v>
      </c>
      <c r="F107" s="26">
        <f t="shared" si="269"/>
        <v>0.19444444444444442</v>
      </c>
      <c r="G107" s="13">
        <f t="shared" si="295"/>
        <v>600</v>
      </c>
      <c r="H107" s="13">
        <f t="shared" si="295"/>
        <v>600</v>
      </c>
      <c r="I107" s="13">
        <f t="shared" si="295"/>
        <v>600</v>
      </c>
      <c r="J107" s="13">
        <f t="shared" si="295"/>
        <v>600</v>
      </c>
      <c r="K107" s="13">
        <f t="shared" si="295"/>
        <v>600</v>
      </c>
      <c r="L107" s="13">
        <f t="shared" si="295"/>
        <v>600</v>
      </c>
      <c r="M107" s="13">
        <f t="shared" si="295"/>
        <v>600</v>
      </c>
      <c r="N107" s="13">
        <f t="shared" si="295"/>
        <v>600</v>
      </c>
      <c r="O107" s="13">
        <f t="shared" si="295"/>
        <v>600</v>
      </c>
      <c r="P107" s="13">
        <f t="shared" si="87"/>
        <v>600</v>
      </c>
      <c r="Q107" s="13">
        <f t="shared" si="129"/>
        <v>600</v>
      </c>
      <c r="R107" s="13">
        <f t="shared" si="159"/>
        <v>600</v>
      </c>
      <c r="S107" s="13">
        <f t="shared" si="178"/>
        <v>600</v>
      </c>
      <c r="T107" s="13">
        <f t="shared" si="210"/>
        <v>600</v>
      </c>
      <c r="U107" s="13">
        <f t="shared" ref="U107" si="312">($F$5*$B$5*T44+$F$4*V44)/($F$4+$F$5*$B$5)</f>
        <v>610.0733717814802</v>
      </c>
      <c r="V107" s="13">
        <f t="shared" si="181"/>
        <v>610.66872379150368</v>
      </c>
      <c r="W107" s="13">
        <f t="shared" ref="W107" si="313">($F$6*$B$5*X44+$F$4*V44)/($F$4+$F$6*$B$5)</f>
        <v>612.29661305622301</v>
      </c>
      <c r="X107" s="13">
        <f t="shared" si="213"/>
        <v>650</v>
      </c>
      <c r="Y107" s="13">
        <f t="shared" si="184"/>
        <v>650</v>
      </c>
      <c r="Z107" s="13">
        <f t="shared" si="165"/>
        <v>650</v>
      </c>
      <c r="AA107" s="13">
        <f t="shared" si="137"/>
        <v>650</v>
      </c>
      <c r="AB107" s="13">
        <f t="shared" si="99"/>
        <v>650</v>
      </c>
      <c r="AC107" s="13">
        <f t="shared" si="298"/>
        <v>650</v>
      </c>
      <c r="AD107" s="13">
        <f t="shared" si="298"/>
        <v>650</v>
      </c>
      <c r="AE107" s="13">
        <f t="shared" si="298"/>
        <v>650</v>
      </c>
      <c r="AF107" s="13">
        <f t="shared" si="298"/>
        <v>650</v>
      </c>
      <c r="AG107" s="13">
        <f t="shared" si="298"/>
        <v>650</v>
      </c>
      <c r="AH107" s="13">
        <f t="shared" si="298"/>
        <v>650</v>
      </c>
      <c r="AI107" s="13">
        <f t="shared" si="298"/>
        <v>650</v>
      </c>
      <c r="AJ107" s="13">
        <f t="shared" si="298"/>
        <v>650</v>
      </c>
      <c r="AK107" s="13">
        <f t="shared" si="298"/>
        <v>650</v>
      </c>
      <c r="AL107" s="25">
        <v>22</v>
      </c>
      <c r="AM107" s="26">
        <f t="shared" si="272"/>
        <v>0.19444444444444442</v>
      </c>
      <c r="AP107" s="87"/>
      <c r="AQ107" s="86"/>
      <c r="AR107" s="25">
        <v>22</v>
      </c>
      <c r="AS107" s="26">
        <f t="shared" si="273"/>
        <v>0.19444444444444442</v>
      </c>
      <c r="AT107" s="13">
        <f t="shared" si="299"/>
        <v>600</v>
      </c>
      <c r="AU107" s="13">
        <f t="shared" si="299"/>
        <v>600</v>
      </c>
      <c r="AV107" s="13">
        <f t="shared" si="299"/>
        <v>600</v>
      </c>
      <c r="AW107" s="13">
        <f t="shared" si="299"/>
        <v>600</v>
      </c>
      <c r="AX107" s="13">
        <f t="shared" si="299"/>
        <v>600</v>
      </c>
      <c r="AY107" s="13">
        <f t="shared" si="299"/>
        <v>600</v>
      </c>
      <c r="AZ107" s="13">
        <f t="shared" si="299"/>
        <v>600</v>
      </c>
      <c r="BA107" s="13">
        <f t="shared" si="299"/>
        <v>600</v>
      </c>
      <c r="BB107" s="13">
        <f t="shared" si="299"/>
        <v>600</v>
      </c>
      <c r="BC107" s="13">
        <f t="shared" si="100"/>
        <v>600</v>
      </c>
      <c r="BD107" s="13">
        <f t="shared" si="138"/>
        <v>600</v>
      </c>
      <c r="BE107" s="13">
        <f t="shared" si="166"/>
        <v>600</v>
      </c>
      <c r="BF107" s="13">
        <f t="shared" si="185"/>
        <v>600</v>
      </c>
      <c r="BG107" s="13">
        <f t="shared" si="214"/>
        <v>600</v>
      </c>
      <c r="BH107" s="52"/>
      <c r="BI107" s="13">
        <f t="shared" si="215"/>
        <v>-2191038519.2824988</v>
      </c>
      <c r="BJ107" s="52"/>
      <c r="BK107" s="13">
        <f t="shared" si="216"/>
        <v>650</v>
      </c>
      <c r="BL107" s="13">
        <f t="shared" si="189"/>
        <v>650</v>
      </c>
      <c r="BM107" s="13">
        <f t="shared" si="167"/>
        <v>650</v>
      </c>
      <c r="BN107" s="13">
        <f t="shared" si="146"/>
        <v>650</v>
      </c>
      <c r="BO107" s="13">
        <f t="shared" si="110"/>
        <v>650</v>
      </c>
      <c r="BP107" s="13">
        <f t="shared" si="300"/>
        <v>650</v>
      </c>
      <c r="BQ107" s="13">
        <f t="shared" si="300"/>
        <v>650</v>
      </c>
      <c r="BR107" s="13">
        <f t="shared" si="300"/>
        <v>650</v>
      </c>
      <c r="BS107" s="13">
        <f t="shared" si="300"/>
        <v>650</v>
      </c>
      <c r="BT107" s="13">
        <f t="shared" si="300"/>
        <v>650</v>
      </c>
      <c r="BU107" s="13">
        <f t="shared" si="300"/>
        <v>650</v>
      </c>
      <c r="BV107" s="13">
        <f t="shared" si="300"/>
        <v>650</v>
      </c>
      <c r="BW107" s="13">
        <f t="shared" si="300"/>
        <v>650</v>
      </c>
      <c r="BX107" s="13">
        <f t="shared" si="300"/>
        <v>650</v>
      </c>
      <c r="BY107" s="25">
        <v>22</v>
      </c>
      <c r="BZ107" s="26">
        <f t="shared" si="274"/>
        <v>0.19444444444444442</v>
      </c>
      <c r="CC107" s="84"/>
      <c r="CD107" s="85"/>
      <c r="CE107" s="25">
        <v>22</v>
      </c>
      <c r="CF107" s="26">
        <f t="shared" si="275"/>
        <v>0.19444444444444442</v>
      </c>
      <c r="CG107" s="13">
        <f t="shared" si="301"/>
        <v>600</v>
      </c>
      <c r="CH107" s="13">
        <f t="shared" si="301"/>
        <v>600</v>
      </c>
      <c r="CI107" s="13">
        <f t="shared" si="301"/>
        <v>600</v>
      </c>
      <c r="CJ107" s="13">
        <f t="shared" si="301"/>
        <v>600</v>
      </c>
      <c r="CK107" s="13">
        <f t="shared" si="301"/>
        <v>600</v>
      </c>
      <c r="CL107" s="13">
        <f t="shared" si="301"/>
        <v>600</v>
      </c>
      <c r="CM107" s="13">
        <f t="shared" si="301"/>
        <v>600</v>
      </c>
      <c r="CN107" s="13">
        <f t="shared" si="301"/>
        <v>600</v>
      </c>
      <c r="CO107" s="13">
        <f t="shared" si="301"/>
        <v>600</v>
      </c>
      <c r="CP107" s="13">
        <f t="shared" si="111"/>
        <v>600</v>
      </c>
      <c r="CQ107" s="13">
        <f t="shared" si="147"/>
        <v>600</v>
      </c>
      <c r="CR107" s="13">
        <f t="shared" si="168"/>
        <v>600</v>
      </c>
      <c r="CS107" s="13">
        <f t="shared" si="190"/>
        <v>600</v>
      </c>
      <c r="CT107" s="13">
        <f t="shared" si="217"/>
        <v>600</v>
      </c>
      <c r="CU107" s="13">
        <f t="shared" ref="CU107:CW107" si="314">$L$2/($L$3-$L$4*CT107)</f>
        <v>-1.6746678575415876E-3</v>
      </c>
      <c r="CV107" s="13">
        <f t="shared" si="314"/>
        <v>0.34863354230673421</v>
      </c>
      <c r="CW107" s="13">
        <f t="shared" si="314"/>
        <v>0.39713536344133415</v>
      </c>
      <c r="CX107" s="13">
        <f t="shared" si="219"/>
        <v>650</v>
      </c>
      <c r="CY107" s="13">
        <f t="shared" si="192"/>
        <v>650</v>
      </c>
      <c r="CZ107" s="13">
        <f t="shared" si="169"/>
        <v>650</v>
      </c>
      <c r="DA107" s="13">
        <f t="shared" si="148"/>
        <v>650</v>
      </c>
      <c r="DB107" s="13">
        <f t="shared" si="113"/>
        <v>650</v>
      </c>
      <c r="DC107" s="13">
        <f t="shared" si="303"/>
        <v>650</v>
      </c>
      <c r="DD107" s="13">
        <f t="shared" si="303"/>
        <v>650</v>
      </c>
      <c r="DE107" s="13">
        <f t="shared" si="303"/>
        <v>650</v>
      </c>
      <c r="DF107" s="13">
        <f t="shared" si="303"/>
        <v>650</v>
      </c>
      <c r="DG107" s="13">
        <f t="shared" si="303"/>
        <v>650</v>
      </c>
      <c r="DH107" s="13">
        <f t="shared" si="303"/>
        <v>650</v>
      </c>
      <c r="DI107" s="13">
        <f t="shared" si="303"/>
        <v>650</v>
      </c>
      <c r="DJ107" s="13">
        <f t="shared" si="303"/>
        <v>650</v>
      </c>
      <c r="DK107" s="13">
        <f t="shared" si="303"/>
        <v>650</v>
      </c>
      <c r="DL107" s="25">
        <v>22</v>
      </c>
      <c r="DM107" s="26">
        <f t="shared" si="277"/>
        <v>0.19444444444444442</v>
      </c>
      <c r="DQ107" s="84"/>
      <c r="DR107" s="85"/>
      <c r="DS107" s="25">
        <v>22</v>
      </c>
      <c r="DT107" s="26">
        <f t="shared" si="278"/>
        <v>0.19444444444444442</v>
      </c>
      <c r="DU107" s="13">
        <f t="shared" si="304"/>
        <v>600</v>
      </c>
      <c r="DV107" s="13">
        <f t="shared" si="304"/>
        <v>600</v>
      </c>
      <c r="DW107" s="13">
        <f t="shared" si="304"/>
        <v>600</v>
      </c>
      <c r="DX107" s="13">
        <f t="shared" si="304"/>
        <v>600</v>
      </c>
      <c r="DY107" s="13">
        <f t="shared" si="304"/>
        <v>600</v>
      </c>
      <c r="DZ107" s="13">
        <f t="shared" si="304"/>
        <v>600</v>
      </c>
      <c r="EA107" s="13">
        <f t="shared" si="304"/>
        <v>600</v>
      </c>
      <c r="EB107" s="13">
        <f t="shared" si="304"/>
        <v>600</v>
      </c>
      <c r="EC107" s="13">
        <f t="shared" si="304"/>
        <v>600</v>
      </c>
      <c r="ED107" s="13">
        <f t="shared" si="114"/>
        <v>600</v>
      </c>
      <c r="EE107" s="13">
        <f t="shared" si="149"/>
        <v>600</v>
      </c>
      <c r="EF107" s="13">
        <f t="shared" si="170"/>
        <v>600</v>
      </c>
      <c r="EG107" s="13">
        <f t="shared" si="193"/>
        <v>600</v>
      </c>
      <c r="EH107" s="13">
        <f t="shared" si="220"/>
        <v>600</v>
      </c>
      <c r="EI107" s="13">
        <f t="shared" si="227"/>
        <v>610.0733717814802</v>
      </c>
      <c r="EJ107" s="13">
        <f t="shared" si="221"/>
        <v>397.20158663929686</v>
      </c>
      <c r="EK107" s="13">
        <f t="shared" si="222"/>
        <v>157.74279646947176</v>
      </c>
      <c r="EL107" s="13">
        <f t="shared" si="223"/>
        <v>650</v>
      </c>
      <c r="EM107" s="13">
        <f t="shared" si="198"/>
        <v>650</v>
      </c>
      <c r="EN107" s="13">
        <f t="shared" si="177"/>
        <v>650</v>
      </c>
      <c r="EO107" s="13">
        <f t="shared" si="158"/>
        <v>650</v>
      </c>
      <c r="EP107" s="13">
        <f t="shared" si="125"/>
        <v>650</v>
      </c>
      <c r="EQ107" s="13">
        <f t="shared" si="305"/>
        <v>650</v>
      </c>
      <c r="ER107" s="13">
        <f t="shared" si="305"/>
        <v>650</v>
      </c>
      <c r="ES107" s="13">
        <f t="shared" si="305"/>
        <v>650</v>
      </c>
      <c r="ET107" s="13">
        <f t="shared" si="305"/>
        <v>650</v>
      </c>
      <c r="EU107" s="13">
        <f t="shared" si="305"/>
        <v>650</v>
      </c>
      <c r="EV107" s="13">
        <f t="shared" si="305"/>
        <v>650</v>
      </c>
      <c r="EW107" s="13">
        <f t="shared" si="305"/>
        <v>650</v>
      </c>
      <c r="EX107" s="13">
        <f t="shared" si="305"/>
        <v>650</v>
      </c>
      <c r="EY107" s="13">
        <f t="shared" si="305"/>
        <v>650</v>
      </c>
      <c r="EZ107" s="25">
        <v>22</v>
      </c>
      <c r="FA107" s="26">
        <f t="shared" si="279"/>
        <v>0.19444444444444442</v>
      </c>
    </row>
    <row r="108" spans="3:157" ht="15" customHeight="1" x14ac:dyDescent="0.25">
      <c r="C108" s="84"/>
      <c r="D108" s="85"/>
      <c r="E108" s="25">
        <v>21</v>
      </c>
      <c r="F108" s="26">
        <f t="shared" si="269"/>
        <v>0.18518518518518517</v>
      </c>
      <c r="G108" s="13">
        <f t="shared" si="295"/>
        <v>600</v>
      </c>
      <c r="H108" s="13">
        <f t="shared" si="295"/>
        <v>600</v>
      </c>
      <c r="I108" s="13">
        <f t="shared" si="295"/>
        <v>600</v>
      </c>
      <c r="J108" s="13">
        <f t="shared" si="295"/>
        <v>600</v>
      </c>
      <c r="K108" s="13">
        <f t="shared" si="295"/>
        <v>600</v>
      </c>
      <c r="L108" s="13">
        <f t="shared" si="295"/>
        <v>600</v>
      </c>
      <c r="M108" s="13">
        <f t="shared" si="295"/>
        <v>600</v>
      </c>
      <c r="N108" s="13">
        <f t="shared" si="295"/>
        <v>600</v>
      </c>
      <c r="O108" s="13">
        <f t="shared" si="295"/>
        <v>600</v>
      </c>
      <c r="P108" s="13">
        <f t="shared" si="87"/>
        <v>600</v>
      </c>
      <c r="Q108" s="13">
        <f t="shared" si="129"/>
        <v>600</v>
      </c>
      <c r="R108" s="13">
        <f t="shared" si="159"/>
        <v>600</v>
      </c>
      <c r="S108" s="13">
        <f t="shared" si="178"/>
        <v>600</v>
      </c>
      <c r="T108" s="13">
        <f t="shared" si="210"/>
        <v>600</v>
      </c>
      <c r="U108" s="13">
        <f t="shared" ref="U108" si="315">($F$5*$B$5*T45+$F$4*V45)/($F$4+$F$5*$B$5)</f>
        <v>609.95848952284007</v>
      </c>
      <c r="V108" s="13">
        <f t="shared" si="181"/>
        <v>610.55134006642947</v>
      </c>
      <c r="W108" s="13">
        <f t="shared" ref="W108" si="316">($F$6*$B$5*X45+$F$4*V45)/($F$4+$F$6*$B$5)</f>
        <v>612.18013521065723</v>
      </c>
      <c r="X108" s="13">
        <f t="shared" si="213"/>
        <v>650</v>
      </c>
      <c r="Y108" s="13">
        <f t="shared" si="184"/>
        <v>650</v>
      </c>
      <c r="Z108" s="13">
        <f t="shared" si="165"/>
        <v>650</v>
      </c>
      <c r="AA108" s="13">
        <f t="shared" si="137"/>
        <v>650</v>
      </c>
      <c r="AB108" s="13">
        <f t="shared" si="99"/>
        <v>650</v>
      </c>
      <c r="AC108" s="13">
        <f t="shared" si="298"/>
        <v>650</v>
      </c>
      <c r="AD108" s="13">
        <f t="shared" si="298"/>
        <v>650</v>
      </c>
      <c r="AE108" s="13">
        <f t="shared" si="298"/>
        <v>650</v>
      </c>
      <c r="AF108" s="13">
        <f t="shared" si="298"/>
        <v>650</v>
      </c>
      <c r="AG108" s="13">
        <f t="shared" si="298"/>
        <v>650</v>
      </c>
      <c r="AH108" s="13">
        <f t="shared" si="298"/>
        <v>650</v>
      </c>
      <c r="AI108" s="13">
        <f t="shared" si="298"/>
        <v>650</v>
      </c>
      <c r="AJ108" s="13">
        <f t="shared" si="298"/>
        <v>650</v>
      </c>
      <c r="AK108" s="13">
        <f t="shared" si="298"/>
        <v>650</v>
      </c>
      <c r="AL108" s="25">
        <v>21</v>
      </c>
      <c r="AM108" s="26">
        <f t="shared" si="272"/>
        <v>0.18518518518518517</v>
      </c>
      <c r="AP108" s="87"/>
      <c r="AQ108" s="86"/>
      <c r="AR108" s="25">
        <v>21</v>
      </c>
      <c r="AS108" s="26">
        <f t="shared" si="273"/>
        <v>0.18518518518518517</v>
      </c>
      <c r="AT108" s="13">
        <f t="shared" si="299"/>
        <v>600</v>
      </c>
      <c r="AU108" s="13">
        <f t="shared" si="299"/>
        <v>600</v>
      </c>
      <c r="AV108" s="13">
        <f t="shared" si="299"/>
        <v>600</v>
      </c>
      <c r="AW108" s="13">
        <f t="shared" si="299"/>
        <v>600</v>
      </c>
      <c r="AX108" s="13">
        <f t="shared" si="299"/>
        <v>600</v>
      </c>
      <c r="AY108" s="13">
        <f t="shared" si="299"/>
        <v>600</v>
      </c>
      <c r="AZ108" s="13">
        <f t="shared" si="299"/>
        <v>600</v>
      </c>
      <c r="BA108" s="13">
        <f t="shared" si="299"/>
        <v>600</v>
      </c>
      <c r="BB108" s="13">
        <f t="shared" si="299"/>
        <v>600</v>
      </c>
      <c r="BC108" s="13">
        <f t="shared" si="100"/>
        <v>600</v>
      </c>
      <c r="BD108" s="13">
        <f t="shared" si="138"/>
        <v>600</v>
      </c>
      <c r="BE108" s="13">
        <f t="shared" si="166"/>
        <v>600</v>
      </c>
      <c r="BF108" s="13">
        <f t="shared" si="185"/>
        <v>600</v>
      </c>
      <c r="BG108" s="13">
        <f t="shared" si="214"/>
        <v>600</v>
      </c>
      <c r="BH108" s="52"/>
      <c r="BI108" s="13">
        <f t="shared" si="215"/>
        <v>-2190602426.2287006</v>
      </c>
      <c r="BJ108" s="52"/>
      <c r="BK108" s="13">
        <f t="shared" si="216"/>
        <v>650</v>
      </c>
      <c r="BL108" s="13">
        <f t="shared" si="189"/>
        <v>650</v>
      </c>
      <c r="BM108" s="13">
        <f t="shared" si="167"/>
        <v>650</v>
      </c>
      <c r="BN108" s="13">
        <f t="shared" si="146"/>
        <v>650</v>
      </c>
      <c r="BO108" s="13">
        <f t="shared" si="110"/>
        <v>650</v>
      </c>
      <c r="BP108" s="13">
        <f t="shared" si="300"/>
        <v>650</v>
      </c>
      <c r="BQ108" s="13">
        <f t="shared" si="300"/>
        <v>650</v>
      </c>
      <c r="BR108" s="13">
        <f t="shared" si="300"/>
        <v>650</v>
      </c>
      <c r="BS108" s="13">
        <f t="shared" si="300"/>
        <v>650</v>
      </c>
      <c r="BT108" s="13">
        <f t="shared" si="300"/>
        <v>650</v>
      </c>
      <c r="BU108" s="13">
        <f t="shared" si="300"/>
        <v>650</v>
      </c>
      <c r="BV108" s="13">
        <f t="shared" si="300"/>
        <v>650</v>
      </c>
      <c r="BW108" s="13">
        <f t="shared" si="300"/>
        <v>650</v>
      </c>
      <c r="BX108" s="13">
        <f t="shared" si="300"/>
        <v>650</v>
      </c>
      <c r="BY108" s="25">
        <v>21</v>
      </c>
      <c r="BZ108" s="26">
        <f t="shared" si="274"/>
        <v>0.18518518518518517</v>
      </c>
      <c r="CC108" s="84"/>
      <c r="CD108" s="85"/>
      <c r="CE108" s="25">
        <v>21</v>
      </c>
      <c r="CF108" s="26">
        <f t="shared" si="275"/>
        <v>0.18518518518518517</v>
      </c>
      <c r="CG108" s="13">
        <f t="shared" si="301"/>
        <v>600</v>
      </c>
      <c r="CH108" s="13">
        <f t="shared" si="301"/>
        <v>600</v>
      </c>
      <c r="CI108" s="13">
        <f t="shared" si="301"/>
        <v>600</v>
      </c>
      <c r="CJ108" s="13">
        <f t="shared" si="301"/>
        <v>600</v>
      </c>
      <c r="CK108" s="13">
        <f t="shared" si="301"/>
        <v>600</v>
      </c>
      <c r="CL108" s="13">
        <f t="shared" si="301"/>
        <v>600</v>
      </c>
      <c r="CM108" s="13">
        <f t="shared" si="301"/>
        <v>600</v>
      </c>
      <c r="CN108" s="13">
        <f t="shared" si="301"/>
        <v>600</v>
      </c>
      <c r="CO108" s="13">
        <f t="shared" si="301"/>
        <v>600</v>
      </c>
      <c r="CP108" s="13">
        <f t="shared" si="111"/>
        <v>600</v>
      </c>
      <c r="CQ108" s="13">
        <f t="shared" si="147"/>
        <v>600</v>
      </c>
      <c r="CR108" s="13">
        <f t="shared" si="168"/>
        <v>600</v>
      </c>
      <c r="CS108" s="13">
        <f t="shared" si="190"/>
        <v>600</v>
      </c>
      <c r="CT108" s="13">
        <f t="shared" si="217"/>
        <v>600</v>
      </c>
      <c r="CU108" s="13">
        <f t="shared" ref="CU108:CW108" si="317">$L$2/($L$3-$L$4*CT108)</f>
        <v>-1.6746678575415876E-3</v>
      </c>
      <c r="CV108" s="13">
        <f t="shared" si="317"/>
        <v>0.34863354230673421</v>
      </c>
      <c r="CW108" s="13">
        <f t="shared" si="317"/>
        <v>0.39713536344133415</v>
      </c>
      <c r="CX108" s="13">
        <f t="shared" si="219"/>
        <v>650</v>
      </c>
      <c r="CY108" s="13">
        <f t="shared" si="192"/>
        <v>650</v>
      </c>
      <c r="CZ108" s="13">
        <f t="shared" si="169"/>
        <v>650</v>
      </c>
      <c r="DA108" s="13">
        <f t="shared" si="148"/>
        <v>650</v>
      </c>
      <c r="DB108" s="13">
        <f t="shared" si="113"/>
        <v>650</v>
      </c>
      <c r="DC108" s="13">
        <f t="shared" si="303"/>
        <v>650</v>
      </c>
      <c r="DD108" s="13">
        <f t="shared" si="303"/>
        <v>650</v>
      </c>
      <c r="DE108" s="13">
        <f t="shared" si="303"/>
        <v>650</v>
      </c>
      <c r="DF108" s="13">
        <f t="shared" si="303"/>
        <v>650</v>
      </c>
      <c r="DG108" s="13">
        <f t="shared" si="303"/>
        <v>650</v>
      </c>
      <c r="DH108" s="13">
        <f t="shared" si="303"/>
        <v>650</v>
      </c>
      <c r="DI108" s="13">
        <f t="shared" si="303"/>
        <v>650</v>
      </c>
      <c r="DJ108" s="13">
        <f t="shared" si="303"/>
        <v>650</v>
      </c>
      <c r="DK108" s="13">
        <f t="shared" si="303"/>
        <v>650</v>
      </c>
      <c r="DL108" s="25">
        <v>21</v>
      </c>
      <c r="DM108" s="26">
        <f t="shared" si="277"/>
        <v>0.18518518518518517</v>
      </c>
      <c r="DQ108" s="84"/>
      <c r="DR108" s="85"/>
      <c r="DS108" s="25">
        <v>21</v>
      </c>
      <c r="DT108" s="26">
        <f t="shared" si="278"/>
        <v>0.18518518518518517</v>
      </c>
      <c r="DU108" s="13">
        <f t="shared" si="304"/>
        <v>600</v>
      </c>
      <c r="DV108" s="13">
        <f t="shared" si="304"/>
        <v>600</v>
      </c>
      <c r="DW108" s="13">
        <f t="shared" si="304"/>
        <v>600</v>
      </c>
      <c r="DX108" s="13">
        <f t="shared" si="304"/>
        <v>600</v>
      </c>
      <c r="DY108" s="13">
        <f t="shared" si="304"/>
        <v>600</v>
      </c>
      <c r="DZ108" s="13">
        <f t="shared" si="304"/>
        <v>600</v>
      </c>
      <c r="EA108" s="13">
        <f t="shared" si="304"/>
        <v>600</v>
      </c>
      <c r="EB108" s="13">
        <f t="shared" si="304"/>
        <v>600</v>
      </c>
      <c r="EC108" s="13">
        <f t="shared" si="304"/>
        <v>600</v>
      </c>
      <c r="ED108" s="13">
        <f t="shared" si="114"/>
        <v>600</v>
      </c>
      <c r="EE108" s="13">
        <f t="shared" si="149"/>
        <v>600</v>
      </c>
      <c r="EF108" s="13">
        <f t="shared" si="170"/>
        <v>600</v>
      </c>
      <c r="EG108" s="13">
        <f t="shared" si="193"/>
        <v>600</v>
      </c>
      <c r="EH108" s="13">
        <f t="shared" si="220"/>
        <v>600</v>
      </c>
      <c r="EI108" s="13">
        <f t="shared" si="227"/>
        <v>609.95848952284007</v>
      </c>
      <c r="EJ108" s="13">
        <f t="shared" si="221"/>
        <v>397.12481099812254</v>
      </c>
      <c r="EK108" s="13">
        <f t="shared" si="222"/>
        <v>157.71230614731056</v>
      </c>
      <c r="EL108" s="13">
        <f t="shared" si="223"/>
        <v>650</v>
      </c>
      <c r="EM108" s="13">
        <f t="shared" si="198"/>
        <v>650</v>
      </c>
      <c r="EN108" s="13">
        <f t="shared" si="177"/>
        <v>650</v>
      </c>
      <c r="EO108" s="13">
        <f t="shared" si="158"/>
        <v>650</v>
      </c>
      <c r="EP108" s="13">
        <f t="shared" si="125"/>
        <v>650</v>
      </c>
      <c r="EQ108" s="13">
        <f t="shared" si="305"/>
        <v>650</v>
      </c>
      <c r="ER108" s="13">
        <f t="shared" si="305"/>
        <v>650</v>
      </c>
      <c r="ES108" s="13">
        <f t="shared" si="305"/>
        <v>650</v>
      </c>
      <c r="ET108" s="13">
        <f t="shared" si="305"/>
        <v>650</v>
      </c>
      <c r="EU108" s="13">
        <f t="shared" si="305"/>
        <v>650</v>
      </c>
      <c r="EV108" s="13">
        <f t="shared" si="305"/>
        <v>650</v>
      </c>
      <c r="EW108" s="13">
        <f t="shared" si="305"/>
        <v>650</v>
      </c>
      <c r="EX108" s="13">
        <f t="shared" si="305"/>
        <v>650</v>
      </c>
      <c r="EY108" s="13">
        <f t="shared" si="305"/>
        <v>650</v>
      </c>
      <c r="EZ108" s="25">
        <v>21</v>
      </c>
      <c r="FA108" s="26">
        <f t="shared" si="279"/>
        <v>0.18518518518518517</v>
      </c>
    </row>
    <row r="109" spans="3:157" ht="15" customHeight="1" x14ac:dyDescent="0.25">
      <c r="C109" s="84"/>
      <c r="D109" s="85"/>
      <c r="E109" s="25">
        <v>20</v>
      </c>
      <c r="F109" s="26">
        <f t="shared" si="269"/>
        <v>0.17592592592592593</v>
      </c>
      <c r="G109" s="13">
        <f t="shared" si="295"/>
        <v>600</v>
      </c>
      <c r="H109" s="13">
        <f t="shared" si="295"/>
        <v>600</v>
      </c>
      <c r="I109" s="13">
        <f t="shared" si="295"/>
        <v>600</v>
      </c>
      <c r="J109" s="13">
        <f t="shared" si="295"/>
        <v>600</v>
      </c>
      <c r="K109" s="13">
        <f t="shared" si="295"/>
        <v>600</v>
      </c>
      <c r="L109" s="13">
        <f t="shared" si="295"/>
        <v>600</v>
      </c>
      <c r="M109" s="13">
        <f t="shared" si="295"/>
        <v>600</v>
      </c>
      <c r="N109" s="13">
        <f t="shared" si="295"/>
        <v>600</v>
      </c>
      <c r="O109" s="13">
        <f t="shared" si="295"/>
        <v>600</v>
      </c>
      <c r="P109" s="13">
        <f t="shared" si="87"/>
        <v>600</v>
      </c>
      <c r="Q109" s="13">
        <f t="shared" si="129"/>
        <v>600</v>
      </c>
      <c r="R109" s="13">
        <f t="shared" si="159"/>
        <v>600</v>
      </c>
      <c r="S109" s="13">
        <f t="shared" si="178"/>
        <v>600</v>
      </c>
      <c r="T109" s="13">
        <f t="shared" si="210"/>
        <v>600</v>
      </c>
      <c r="U109" s="13">
        <f t="shared" ref="U109" si="318">($F$5*$B$5*T46+$F$4*V46)/($F$4+$F$5*$B$5)</f>
        <v>609.80159108444207</v>
      </c>
      <c r="V109" s="13">
        <f t="shared" si="181"/>
        <v>610.39102529393563</v>
      </c>
      <c r="W109" s="13">
        <f t="shared" ref="W109" si="319">($F$6*$B$5*X46+$F$4*V46)/($F$4+$F$6*$B$5)</f>
        <v>612.02105762728149</v>
      </c>
      <c r="X109" s="13">
        <f t="shared" si="213"/>
        <v>650</v>
      </c>
      <c r="Y109" s="13">
        <f t="shared" si="184"/>
        <v>650</v>
      </c>
      <c r="Z109" s="13">
        <f t="shared" si="165"/>
        <v>650</v>
      </c>
      <c r="AA109" s="13">
        <f t="shared" si="137"/>
        <v>650</v>
      </c>
      <c r="AB109" s="13">
        <f t="shared" si="99"/>
        <v>650</v>
      </c>
      <c r="AC109" s="13">
        <f t="shared" si="298"/>
        <v>650</v>
      </c>
      <c r="AD109" s="13">
        <f t="shared" si="298"/>
        <v>650</v>
      </c>
      <c r="AE109" s="13">
        <f t="shared" si="298"/>
        <v>650</v>
      </c>
      <c r="AF109" s="13">
        <f t="shared" si="298"/>
        <v>650</v>
      </c>
      <c r="AG109" s="13">
        <f t="shared" si="298"/>
        <v>650</v>
      </c>
      <c r="AH109" s="13">
        <f t="shared" si="298"/>
        <v>650</v>
      </c>
      <c r="AI109" s="13">
        <f t="shared" si="298"/>
        <v>650</v>
      </c>
      <c r="AJ109" s="13">
        <f t="shared" si="298"/>
        <v>650</v>
      </c>
      <c r="AK109" s="13">
        <f t="shared" si="298"/>
        <v>650</v>
      </c>
      <c r="AL109" s="25">
        <v>20</v>
      </c>
      <c r="AM109" s="26">
        <f t="shared" si="272"/>
        <v>0.17592592592592593</v>
      </c>
      <c r="AP109" s="87"/>
      <c r="AQ109" s="86"/>
      <c r="AR109" s="25">
        <v>20</v>
      </c>
      <c r="AS109" s="26">
        <f t="shared" si="273"/>
        <v>0.17592592592592593</v>
      </c>
      <c r="AT109" s="13">
        <f t="shared" si="299"/>
        <v>600</v>
      </c>
      <c r="AU109" s="13">
        <f t="shared" si="299"/>
        <v>600</v>
      </c>
      <c r="AV109" s="13">
        <f t="shared" si="299"/>
        <v>600</v>
      </c>
      <c r="AW109" s="13">
        <f t="shared" si="299"/>
        <v>600</v>
      </c>
      <c r="AX109" s="13">
        <f t="shared" si="299"/>
        <v>600</v>
      </c>
      <c r="AY109" s="13">
        <f t="shared" si="299"/>
        <v>600</v>
      </c>
      <c r="AZ109" s="13">
        <f t="shared" si="299"/>
        <v>600</v>
      </c>
      <c r="BA109" s="13">
        <f t="shared" si="299"/>
        <v>600</v>
      </c>
      <c r="BB109" s="13">
        <f t="shared" si="299"/>
        <v>600</v>
      </c>
      <c r="BC109" s="13">
        <f t="shared" si="100"/>
        <v>600</v>
      </c>
      <c r="BD109" s="13">
        <f t="shared" si="138"/>
        <v>600</v>
      </c>
      <c r="BE109" s="13">
        <f t="shared" si="166"/>
        <v>600</v>
      </c>
      <c r="BF109" s="13">
        <f t="shared" si="185"/>
        <v>600</v>
      </c>
      <c r="BG109" s="13">
        <f t="shared" si="214"/>
        <v>600</v>
      </c>
      <c r="BH109" s="52"/>
      <c r="BI109" s="13">
        <f t="shared" si="215"/>
        <v>-2190006839.7565417</v>
      </c>
      <c r="BJ109" s="52"/>
      <c r="BK109" s="13">
        <f t="shared" si="216"/>
        <v>650</v>
      </c>
      <c r="BL109" s="13">
        <f t="shared" si="189"/>
        <v>650</v>
      </c>
      <c r="BM109" s="13">
        <f t="shared" si="167"/>
        <v>650</v>
      </c>
      <c r="BN109" s="13">
        <f t="shared" si="146"/>
        <v>650</v>
      </c>
      <c r="BO109" s="13">
        <f t="shared" si="110"/>
        <v>650</v>
      </c>
      <c r="BP109" s="13">
        <f t="shared" si="300"/>
        <v>650</v>
      </c>
      <c r="BQ109" s="13">
        <f t="shared" si="300"/>
        <v>650</v>
      </c>
      <c r="BR109" s="13">
        <f t="shared" si="300"/>
        <v>650</v>
      </c>
      <c r="BS109" s="13">
        <f t="shared" si="300"/>
        <v>650</v>
      </c>
      <c r="BT109" s="13">
        <f t="shared" si="300"/>
        <v>650</v>
      </c>
      <c r="BU109" s="13">
        <f t="shared" si="300"/>
        <v>650</v>
      </c>
      <c r="BV109" s="13">
        <f t="shared" si="300"/>
        <v>650</v>
      </c>
      <c r="BW109" s="13">
        <f t="shared" si="300"/>
        <v>650</v>
      </c>
      <c r="BX109" s="13">
        <f t="shared" si="300"/>
        <v>650</v>
      </c>
      <c r="BY109" s="25">
        <v>20</v>
      </c>
      <c r="BZ109" s="26">
        <f t="shared" si="274"/>
        <v>0.17592592592592593</v>
      </c>
      <c r="CC109" s="84"/>
      <c r="CD109" s="85"/>
      <c r="CE109" s="25">
        <v>20</v>
      </c>
      <c r="CF109" s="26">
        <f t="shared" si="275"/>
        <v>0.17592592592592593</v>
      </c>
      <c r="CG109" s="13">
        <f t="shared" si="301"/>
        <v>600</v>
      </c>
      <c r="CH109" s="13">
        <f t="shared" si="301"/>
        <v>600</v>
      </c>
      <c r="CI109" s="13">
        <f t="shared" si="301"/>
        <v>600</v>
      </c>
      <c r="CJ109" s="13">
        <f t="shared" si="301"/>
        <v>600</v>
      </c>
      <c r="CK109" s="13">
        <f t="shared" si="301"/>
        <v>600</v>
      </c>
      <c r="CL109" s="13">
        <f t="shared" si="301"/>
        <v>600</v>
      </c>
      <c r="CM109" s="13">
        <f t="shared" si="301"/>
        <v>600</v>
      </c>
      <c r="CN109" s="13">
        <f t="shared" si="301"/>
        <v>600</v>
      </c>
      <c r="CO109" s="13">
        <f t="shared" si="301"/>
        <v>600</v>
      </c>
      <c r="CP109" s="13">
        <f t="shared" si="111"/>
        <v>600</v>
      </c>
      <c r="CQ109" s="13">
        <f t="shared" si="147"/>
        <v>600</v>
      </c>
      <c r="CR109" s="13">
        <f t="shared" si="168"/>
        <v>600</v>
      </c>
      <c r="CS109" s="13">
        <f t="shared" si="190"/>
        <v>600</v>
      </c>
      <c r="CT109" s="13">
        <f t="shared" si="217"/>
        <v>600</v>
      </c>
      <c r="CU109" s="13">
        <f t="shared" ref="CU109:CW109" si="320">$L$2/($L$3-$L$4*CT109)</f>
        <v>-1.6746678575415876E-3</v>
      </c>
      <c r="CV109" s="13">
        <f t="shared" si="320"/>
        <v>0.34863354230673421</v>
      </c>
      <c r="CW109" s="13">
        <f t="shared" si="320"/>
        <v>0.39713536344133415</v>
      </c>
      <c r="CX109" s="13">
        <f t="shared" si="219"/>
        <v>650</v>
      </c>
      <c r="CY109" s="13">
        <f t="shared" si="192"/>
        <v>650</v>
      </c>
      <c r="CZ109" s="13">
        <f t="shared" si="169"/>
        <v>650</v>
      </c>
      <c r="DA109" s="13">
        <f t="shared" si="148"/>
        <v>650</v>
      </c>
      <c r="DB109" s="13">
        <f t="shared" si="113"/>
        <v>650</v>
      </c>
      <c r="DC109" s="13">
        <f t="shared" si="303"/>
        <v>650</v>
      </c>
      <c r="DD109" s="13">
        <f t="shared" si="303"/>
        <v>650</v>
      </c>
      <c r="DE109" s="13">
        <f t="shared" si="303"/>
        <v>650</v>
      </c>
      <c r="DF109" s="13">
        <f t="shared" si="303"/>
        <v>650</v>
      </c>
      <c r="DG109" s="13">
        <f t="shared" si="303"/>
        <v>650</v>
      </c>
      <c r="DH109" s="13">
        <f t="shared" si="303"/>
        <v>650</v>
      </c>
      <c r="DI109" s="13">
        <f t="shared" si="303"/>
        <v>650</v>
      </c>
      <c r="DJ109" s="13">
        <f t="shared" si="303"/>
        <v>650</v>
      </c>
      <c r="DK109" s="13">
        <f t="shared" si="303"/>
        <v>650</v>
      </c>
      <c r="DL109" s="25">
        <v>20</v>
      </c>
      <c r="DM109" s="26">
        <f t="shared" si="277"/>
        <v>0.17592592592592593</v>
      </c>
      <c r="DQ109" s="84"/>
      <c r="DR109" s="85"/>
      <c r="DS109" s="25">
        <v>20</v>
      </c>
      <c r="DT109" s="26">
        <f t="shared" si="278"/>
        <v>0.17592592592592593</v>
      </c>
      <c r="DU109" s="13">
        <f t="shared" si="304"/>
        <v>600</v>
      </c>
      <c r="DV109" s="13">
        <f t="shared" si="304"/>
        <v>600</v>
      </c>
      <c r="DW109" s="13">
        <f t="shared" si="304"/>
        <v>600</v>
      </c>
      <c r="DX109" s="13">
        <f t="shared" si="304"/>
        <v>600</v>
      </c>
      <c r="DY109" s="13">
        <f t="shared" si="304"/>
        <v>600</v>
      </c>
      <c r="DZ109" s="13">
        <f t="shared" si="304"/>
        <v>600</v>
      </c>
      <c r="EA109" s="13">
        <f t="shared" si="304"/>
        <v>600</v>
      </c>
      <c r="EB109" s="13">
        <f t="shared" si="304"/>
        <v>600</v>
      </c>
      <c r="EC109" s="13">
        <f t="shared" si="304"/>
        <v>600</v>
      </c>
      <c r="ED109" s="13">
        <f t="shared" si="114"/>
        <v>600</v>
      </c>
      <c r="EE109" s="13">
        <f t="shared" si="149"/>
        <v>600</v>
      </c>
      <c r="EF109" s="13">
        <f t="shared" si="170"/>
        <v>600</v>
      </c>
      <c r="EG109" s="13">
        <f t="shared" si="193"/>
        <v>600</v>
      </c>
      <c r="EH109" s="13">
        <f t="shared" si="220"/>
        <v>600</v>
      </c>
      <c r="EI109" s="13">
        <f t="shared" si="227"/>
        <v>609.80159108444207</v>
      </c>
      <c r="EJ109" s="13">
        <f t="shared" si="221"/>
        <v>397.01995600702259</v>
      </c>
      <c r="EK109" s="13">
        <f t="shared" si="222"/>
        <v>157.67066452231143</v>
      </c>
      <c r="EL109" s="13">
        <f t="shared" si="223"/>
        <v>650</v>
      </c>
      <c r="EM109" s="13">
        <f t="shared" si="198"/>
        <v>650</v>
      </c>
      <c r="EN109" s="13">
        <f t="shared" si="177"/>
        <v>650</v>
      </c>
      <c r="EO109" s="13">
        <f t="shared" si="158"/>
        <v>650</v>
      </c>
      <c r="EP109" s="13">
        <f t="shared" si="125"/>
        <v>650</v>
      </c>
      <c r="EQ109" s="13">
        <f t="shared" si="305"/>
        <v>650</v>
      </c>
      <c r="ER109" s="13">
        <f t="shared" si="305"/>
        <v>650</v>
      </c>
      <c r="ES109" s="13">
        <f t="shared" si="305"/>
        <v>650</v>
      </c>
      <c r="ET109" s="13">
        <f t="shared" si="305"/>
        <v>650</v>
      </c>
      <c r="EU109" s="13">
        <f t="shared" si="305"/>
        <v>650</v>
      </c>
      <c r="EV109" s="13">
        <f t="shared" si="305"/>
        <v>650</v>
      </c>
      <c r="EW109" s="13">
        <f t="shared" si="305"/>
        <v>650</v>
      </c>
      <c r="EX109" s="13">
        <f t="shared" si="305"/>
        <v>650</v>
      </c>
      <c r="EY109" s="13">
        <f t="shared" si="305"/>
        <v>650</v>
      </c>
      <c r="EZ109" s="25">
        <v>20</v>
      </c>
      <c r="FA109" s="26">
        <f t="shared" si="279"/>
        <v>0.17592592592592593</v>
      </c>
    </row>
    <row r="110" spans="3:157" ht="15" customHeight="1" x14ac:dyDescent="0.25">
      <c r="C110" s="84"/>
      <c r="D110" s="85"/>
      <c r="E110" s="25">
        <v>19</v>
      </c>
      <c r="F110" s="26">
        <f t="shared" si="269"/>
        <v>0.16666666666666666</v>
      </c>
      <c r="G110" s="13">
        <f t="shared" si="295"/>
        <v>600</v>
      </c>
      <c r="H110" s="13">
        <f t="shared" si="295"/>
        <v>600</v>
      </c>
      <c r="I110" s="13">
        <f t="shared" si="295"/>
        <v>600</v>
      </c>
      <c r="J110" s="13">
        <f t="shared" si="295"/>
        <v>600</v>
      </c>
      <c r="K110" s="13">
        <f t="shared" si="295"/>
        <v>600</v>
      </c>
      <c r="L110" s="13">
        <f t="shared" si="295"/>
        <v>600</v>
      </c>
      <c r="M110" s="13">
        <f t="shared" si="295"/>
        <v>600</v>
      </c>
      <c r="N110" s="13">
        <f t="shared" si="295"/>
        <v>600</v>
      </c>
      <c r="O110" s="13">
        <f t="shared" si="295"/>
        <v>600</v>
      </c>
      <c r="P110" s="13">
        <f t="shared" si="87"/>
        <v>600</v>
      </c>
      <c r="Q110" s="13">
        <f t="shared" si="129"/>
        <v>600</v>
      </c>
      <c r="R110" s="13">
        <f t="shared" si="159"/>
        <v>600</v>
      </c>
      <c r="S110" s="13">
        <f t="shared" si="178"/>
        <v>600</v>
      </c>
      <c r="T110" s="13">
        <f t="shared" si="210"/>
        <v>600</v>
      </c>
      <c r="U110" s="13">
        <f t="shared" ref="U110" si="321">($F$5*$B$5*T47+$F$4*V47)/($F$4+$F$5*$B$5)</f>
        <v>609.59082452659879</v>
      </c>
      <c r="V110" s="13">
        <f t="shared" si="181"/>
        <v>610.17566946812281</v>
      </c>
      <c r="W110" s="13">
        <f t="shared" ref="W110" si="322">($F$6*$B$5*X47+$F$4*V47)/($F$4+$F$6*$B$5)</f>
        <v>611.80736375613481</v>
      </c>
      <c r="X110" s="13">
        <f t="shared" si="213"/>
        <v>650</v>
      </c>
      <c r="Y110" s="13">
        <f t="shared" si="184"/>
        <v>650</v>
      </c>
      <c r="Z110" s="13">
        <f t="shared" si="165"/>
        <v>650</v>
      </c>
      <c r="AA110" s="13">
        <f t="shared" si="137"/>
        <v>650</v>
      </c>
      <c r="AB110" s="13">
        <f t="shared" si="99"/>
        <v>650</v>
      </c>
      <c r="AC110" s="13">
        <f t="shared" si="298"/>
        <v>650</v>
      </c>
      <c r="AD110" s="13">
        <f t="shared" si="298"/>
        <v>650</v>
      </c>
      <c r="AE110" s="13">
        <f t="shared" si="298"/>
        <v>650</v>
      </c>
      <c r="AF110" s="13">
        <f t="shared" si="298"/>
        <v>650</v>
      </c>
      <c r="AG110" s="13">
        <f t="shared" si="298"/>
        <v>650</v>
      </c>
      <c r="AH110" s="13">
        <f t="shared" si="298"/>
        <v>650</v>
      </c>
      <c r="AI110" s="13">
        <f t="shared" si="298"/>
        <v>650</v>
      </c>
      <c r="AJ110" s="13">
        <f t="shared" si="298"/>
        <v>650</v>
      </c>
      <c r="AK110" s="13">
        <f t="shared" si="298"/>
        <v>650</v>
      </c>
      <c r="AL110" s="25">
        <v>19</v>
      </c>
      <c r="AM110" s="26">
        <f t="shared" si="272"/>
        <v>0.16666666666666666</v>
      </c>
      <c r="AP110" s="87"/>
      <c r="AQ110" s="86"/>
      <c r="AR110" s="25">
        <v>19</v>
      </c>
      <c r="AS110" s="26">
        <f t="shared" si="273"/>
        <v>0.16666666666666666</v>
      </c>
      <c r="AT110" s="13">
        <f t="shared" si="299"/>
        <v>600</v>
      </c>
      <c r="AU110" s="13">
        <f t="shared" si="299"/>
        <v>600</v>
      </c>
      <c r="AV110" s="13">
        <f t="shared" si="299"/>
        <v>600</v>
      </c>
      <c r="AW110" s="13">
        <f t="shared" si="299"/>
        <v>600</v>
      </c>
      <c r="AX110" s="13">
        <f t="shared" si="299"/>
        <v>600</v>
      </c>
      <c r="AY110" s="13">
        <f t="shared" si="299"/>
        <v>600</v>
      </c>
      <c r="AZ110" s="13">
        <f t="shared" si="299"/>
        <v>600</v>
      </c>
      <c r="BA110" s="13">
        <f t="shared" si="299"/>
        <v>600</v>
      </c>
      <c r="BB110" s="13">
        <f t="shared" si="299"/>
        <v>600</v>
      </c>
      <c r="BC110" s="13">
        <f t="shared" si="100"/>
        <v>600</v>
      </c>
      <c r="BD110" s="13">
        <f t="shared" si="138"/>
        <v>600</v>
      </c>
      <c r="BE110" s="13">
        <f t="shared" si="166"/>
        <v>600</v>
      </c>
      <c r="BF110" s="13">
        <f t="shared" si="185"/>
        <v>600</v>
      </c>
      <c r="BG110" s="13">
        <f t="shared" si="214"/>
        <v>600</v>
      </c>
      <c r="BH110" s="52"/>
      <c r="BI110" s="13">
        <f t="shared" si="215"/>
        <v>-2189206769.9029689</v>
      </c>
      <c r="BJ110" s="52"/>
      <c r="BK110" s="13">
        <f t="shared" si="216"/>
        <v>650</v>
      </c>
      <c r="BL110" s="13">
        <f t="shared" si="189"/>
        <v>650</v>
      </c>
      <c r="BM110" s="13">
        <f t="shared" si="167"/>
        <v>650</v>
      </c>
      <c r="BN110" s="13">
        <f t="shared" si="146"/>
        <v>650</v>
      </c>
      <c r="BO110" s="13">
        <f t="shared" si="110"/>
        <v>650</v>
      </c>
      <c r="BP110" s="13">
        <f t="shared" si="300"/>
        <v>650</v>
      </c>
      <c r="BQ110" s="13">
        <f t="shared" si="300"/>
        <v>650</v>
      </c>
      <c r="BR110" s="13">
        <f t="shared" si="300"/>
        <v>650</v>
      </c>
      <c r="BS110" s="13">
        <f t="shared" si="300"/>
        <v>650</v>
      </c>
      <c r="BT110" s="13">
        <f t="shared" si="300"/>
        <v>650</v>
      </c>
      <c r="BU110" s="13">
        <f t="shared" si="300"/>
        <v>650</v>
      </c>
      <c r="BV110" s="13">
        <f t="shared" si="300"/>
        <v>650</v>
      </c>
      <c r="BW110" s="13">
        <f t="shared" si="300"/>
        <v>650</v>
      </c>
      <c r="BX110" s="13">
        <f t="shared" si="300"/>
        <v>650</v>
      </c>
      <c r="BY110" s="25">
        <v>19</v>
      </c>
      <c r="BZ110" s="26">
        <f t="shared" si="274"/>
        <v>0.16666666666666666</v>
      </c>
      <c r="CC110" s="84"/>
      <c r="CD110" s="85"/>
      <c r="CE110" s="25">
        <v>19</v>
      </c>
      <c r="CF110" s="26">
        <f t="shared" si="275"/>
        <v>0.16666666666666666</v>
      </c>
      <c r="CG110" s="13">
        <f t="shared" si="301"/>
        <v>600</v>
      </c>
      <c r="CH110" s="13">
        <f t="shared" si="301"/>
        <v>600</v>
      </c>
      <c r="CI110" s="13">
        <f t="shared" si="301"/>
        <v>600</v>
      </c>
      <c r="CJ110" s="13">
        <f t="shared" si="301"/>
        <v>600</v>
      </c>
      <c r="CK110" s="13">
        <f t="shared" si="301"/>
        <v>600</v>
      </c>
      <c r="CL110" s="13">
        <f t="shared" si="301"/>
        <v>600</v>
      </c>
      <c r="CM110" s="13">
        <f t="shared" si="301"/>
        <v>600</v>
      </c>
      <c r="CN110" s="13">
        <f t="shared" si="301"/>
        <v>600</v>
      </c>
      <c r="CO110" s="13">
        <f t="shared" si="301"/>
        <v>600</v>
      </c>
      <c r="CP110" s="13">
        <f t="shared" si="111"/>
        <v>600</v>
      </c>
      <c r="CQ110" s="13">
        <f t="shared" si="147"/>
        <v>600</v>
      </c>
      <c r="CR110" s="13">
        <f t="shared" si="168"/>
        <v>600</v>
      </c>
      <c r="CS110" s="13">
        <f t="shared" si="190"/>
        <v>600</v>
      </c>
      <c r="CT110" s="13">
        <f t="shared" si="217"/>
        <v>600</v>
      </c>
      <c r="CU110" s="13">
        <f t="shared" ref="CU110:CW110" si="323">$L$2/($L$3-$L$4*CT110)</f>
        <v>-1.6746678575415876E-3</v>
      </c>
      <c r="CV110" s="13">
        <f t="shared" si="323"/>
        <v>0.34863354230673421</v>
      </c>
      <c r="CW110" s="13">
        <f t="shared" si="323"/>
        <v>0.39713536344133415</v>
      </c>
      <c r="CX110" s="13">
        <f t="shared" si="219"/>
        <v>650</v>
      </c>
      <c r="CY110" s="13">
        <f t="shared" si="192"/>
        <v>650</v>
      </c>
      <c r="CZ110" s="13">
        <f t="shared" si="169"/>
        <v>650</v>
      </c>
      <c r="DA110" s="13">
        <f t="shared" si="148"/>
        <v>650</v>
      </c>
      <c r="DB110" s="13">
        <f t="shared" si="113"/>
        <v>650</v>
      </c>
      <c r="DC110" s="13">
        <f t="shared" si="303"/>
        <v>650</v>
      </c>
      <c r="DD110" s="13">
        <f t="shared" si="303"/>
        <v>650</v>
      </c>
      <c r="DE110" s="13">
        <f t="shared" si="303"/>
        <v>650</v>
      </c>
      <c r="DF110" s="13">
        <f t="shared" si="303"/>
        <v>650</v>
      </c>
      <c r="DG110" s="13">
        <f t="shared" si="303"/>
        <v>650</v>
      </c>
      <c r="DH110" s="13">
        <f t="shared" si="303"/>
        <v>650</v>
      </c>
      <c r="DI110" s="13">
        <f t="shared" si="303"/>
        <v>650</v>
      </c>
      <c r="DJ110" s="13">
        <f t="shared" si="303"/>
        <v>650</v>
      </c>
      <c r="DK110" s="13">
        <f t="shared" si="303"/>
        <v>650</v>
      </c>
      <c r="DL110" s="25">
        <v>19</v>
      </c>
      <c r="DM110" s="26">
        <f t="shared" si="277"/>
        <v>0.16666666666666666</v>
      </c>
      <c r="DQ110" s="84"/>
      <c r="DR110" s="85"/>
      <c r="DS110" s="25">
        <v>19</v>
      </c>
      <c r="DT110" s="26">
        <f t="shared" si="278"/>
        <v>0.16666666666666666</v>
      </c>
      <c r="DU110" s="13">
        <f t="shared" si="304"/>
        <v>600</v>
      </c>
      <c r="DV110" s="13">
        <f t="shared" si="304"/>
        <v>600</v>
      </c>
      <c r="DW110" s="13">
        <f t="shared" si="304"/>
        <v>600</v>
      </c>
      <c r="DX110" s="13">
        <f t="shared" si="304"/>
        <v>600</v>
      </c>
      <c r="DY110" s="13">
        <f t="shared" si="304"/>
        <v>600</v>
      </c>
      <c r="DZ110" s="13">
        <f t="shared" si="304"/>
        <v>600</v>
      </c>
      <c r="EA110" s="13">
        <f t="shared" si="304"/>
        <v>600</v>
      </c>
      <c r="EB110" s="13">
        <f t="shared" si="304"/>
        <v>600</v>
      </c>
      <c r="EC110" s="13">
        <f t="shared" si="304"/>
        <v>600</v>
      </c>
      <c r="ED110" s="13">
        <f t="shared" si="114"/>
        <v>600</v>
      </c>
      <c r="EE110" s="13">
        <f t="shared" si="149"/>
        <v>600</v>
      </c>
      <c r="EF110" s="13">
        <f t="shared" si="170"/>
        <v>600</v>
      </c>
      <c r="EG110" s="13">
        <f t="shared" si="193"/>
        <v>600</v>
      </c>
      <c r="EH110" s="13">
        <f t="shared" si="220"/>
        <v>600</v>
      </c>
      <c r="EI110" s="13">
        <f t="shared" si="227"/>
        <v>609.59082452659879</v>
      </c>
      <c r="EJ110" s="13">
        <f t="shared" si="221"/>
        <v>396.87910103247685</v>
      </c>
      <c r="EK110" s="13">
        <f t="shared" si="222"/>
        <v>157.61472603080267</v>
      </c>
      <c r="EL110" s="13">
        <f t="shared" si="223"/>
        <v>650</v>
      </c>
      <c r="EM110" s="13">
        <f t="shared" si="198"/>
        <v>650</v>
      </c>
      <c r="EN110" s="13">
        <f t="shared" si="177"/>
        <v>650</v>
      </c>
      <c r="EO110" s="13">
        <f t="shared" si="158"/>
        <v>650</v>
      </c>
      <c r="EP110" s="13">
        <f t="shared" si="125"/>
        <v>650</v>
      </c>
      <c r="EQ110" s="13">
        <f t="shared" si="305"/>
        <v>650</v>
      </c>
      <c r="ER110" s="13">
        <f t="shared" si="305"/>
        <v>650</v>
      </c>
      <c r="ES110" s="13">
        <f t="shared" si="305"/>
        <v>650</v>
      </c>
      <c r="ET110" s="13">
        <f t="shared" si="305"/>
        <v>650</v>
      </c>
      <c r="EU110" s="13">
        <f t="shared" si="305"/>
        <v>650</v>
      </c>
      <c r="EV110" s="13">
        <f t="shared" si="305"/>
        <v>650</v>
      </c>
      <c r="EW110" s="13">
        <f t="shared" si="305"/>
        <v>650</v>
      </c>
      <c r="EX110" s="13">
        <f t="shared" si="305"/>
        <v>650</v>
      </c>
      <c r="EY110" s="13">
        <f t="shared" si="305"/>
        <v>650</v>
      </c>
      <c r="EZ110" s="25">
        <v>19</v>
      </c>
      <c r="FA110" s="26">
        <f t="shared" si="279"/>
        <v>0.16666666666666666</v>
      </c>
    </row>
    <row r="111" spans="3:157" ht="15" customHeight="1" x14ac:dyDescent="0.25">
      <c r="C111" s="84"/>
      <c r="D111" s="85"/>
      <c r="E111" s="25">
        <v>18</v>
      </c>
      <c r="F111" s="26">
        <f t="shared" si="269"/>
        <v>0.15740740740740738</v>
      </c>
      <c r="G111" s="13">
        <f t="shared" si="295"/>
        <v>600</v>
      </c>
      <c r="H111" s="13">
        <f t="shared" si="295"/>
        <v>600</v>
      </c>
      <c r="I111" s="13">
        <f t="shared" si="295"/>
        <v>600</v>
      </c>
      <c r="J111" s="13">
        <f t="shared" si="295"/>
        <v>600</v>
      </c>
      <c r="K111" s="13">
        <f t="shared" si="295"/>
        <v>600</v>
      </c>
      <c r="L111" s="13">
        <f t="shared" si="295"/>
        <v>600</v>
      </c>
      <c r="M111" s="13">
        <f t="shared" si="295"/>
        <v>600</v>
      </c>
      <c r="N111" s="13">
        <f t="shared" si="295"/>
        <v>600</v>
      </c>
      <c r="O111" s="13">
        <f t="shared" si="295"/>
        <v>600</v>
      </c>
      <c r="P111" s="13">
        <f t="shared" si="87"/>
        <v>600</v>
      </c>
      <c r="Q111" s="13">
        <f t="shared" si="129"/>
        <v>600</v>
      </c>
      <c r="R111" s="13">
        <f t="shared" si="159"/>
        <v>600</v>
      </c>
      <c r="S111" s="13">
        <f t="shared" si="178"/>
        <v>600</v>
      </c>
      <c r="T111" s="13">
        <f t="shared" si="210"/>
        <v>600</v>
      </c>
      <c r="U111" s="13">
        <f t="shared" ref="U111" si="324">($F$5*$B$5*T48+$F$4*V48)/($F$4+$F$5*$B$5)</f>
        <v>609.31403203593186</v>
      </c>
      <c r="V111" s="13">
        <f t="shared" si="181"/>
        <v>609.8928500492533</v>
      </c>
      <c r="W111" s="13">
        <f t="shared" ref="W111" si="325">($F$6*$B$5*X48+$F$4*V48)/($F$4+$F$6*$B$5)</f>
        <v>611.52672692531974</v>
      </c>
      <c r="X111" s="13">
        <f t="shared" si="213"/>
        <v>650</v>
      </c>
      <c r="Y111" s="13">
        <f t="shared" si="184"/>
        <v>650</v>
      </c>
      <c r="Z111" s="13">
        <f t="shared" si="165"/>
        <v>650</v>
      </c>
      <c r="AA111" s="13">
        <f t="shared" si="137"/>
        <v>650</v>
      </c>
      <c r="AB111" s="13">
        <f t="shared" si="99"/>
        <v>650</v>
      </c>
      <c r="AC111" s="13">
        <f t="shared" si="298"/>
        <v>650</v>
      </c>
      <c r="AD111" s="13">
        <f t="shared" si="298"/>
        <v>650</v>
      </c>
      <c r="AE111" s="13">
        <f t="shared" si="298"/>
        <v>650</v>
      </c>
      <c r="AF111" s="13">
        <f t="shared" si="298"/>
        <v>650</v>
      </c>
      <c r="AG111" s="13">
        <f t="shared" si="298"/>
        <v>650</v>
      </c>
      <c r="AH111" s="13">
        <f t="shared" si="298"/>
        <v>650</v>
      </c>
      <c r="AI111" s="13">
        <f t="shared" si="298"/>
        <v>650</v>
      </c>
      <c r="AJ111" s="13">
        <f t="shared" si="298"/>
        <v>650</v>
      </c>
      <c r="AK111" s="13">
        <f t="shared" si="298"/>
        <v>650</v>
      </c>
      <c r="AL111" s="25">
        <v>18</v>
      </c>
      <c r="AM111" s="26">
        <f t="shared" si="272"/>
        <v>0.15740740740740738</v>
      </c>
      <c r="AP111" s="87"/>
      <c r="AQ111" s="86"/>
      <c r="AR111" s="25">
        <v>18</v>
      </c>
      <c r="AS111" s="26">
        <f t="shared" si="273"/>
        <v>0.15740740740740738</v>
      </c>
      <c r="AT111" s="13">
        <f t="shared" si="299"/>
        <v>600</v>
      </c>
      <c r="AU111" s="13">
        <f t="shared" si="299"/>
        <v>600</v>
      </c>
      <c r="AV111" s="13">
        <f t="shared" si="299"/>
        <v>600</v>
      </c>
      <c r="AW111" s="13">
        <f t="shared" si="299"/>
        <v>600</v>
      </c>
      <c r="AX111" s="13">
        <f t="shared" si="299"/>
        <v>600</v>
      </c>
      <c r="AY111" s="13">
        <f t="shared" si="299"/>
        <v>600</v>
      </c>
      <c r="AZ111" s="13">
        <f t="shared" si="299"/>
        <v>600</v>
      </c>
      <c r="BA111" s="13">
        <f t="shared" si="299"/>
        <v>600</v>
      </c>
      <c r="BB111" s="13">
        <f t="shared" si="299"/>
        <v>600</v>
      </c>
      <c r="BC111" s="13">
        <f t="shared" si="100"/>
        <v>600</v>
      </c>
      <c r="BD111" s="13">
        <f t="shared" si="138"/>
        <v>600</v>
      </c>
      <c r="BE111" s="13">
        <f t="shared" si="166"/>
        <v>600</v>
      </c>
      <c r="BF111" s="13">
        <f t="shared" si="185"/>
        <v>600</v>
      </c>
      <c r="BG111" s="13">
        <f t="shared" si="214"/>
        <v>600</v>
      </c>
      <c r="BH111" s="52"/>
      <c r="BI111" s="13">
        <f t="shared" si="215"/>
        <v>-2188156065.608397</v>
      </c>
      <c r="BJ111" s="52"/>
      <c r="BK111" s="13">
        <f t="shared" si="216"/>
        <v>650</v>
      </c>
      <c r="BL111" s="13">
        <f t="shared" si="189"/>
        <v>650</v>
      </c>
      <c r="BM111" s="13">
        <f t="shared" si="167"/>
        <v>650</v>
      </c>
      <c r="BN111" s="13">
        <f t="shared" si="146"/>
        <v>650</v>
      </c>
      <c r="BO111" s="13">
        <f t="shared" si="110"/>
        <v>650</v>
      </c>
      <c r="BP111" s="13">
        <f t="shared" si="300"/>
        <v>650</v>
      </c>
      <c r="BQ111" s="13">
        <f t="shared" si="300"/>
        <v>650</v>
      </c>
      <c r="BR111" s="13">
        <f t="shared" si="300"/>
        <v>650</v>
      </c>
      <c r="BS111" s="13">
        <f t="shared" si="300"/>
        <v>650</v>
      </c>
      <c r="BT111" s="13">
        <f t="shared" si="300"/>
        <v>650</v>
      </c>
      <c r="BU111" s="13">
        <f t="shared" si="300"/>
        <v>650</v>
      </c>
      <c r="BV111" s="13">
        <f t="shared" si="300"/>
        <v>650</v>
      </c>
      <c r="BW111" s="13">
        <f t="shared" si="300"/>
        <v>650</v>
      </c>
      <c r="BX111" s="13">
        <f t="shared" si="300"/>
        <v>650</v>
      </c>
      <c r="BY111" s="25">
        <v>18</v>
      </c>
      <c r="BZ111" s="26">
        <f t="shared" si="274"/>
        <v>0.15740740740740738</v>
      </c>
      <c r="CC111" s="84"/>
      <c r="CD111" s="85"/>
      <c r="CE111" s="25">
        <v>18</v>
      </c>
      <c r="CF111" s="26">
        <f t="shared" si="275"/>
        <v>0.15740740740740738</v>
      </c>
      <c r="CG111" s="13">
        <f t="shared" si="301"/>
        <v>600</v>
      </c>
      <c r="CH111" s="13">
        <f t="shared" si="301"/>
        <v>600</v>
      </c>
      <c r="CI111" s="13">
        <f t="shared" si="301"/>
        <v>600</v>
      </c>
      <c r="CJ111" s="13">
        <f t="shared" si="301"/>
        <v>600</v>
      </c>
      <c r="CK111" s="13">
        <f t="shared" si="301"/>
        <v>600</v>
      </c>
      <c r="CL111" s="13">
        <f t="shared" si="301"/>
        <v>600</v>
      </c>
      <c r="CM111" s="13">
        <f t="shared" si="301"/>
        <v>600</v>
      </c>
      <c r="CN111" s="13">
        <f t="shared" si="301"/>
        <v>600</v>
      </c>
      <c r="CO111" s="13">
        <f t="shared" si="301"/>
        <v>600</v>
      </c>
      <c r="CP111" s="13">
        <f t="shared" si="111"/>
        <v>600</v>
      </c>
      <c r="CQ111" s="13">
        <f t="shared" si="147"/>
        <v>600</v>
      </c>
      <c r="CR111" s="13">
        <f t="shared" si="168"/>
        <v>600</v>
      </c>
      <c r="CS111" s="13">
        <f t="shared" si="190"/>
        <v>600</v>
      </c>
      <c r="CT111" s="13">
        <f t="shared" si="217"/>
        <v>600</v>
      </c>
      <c r="CU111" s="13">
        <f t="shared" ref="CU111:CW111" si="326">$L$2/($L$3-$L$4*CT111)</f>
        <v>-1.6746678575415876E-3</v>
      </c>
      <c r="CV111" s="13">
        <f t="shared" si="326"/>
        <v>0.34863354230673421</v>
      </c>
      <c r="CW111" s="13">
        <f t="shared" si="326"/>
        <v>0.39713536344133415</v>
      </c>
      <c r="CX111" s="13">
        <f t="shared" si="219"/>
        <v>650</v>
      </c>
      <c r="CY111" s="13">
        <f t="shared" si="192"/>
        <v>650</v>
      </c>
      <c r="CZ111" s="13">
        <f t="shared" si="169"/>
        <v>650</v>
      </c>
      <c r="DA111" s="13">
        <f t="shared" si="148"/>
        <v>650</v>
      </c>
      <c r="DB111" s="13">
        <f t="shared" si="113"/>
        <v>650</v>
      </c>
      <c r="DC111" s="13">
        <f t="shared" si="303"/>
        <v>650</v>
      </c>
      <c r="DD111" s="13">
        <f t="shared" si="303"/>
        <v>650</v>
      </c>
      <c r="DE111" s="13">
        <f t="shared" si="303"/>
        <v>650</v>
      </c>
      <c r="DF111" s="13">
        <f t="shared" si="303"/>
        <v>650</v>
      </c>
      <c r="DG111" s="13">
        <f t="shared" si="303"/>
        <v>650</v>
      </c>
      <c r="DH111" s="13">
        <f t="shared" si="303"/>
        <v>650</v>
      </c>
      <c r="DI111" s="13">
        <f t="shared" si="303"/>
        <v>650</v>
      </c>
      <c r="DJ111" s="13">
        <f t="shared" si="303"/>
        <v>650</v>
      </c>
      <c r="DK111" s="13">
        <f t="shared" si="303"/>
        <v>650</v>
      </c>
      <c r="DL111" s="25">
        <v>18</v>
      </c>
      <c r="DM111" s="26">
        <f t="shared" si="277"/>
        <v>0.15740740740740738</v>
      </c>
      <c r="DQ111" s="84"/>
      <c r="DR111" s="85"/>
      <c r="DS111" s="25">
        <v>18</v>
      </c>
      <c r="DT111" s="26">
        <f t="shared" si="278"/>
        <v>0.15740740740740738</v>
      </c>
      <c r="DU111" s="13">
        <f t="shared" si="304"/>
        <v>600</v>
      </c>
      <c r="DV111" s="13">
        <f t="shared" si="304"/>
        <v>600</v>
      </c>
      <c r="DW111" s="13">
        <f t="shared" si="304"/>
        <v>600</v>
      </c>
      <c r="DX111" s="13">
        <f t="shared" si="304"/>
        <v>600</v>
      </c>
      <c r="DY111" s="13">
        <f t="shared" si="304"/>
        <v>600</v>
      </c>
      <c r="DZ111" s="13">
        <f t="shared" si="304"/>
        <v>600</v>
      </c>
      <c r="EA111" s="13">
        <f t="shared" si="304"/>
        <v>600</v>
      </c>
      <c r="EB111" s="13">
        <f t="shared" si="304"/>
        <v>600</v>
      </c>
      <c r="EC111" s="13">
        <f t="shared" si="304"/>
        <v>600</v>
      </c>
      <c r="ED111" s="13">
        <f t="shared" si="114"/>
        <v>600</v>
      </c>
      <c r="EE111" s="13">
        <f t="shared" si="149"/>
        <v>600</v>
      </c>
      <c r="EF111" s="13">
        <f t="shared" si="170"/>
        <v>600</v>
      </c>
      <c r="EG111" s="13">
        <f t="shared" si="193"/>
        <v>600</v>
      </c>
      <c r="EH111" s="13">
        <f t="shared" si="220"/>
        <v>600</v>
      </c>
      <c r="EI111" s="13">
        <f t="shared" si="227"/>
        <v>609.31403203593186</v>
      </c>
      <c r="EJ111" s="13">
        <f t="shared" si="221"/>
        <v>396.69412102603616</v>
      </c>
      <c r="EK111" s="13">
        <f t="shared" si="222"/>
        <v>157.54126392871547</v>
      </c>
      <c r="EL111" s="13">
        <f t="shared" si="223"/>
        <v>650</v>
      </c>
      <c r="EM111" s="13">
        <f t="shared" si="198"/>
        <v>650</v>
      </c>
      <c r="EN111" s="13">
        <f t="shared" si="177"/>
        <v>650</v>
      </c>
      <c r="EO111" s="13">
        <f t="shared" si="158"/>
        <v>650</v>
      </c>
      <c r="EP111" s="13">
        <f t="shared" si="125"/>
        <v>650</v>
      </c>
      <c r="EQ111" s="13">
        <f t="shared" si="305"/>
        <v>650</v>
      </c>
      <c r="ER111" s="13">
        <f t="shared" si="305"/>
        <v>650</v>
      </c>
      <c r="ES111" s="13">
        <f t="shared" si="305"/>
        <v>650</v>
      </c>
      <c r="ET111" s="13">
        <f t="shared" si="305"/>
        <v>650</v>
      </c>
      <c r="EU111" s="13">
        <f t="shared" si="305"/>
        <v>650</v>
      </c>
      <c r="EV111" s="13">
        <f t="shared" si="305"/>
        <v>650</v>
      </c>
      <c r="EW111" s="13">
        <f t="shared" si="305"/>
        <v>650</v>
      </c>
      <c r="EX111" s="13">
        <f t="shared" si="305"/>
        <v>650</v>
      </c>
      <c r="EY111" s="13">
        <f t="shared" si="305"/>
        <v>650</v>
      </c>
      <c r="EZ111" s="25">
        <v>18</v>
      </c>
      <c r="FA111" s="26">
        <f t="shared" si="279"/>
        <v>0.15740740740740738</v>
      </c>
    </row>
    <row r="112" spans="3:157" ht="15" customHeight="1" x14ac:dyDescent="0.25">
      <c r="C112" s="84"/>
      <c r="D112" s="85"/>
      <c r="E112" s="25">
        <v>17</v>
      </c>
      <c r="F112" s="26">
        <f t="shared" si="269"/>
        <v>0.14814814814814814</v>
      </c>
      <c r="G112" s="13">
        <f t="shared" si="295"/>
        <v>600</v>
      </c>
      <c r="H112" s="13">
        <f t="shared" si="295"/>
        <v>600</v>
      </c>
      <c r="I112" s="13">
        <f t="shared" si="295"/>
        <v>600</v>
      </c>
      <c r="J112" s="13">
        <f t="shared" si="295"/>
        <v>600</v>
      </c>
      <c r="K112" s="13">
        <f t="shared" si="295"/>
        <v>600</v>
      </c>
      <c r="L112" s="13">
        <f t="shared" si="295"/>
        <v>600</v>
      </c>
      <c r="M112" s="13">
        <f t="shared" si="295"/>
        <v>600</v>
      </c>
      <c r="N112" s="13">
        <f t="shared" si="295"/>
        <v>600</v>
      </c>
      <c r="O112" s="13">
        <f t="shared" si="295"/>
        <v>600</v>
      </c>
      <c r="P112" s="13">
        <f t="shared" si="87"/>
        <v>600</v>
      </c>
      <c r="Q112" s="13">
        <f t="shared" si="129"/>
        <v>600</v>
      </c>
      <c r="R112" s="13">
        <f t="shared" si="159"/>
        <v>600</v>
      </c>
      <c r="S112" s="13">
        <f t="shared" si="178"/>
        <v>600</v>
      </c>
      <c r="T112" s="13">
        <f t="shared" si="210"/>
        <v>600</v>
      </c>
      <c r="U112" s="13">
        <f t="shared" ref="T112:U114" si="327">($F$5*$B$5*T49+$F$4*V49)/($F$4+$F$5*$B$5)</f>
        <v>608.96208915568764</v>
      </c>
      <c r="V112" s="13">
        <f t="shared" si="181"/>
        <v>609.53324390305283</v>
      </c>
      <c r="W112" s="13">
        <f t="shared" ref="W112" si="328">($F$6*$B$5*X49+$F$4*V49)/($F$4+$F$6*$B$5)</f>
        <v>611.16989594951656</v>
      </c>
      <c r="X112" s="13">
        <f t="shared" si="213"/>
        <v>650</v>
      </c>
      <c r="Y112" s="13">
        <f t="shared" si="184"/>
        <v>650</v>
      </c>
      <c r="Z112" s="13">
        <f t="shared" si="165"/>
        <v>650</v>
      </c>
      <c r="AA112" s="13">
        <f t="shared" si="137"/>
        <v>650</v>
      </c>
      <c r="AB112" s="13">
        <f t="shared" si="99"/>
        <v>650</v>
      </c>
      <c r="AC112" s="13">
        <f t="shared" si="298"/>
        <v>650</v>
      </c>
      <c r="AD112" s="13">
        <f t="shared" si="298"/>
        <v>650</v>
      </c>
      <c r="AE112" s="13">
        <f t="shared" si="298"/>
        <v>650</v>
      </c>
      <c r="AF112" s="13">
        <f t="shared" si="298"/>
        <v>650</v>
      </c>
      <c r="AG112" s="13">
        <f t="shared" si="298"/>
        <v>650</v>
      </c>
      <c r="AH112" s="13">
        <f t="shared" si="298"/>
        <v>650</v>
      </c>
      <c r="AI112" s="13">
        <f t="shared" si="298"/>
        <v>650</v>
      </c>
      <c r="AJ112" s="13">
        <f t="shared" si="298"/>
        <v>650</v>
      </c>
      <c r="AK112" s="13">
        <f t="shared" si="298"/>
        <v>650</v>
      </c>
      <c r="AL112" s="25">
        <v>17</v>
      </c>
      <c r="AM112" s="26">
        <f t="shared" si="272"/>
        <v>0.14814814814814814</v>
      </c>
      <c r="AP112" s="87"/>
      <c r="AQ112" s="86"/>
      <c r="AR112" s="25">
        <v>17</v>
      </c>
      <c r="AS112" s="26">
        <f t="shared" si="273"/>
        <v>0.14814814814814814</v>
      </c>
      <c r="AT112" s="13">
        <f t="shared" si="299"/>
        <v>600</v>
      </c>
      <c r="AU112" s="13">
        <f t="shared" si="299"/>
        <v>600</v>
      </c>
      <c r="AV112" s="13">
        <f t="shared" si="299"/>
        <v>600</v>
      </c>
      <c r="AW112" s="13">
        <f t="shared" si="299"/>
        <v>600</v>
      </c>
      <c r="AX112" s="13">
        <f t="shared" si="299"/>
        <v>600</v>
      </c>
      <c r="AY112" s="13">
        <f t="shared" si="299"/>
        <v>600</v>
      </c>
      <c r="AZ112" s="13">
        <f t="shared" si="299"/>
        <v>600</v>
      </c>
      <c r="BA112" s="13">
        <f t="shared" si="299"/>
        <v>600</v>
      </c>
      <c r="BB112" s="13">
        <f t="shared" si="299"/>
        <v>600</v>
      </c>
      <c r="BC112" s="13">
        <f t="shared" si="100"/>
        <v>600</v>
      </c>
      <c r="BD112" s="13">
        <f t="shared" si="138"/>
        <v>600</v>
      </c>
      <c r="BE112" s="13">
        <f t="shared" si="166"/>
        <v>600</v>
      </c>
      <c r="BF112" s="13">
        <f t="shared" si="185"/>
        <v>600</v>
      </c>
      <c r="BG112" s="13">
        <f t="shared" si="214"/>
        <v>600</v>
      </c>
      <c r="BH112" s="52"/>
      <c r="BI112" s="13">
        <f t="shared" si="215"/>
        <v>-2186820090.4349899</v>
      </c>
      <c r="BJ112" s="52"/>
      <c r="BK112" s="13">
        <f t="shared" si="216"/>
        <v>650</v>
      </c>
      <c r="BL112" s="13">
        <f t="shared" si="189"/>
        <v>650</v>
      </c>
      <c r="BM112" s="13">
        <f t="shared" si="167"/>
        <v>650</v>
      </c>
      <c r="BN112" s="13">
        <f t="shared" si="146"/>
        <v>650</v>
      </c>
      <c r="BO112" s="13">
        <f t="shared" si="110"/>
        <v>650</v>
      </c>
      <c r="BP112" s="13">
        <f t="shared" si="300"/>
        <v>650</v>
      </c>
      <c r="BQ112" s="13">
        <f t="shared" si="300"/>
        <v>650</v>
      </c>
      <c r="BR112" s="13">
        <f t="shared" si="300"/>
        <v>650</v>
      </c>
      <c r="BS112" s="13">
        <f t="shared" si="300"/>
        <v>650</v>
      </c>
      <c r="BT112" s="13">
        <f t="shared" si="300"/>
        <v>650</v>
      </c>
      <c r="BU112" s="13">
        <f t="shared" si="300"/>
        <v>650</v>
      </c>
      <c r="BV112" s="13">
        <f t="shared" si="300"/>
        <v>650</v>
      </c>
      <c r="BW112" s="13">
        <f t="shared" si="300"/>
        <v>650</v>
      </c>
      <c r="BX112" s="13">
        <f t="shared" si="300"/>
        <v>650</v>
      </c>
      <c r="BY112" s="25">
        <v>17</v>
      </c>
      <c r="BZ112" s="26">
        <f t="shared" si="274"/>
        <v>0.14814814814814814</v>
      </c>
      <c r="CC112" s="84"/>
      <c r="CD112" s="85"/>
      <c r="CE112" s="25">
        <v>17</v>
      </c>
      <c r="CF112" s="26">
        <f t="shared" si="275"/>
        <v>0.14814814814814814</v>
      </c>
      <c r="CG112" s="13">
        <f t="shared" si="301"/>
        <v>600</v>
      </c>
      <c r="CH112" s="13">
        <f t="shared" si="301"/>
        <v>600</v>
      </c>
      <c r="CI112" s="13">
        <f t="shared" si="301"/>
        <v>600</v>
      </c>
      <c r="CJ112" s="13">
        <f t="shared" si="301"/>
        <v>600</v>
      </c>
      <c r="CK112" s="13">
        <f t="shared" si="301"/>
        <v>600</v>
      </c>
      <c r="CL112" s="13">
        <f t="shared" si="301"/>
        <v>600</v>
      </c>
      <c r="CM112" s="13">
        <f t="shared" si="301"/>
        <v>600</v>
      </c>
      <c r="CN112" s="13">
        <f t="shared" si="301"/>
        <v>600</v>
      </c>
      <c r="CO112" s="13">
        <f t="shared" si="301"/>
        <v>600</v>
      </c>
      <c r="CP112" s="13">
        <f t="shared" si="111"/>
        <v>600</v>
      </c>
      <c r="CQ112" s="13">
        <f t="shared" si="147"/>
        <v>600</v>
      </c>
      <c r="CR112" s="13">
        <f t="shared" si="168"/>
        <v>600</v>
      </c>
      <c r="CS112" s="13">
        <f t="shared" si="190"/>
        <v>600</v>
      </c>
      <c r="CT112" s="13">
        <f t="shared" si="217"/>
        <v>600</v>
      </c>
      <c r="CU112" s="13">
        <f t="shared" ref="CU112:CW112" si="329">$L$2/($L$3-$L$4*CT112)</f>
        <v>-1.6746678575415876E-3</v>
      </c>
      <c r="CV112" s="13">
        <f t="shared" si="329"/>
        <v>0.34863354230673421</v>
      </c>
      <c r="CW112" s="13">
        <f t="shared" si="329"/>
        <v>0.39713536344133415</v>
      </c>
      <c r="CX112" s="13">
        <f t="shared" si="219"/>
        <v>650</v>
      </c>
      <c r="CY112" s="13">
        <f t="shared" si="192"/>
        <v>650</v>
      </c>
      <c r="CZ112" s="13">
        <f t="shared" si="169"/>
        <v>650</v>
      </c>
      <c r="DA112" s="13">
        <f t="shared" si="148"/>
        <v>650</v>
      </c>
      <c r="DB112" s="13">
        <f t="shared" si="113"/>
        <v>650</v>
      </c>
      <c r="DC112" s="13">
        <f t="shared" si="303"/>
        <v>650</v>
      </c>
      <c r="DD112" s="13">
        <f t="shared" si="303"/>
        <v>650</v>
      </c>
      <c r="DE112" s="13">
        <f t="shared" si="303"/>
        <v>650</v>
      </c>
      <c r="DF112" s="13">
        <f t="shared" si="303"/>
        <v>650</v>
      </c>
      <c r="DG112" s="13">
        <f t="shared" si="303"/>
        <v>650</v>
      </c>
      <c r="DH112" s="13">
        <f t="shared" si="303"/>
        <v>650</v>
      </c>
      <c r="DI112" s="13">
        <f t="shared" si="303"/>
        <v>650</v>
      </c>
      <c r="DJ112" s="13">
        <f t="shared" si="303"/>
        <v>650</v>
      </c>
      <c r="DK112" s="13">
        <f t="shared" si="303"/>
        <v>650</v>
      </c>
      <c r="DL112" s="25">
        <v>17</v>
      </c>
      <c r="DM112" s="26">
        <f t="shared" si="277"/>
        <v>0.14814814814814814</v>
      </c>
      <c r="DQ112" s="84"/>
      <c r="DR112" s="85"/>
      <c r="DS112" s="25">
        <v>17</v>
      </c>
      <c r="DT112" s="26">
        <f t="shared" si="278"/>
        <v>0.14814814814814814</v>
      </c>
      <c r="DU112" s="13">
        <f t="shared" si="304"/>
        <v>600</v>
      </c>
      <c r="DV112" s="13">
        <f t="shared" si="304"/>
        <v>600</v>
      </c>
      <c r="DW112" s="13">
        <f t="shared" si="304"/>
        <v>600</v>
      </c>
      <c r="DX112" s="13">
        <f t="shared" si="304"/>
        <v>600</v>
      </c>
      <c r="DY112" s="13">
        <f t="shared" si="304"/>
        <v>600</v>
      </c>
      <c r="DZ112" s="13">
        <f t="shared" si="304"/>
        <v>600</v>
      </c>
      <c r="EA112" s="13">
        <f t="shared" si="304"/>
        <v>600</v>
      </c>
      <c r="EB112" s="13">
        <f t="shared" si="304"/>
        <v>600</v>
      </c>
      <c r="EC112" s="13">
        <f t="shared" si="304"/>
        <v>600</v>
      </c>
      <c r="ED112" s="13">
        <f t="shared" si="114"/>
        <v>600</v>
      </c>
      <c r="EE112" s="13">
        <f t="shared" si="149"/>
        <v>600</v>
      </c>
      <c r="EF112" s="13">
        <f t="shared" si="170"/>
        <v>600</v>
      </c>
      <c r="EG112" s="13">
        <f t="shared" si="193"/>
        <v>600</v>
      </c>
      <c r="EH112" s="13">
        <f t="shared" si="220"/>
        <v>600</v>
      </c>
      <c r="EI112" s="13">
        <f t="shared" si="227"/>
        <v>608.96208915568764</v>
      </c>
      <c r="EJ112" s="13">
        <f t="shared" si="221"/>
        <v>396.45891812693475</v>
      </c>
      <c r="EK112" s="13">
        <f t="shared" si="222"/>
        <v>157.4478565398984</v>
      </c>
      <c r="EL112" s="13">
        <f t="shared" si="223"/>
        <v>650</v>
      </c>
      <c r="EM112" s="13">
        <f t="shared" si="198"/>
        <v>650</v>
      </c>
      <c r="EN112" s="13">
        <f t="shared" si="177"/>
        <v>650</v>
      </c>
      <c r="EO112" s="13">
        <f t="shared" si="158"/>
        <v>650</v>
      </c>
      <c r="EP112" s="13">
        <f t="shared" si="125"/>
        <v>650</v>
      </c>
      <c r="EQ112" s="13">
        <f t="shared" si="305"/>
        <v>650</v>
      </c>
      <c r="ER112" s="13">
        <f t="shared" si="305"/>
        <v>650</v>
      </c>
      <c r="ES112" s="13">
        <f t="shared" si="305"/>
        <v>650</v>
      </c>
      <c r="ET112" s="13">
        <f t="shared" si="305"/>
        <v>650</v>
      </c>
      <c r="EU112" s="13">
        <f t="shared" si="305"/>
        <v>650</v>
      </c>
      <c r="EV112" s="13">
        <f t="shared" si="305"/>
        <v>650</v>
      </c>
      <c r="EW112" s="13">
        <f t="shared" si="305"/>
        <v>650</v>
      </c>
      <c r="EX112" s="13">
        <f t="shared" si="305"/>
        <v>650</v>
      </c>
      <c r="EY112" s="13">
        <f t="shared" si="305"/>
        <v>650</v>
      </c>
      <c r="EZ112" s="25">
        <v>17</v>
      </c>
      <c r="FA112" s="26">
        <f t="shared" si="279"/>
        <v>0.14814814814814814</v>
      </c>
    </row>
    <row r="113" spans="3:157" ht="15" customHeight="1" x14ac:dyDescent="0.25">
      <c r="C113" s="84"/>
      <c r="D113" s="85"/>
      <c r="E113" s="25">
        <v>16</v>
      </c>
      <c r="F113" s="26">
        <f t="shared" si="269"/>
        <v>0.1388888888888889</v>
      </c>
      <c r="G113" s="13">
        <f t="shared" si="295"/>
        <v>600</v>
      </c>
      <c r="H113" s="13">
        <f t="shared" si="295"/>
        <v>600</v>
      </c>
      <c r="I113" s="13">
        <f t="shared" si="295"/>
        <v>600</v>
      </c>
      <c r="J113" s="13">
        <f t="shared" si="295"/>
        <v>600</v>
      </c>
      <c r="K113" s="13">
        <f t="shared" si="295"/>
        <v>600</v>
      </c>
      <c r="L113" s="13">
        <f t="shared" si="295"/>
        <v>600</v>
      </c>
      <c r="M113" s="13">
        <f t="shared" si="295"/>
        <v>600</v>
      </c>
      <c r="N113" s="13">
        <f t="shared" si="295"/>
        <v>600</v>
      </c>
      <c r="O113" s="13">
        <f t="shared" si="295"/>
        <v>600</v>
      </c>
      <c r="P113" s="13">
        <f t="shared" si="87"/>
        <v>600</v>
      </c>
      <c r="Q113" s="13">
        <f t="shared" si="129"/>
        <v>600</v>
      </c>
      <c r="R113" s="13">
        <f t="shared" si="159"/>
        <v>600</v>
      </c>
      <c r="S113" s="13">
        <f t="shared" si="178"/>
        <v>600</v>
      </c>
      <c r="T113" s="13">
        <f t="shared" si="327"/>
        <v>607.70381040872144</v>
      </c>
      <c r="U113" s="13">
        <f t="shared" si="181"/>
        <v>608.40722616713106</v>
      </c>
      <c r="V113" s="13">
        <f t="shared" si="181"/>
        <v>609.33321757195608</v>
      </c>
      <c r="W113" s="13">
        <f t="shared" si="181"/>
        <v>610.51770188896239</v>
      </c>
      <c r="X113" s="13">
        <f t="shared" ref="X113" si="330">($F$6*$B$5*Y50+$F$4*W50)/($F$4+$F$6*$B$5)</f>
        <v>611.92092405762401</v>
      </c>
      <c r="Y113" s="13">
        <f t="shared" si="184"/>
        <v>650</v>
      </c>
      <c r="Z113" s="13">
        <f t="shared" si="165"/>
        <v>650</v>
      </c>
      <c r="AA113" s="13">
        <f t="shared" si="137"/>
        <v>650</v>
      </c>
      <c r="AB113" s="13">
        <f t="shared" si="99"/>
        <v>650</v>
      </c>
      <c r="AC113" s="13">
        <f t="shared" si="298"/>
        <v>650</v>
      </c>
      <c r="AD113" s="13">
        <f t="shared" si="298"/>
        <v>650</v>
      </c>
      <c r="AE113" s="13">
        <f t="shared" si="298"/>
        <v>650</v>
      </c>
      <c r="AF113" s="13">
        <f t="shared" si="298"/>
        <v>650</v>
      </c>
      <c r="AG113" s="13">
        <f t="shared" si="298"/>
        <v>650</v>
      </c>
      <c r="AH113" s="13">
        <f t="shared" si="298"/>
        <v>650</v>
      </c>
      <c r="AI113" s="13">
        <f t="shared" si="298"/>
        <v>650</v>
      </c>
      <c r="AJ113" s="13">
        <f t="shared" si="298"/>
        <v>650</v>
      </c>
      <c r="AK113" s="13">
        <f t="shared" si="298"/>
        <v>650</v>
      </c>
      <c r="AL113" s="25">
        <v>16</v>
      </c>
      <c r="AM113" s="26">
        <f t="shared" si="272"/>
        <v>0.1388888888888889</v>
      </c>
      <c r="AP113" s="87"/>
      <c r="AQ113" s="86"/>
      <c r="AR113" s="25">
        <v>16</v>
      </c>
      <c r="AS113" s="26">
        <f t="shared" si="273"/>
        <v>0.1388888888888889</v>
      </c>
      <c r="AT113" s="13">
        <f t="shared" si="299"/>
        <v>600</v>
      </c>
      <c r="AU113" s="13">
        <f t="shared" si="299"/>
        <v>600</v>
      </c>
      <c r="AV113" s="13">
        <f t="shared" si="299"/>
        <v>600</v>
      </c>
      <c r="AW113" s="13">
        <f t="shared" si="299"/>
        <v>600</v>
      </c>
      <c r="AX113" s="13">
        <f t="shared" si="299"/>
        <v>600</v>
      </c>
      <c r="AY113" s="13">
        <f t="shared" si="299"/>
        <v>600</v>
      </c>
      <c r="AZ113" s="13">
        <f t="shared" si="299"/>
        <v>600</v>
      </c>
      <c r="BA113" s="13">
        <f t="shared" si="299"/>
        <v>600</v>
      </c>
      <c r="BB113" s="13">
        <f t="shared" si="299"/>
        <v>600</v>
      </c>
      <c r="BC113" s="13">
        <f t="shared" si="100"/>
        <v>600</v>
      </c>
      <c r="BD113" s="13">
        <f t="shared" si="138"/>
        <v>600</v>
      </c>
      <c r="BE113" s="13">
        <f t="shared" si="166"/>
        <v>600</v>
      </c>
      <c r="BF113" s="13">
        <f t="shared" si="185"/>
        <v>600</v>
      </c>
      <c r="BG113" s="52"/>
      <c r="BH113" s="13">
        <f t="shared" ref="BH113:BH115" si="331">-($F$3*$F$2)/$B$8*U50</f>
        <v>-2182043664.3115063</v>
      </c>
      <c r="BI113" s="13">
        <f t="shared" si="215"/>
        <v>-2185217423.9917483</v>
      </c>
      <c r="BJ113" s="13">
        <f t="shared" ref="BJ113:BJ115" si="332">-($F$3*$F$2)/$B$8*W50</f>
        <v>-2189631939.6717443</v>
      </c>
      <c r="BK113" s="52"/>
      <c r="BL113" s="13">
        <f t="shared" si="189"/>
        <v>650</v>
      </c>
      <c r="BM113" s="13">
        <f t="shared" si="167"/>
        <v>650</v>
      </c>
      <c r="BN113" s="13">
        <f t="shared" si="146"/>
        <v>650</v>
      </c>
      <c r="BO113" s="13">
        <f t="shared" si="110"/>
        <v>650</v>
      </c>
      <c r="BP113" s="13">
        <f t="shared" si="300"/>
        <v>650</v>
      </c>
      <c r="BQ113" s="13">
        <f t="shared" si="300"/>
        <v>650</v>
      </c>
      <c r="BR113" s="13">
        <f t="shared" si="300"/>
        <v>650</v>
      </c>
      <c r="BS113" s="13">
        <f t="shared" si="300"/>
        <v>650</v>
      </c>
      <c r="BT113" s="13">
        <f t="shared" si="300"/>
        <v>650</v>
      </c>
      <c r="BU113" s="13">
        <f t="shared" si="300"/>
        <v>650</v>
      </c>
      <c r="BV113" s="13">
        <f t="shared" si="300"/>
        <v>650</v>
      </c>
      <c r="BW113" s="13">
        <f t="shared" si="300"/>
        <v>650</v>
      </c>
      <c r="BX113" s="13">
        <f t="shared" si="300"/>
        <v>650</v>
      </c>
      <c r="BY113" s="25">
        <v>16</v>
      </c>
      <c r="BZ113" s="26">
        <f t="shared" si="274"/>
        <v>0.1388888888888889</v>
      </c>
      <c r="CC113" s="84"/>
      <c r="CD113" s="85"/>
      <c r="CE113" s="25">
        <v>16</v>
      </c>
      <c r="CF113" s="26">
        <f t="shared" si="275"/>
        <v>0.1388888888888889</v>
      </c>
      <c r="CG113" s="13">
        <f t="shared" si="301"/>
        <v>600</v>
      </c>
      <c r="CH113" s="13">
        <f t="shared" si="301"/>
        <v>600</v>
      </c>
      <c r="CI113" s="13">
        <f t="shared" si="301"/>
        <v>600</v>
      </c>
      <c r="CJ113" s="13">
        <f t="shared" si="301"/>
        <v>600</v>
      </c>
      <c r="CK113" s="13">
        <f t="shared" si="301"/>
        <v>600</v>
      </c>
      <c r="CL113" s="13">
        <f t="shared" si="301"/>
        <v>600</v>
      </c>
      <c r="CM113" s="13">
        <f t="shared" si="301"/>
        <v>600</v>
      </c>
      <c r="CN113" s="13">
        <f t="shared" si="301"/>
        <v>600</v>
      </c>
      <c r="CO113" s="13">
        <f t="shared" si="301"/>
        <v>600</v>
      </c>
      <c r="CP113" s="13">
        <f t="shared" si="111"/>
        <v>600</v>
      </c>
      <c r="CQ113" s="13">
        <f t="shared" si="147"/>
        <v>600</v>
      </c>
      <c r="CR113" s="13">
        <f t="shared" si="168"/>
        <v>600</v>
      </c>
      <c r="CS113" s="13">
        <f t="shared" si="190"/>
        <v>600</v>
      </c>
      <c r="CT113" s="13">
        <v>0</v>
      </c>
      <c r="CU113" s="13">
        <f t="shared" ref="CU113:CW113" si="333">$L$2/($L$3-$L$4*CT113)</f>
        <v>0.34883720930232553</v>
      </c>
      <c r="CV113" s="13">
        <f t="shared" si="333"/>
        <v>0.39716748768472904</v>
      </c>
      <c r="CW113" s="13">
        <f t="shared" si="333"/>
        <v>0.40494040593779607</v>
      </c>
      <c r="CX113" s="13">
        <f t="shared" ref="CX113" si="334">$L$2/($L$3-$L$4*CW113)</f>
        <v>0.4062190081621499</v>
      </c>
      <c r="CY113" s="13">
        <f t="shared" si="192"/>
        <v>650</v>
      </c>
      <c r="CZ113" s="13">
        <f t="shared" si="169"/>
        <v>650</v>
      </c>
      <c r="DA113" s="13">
        <f t="shared" si="148"/>
        <v>650</v>
      </c>
      <c r="DB113" s="13">
        <f t="shared" si="113"/>
        <v>650</v>
      </c>
      <c r="DC113" s="13">
        <f t="shared" si="303"/>
        <v>650</v>
      </c>
      <c r="DD113" s="13">
        <f t="shared" si="303"/>
        <v>650</v>
      </c>
      <c r="DE113" s="13">
        <f t="shared" si="303"/>
        <v>650</v>
      </c>
      <c r="DF113" s="13">
        <f t="shared" si="303"/>
        <v>650</v>
      </c>
      <c r="DG113" s="13">
        <f t="shared" si="303"/>
        <v>650</v>
      </c>
      <c r="DH113" s="13">
        <f t="shared" si="303"/>
        <v>650</v>
      </c>
      <c r="DI113" s="13">
        <f t="shared" si="303"/>
        <v>650</v>
      </c>
      <c r="DJ113" s="13">
        <f t="shared" si="303"/>
        <v>650</v>
      </c>
      <c r="DK113" s="13">
        <f t="shared" si="303"/>
        <v>650</v>
      </c>
      <c r="DL113" s="25">
        <v>16</v>
      </c>
      <c r="DM113" s="26">
        <f t="shared" si="277"/>
        <v>0.1388888888888889</v>
      </c>
      <c r="DQ113" s="84"/>
      <c r="DR113" s="85"/>
      <c r="DS113" s="25">
        <v>16</v>
      </c>
      <c r="DT113" s="26">
        <f t="shared" si="278"/>
        <v>0.1388888888888889</v>
      </c>
      <c r="DU113" s="13">
        <f t="shared" si="304"/>
        <v>600</v>
      </c>
      <c r="DV113" s="13">
        <f t="shared" si="304"/>
        <v>600</v>
      </c>
      <c r="DW113" s="13">
        <f t="shared" si="304"/>
        <v>600</v>
      </c>
      <c r="DX113" s="13">
        <f t="shared" si="304"/>
        <v>600</v>
      </c>
      <c r="DY113" s="13">
        <f t="shared" si="304"/>
        <v>600</v>
      </c>
      <c r="DZ113" s="13">
        <f t="shared" si="304"/>
        <v>600</v>
      </c>
      <c r="EA113" s="13">
        <f t="shared" si="304"/>
        <v>600</v>
      </c>
      <c r="EB113" s="13">
        <f t="shared" si="304"/>
        <v>600</v>
      </c>
      <c r="EC113" s="13">
        <f t="shared" si="304"/>
        <v>600</v>
      </c>
      <c r="ED113" s="13">
        <f t="shared" si="114"/>
        <v>600</v>
      </c>
      <c r="EE113" s="13">
        <f t="shared" si="149"/>
        <v>600</v>
      </c>
      <c r="EF113" s="13">
        <f t="shared" si="170"/>
        <v>600</v>
      </c>
      <c r="EG113" s="13">
        <f t="shared" si="193"/>
        <v>600</v>
      </c>
      <c r="EH113" s="13">
        <f t="shared" si="227"/>
        <v>607.70381040872144</v>
      </c>
      <c r="EI113" s="13">
        <f t="shared" ref="EI113:EI115" si="335">(EH113*$L$4-BH113)/($L$3-$L$4*CT113)</f>
        <v>395.8491270141231</v>
      </c>
      <c r="EJ113" s="13">
        <f t="shared" si="221"/>
        <v>366.85543572566257</v>
      </c>
      <c r="EK113" s="13">
        <f t="shared" si="222"/>
        <v>362.7261944992369</v>
      </c>
      <c r="EL113" s="13">
        <f t="shared" ref="EL113:EL115" si="336">(EK113*$L$4-BK113)/($L$3-$L$4*CW113)</f>
        <v>147.3462749639111</v>
      </c>
      <c r="EM113" s="13">
        <f t="shared" si="198"/>
        <v>650</v>
      </c>
      <c r="EN113" s="13">
        <f t="shared" si="177"/>
        <v>650</v>
      </c>
      <c r="EO113" s="13">
        <f t="shared" si="158"/>
        <v>650</v>
      </c>
      <c r="EP113" s="13">
        <f t="shared" si="125"/>
        <v>650</v>
      </c>
      <c r="EQ113" s="13">
        <f t="shared" si="305"/>
        <v>650</v>
      </c>
      <c r="ER113" s="13">
        <f t="shared" si="305"/>
        <v>650</v>
      </c>
      <c r="ES113" s="13">
        <f t="shared" si="305"/>
        <v>650</v>
      </c>
      <c r="ET113" s="13">
        <f t="shared" si="305"/>
        <v>650</v>
      </c>
      <c r="EU113" s="13">
        <f t="shared" si="305"/>
        <v>650</v>
      </c>
      <c r="EV113" s="13">
        <f t="shared" si="305"/>
        <v>650</v>
      </c>
      <c r="EW113" s="13">
        <f t="shared" si="305"/>
        <v>650</v>
      </c>
      <c r="EX113" s="13">
        <f t="shared" si="305"/>
        <v>650</v>
      </c>
      <c r="EY113" s="13">
        <f t="shared" si="305"/>
        <v>650</v>
      </c>
      <c r="EZ113" s="25">
        <v>16</v>
      </c>
      <c r="FA113" s="26">
        <f t="shared" si="279"/>
        <v>0.1388888888888889</v>
      </c>
    </row>
    <row r="114" spans="3:157" ht="15" customHeight="1" x14ac:dyDescent="0.25">
      <c r="C114" s="84"/>
      <c r="D114" s="85"/>
      <c r="E114" s="25">
        <v>15</v>
      </c>
      <c r="F114" s="26">
        <f t="shared" si="269"/>
        <v>0.12962962962962962</v>
      </c>
      <c r="G114" s="13">
        <f t="shared" ref="G114:O121" si="337">$R$2</f>
        <v>600</v>
      </c>
      <c r="H114" s="13">
        <f t="shared" si="337"/>
        <v>600</v>
      </c>
      <c r="I114" s="13">
        <f t="shared" si="337"/>
        <v>600</v>
      </c>
      <c r="J114" s="13">
        <f t="shared" si="337"/>
        <v>600</v>
      </c>
      <c r="K114" s="13">
        <f t="shared" si="337"/>
        <v>600</v>
      </c>
      <c r="L114" s="13">
        <f t="shared" si="337"/>
        <v>600</v>
      </c>
      <c r="M114" s="13">
        <f t="shared" si="337"/>
        <v>600</v>
      </c>
      <c r="N114" s="13">
        <f t="shared" si="337"/>
        <v>600</v>
      </c>
      <c r="O114" s="13">
        <f t="shared" si="337"/>
        <v>600</v>
      </c>
      <c r="P114" s="13">
        <f t="shared" si="87"/>
        <v>600</v>
      </c>
      <c r="Q114" s="13">
        <f t="shared" si="129"/>
        <v>600</v>
      </c>
      <c r="R114" s="13">
        <f t="shared" si="159"/>
        <v>600</v>
      </c>
      <c r="S114" s="13">
        <f t="shared" si="178"/>
        <v>600</v>
      </c>
      <c r="T114" s="13">
        <f t="shared" si="327"/>
        <v>605.73924852637447</v>
      </c>
      <c r="U114" s="13">
        <f t="shared" si="181"/>
        <v>606.37559948667229</v>
      </c>
      <c r="V114" s="13">
        <f t="shared" si="181"/>
        <v>607.27510589432814</v>
      </c>
      <c r="W114" s="13">
        <f t="shared" si="181"/>
        <v>608.44619063118262</v>
      </c>
      <c r="X114" s="13">
        <f t="shared" ref="X114" si="338">($F$6*$B$5*Y51+$F$4*W51)/($F$4+$F$6*$B$5)</f>
        <v>609.88336529786363</v>
      </c>
      <c r="Y114" s="13">
        <f t="shared" si="184"/>
        <v>650</v>
      </c>
      <c r="Z114" s="13">
        <f t="shared" si="165"/>
        <v>650</v>
      </c>
      <c r="AA114" s="13">
        <f t="shared" si="137"/>
        <v>650</v>
      </c>
      <c r="AB114" s="13">
        <f t="shared" si="99"/>
        <v>650</v>
      </c>
      <c r="AC114" s="13">
        <f t="shared" ref="AC114:AK121" si="339">$R$3</f>
        <v>650</v>
      </c>
      <c r="AD114" s="13">
        <f t="shared" si="339"/>
        <v>650</v>
      </c>
      <c r="AE114" s="13">
        <f t="shared" si="339"/>
        <v>650</v>
      </c>
      <c r="AF114" s="13">
        <f t="shared" si="339"/>
        <v>650</v>
      </c>
      <c r="AG114" s="13">
        <f t="shared" si="339"/>
        <v>650</v>
      </c>
      <c r="AH114" s="13">
        <f t="shared" si="339"/>
        <v>650</v>
      </c>
      <c r="AI114" s="13">
        <f t="shared" si="339"/>
        <v>650</v>
      </c>
      <c r="AJ114" s="13">
        <f t="shared" si="339"/>
        <v>650</v>
      </c>
      <c r="AK114" s="13">
        <f t="shared" si="339"/>
        <v>650</v>
      </c>
      <c r="AL114" s="25">
        <v>15</v>
      </c>
      <c r="AM114" s="26">
        <f t="shared" si="272"/>
        <v>0.12962962962962962</v>
      </c>
      <c r="AP114" s="87"/>
      <c r="AQ114" s="86"/>
      <c r="AR114" s="25">
        <v>15</v>
      </c>
      <c r="AS114" s="26">
        <f t="shared" si="273"/>
        <v>0.12962962962962962</v>
      </c>
      <c r="AT114" s="13">
        <f t="shared" ref="AT114:BB121" si="340">$R$2</f>
        <v>600</v>
      </c>
      <c r="AU114" s="13">
        <f t="shared" si="340"/>
        <v>600</v>
      </c>
      <c r="AV114" s="13">
        <f t="shared" si="340"/>
        <v>600</v>
      </c>
      <c r="AW114" s="13">
        <f t="shared" si="340"/>
        <v>600</v>
      </c>
      <c r="AX114" s="13">
        <f t="shared" si="340"/>
        <v>600</v>
      </c>
      <c r="AY114" s="13">
        <f t="shared" si="340"/>
        <v>600</v>
      </c>
      <c r="AZ114" s="13">
        <f t="shared" si="340"/>
        <v>600</v>
      </c>
      <c r="BA114" s="13">
        <f t="shared" si="340"/>
        <v>600</v>
      </c>
      <c r="BB114" s="13">
        <f t="shared" si="340"/>
        <v>600</v>
      </c>
      <c r="BC114" s="13">
        <f t="shared" si="100"/>
        <v>600</v>
      </c>
      <c r="BD114" s="13">
        <f t="shared" si="138"/>
        <v>600</v>
      </c>
      <c r="BE114" s="13">
        <f t="shared" si="166"/>
        <v>600</v>
      </c>
      <c r="BF114" s="13">
        <f t="shared" si="185"/>
        <v>600</v>
      </c>
      <c r="BG114" s="52"/>
      <c r="BH114" s="13">
        <f t="shared" si="331"/>
        <v>-2174586187.4061174</v>
      </c>
      <c r="BI114" s="13">
        <f t="shared" si="215"/>
        <v>-2177778745.6659679</v>
      </c>
      <c r="BJ114" s="13">
        <f t="shared" si="332"/>
        <v>-2182003319.6752014</v>
      </c>
      <c r="BK114" s="52"/>
      <c r="BL114" s="13">
        <f t="shared" si="189"/>
        <v>650</v>
      </c>
      <c r="BM114" s="13">
        <f t="shared" si="167"/>
        <v>650</v>
      </c>
      <c r="BN114" s="13">
        <f t="shared" si="146"/>
        <v>650</v>
      </c>
      <c r="BO114" s="13">
        <f t="shared" si="110"/>
        <v>650</v>
      </c>
      <c r="BP114" s="13">
        <f t="shared" ref="BP114:BX121" si="341">$R$3</f>
        <v>650</v>
      </c>
      <c r="BQ114" s="13">
        <f t="shared" si="341"/>
        <v>650</v>
      </c>
      <c r="BR114" s="13">
        <f t="shared" si="341"/>
        <v>650</v>
      </c>
      <c r="BS114" s="13">
        <f t="shared" si="341"/>
        <v>650</v>
      </c>
      <c r="BT114" s="13">
        <f t="shared" si="341"/>
        <v>650</v>
      </c>
      <c r="BU114" s="13">
        <f t="shared" si="341"/>
        <v>650</v>
      </c>
      <c r="BV114" s="13">
        <f t="shared" si="341"/>
        <v>650</v>
      </c>
      <c r="BW114" s="13">
        <f t="shared" si="341"/>
        <v>650</v>
      </c>
      <c r="BX114" s="13">
        <f t="shared" si="341"/>
        <v>650</v>
      </c>
      <c r="BY114" s="25">
        <v>15</v>
      </c>
      <c r="BZ114" s="26">
        <f t="shared" si="274"/>
        <v>0.12962962962962962</v>
      </c>
      <c r="CC114" s="84"/>
      <c r="CD114" s="85"/>
      <c r="CE114" s="25">
        <v>15</v>
      </c>
      <c r="CF114" s="26">
        <f t="shared" si="275"/>
        <v>0.12962962962962962</v>
      </c>
      <c r="CG114" s="13">
        <f t="shared" ref="CG114:CO121" si="342">$R$2</f>
        <v>600</v>
      </c>
      <c r="CH114" s="13">
        <f t="shared" si="342"/>
        <v>600</v>
      </c>
      <c r="CI114" s="13">
        <f t="shared" si="342"/>
        <v>600</v>
      </c>
      <c r="CJ114" s="13">
        <f t="shared" si="342"/>
        <v>600</v>
      </c>
      <c r="CK114" s="13">
        <f t="shared" si="342"/>
        <v>600</v>
      </c>
      <c r="CL114" s="13">
        <f t="shared" si="342"/>
        <v>600</v>
      </c>
      <c r="CM114" s="13">
        <f t="shared" si="342"/>
        <v>600</v>
      </c>
      <c r="CN114" s="13">
        <f t="shared" si="342"/>
        <v>600</v>
      </c>
      <c r="CO114" s="13">
        <f t="shared" si="342"/>
        <v>600</v>
      </c>
      <c r="CP114" s="13">
        <f t="shared" si="111"/>
        <v>600</v>
      </c>
      <c r="CQ114" s="13">
        <f t="shared" si="147"/>
        <v>600</v>
      </c>
      <c r="CR114" s="13">
        <f t="shared" si="168"/>
        <v>600</v>
      </c>
      <c r="CS114" s="13">
        <f t="shared" si="190"/>
        <v>600</v>
      </c>
      <c r="CT114" s="13">
        <v>0</v>
      </c>
      <c r="CU114" s="13">
        <f t="shared" ref="CU114:CW114" si="343">$L$2/($L$3-$L$4*CT114)</f>
        <v>0.34883720930232553</v>
      </c>
      <c r="CV114" s="13">
        <f t="shared" si="343"/>
        <v>0.39716748768472904</v>
      </c>
      <c r="CW114" s="13">
        <f t="shared" si="343"/>
        <v>0.40494040593779607</v>
      </c>
      <c r="CX114" s="13">
        <f t="shared" ref="CX114" si="344">$L$2/($L$3-$L$4*CW114)</f>
        <v>0.4062190081621499</v>
      </c>
      <c r="CY114" s="13">
        <f t="shared" si="192"/>
        <v>650</v>
      </c>
      <c r="CZ114" s="13">
        <f t="shared" si="169"/>
        <v>650</v>
      </c>
      <c r="DA114" s="13">
        <f t="shared" si="148"/>
        <v>650</v>
      </c>
      <c r="DB114" s="13">
        <f t="shared" si="113"/>
        <v>650</v>
      </c>
      <c r="DC114" s="13">
        <f t="shared" ref="DC114:DK121" si="345">$R$3</f>
        <v>650</v>
      </c>
      <c r="DD114" s="13">
        <f t="shared" si="345"/>
        <v>650</v>
      </c>
      <c r="DE114" s="13">
        <f t="shared" si="345"/>
        <v>650</v>
      </c>
      <c r="DF114" s="13">
        <f t="shared" si="345"/>
        <v>650</v>
      </c>
      <c r="DG114" s="13">
        <f t="shared" si="345"/>
        <v>650</v>
      </c>
      <c r="DH114" s="13">
        <f t="shared" si="345"/>
        <v>650</v>
      </c>
      <c r="DI114" s="13">
        <f t="shared" si="345"/>
        <v>650</v>
      </c>
      <c r="DJ114" s="13">
        <f t="shared" si="345"/>
        <v>650</v>
      </c>
      <c r="DK114" s="13">
        <f t="shared" si="345"/>
        <v>650</v>
      </c>
      <c r="DL114" s="25">
        <v>15</v>
      </c>
      <c r="DM114" s="26">
        <f t="shared" si="277"/>
        <v>0.12962962962962962</v>
      </c>
      <c r="DQ114" s="84"/>
      <c r="DR114" s="85"/>
      <c r="DS114" s="25">
        <v>15</v>
      </c>
      <c r="DT114" s="26">
        <f t="shared" si="278"/>
        <v>0.12962962962962962</v>
      </c>
      <c r="DU114" s="13">
        <f t="shared" ref="DU114:EC121" si="346">$R$2</f>
        <v>600</v>
      </c>
      <c r="DV114" s="13">
        <f t="shared" si="346"/>
        <v>600</v>
      </c>
      <c r="DW114" s="13">
        <f t="shared" si="346"/>
        <v>600</v>
      </c>
      <c r="DX114" s="13">
        <f t="shared" si="346"/>
        <v>600</v>
      </c>
      <c r="DY114" s="13">
        <f t="shared" si="346"/>
        <v>600</v>
      </c>
      <c r="DZ114" s="13">
        <f t="shared" si="346"/>
        <v>600</v>
      </c>
      <c r="EA114" s="13">
        <f t="shared" si="346"/>
        <v>600</v>
      </c>
      <c r="EB114" s="13">
        <f t="shared" si="346"/>
        <v>600</v>
      </c>
      <c r="EC114" s="13">
        <f t="shared" si="346"/>
        <v>600</v>
      </c>
      <c r="ED114" s="13">
        <f t="shared" si="114"/>
        <v>600</v>
      </c>
      <c r="EE114" s="13">
        <f t="shared" si="149"/>
        <v>600</v>
      </c>
      <c r="EF114" s="13">
        <f t="shared" si="170"/>
        <v>600</v>
      </c>
      <c r="EG114" s="13">
        <f t="shared" si="193"/>
        <v>600</v>
      </c>
      <c r="EH114" s="13">
        <f t="shared" si="227"/>
        <v>605.73924852637447</v>
      </c>
      <c r="EI114" s="13">
        <f t="shared" si="335"/>
        <v>394.5354462677206</v>
      </c>
      <c r="EJ114" s="13">
        <f t="shared" si="221"/>
        <v>365.62006096999767</v>
      </c>
      <c r="EK114" s="13">
        <f t="shared" si="222"/>
        <v>361.47977311275662</v>
      </c>
      <c r="EL114" s="13">
        <f t="shared" si="336"/>
        <v>146.83995490454299</v>
      </c>
      <c r="EM114" s="13">
        <f t="shared" si="198"/>
        <v>650</v>
      </c>
      <c r="EN114" s="13">
        <f t="shared" si="177"/>
        <v>650</v>
      </c>
      <c r="EO114" s="13">
        <f t="shared" si="158"/>
        <v>650</v>
      </c>
      <c r="EP114" s="13">
        <f t="shared" si="125"/>
        <v>650</v>
      </c>
      <c r="EQ114" s="13">
        <f t="shared" ref="EQ114:EY121" si="347">$R$3</f>
        <v>650</v>
      </c>
      <c r="ER114" s="13">
        <f t="shared" si="347"/>
        <v>650</v>
      </c>
      <c r="ES114" s="13">
        <f t="shared" si="347"/>
        <v>650</v>
      </c>
      <c r="ET114" s="13">
        <f t="shared" si="347"/>
        <v>650</v>
      </c>
      <c r="EU114" s="13">
        <f t="shared" si="347"/>
        <v>650</v>
      </c>
      <c r="EV114" s="13">
        <f t="shared" si="347"/>
        <v>650</v>
      </c>
      <c r="EW114" s="13">
        <f t="shared" si="347"/>
        <v>650</v>
      </c>
      <c r="EX114" s="13">
        <f t="shared" si="347"/>
        <v>650</v>
      </c>
      <c r="EY114" s="13">
        <f t="shared" si="347"/>
        <v>650</v>
      </c>
      <c r="EZ114" s="25">
        <v>15</v>
      </c>
      <c r="FA114" s="26">
        <f t="shared" si="279"/>
        <v>0.12962962962962962</v>
      </c>
    </row>
    <row r="115" spans="3:157" ht="15" customHeight="1" x14ac:dyDescent="0.25">
      <c r="C115" s="84"/>
      <c r="D115" s="85"/>
      <c r="E115" s="25">
        <v>14</v>
      </c>
      <c r="F115" s="26">
        <f t="shared" si="269"/>
        <v>0.12037037037037036</v>
      </c>
      <c r="G115" s="13">
        <f t="shared" si="337"/>
        <v>600</v>
      </c>
      <c r="H115" s="13">
        <f t="shared" si="337"/>
        <v>600</v>
      </c>
      <c r="I115" s="13">
        <f t="shared" si="337"/>
        <v>600</v>
      </c>
      <c r="J115" s="13">
        <f t="shared" si="337"/>
        <v>600</v>
      </c>
      <c r="K115" s="13">
        <f t="shared" si="337"/>
        <v>600</v>
      </c>
      <c r="L115" s="13">
        <f t="shared" si="337"/>
        <v>600</v>
      </c>
      <c r="M115" s="13">
        <f t="shared" si="337"/>
        <v>600</v>
      </c>
      <c r="N115" s="13">
        <f t="shared" si="337"/>
        <v>600</v>
      </c>
      <c r="O115" s="13">
        <f t="shared" si="337"/>
        <v>600</v>
      </c>
      <c r="P115" s="13">
        <f t="shared" si="87"/>
        <v>600</v>
      </c>
      <c r="Q115" s="13">
        <f t="shared" si="129"/>
        <v>600</v>
      </c>
      <c r="R115" s="13">
        <f t="shared" si="159"/>
        <v>600</v>
      </c>
      <c r="S115" s="13">
        <f t="shared" si="178"/>
        <v>600</v>
      </c>
      <c r="T115" s="13">
        <f t="shared" ref="T115" si="348">($F$5*$B$5*S52+$F$4*U52)/($F$4+$F$5*$B$5)</f>
        <v>602.38442264054902</v>
      </c>
      <c r="U115" s="13">
        <f t="shared" si="181"/>
        <v>602.89982890986801</v>
      </c>
      <c r="V115" s="13">
        <f t="shared" si="181"/>
        <v>603.74212353307166</v>
      </c>
      <c r="W115" s="13">
        <f t="shared" si="181"/>
        <v>604.91413960922796</v>
      </c>
      <c r="X115" s="13">
        <f t="shared" ref="X115" si="349">($F$6*$B$5*Y52+$F$4*W52)/($F$4+$F$6*$B$5)</f>
        <v>606.42169171174532</v>
      </c>
      <c r="Y115" s="13">
        <f t="shared" si="184"/>
        <v>650</v>
      </c>
      <c r="Z115" s="13">
        <f t="shared" si="165"/>
        <v>650</v>
      </c>
      <c r="AA115" s="13">
        <f t="shared" si="137"/>
        <v>650</v>
      </c>
      <c r="AB115" s="13">
        <f t="shared" si="99"/>
        <v>650</v>
      </c>
      <c r="AC115" s="13">
        <f t="shared" si="339"/>
        <v>650</v>
      </c>
      <c r="AD115" s="13">
        <f t="shared" si="339"/>
        <v>650</v>
      </c>
      <c r="AE115" s="13">
        <f t="shared" si="339"/>
        <v>650</v>
      </c>
      <c r="AF115" s="13">
        <f t="shared" si="339"/>
        <v>650</v>
      </c>
      <c r="AG115" s="13">
        <f t="shared" si="339"/>
        <v>650</v>
      </c>
      <c r="AH115" s="13">
        <f t="shared" si="339"/>
        <v>650</v>
      </c>
      <c r="AI115" s="13">
        <f t="shared" si="339"/>
        <v>650</v>
      </c>
      <c r="AJ115" s="13">
        <f t="shared" si="339"/>
        <v>650</v>
      </c>
      <c r="AK115" s="13">
        <f t="shared" si="339"/>
        <v>650</v>
      </c>
      <c r="AL115" s="25">
        <v>14</v>
      </c>
      <c r="AM115" s="26">
        <f t="shared" si="272"/>
        <v>0.12037037037037036</v>
      </c>
      <c r="AP115" s="87"/>
      <c r="AQ115" s="86"/>
      <c r="AR115" s="25">
        <v>14</v>
      </c>
      <c r="AS115" s="26">
        <f t="shared" si="273"/>
        <v>0.12037037037037036</v>
      </c>
      <c r="AT115" s="13">
        <f t="shared" si="340"/>
        <v>600</v>
      </c>
      <c r="AU115" s="13">
        <f t="shared" si="340"/>
        <v>600</v>
      </c>
      <c r="AV115" s="13">
        <f t="shared" si="340"/>
        <v>600</v>
      </c>
      <c r="AW115" s="13">
        <f t="shared" si="340"/>
        <v>600</v>
      </c>
      <c r="AX115" s="13">
        <f t="shared" si="340"/>
        <v>600</v>
      </c>
      <c r="AY115" s="13">
        <f t="shared" si="340"/>
        <v>600</v>
      </c>
      <c r="AZ115" s="13">
        <f t="shared" si="340"/>
        <v>600</v>
      </c>
      <c r="BA115" s="13">
        <f t="shared" si="340"/>
        <v>600</v>
      </c>
      <c r="BB115" s="13">
        <f t="shared" si="340"/>
        <v>600</v>
      </c>
      <c r="BC115" s="13">
        <f t="shared" si="100"/>
        <v>600</v>
      </c>
      <c r="BD115" s="13">
        <f t="shared" si="138"/>
        <v>600</v>
      </c>
      <c r="BE115" s="13">
        <f t="shared" si="166"/>
        <v>600</v>
      </c>
      <c r="BF115" s="13">
        <f t="shared" si="185"/>
        <v>600</v>
      </c>
      <c r="BG115" s="52"/>
      <c r="BH115" s="13">
        <f t="shared" si="331"/>
        <v>-2161851268.343524</v>
      </c>
      <c r="BI115" s="13">
        <f t="shared" si="215"/>
        <v>-2164861692.4214373</v>
      </c>
      <c r="BJ115" s="13">
        <f t="shared" si="332"/>
        <v>-2169042813.7687745</v>
      </c>
      <c r="BK115" s="52"/>
      <c r="BL115" s="13">
        <f t="shared" si="189"/>
        <v>650</v>
      </c>
      <c r="BM115" s="13">
        <f t="shared" si="167"/>
        <v>650</v>
      </c>
      <c r="BN115" s="13">
        <f t="shared" si="146"/>
        <v>650</v>
      </c>
      <c r="BO115" s="13">
        <f t="shared" si="110"/>
        <v>650</v>
      </c>
      <c r="BP115" s="13">
        <f t="shared" si="341"/>
        <v>650</v>
      </c>
      <c r="BQ115" s="13">
        <f t="shared" si="341"/>
        <v>650</v>
      </c>
      <c r="BR115" s="13">
        <f t="shared" si="341"/>
        <v>650</v>
      </c>
      <c r="BS115" s="13">
        <f t="shared" si="341"/>
        <v>650</v>
      </c>
      <c r="BT115" s="13">
        <f t="shared" si="341"/>
        <v>650</v>
      </c>
      <c r="BU115" s="13">
        <f t="shared" si="341"/>
        <v>650</v>
      </c>
      <c r="BV115" s="13">
        <f t="shared" si="341"/>
        <v>650</v>
      </c>
      <c r="BW115" s="13">
        <f t="shared" si="341"/>
        <v>650</v>
      </c>
      <c r="BX115" s="13">
        <f t="shared" si="341"/>
        <v>650</v>
      </c>
      <c r="BY115" s="25">
        <v>14</v>
      </c>
      <c r="BZ115" s="26">
        <f t="shared" si="274"/>
        <v>0.12037037037037036</v>
      </c>
      <c r="CC115" s="84"/>
      <c r="CD115" s="85"/>
      <c r="CE115" s="25">
        <v>14</v>
      </c>
      <c r="CF115" s="26">
        <f t="shared" si="275"/>
        <v>0.12037037037037036</v>
      </c>
      <c r="CG115" s="13">
        <f t="shared" si="342"/>
        <v>600</v>
      </c>
      <c r="CH115" s="13">
        <f t="shared" si="342"/>
        <v>600</v>
      </c>
      <c r="CI115" s="13">
        <f t="shared" si="342"/>
        <v>600</v>
      </c>
      <c r="CJ115" s="13">
        <f t="shared" si="342"/>
        <v>600</v>
      </c>
      <c r="CK115" s="13">
        <f t="shared" si="342"/>
        <v>600</v>
      </c>
      <c r="CL115" s="13">
        <f t="shared" si="342"/>
        <v>600</v>
      </c>
      <c r="CM115" s="13">
        <f t="shared" si="342"/>
        <v>600</v>
      </c>
      <c r="CN115" s="13">
        <f t="shared" si="342"/>
        <v>600</v>
      </c>
      <c r="CO115" s="13">
        <f t="shared" si="342"/>
        <v>600</v>
      </c>
      <c r="CP115" s="13">
        <f t="shared" si="111"/>
        <v>600</v>
      </c>
      <c r="CQ115" s="13">
        <f t="shared" si="147"/>
        <v>600</v>
      </c>
      <c r="CR115" s="13">
        <f t="shared" si="168"/>
        <v>600</v>
      </c>
      <c r="CS115" s="13">
        <f t="shared" si="190"/>
        <v>600</v>
      </c>
      <c r="CT115" s="13">
        <v>0</v>
      </c>
      <c r="CU115" s="13">
        <f t="shared" ref="CU115:CW115" si="350">$L$2/($L$3-$L$4*CT115)</f>
        <v>0.34883720930232553</v>
      </c>
      <c r="CV115" s="13">
        <f t="shared" si="350"/>
        <v>0.39716748768472904</v>
      </c>
      <c r="CW115" s="13">
        <f t="shared" si="350"/>
        <v>0.40494040593779607</v>
      </c>
      <c r="CX115" s="13">
        <f t="shared" ref="CX115" si="351">$L$2/($L$3-$L$4*CW115)</f>
        <v>0.4062190081621499</v>
      </c>
      <c r="CY115" s="13">
        <f t="shared" si="192"/>
        <v>650</v>
      </c>
      <c r="CZ115" s="13">
        <f t="shared" si="169"/>
        <v>650</v>
      </c>
      <c r="DA115" s="13">
        <f t="shared" si="148"/>
        <v>650</v>
      </c>
      <c r="DB115" s="13">
        <f t="shared" si="113"/>
        <v>650</v>
      </c>
      <c r="DC115" s="13">
        <f t="shared" si="345"/>
        <v>650</v>
      </c>
      <c r="DD115" s="13">
        <f t="shared" si="345"/>
        <v>650</v>
      </c>
      <c r="DE115" s="13">
        <f t="shared" si="345"/>
        <v>650</v>
      </c>
      <c r="DF115" s="13">
        <f t="shared" si="345"/>
        <v>650</v>
      </c>
      <c r="DG115" s="13">
        <f t="shared" si="345"/>
        <v>650</v>
      </c>
      <c r="DH115" s="13">
        <f t="shared" si="345"/>
        <v>650</v>
      </c>
      <c r="DI115" s="13">
        <f t="shared" si="345"/>
        <v>650</v>
      </c>
      <c r="DJ115" s="13">
        <f t="shared" si="345"/>
        <v>650</v>
      </c>
      <c r="DK115" s="13">
        <f t="shared" si="345"/>
        <v>650</v>
      </c>
      <c r="DL115" s="25">
        <v>14</v>
      </c>
      <c r="DM115" s="26">
        <f t="shared" si="277"/>
        <v>0.12037037037037036</v>
      </c>
      <c r="DQ115" s="84"/>
      <c r="DR115" s="85"/>
      <c r="DS115" s="25">
        <v>14</v>
      </c>
      <c r="DT115" s="26">
        <f t="shared" si="278"/>
        <v>0.12037037037037036</v>
      </c>
      <c r="DU115" s="13">
        <f t="shared" si="346"/>
        <v>600</v>
      </c>
      <c r="DV115" s="13">
        <f t="shared" si="346"/>
        <v>600</v>
      </c>
      <c r="DW115" s="13">
        <f t="shared" si="346"/>
        <v>600</v>
      </c>
      <c r="DX115" s="13">
        <f t="shared" si="346"/>
        <v>600</v>
      </c>
      <c r="DY115" s="13">
        <f t="shared" si="346"/>
        <v>600</v>
      </c>
      <c r="DZ115" s="13">
        <f t="shared" si="346"/>
        <v>600</v>
      </c>
      <c r="EA115" s="13">
        <f t="shared" si="346"/>
        <v>600</v>
      </c>
      <c r="EB115" s="13">
        <f t="shared" si="346"/>
        <v>600</v>
      </c>
      <c r="EC115" s="13">
        <f t="shared" si="346"/>
        <v>600</v>
      </c>
      <c r="ED115" s="13">
        <f t="shared" si="114"/>
        <v>600</v>
      </c>
      <c r="EE115" s="13">
        <f t="shared" si="149"/>
        <v>600</v>
      </c>
      <c r="EF115" s="13">
        <f t="shared" si="170"/>
        <v>600</v>
      </c>
      <c r="EG115" s="13">
        <f t="shared" si="193"/>
        <v>600</v>
      </c>
      <c r="EH115" s="13">
        <f t="shared" ref="EC115:EH122" si="352">T115</f>
        <v>602.38442264054902</v>
      </c>
      <c r="EI115" s="13">
        <f t="shared" si="335"/>
        <v>392.29211139833143</v>
      </c>
      <c r="EJ115" s="13">
        <f t="shared" si="221"/>
        <v>363.48989443950518</v>
      </c>
      <c r="EK115" s="13">
        <f t="shared" si="222"/>
        <v>359.34949359798873</v>
      </c>
      <c r="EL115" s="13">
        <f t="shared" si="336"/>
        <v>145.9745948729458</v>
      </c>
      <c r="EM115" s="13">
        <f t="shared" si="198"/>
        <v>650</v>
      </c>
      <c r="EN115" s="13">
        <f t="shared" si="177"/>
        <v>650</v>
      </c>
      <c r="EO115" s="13">
        <f t="shared" si="158"/>
        <v>650</v>
      </c>
      <c r="EP115" s="13">
        <f t="shared" si="125"/>
        <v>650</v>
      </c>
      <c r="EQ115" s="13">
        <f t="shared" si="347"/>
        <v>650</v>
      </c>
      <c r="ER115" s="13">
        <f t="shared" si="347"/>
        <v>650</v>
      </c>
      <c r="ES115" s="13">
        <f t="shared" si="347"/>
        <v>650</v>
      </c>
      <c r="ET115" s="13">
        <f t="shared" si="347"/>
        <v>650</v>
      </c>
      <c r="EU115" s="13">
        <f t="shared" si="347"/>
        <v>650</v>
      </c>
      <c r="EV115" s="13">
        <f t="shared" si="347"/>
        <v>650</v>
      </c>
      <c r="EW115" s="13">
        <f t="shared" si="347"/>
        <v>650</v>
      </c>
      <c r="EX115" s="13">
        <f t="shared" si="347"/>
        <v>650</v>
      </c>
      <c r="EY115" s="13">
        <f t="shared" si="347"/>
        <v>650</v>
      </c>
      <c r="EZ115" s="25">
        <v>14</v>
      </c>
      <c r="FA115" s="26">
        <f t="shared" si="279"/>
        <v>0.12037037037037036</v>
      </c>
    </row>
    <row r="116" spans="3:157" ht="15" customHeight="1" x14ac:dyDescent="0.25">
      <c r="C116" s="84"/>
      <c r="D116" s="85"/>
      <c r="E116" s="25">
        <v>13</v>
      </c>
      <c r="F116" s="26">
        <f t="shared" si="269"/>
        <v>0.1111111111111111</v>
      </c>
      <c r="G116" s="13">
        <f t="shared" si="337"/>
        <v>600</v>
      </c>
      <c r="H116" s="13">
        <f t="shared" si="337"/>
        <v>600</v>
      </c>
      <c r="I116" s="13">
        <f t="shared" si="337"/>
        <v>600</v>
      </c>
      <c r="J116" s="13">
        <f t="shared" si="337"/>
        <v>600</v>
      </c>
      <c r="K116" s="13">
        <f t="shared" si="337"/>
        <v>600</v>
      </c>
      <c r="L116" s="13">
        <f t="shared" si="337"/>
        <v>600</v>
      </c>
      <c r="M116" s="13">
        <f t="shared" si="337"/>
        <v>600</v>
      </c>
      <c r="N116" s="13">
        <f t="shared" si="337"/>
        <v>600</v>
      </c>
      <c r="O116" s="13">
        <f t="shared" si="337"/>
        <v>600</v>
      </c>
      <c r="P116" s="13">
        <f t="shared" si="87"/>
        <v>600</v>
      </c>
      <c r="Q116" s="13">
        <f t="shared" si="129"/>
        <v>600</v>
      </c>
      <c r="R116" s="13">
        <f t="shared" si="159"/>
        <v>600</v>
      </c>
      <c r="S116" s="13">
        <f t="shared" ref="S116" si="353">($F$5*$B$5*R53+$F$4*T53)/($F$4+$F$5*$B$5)</f>
        <v>596.94897736723158</v>
      </c>
      <c r="T116" s="13">
        <f t="shared" ref="T116" si="354">CT116*U116+EH116</f>
        <v>597.11978644865189</v>
      </c>
      <c r="U116" s="13">
        <f t="shared" ref="U116" si="355">CU116*V116+EI116</f>
        <v>597.59191816093028</v>
      </c>
      <c r="V116" s="13">
        <f t="shared" ref="V116" si="356">CV116*W116+EJ116</f>
        <v>598.37646565551097</v>
      </c>
      <c r="W116" s="13">
        <f t="shared" si="181"/>
        <v>599.478394325934</v>
      </c>
      <c r="X116" s="13">
        <f t="shared" si="181"/>
        <v>600.89394139214892</v>
      </c>
      <c r="Y116" s="13">
        <f t="shared" ref="Y116" si="357">($F$6*$B$5*Z53+$F$4*X53)/($F$4+$F$6*$B$5)</f>
        <v>602.60892236588745</v>
      </c>
      <c r="Z116" s="13">
        <f t="shared" si="165"/>
        <v>650</v>
      </c>
      <c r="AA116" s="13">
        <f t="shared" si="137"/>
        <v>650</v>
      </c>
      <c r="AB116" s="13">
        <f t="shared" si="99"/>
        <v>650</v>
      </c>
      <c r="AC116" s="13">
        <f t="shared" si="339"/>
        <v>650</v>
      </c>
      <c r="AD116" s="13">
        <f t="shared" si="339"/>
        <v>650</v>
      </c>
      <c r="AE116" s="13">
        <f t="shared" si="339"/>
        <v>650</v>
      </c>
      <c r="AF116" s="13">
        <f t="shared" si="339"/>
        <v>650</v>
      </c>
      <c r="AG116" s="13">
        <f t="shared" si="339"/>
        <v>650</v>
      </c>
      <c r="AH116" s="13">
        <f t="shared" si="339"/>
        <v>650</v>
      </c>
      <c r="AI116" s="13">
        <f t="shared" si="339"/>
        <v>650</v>
      </c>
      <c r="AJ116" s="13">
        <f t="shared" si="339"/>
        <v>650</v>
      </c>
      <c r="AK116" s="13">
        <f t="shared" si="339"/>
        <v>650</v>
      </c>
      <c r="AL116" s="25">
        <v>13</v>
      </c>
      <c r="AM116" s="26">
        <f t="shared" si="272"/>
        <v>0.1111111111111111</v>
      </c>
      <c r="AP116" s="87"/>
      <c r="AQ116" s="86"/>
      <c r="AR116" s="25">
        <v>13</v>
      </c>
      <c r="AS116" s="26">
        <f t="shared" si="273"/>
        <v>0.1111111111111111</v>
      </c>
      <c r="AT116" s="13">
        <f t="shared" si="340"/>
        <v>600</v>
      </c>
      <c r="AU116" s="13">
        <f t="shared" si="340"/>
        <v>600</v>
      </c>
      <c r="AV116" s="13">
        <f t="shared" si="340"/>
        <v>600</v>
      </c>
      <c r="AW116" s="13">
        <f t="shared" si="340"/>
        <v>600</v>
      </c>
      <c r="AX116" s="13">
        <f t="shared" si="340"/>
        <v>600</v>
      </c>
      <c r="AY116" s="13">
        <f t="shared" si="340"/>
        <v>600</v>
      </c>
      <c r="AZ116" s="13">
        <f t="shared" si="340"/>
        <v>600</v>
      </c>
      <c r="BA116" s="13">
        <f t="shared" si="340"/>
        <v>600</v>
      </c>
      <c r="BB116" s="13">
        <f t="shared" si="340"/>
        <v>600</v>
      </c>
      <c r="BC116" s="13">
        <f t="shared" si="100"/>
        <v>600</v>
      </c>
      <c r="BD116" s="13">
        <f t="shared" si="138"/>
        <v>600</v>
      </c>
      <c r="BE116" s="13">
        <f t="shared" si="166"/>
        <v>600</v>
      </c>
      <c r="BF116" s="52"/>
      <c r="BG116" s="13">
        <f t="shared" ref="BG116:BG117" si="358">-($F$3*$F$2)/$B$8*T53</f>
        <v>-2141218318.0860112</v>
      </c>
      <c r="BH116" s="13">
        <f t="shared" ref="BH116:BH117" si="359">-($F$3*$F$2)/$B$8*U53</f>
        <v>-2142866401.022686</v>
      </c>
      <c r="BI116" s="13">
        <f t="shared" ref="BI116:BI117" si="360">-($F$3*$F$2)/$B$8*V53</f>
        <v>-2145660800.7039864</v>
      </c>
      <c r="BJ116" s="13">
        <f t="shared" ref="BJ116:BJ117" si="361">-($F$3*$F$2)/$B$8*W53</f>
        <v>-2149630098.6828732</v>
      </c>
      <c r="BK116" s="13">
        <f t="shared" ref="BK116:BK117" si="362">-($F$3*$F$2)/$B$8*X53</f>
        <v>-2154767805.3378825</v>
      </c>
      <c r="BL116" s="52"/>
      <c r="BM116" s="13">
        <f t="shared" si="167"/>
        <v>650</v>
      </c>
      <c r="BN116" s="13">
        <f t="shared" si="146"/>
        <v>650</v>
      </c>
      <c r="BO116" s="13">
        <f t="shared" si="110"/>
        <v>650</v>
      </c>
      <c r="BP116" s="13">
        <f t="shared" si="341"/>
        <v>650</v>
      </c>
      <c r="BQ116" s="13">
        <f t="shared" si="341"/>
        <v>650</v>
      </c>
      <c r="BR116" s="13">
        <f t="shared" si="341"/>
        <v>650</v>
      </c>
      <c r="BS116" s="13">
        <f t="shared" si="341"/>
        <v>650</v>
      </c>
      <c r="BT116" s="13">
        <f t="shared" si="341"/>
        <v>650</v>
      </c>
      <c r="BU116" s="13">
        <f t="shared" si="341"/>
        <v>650</v>
      </c>
      <c r="BV116" s="13">
        <f t="shared" si="341"/>
        <v>650</v>
      </c>
      <c r="BW116" s="13">
        <f t="shared" si="341"/>
        <v>650</v>
      </c>
      <c r="BX116" s="13">
        <f t="shared" si="341"/>
        <v>650</v>
      </c>
      <c r="BY116" s="25">
        <v>13</v>
      </c>
      <c r="BZ116" s="26">
        <f t="shared" si="274"/>
        <v>0.1111111111111111</v>
      </c>
      <c r="CC116" s="84"/>
      <c r="CD116" s="85"/>
      <c r="CE116" s="25">
        <v>13</v>
      </c>
      <c r="CF116" s="26">
        <f t="shared" si="275"/>
        <v>0.1111111111111111</v>
      </c>
      <c r="CG116" s="13">
        <f t="shared" si="342"/>
        <v>600</v>
      </c>
      <c r="CH116" s="13">
        <f t="shared" si="342"/>
        <v>600</v>
      </c>
      <c r="CI116" s="13">
        <f t="shared" si="342"/>
        <v>600</v>
      </c>
      <c r="CJ116" s="13">
        <f t="shared" si="342"/>
        <v>600</v>
      </c>
      <c r="CK116" s="13">
        <f t="shared" si="342"/>
        <v>600</v>
      </c>
      <c r="CL116" s="13">
        <f t="shared" si="342"/>
        <v>600</v>
      </c>
      <c r="CM116" s="13">
        <f t="shared" si="342"/>
        <v>600</v>
      </c>
      <c r="CN116" s="13">
        <f t="shared" si="342"/>
        <v>600</v>
      </c>
      <c r="CO116" s="13">
        <f t="shared" si="342"/>
        <v>600</v>
      </c>
      <c r="CP116" s="13">
        <f t="shared" si="111"/>
        <v>600</v>
      </c>
      <c r="CQ116" s="13">
        <f t="shared" si="147"/>
        <v>600</v>
      </c>
      <c r="CR116" s="13">
        <f t="shared" si="168"/>
        <v>600</v>
      </c>
      <c r="CS116" s="13">
        <v>0</v>
      </c>
      <c r="CT116" s="13">
        <f t="shared" ref="CT116" si="363">$L$2/($L$3-$L$4*CS116)</f>
        <v>0.34883720930232553</v>
      </c>
      <c r="CU116" s="13">
        <f t="shared" ref="CU116:CW116" si="364">$L$2/($L$3-$L$4*CT116)</f>
        <v>0.39716748768472904</v>
      </c>
      <c r="CV116" s="13">
        <f t="shared" si="364"/>
        <v>0.40494040593779607</v>
      </c>
      <c r="CW116" s="13">
        <f t="shared" si="364"/>
        <v>0.4062190081621499</v>
      </c>
      <c r="CX116" s="13">
        <f t="shared" ref="CX116:CY116" si="365">$L$2/($L$3-$L$4*CW116)</f>
        <v>0.40643010492156101</v>
      </c>
      <c r="CY116" s="13">
        <f t="shared" si="365"/>
        <v>0.40646497802255066</v>
      </c>
      <c r="CZ116" s="13">
        <f t="shared" si="169"/>
        <v>650</v>
      </c>
      <c r="DA116" s="13">
        <f t="shared" si="148"/>
        <v>650</v>
      </c>
      <c r="DB116" s="13">
        <f t="shared" si="113"/>
        <v>650</v>
      </c>
      <c r="DC116" s="13">
        <f t="shared" si="345"/>
        <v>650</v>
      </c>
      <c r="DD116" s="13">
        <f t="shared" si="345"/>
        <v>650</v>
      </c>
      <c r="DE116" s="13">
        <f t="shared" si="345"/>
        <v>650</v>
      </c>
      <c r="DF116" s="13">
        <f t="shared" si="345"/>
        <v>650</v>
      </c>
      <c r="DG116" s="13">
        <f t="shared" si="345"/>
        <v>650</v>
      </c>
      <c r="DH116" s="13">
        <f t="shared" si="345"/>
        <v>650</v>
      </c>
      <c r="DI116" s="13">
        <f t="shared" si="345"/>
        <v>650</v>
      </c>
      <c r="DJ116" s="13">
        <f t="shared" si="345"/>
        <v>650</v>
      </c>
      <c r="DK116" s="13">
        <f t="shared" si="345"/>
        <v>650</v>
      </c>
      <c r="DL116" s="25">
        <v>13</v>
      </c>
      <c r="DM116" s="26">
        <f t="shared" si="277"/>
        <v>0.1111111111111111</v>
      </c>
      <c r="DQ116" s="84"/>
      <c r="DR116" s="85"/>
      <c r="DS116" s="25">
        <v>13</v>
      </c>
      <c r="DT116" s="26">
        <f t="shared" si="278"/>
        <v>0.1111111111111111</v>
      </c>
      <c r="DU116" s="13">
        <f t="shared" si="346"/>
        <v>600</v>
      </c>
      <c r="DV116" s="13">
        <f t="shared" si="346"/>
        <v>600</v>
      </c>
      <c r="DW116" s="13">
        <f t="shared" si="346"/>
        <v>600</v>
      </c>
      <c r="DX116" s="13">
        <f t="shared" si="346"/>
        <v>600</v>
      </c>
      <c r="DY116" s="13">
        <f t="shared" si="346"/>
        <v>600</v>
      </c>
      <c r="DZ116" s="13">
        <f t="shared" si="346"/>
        <v>600</v>
      </c>
      <c r="EA116" s="13">
        <f t="shared" si="346"/>
        <v>600</v>
      </c>
      <c r="EB116" s="13">
        <f t="shared" si="346"/>
        <v>600</v>
      </c>
      <c r="EC116" s="13">
        <f t="shared" si="346"/>
        <v>600</v>
      </c>
      <c r="ED116" s="13">
        <f t="shared" si="114"/>
        <v>600</v>
      </c>
      <c r="EE116" s="13">
        <f t="shared" si="149"/>
        <v>600</v>
      </c>
      <c r="EF116" s="13">
        <f t="shared" si="170"/>
        <v>600</v>
      </c>
      <c r="EG116" s="13">
        <f t="shared" si="352"/>
        <v>596.94897736723158</v>
      </c>
      <c r="EH116" s="13">
        <f t="shared" ref="EH116:EH117" si="366">(EG116*$L$4-BG116)/($L$3-$L$4*CS116)</f>
        <v>388.65748941576931</v>
      </c>
      <c r="EI116" s="13">
        <f t="shared" ref="EI116:EI117" si="367">(EH116*$L$4-BH116)/($L$3-$L$4*CT116)</f>
        <v>359.93624060686346</v>
      </c>
      <c r="EJ116" s="13">
        <f t="shared" ref="EJ116:EJ117" si="368">(EI116*$L$4-BI116)/($L$3-$L$4*CU116)</f>
        <v>355.6234413062291</v>
      </c>
      <c r="EK116" s="13">
        <f t="shared" ref="EK116:EK117" si="369">(EJ116*$L$4-BJ116)/($L$3-$L$4*CV116)</f>
        <v>355.38385344297023</v>
      </c>
      <c r="EL116" s="13">
        <f t="shared" ref="EL116:EL117" si="370">(EK116*$L$4-BK116)/($L$3-$L$4*CW116)</f>
        <v>355.97553384831241</v>
      </c>
      <c r="EM116" s="13">
        <f t="shared" ref="EM116:EM117" si="371">(EL116*$L$4-BL116)/($L$3-$L$4*CX116)</f>
        <v>144.69158754222005</v>
      </c>
      <c r="EN116" s="13">
        <f t="shared" si="177"/>
        <v>650</v>
      </c>
      <c r="EO116" s="13">
        <f t="shared" si="158"/>
        <v>650</v>
      </c>
      <c r="EP116" s="13">
        <f t="shared" si="125"/>
        <v>650</v>
      </c>
      <c r="EQ116" s="13">
        <f t="shared" si="347"/>
        <v>650</v>
      </c>
      <c r="ER116" s="13">
        <f t="shared" si="347"/>
        <v>650</v>
      </c>
      <c r="ES116" s="13">
        <f t="shared" si="347"/>
        <v>650</v>
      </c>
      <c r="ET116" s="13">
        <f t="shared" si="347"/>
        <v>650</v>
      </c>
      <c r="EU116" s="13">
        <f t="shared" si="347"/>
        <v>650</v>
      </c>
      <c r="EV116" s="13">
        <f t="shared" si="347"/>
        <v>650</v>
      </c>
      <c r="EW116" s="13">
        <f t="shared" si="347"/>
        <v>650</v>
      </c>
      <c r="EX116" s="13">
        <f t="shared" si="347"/>
        <v>650</v>
      </c>
      <c r="EY116" s="13">
        <f t="shared" si="347"/>
        <v>650</v>
      </c>
      <c r="EZ116" s="25">
        <v>13</v>
      </c>
      <c r="FA116" s="26">
        <f t="shared" si="279"/>
        <v>0.1111111111111111</v>
      </c>
    </row>
    <row r="117" spans="3:157" ht="15" customHeight="1" x14ac:dyDescent="0.25">
      <c r="C117" s="84"/>
      <c r="D117" s="85"/>
      <c r="E117" s="25">
        <v>12</v>
      </c>
      <c r="F117" s="26">
        <f t="shared" si="269"/>
        <v>0.10185185185185185</v>
      </c>
      <c r="G117" s="13">
        <f t="shared" si="337"/>
        <v>600</v>
      </c>
      <c r="H117" s="13">
        <f t="shared" si="337"/>
        <v>600</v>
      </c>
      <c r="I117" s="13">
        <f t="shared" si="337"/>
        <v>600</v>
      </c>
      <c r="J117" s="13">
        <f t="shared" si="337"/>
        <v>600</v>
      </c>
      <c r="K117" s="13">
        <f t="shared" si="337"/>
        <v>600</v>
      </c>
      <c r="L117" s="13">
        <f t="shared" si="337"/>
        <v>600</v>
      </c>
      <c r="M117" s="13">
        <f t="shared" si="337"/>
        <v>600</v>
      </c>
      <c r="N117" s="13">
        <f t="shared" si="337"/>
        <v>600</v>
      </c>
      <c r="O117" s="13">
        <f t="shared" si="337"/>
        <v>600</v>
      </c>
      <c r="P117" s="13">
        <f t="shared" si="87"/>
        <v>600</v>
      </c>
      <c r="Q117" s="13">
        <f t="shared" si="129"/>
        <v>600</v>
      </c>
      <c r="R117" s="13">
        <f t="shared" si="159"/>
        <v>600</v>
      </c>
      <c r="S117" s="13">
        <f t="shared" ref="S117" si="372">($F$5*$B$5*R54+$F$4*T54)/($F$4+$F$5*$B$5)</f>
        <v>590.70653869105843</v>
      </c>
      <c r="T117" s="13">
        <f t="shared" ref="T117" si="373">CT117*U117+EH117</f>
        <v>590.62017838709971</v>
      </c>
      <c r="U117" s="13">
        <f t="shared" ref="U117" si="374">CU117*V117+EI117</f>
        <v>590.92589034924163</v>
      </c>
      <c r="V117" s="13">
        <f t="shared" si="181"/>
        <v>591.6193065922032</v>
      </c>
      <c r="W117" s="13">
        <f t="shared" si="181"/>
        <v>592.70115011407358</v>
      </c>
      <c r="X117" s="13">
        <f t="shared" si="181"/>
        <v>594.17636502301298</v>
      </c>
      <c r="Y117" s="13">
        <f t="shared" ref="Y117" si="375">($F$6*$B$5*Z54+$F$4*X54)/($F$4+$F$6*$B$5)</f>
        <v>596.05559850594284</v>
      </c>
      <c r="Z117" s="13">
        <f t="shared" si="165"/>
        <v>650</v>
      </c>
      <c r="AA117" s="13">
        <f t="shared" si="137"/>
        <v>650</v>
      </c>
      <c r="AB117" s="13">
        <f t="shared" si="99"/>
        <v>650</v>
      </c>
      <c r="AC117" s="13">
        <f t="shared" si="339"/>
        <v>650</v>
      </c>
      <c r="AD117" s="13">
        <f t="shared" si="339"/>
        <v>650</v>
      </c>
      <c r="AE117" s="13">
        <f t="shared" si="339"/>
        <v>650</v>
      </c>
      <c r="AF117" s="13">
        <f t="shared" si="339"/>
        <v>650</v>
      </c>
      <c r="AG117" s="13">
        <f t="shared" si="339"/>
        <v>650</v>
      </c>
      <c r="AH117" s="13">
        <f t="shared" si="339"/>
        <v>650</v>
      </c>
      <c r="AI117" s="13">
        <f t="shared" si="339"/>
        <v>650</v>
      </c>
      <c r="AJ117" s="13">
        <f t="shared" si="339"/>
        <v>650</v>
      </c>
      <c r="AK117" s="13">
        <f t="shared" si="339"/>
        <v>650</v>
      </c>
      <c r="AL117" s="25">
        <v>12</v>
      </c>
      <c r="AM117" s="26">
        <f t="shared" si="272"/>
        <v>0.10185185185185185</v>
      </c>
      <c r="AP117" s="87"/>
      <c r="AQ117" s="86"/>
      <c r="AR117" s="25">
        <v>12</v>
      </c>
      <c r="AS117" s="26">
        <f t="shared" si="273"/>
        <v>0.10185185185185185</v>
      </c>
      <c r="AT117" s="13">
        <f t="shared" si="340"/>
        <v>600</v>
      </c>
      <c r="AU117" s="13">
        <f t="shared" si="340"/>
        <v>600</v>
      </c>
      <c r="AV117" s="13">
        <f t="shared" si="340"/>
        <v>600</v>
      </c>
      <c r="AW117" s="13">
        <f t="shared" si="340"/>
        <v>600</v>
      </c>
      <c r="AX117" s="13">
        <f t="shared" si="340"/>
        <v>600</v>
      </c>
      <c r="AY117" s="13">
        <f t="shared" si="340"/>
        <v>600</v>
      </c>
      <c r="AZ117" s="13">
        <f t="shared" si="340"/>
        <v>600</v>
      </c>
      <c r="BA117" s="13">
        <f t="shared" si="340"/>
        <v>600</v>
      </c>
      <c r="BB117" s="13">
        <f t="shared" si="340"/>
        <v>600</v>
      </c>
      <c r="BC117" s="13">
        <f t="shared" si="100"/>
        <v>600</v>
      </c>
      <c r="BD117" s="13">
        <f t="shared" si="138"/>
        <v>600</v>
      </c>
      <c r="BE117" s="13">
        <f t="shared" si="166"/>
        <v>600</v>
      </c>
      <c r="BF117" s="52"/>
      <c r="BG117" s="13">
        <f t="shared" si="358"/>
        <v>-2117522020.8712578</v>
      </c>
      <c r="BH117" s="13">
        <f t="shared" si="359"/>
        <v>-2118636998.8504863</v>
      </c>
      <c r="BI117" s="13">
        <f t="shared" si="360"/>
        <v>-2121121983.1181426</v>
      </c>
      <c r="BJ117" s="13">
        <f t="shared" si="361"/>
        <v>-2124983169.0668309</v>
      </c>
      <c r="BK117" s="13">
        <f t="shared" si="362"/>
        <v>-2130232160.8062501</v>
      </c>
      <c r="BL117" s="52"/>
      <c r="BM117" s="13">
        <f t="shared" si="167"/>
        <v>650</v>
      </c>
      <c r="BN117" s="13">
        <f t="shared" si="146"/>
        <v>650</v>
      </c>
      <c r="BO117" s="13">
        <f t="shared" si="110"/>
        <v>650</v>
      </c>
      <c r="BP117" s="13">
        <f t="shared" si="341"/>
        <v>650</v>
      </c>
      <c r="BQ117" s="13">
        <f t="shared" si="341"/>
        <v>650</v>
      </c>
      <c r="BR117" s="13">
        <f t="shared" si="341"/>
        <v>650</v>
      </c>
      <c r="BS117" s="13">
        <f t="shared" si="341"/>
        <v>650</v>
      </c>
      <c r="BT117" s="13">
        <f t="shared" si="341"/>
        <v>650</v>
      </c>
      <c r="BU117" s="13">
        <f t="shared" si="341"/>
        <v>650</v>
      </c>
      <c r="BV117" s="13">
        <f t="shared" si="341"/>
        <v>650</v>
      </c>
      <c r="BW117" s="13">
        <f t="shared" si="341"/>
        <v>650</v>
      </c>
      <c r="BX117" s="13">
        <f t="shared" si="341"/>
        <v>650</v>
      </c>
      <c r="BY117" s="25">
        <v>12</v>
      </c>
      <c r="BZ117" s="26">
        <f t="shared" si="274"/>
        <v>0.10185185185185185</v>
      </c>
      <c r="CC117" s="84"/>
      <c r="CD117" s="85"/>
      <c r="CE117" s="25">
        <v>12</v>
      </c>
      <c r="CF117" s="26">
        <f t="shared" si="275"/>
        <v>0.10185185185185185</v>
      </c>
      <c r="CG117" s="13">
        <f t="shared" si="342"/>
        <v>600</v>
      </c>
      <c r="CH117" s="13">
        <f t="shared" si="342"/>
        <v>600</v>
      </c>
      <c r="CI117" s="13">
        <f t="shared" si="342"/>
        <v>600</v>
      </c>
      <c r="CJ117" s="13">
        <f t="shared" si="342"/>
        <v>600</v>
      </c>
      <c r="CK117" s="13">
        <f t="shared" si="342"/>
        <v>600</v>
      </c>
      <c r="CL117" s="13">
        <f t="shared" si="342"/>
        <v>600</v>
      </c>
      <c r="CM117" s="13">
        <f t="shared" si="342"/>
        <v>600</v>
      </c>
      <c r="CN117" s="13">
        <f t="shared" si="342"/>
        <v>600</v>
      </c>
      <c r="CO117" s="13">
        <f t="shared" si="342"/>
        <v>600</v>
      </c>
      <c r="CP117" s="13">
        <f t="shared" si="111"/>
        <v>600</v>
      </c>
      <c r="CQ117" s="13">
        <f t="shared" si="147"/>
        <v>600</v>
      </c>
      <c r="CR117" s="13">
        <f t="shared" si="168"/>
        <v>600</v>
      </c>
      <c r="CS117" s="13">
        <v>0</v>
      </c>
      <c r="CT117" s="13">
        <f t="shared" ref="CT117" si="376">$L$2/($L$3-$L$4*CS117)</f>
        <v>0.34883720930232553</v>
      </c>
      <c r="CU117" s="13">
        <f t="shared" ref="CU117:CW117" si="377">$L$2/($L$3-$L$4*CT117)</f>
        <v>0.39716748768472904</v>
      </c>
      <c r="CV117" s="13">
        <f t="shared" si="377"/>
        <v>0.40494040593779607</v>
      </c>
      <c r="CW117" s="13">
        <f t="shared" si="377"/>
        <v>0.4062190081621499</v>
      </c>
      <c r="CX117" s="13">
        <f t="shared" ref="CX117:CY117" si="378">$L$2/($L$3-$L$4*CW117)</f>
        <v>0.40643010492156101</v>
      </c>
      <c r="CY117" s="13">
        <f t="shared" si="378"/>
        <v>0.40646497802255066</v>
      </c>
      <c r="CZ117" s="13">
        <f t="shared" si="169"/>
        <v>650</v>
      </c>
      <c r="DA117" s="13">
        <f t="shared" si="148"/>
        <v>650</v>
      </c>
      <c r="DB117" s="13">
        <f t="shared" si="113"/>
        <v>650</v>
      </c>
      <c r="DC117" s="13">
        <f t="shared" si="345"/>
        <v>650</v>
      </c>
      <c r="DD117" s="13">
        <f t="shared" si="345"/>
        <v>650</v>
      </c>
      <c r="DE117" s="13">
        <f t="shared" si="345"/>
        <v>650</v>
      </c>
      <c r="DF117" s="13">
        <f t="shared" si="345"/>
        <v>650</v>
      </c>
      <c r="DG117" s="13">
        <f t="shared" si="345"/>
        <v>650</v>
      </c>
      <c r="DH117" s="13">
        <f t="shared" si="345"/>
        <v>650</v>
      </c>
      <c r="DI117" s="13">
        <f t="shared" si="345"/>
        <v>650</v>
      </c>
      <c r="DJ117" s="13">
        <f t="shared" si="345"/>
        <v>650</v>
      </c>
      <c r="DK117" s="13">
        <f t="shared" si="345"/>
        <v>650</v>
      </c>
      <c r="DL117" s="25">
        <v>12</v>
      </c>
      <c r="DM117" s="26">
        <f t="shared" si="277"/>
        <v>0.10185185185185185</v>
      </c>
      <c r="DQ117" s="84"/>
      <c r="DR117" s="85"/>
      <c r="DS117" s="25">
        <v>12</v>
      </c>
      <c r="DT117" s="26">
        <f t="shared" si="278"/>
        <v>0.10185185185185185</v>
      </c>
      <c r="DU117" s="13">
        <f t="shared" si="346"/>
        <v>600</v>
      </c>
      <c r="DV117" s="13">
        <f t="shared" si="346"/>
        <v>600</v>
      </c>
      <c r="DW117" s="13">
        <f t="shared" si="346"/>
        <v>600</v>
      </c>
      <c r="DX117" s="13">
        <f t="shared" si="346"/>
        <v>600</v>
      </c>
      <c r="DY117" s="13">
        <f t="shared" si="346"/>
        <v>600</v>
      </c>
      <c r="DZ117" s="13">
        <f t="shared" si="346"/>
        <v>600</v>
      </c>
      <c r="EA117" s="13">
        <f t="shared" si="346"/>
        <v>600</v>
      </c>
      <c r="EB117" s="13">
        <f t="shared" si="346"/>
        <v>600</v>
      </c>
      <c r="EC117" s="13">
        <f t="shared" si="346"/>
        <v>600</v>
      </c>
      <c r="ED117" s="13">
        <f t="shared" si="114"/>
        <v>600</v>
      </c>
      <c r="EE117" s="13">
        <f t="shared" si="149"/>
        <v>600</v>
      </c>
      <c r="EF117" s="13">
        <f t="shared" si="170"/>
        <v>600</v>
      </c>
      <c r="EG117" s="13">
        <f t="shared" si="352"/>
        <v>590.70653869105843</v>
      </c>
      <c r="EH117" s="13">
        <f t="shared" si="366"/>
        <v>384.48323989317822</v>
      </c>
      <c r="EI117" s="13">
        <f t="shared" si="367"/>
        <v>355.95393668423486</v>
      </c>
      <c r="EJ117" s="13">
        <f t="shared" si="368"/>
        <v>351.61066226521166</v>
      </c>
      <c r="EK117" s="13">
        <f t="shared" si="369"/>
        <v>351.33541644103371</v>
      </c>
      <c r="EL117" s="13">
        <f t="shared" si="370"/>
        <v>351.92142558315879</v>
      </c>
      <c r="EM117" s="13">
        <f t="shared" si="371"/>
        <v>143.04373451532334</v>
      </c>
      <c r="EN117" s="13">
        <f t="shared" si="177"/>
        <v>650</v>
      </c>
      <c r="EO117" s="13">
        <f t="shared" si="158"/>
        <v>650</v>
      </c>
      <c r="EP117" s="13">
        <f t="shared" si="125"/>
        <v>650</v>
      </c>
      <c r="EQ117" s="13">
        <f t="shared" si="347"/>
        <v>650</v>
      </c>
      <c r="ER117" s="13">
        <f t="shared" si="347"/>
        <v>650</v>
      </c>
      <c r="ES117" s="13">
        <f t="shared" si="347"/>
        <v>650</v>
      </c>
      <c r="ET117" s="13">
        <f t="shared" si="347"/>
        <v>650</v>
      </c>
      <c r="EU117" s="13">
        <f t="shared" si="347"/>
        <v>650</v>
      </c>
      <c r="EV117" s="13">
        <f t="shared" si="347"/>
        <v>650</v>
      </c>
      <c r="EW117" s="13">
        <f t="shared" si="347"/>
        <v>650</v>
      </c>
      <c r="EX117" s="13">
        <f t="shared" si="347"/>
        <v>650</v>
      </c>
      <c r="EY117" s="13">
        <f t="shared" si="347"/>
        <v>650</v>
      </c>
      <c r="EZ117" s="25">
        <v>12</v>
      </c>
      <c r="FA117" s="26">
        <f t="shared" si="279"/>
        <v>0.10185185185185185</v>
      </c>
    </row>
    <row r="118" spans="3:157" ht="15" customHeight="1" x14ac:dyDescent="0.25">
      <c r="C118" s="84"/>
      <c r="D118" s="85"/>
      <c r="E118" s="25">
        <v>11</v>
      </c>
      <c r="F118" s="26">
        <f t="shared" si="269"/>
        <v>9.2592592592592587E-2</v>
      </c>
      <c r="G118" s="13">
        <f t="shared" si="337"/>
        <v>600</v>
      </c>
      <c r="H118" s="13">
        <f t="shared" si="337"/>
        <v>600</v>
      </c>
      <c r="I118" s="13">
        <f t="shared" si="337"/>
        <v>600</v>
      </c>
      <c r="J118" s="13">
        <f t="shared" si="337"/>
        <v>600</v>
      </c>
      <c r="K118" s="13">
        <f t="shared" si="337"/>
        <v>600</v>
      </c>
      <c r="L118" s="13">
        <f t="shared" si="337"/>
        <v>600</v>
      </c>
      <c r="M118" s="13">
        <f t="shared" si="337"/>
        <v>600</v>
      </c>
      <c r="N118" s="13">
        <f t="shared" si="337"/>
        <v>600</v>
      </c>
      <c r="O118" s="13">
        <f t="shared" si="337"/>
        <v>600</v>
      </c>
      <c r="P118" s="13">
        <f t="shared" si="87"/>
        <v>600</v>
      </c>
      <c r="Q118" s="13">
        <f t="shared" si="129"/>
        <v>600</v>
      </c>
      <c r="R118" s="13">
        <f t="shared" ref="R118" si="379">($F$5*$B$5*Q55+$F$4*S55)/($F$4+$F$5*$B$5)</f>
        <v>582.96018690025062</v>
      </c>
      <c r="S118" s="13">
        <f t="shared" ref="S118" si="380">CS118*T118+EG118</f>
        <v>582.43856149412102</v>
      </c>
      <c r="T118" s="13">
        <f t="shared" ref="T118" si="381">CT118*U118+EH118</f>
        <v>582.32096728788406</v>
      </c>
      <c r="U118" s="13">
        <f t="shared" ref="U118" si="382">CU118*V118+EI118</f>
        <v>582.56717713347314</v>
      </c>
      <c r="V118" s="13">
        <f t="shared" ref="V118" si="383">CV118*W118+EJ118</f>
        <v>583.18948126285932</v>
      </c>
      <c r="W118" s="13">
        <f t="shared" si="181"/>
        <v>584.19095521782299</v>
      </c>
      <c r="X118" s="13">
        <f t="shared" si="181"/>
        <v>585.56622054973263</v>
      </c>
      <c r="Y118" s="13">
        <f t="shared" si="181"/>
        <v>587.29970009732313</v>
      </c>
      <c r="Z118" s="13">
        <f t="shared" ref="Z118" si="384">($F$6*$B$5*AA55+$F$4*Y55)/($F$4+$F$6*$B$5)</f>
        <v>589.45061994915488</v>
      </c>
      <c r="AA118" s="13">
        <f t="shared" si="137"/>
        <v>650</v>
      </c>
      <c r="AB118" s="13">
        <f t="shared" si="99"/>
        <v>650</v>
      </c>
      <c r="AC118" s="13">
        <f t="shared" si="339"/>
        <v>650</v>
      </c>
      <c r="AD118" s="13">
        <f t="shared" si="339"/>
        <v>650</v>
      </c>
      <c r="AE118" s="13">
        <f t="shared" si="339"/>
        <v>650</v>
      </c>
      <c r="AF118" s="13">
        <f t="shared" si="339"/>
        <v>650</v>
      </c>
      <c r="AG118" s="13">
        <f t="shared" si="339"/>
        <v>650</v>
      </c>
      <c r="AH118" s="13">
        <f t="shared" si="339"/>
        <v>650</v>
      </c>
      <c r="AI118" s="13">
        <f t="shared" si="339"/>
        <v>650</v>
      </c>
      <c r="AJ118" s="13">
        <f t="shared" si="339"/>
        <v>650</v>
      </c>
      <c r="AK118" s="13">
        <f t="shared" si="339"/>
        <v>650</v>
      </c>
      <c r="AL118" s="25">
        <v>11</v>
      </c>
      <c r="AM118" s="26">
        <f t="shared" si="272"/>
        <v>9.2592592592592587E-2</v>
      </c>
      <c r="AP118" s="87"/>
      <c r="AQ118" s="86"/>
      <c r="AR118" s="25">
        <v>11</v>
      </c>
      <c r="AS118" s="26">
        <f t="shared" si="273"/>
        <v>9.2592592592592587E-2</v>
      </c>
      <c r="AT118" s="13">
        <f t="shared" si="340"/>
        <v>600</v>
      </c>
      <c r="AU118" s="13">
        <f t="shared" si="340"/>
        <v>600</v>
      </c>
      <c r="AV118" s="13">
        <f t="shared" si="340"/>
        <v>600</v>
      </c>
      <c r="AW118" s="13">
        <f t="shared" si="340"/>
        <v>600</v>
      </c>
      <c r="AX118" s="13">
        <f t="shared" si="340"/>
        <v>600</v>
      </c>
      <c r="AY118" s="13">
        <f t="shared" si="340"/>
        <v>600</v>
      </c>
      <c r="AZ118" s="13">
        <f t="shared" si="340"/>
        <v>600</v>
      </c>
      <c r="BA118" s="13">
        <f t="shared" si="340"/>
        <v>600</v>
      </c>
      <c r="BB118" s="13">
        <f t="shared" si="340"/>
        <v>600</v>
      </c>
      <c r="BC118" s="13">
        <f t="shared" si="100"/>
        <v>600</v>
      </c>
      <c r="BD118" s="13">
        <f t="shared" si="138"/>
        <v>600</v>
      </c>
      <c r="BE118" s="53"/>
      <c r="BF118" s="13">
        <f t="shared" ref="BF118:BF119" si="385">-($F$3*$F$2)/$B$8*S55</f>
        <v>-2088116869.4733512</v>
      </c>
      <c r="BG118" s="13">
        <f t="shared" ref="BG118:BG119" si="386">-($F$3*$F$2)/$B$8*T55</f>
        <v>-2087861481.8543687</v>
      </c>
      <c r="BH118" s="13">
        <f t="shared" ref="BH118:BH119" si="387">-($F$3*$F$2)/$B$8*U55</f>
        <v>-2088694001.219981</v>
      </c>
      <c r="BI118" s="13">
        <f t="shared" si="215"/>
        <v>-2090914095.6932487</v>
      </c>
      <c r="BJ118" s="13">
        <f t="shared" ref="BJ118:BJ119" si="388">-($F$3*$F$2)/$B$8*W55</f>
        <v>-2094529651.0209923</v>
      </c>
      <c r="BK118" s="13">
        <f t="shared" ref="BK118:BK119" si="389">-($F$3*$F$2)/$B$8*X55</f>
        <v>-2099528592.4795215</v>
      </c>
      <c r="BL118" s="13">
        <f t="shared" ref="BL118:BL119" si="390">-($F$3*$F$2)/$B$8*Y55</f>
        <v>-2105503121.0896361</v>
      </c>
      <c r="BM118" s="52"/>
      <c r="BN118" s="13">
        <f t="shared" si="146"/>
        <v>650</v>
      </c>
      <c r="BO118" s="13">
        <f t="shared" si="110"/>
        <v>650</v>
      </c>
      <c r="BP118" s="13">
        <f t="shared" si="341"/>
        <v>650</v>
      </c>
      <c r="BQ118" s="13">
        <f t="shared" si="341"/>
        <v>650</v>
      </c>
      <c r="BR118" s="13">
        <f t="shared" si="341"/>
        <v>650</v>
      </c>
      <c r="BS118" s="13">
        <f t="shared" si="341"/>
        <v>650</v>
      </c>
      <c r="BT118" s="13">
        <f t="shared" si="341"/>
        <v>650</v>
      </c>
      <c r="BU118" s="13">
        <f t="shared" si="341"/>
        <v>650</v>
      </c>
      <c r="BV118" s="13">
        <f t="shared" si="341"/>
        <v>650</v>
      </c>
      <c r="BW118" s="13">
        <f t="shared" si="341"/>
        <v>650</v>
      </c>
      <c r="BX118" s="13">
        <f t="shared" si="341"/>
        <v>650</v>
      </c>
      <c r="BY118" s="25">
        <v>11</v>
      </c>
      <c r="BZ118" s="26">
        <f t="shared" si="274"/>
        <v>9.2592592592592587E-2</v>
      </c>
      <c r="CC118" s="84"/>
      <c r="CD118" s="85"/>
      <c r="CE118" s="25">
        <v>11</v>
      </c>
      <c r="CF118" s="26">
        <f t="shared" si="275"/>
        <v>9.2592592592592587E-2</v>
      </c>
      <c r="CG118" s="13">
        <f t="shared" si="342"/>
        <v>600</v>
      </c>
      <c r="CH118" s="13">
        <f t="shared" si="342"/>
        <v>600</v>
      </c>
      <c r="CI118" s="13">
        <f t="shared" si="342"/>
        <v>600</v>
      </c>
      <c r="CJ118" s="13">
        <f t="shared" si="342"/>
        <v>600</v>
      </c>
      <c r="CK118" s="13">
        <f t="shared" si="342"/>
        <v>600</v>
      </c>
      <c r="CL118" s="13">
        <f t="shared" si="342"/>
        <v>600</v>
      </c>
      <c r="CM118" s="13">
        <f t="shared" si="342"/>
        <v>600</v>
      </c>
      <c r="CN118" s="13">
        <f t="shared" si="342"/>
        <v>600</v>
      </c>
      <c r="CO118" s="13">
        <f t="shared" si="342"/>
        <v>600</v>
      </c>
      <c r="CP118" s="13">
        <f t="shared" si="111"/>
        <v>600</v>
      </c>
      <c r="CQ118" s="13">
        <f t="shared" si="147"/>
        <v>600</v>
      </c>
      <c r="CR118" s="13">
        <v>0</v>
      </c>
      <c r="CS118" s="13">
        <f t="shared" ref="CS118:CT118" si="391">$L$2/($L$3-$L$4*CR118)</f>
        <v>0.34883720930232553</v>
      </c>
      <c r="CT118" s="13">
        <f t="shared" si="391"/>
        <v>0.39716748768472904</v>
      </c>
      <c r="CU118" s="13">
        <f t="shared" ref="CU118:CW118" si="392">$L$2/($L$3-$L$4*CT118)</f>
        <v>0.40494040593779607</v>
      </c>
      <c r="CV118" s="13">
        <f t="shared" si="392"/>
        <v>0.4062190081621499</v>
      </c>
      <c r="CW118" s="13">
        <f t="shared" si="392"/>
        <v>0.40643010492156101</v>
      </c>
      <c r="CX118" s="13">
        <f t="shared" ref="CX118:CY118" si="393">$L$2/($L$3-$L$4*CW118)</f>
        <v>0.40646497802255066</v>
      </c>
      <c r="CY118" s="13">
        <f t="shared" si="393"/>
        <v>0.40647073962099717</v>
      </c>
      <c r="CZ118" s="13">
        <f t="shared" ref="CZ118" si="394">$L$2/($L$3-$L$4*CY118)</f>
        <v>0.40647169154566137</v>
      </c>
      <c r="DA118" s="13">
        <f t="shared" si="148"/>
        <v>650</v>
      </c>
      <c r="DB118" s="13">
        <f t="shared" si="113"/>
        <v>650</v>
      </c>
      <c r="DC118" s="13">
        <f t="shared" si="345"/>
        <v>650</v>
      </c>
      <c r="DD118" s="13">
        <f t="shared" si="345"/>
        <v>650</v>
      </c>
      <c r="DE118" s="13">
        <f t="shared" si="345"/>
        <v>650</v>
      </c>
      <c r="DF118" s="13">
        <f t="shared" si="345"/>
        <v>650</v>
      </c>
      <c r="DG118" s="13">
        <f t="shared" si="345"/>
        <v>650</v>
      </c>
      <c r="DH118" s="13">
        <f t="shared" si="345"/>
        <v>650</v>
      </c>
      <c r="DI118" s="13">
        <f t="shared" si="345"/>
        <v>650</v>
      </c>
      <c r="DJ118" s="13">
        <f t="shared" si="345"/>
        <v>650</v>
      </c>
      <c r="DK118" s="13">
        <f t="shared" si="345"/>
        <v>650</v>
      </c>
      <c r="DL118" s="25">
        <v>11</v>
      </c>
      <c r="DM118" s="26">
        <f t="shared" si="277"/>
        <v>9.2592592592592587E-2</v>
      </c>
      <c r="DQ118" s="84"/>
      <c r="DR118" s="85"/>
      <c r="DS118" s="25">
        <v>11</v>
      </c>
      <c r="DT118" s="26">
        <f t="shared" si="278"/>
        <v>9.2592592592592587E-2</v>
      </c>
      <c r="DU118" s="13">
        <f t="shared" si="346"/>
        <v>600</v>
      </c>
      <c r="DV118" s="13">
        <f t="shared" si="346"/>
        <v>600</v>
      </c>
      <c r="DW118" s="13">
        <f t="shared" si="346"/>
        <v>600</v>
      </c>
      <c r="DX118" s="13">
        <f t="shared" si="346"/>
        <v>600</v>
      </c>
      <c r="DY118" s="13">
        <f t="shared" si="346"/>
        <v>600</v>
      </c>
      <c r="DZ118" s="13">
        <f t="shared" si="346"/>
        <v>600</v>
      </c>
      <c r="EA118" s="13">
        <f t="shared" si="346"/>
        <v>600</v>
      </c>
      <c r="EB118" s="13">
        <f t="shared" si="346"/>
        <v>600</v>
      </c>
      <c r="EC118" s="13">
        <f t="shared" si="346"/>
        <v>600</v>
      </c>
      <c r="ED118" s="13">
        <f t="shared" si="114"/>
        <v>600</v>
      </c>
      <c r="EE118" s="13">
        <f t="shared" si="149"/>
        <v>600</v>
      </c>
      <c r="EF118" s="13">
        <f t="shared" si="352"/>
        <v>582.96018690025062</v>
      </c>
      <c r="EG118" s="13">
        <f t="shared" ref="EG118:EG119" si="395">(EF118*$L$4-BF118)/($L$3-$L$4*CR118)</f>
        <v>379.30334034718476</v>
      </c>
      <c r="EH118" s="13">
        <f t="shared" ref="EH118:EH119" si="396">(EG118*$L$4-BG118)/($L$3-$L$4*CS118)</f>
        <v>350.94422513819808</v>
      </c>
      <c r="EI118" s="13">
        <f t="shared" ref="EI118:EI119" si="397">(EH118*$L$4-BH118)/($L$3-$L$4*CT118)</f>
        <v>346.4101918522382</v>
      </c>
      <c r="EJ118" s="13">
        <f t="shared" si="221"/>
        <v>345.8800108569763</v>
      </c>
      <c r="EK118" s="13">
        <f t="shared" si="222"/>
        <v>346.1992147612732</v>
      </c>
      <c r="EL118" s="13">
        <f t="shared" ref="EL118:EL119" si="398">(EK118*$L$4-BK118)/($L$3-$L$4*CW118)</f>
        <v>346.84946085702359</v>
      </c>
      <c r="EM118" s="13">
        <f t="shared" ref="EM118:EM119" si="399">(EL118*$L$4-BL118)/($L$3-$L$4*CX118)</f>
        <v>347.70527063653486</v>
      </c>
      <c r="EN118" s="13">
        <f t="shared" ref="EN118:EN119" si="400">(EM118*$L$4-BM118)/($L$3-$L$4*CY118)</f>
        <v>141.33234951497431</v>
      </c>
      <c r="EO118" s="13">
        <f t="shared" si="158"/>
        <v>650</v>
      </c>
      <c r="EP118" s="13">
        <f t="shared" si="125"/>
        <v>650</v>
      </c>
      <c r="EQ118" s="13">
        <f t="shared" si="347"/>
        <v>650</v>
      </c>
      <c r="ER118" s="13">
        <f t="shared" si="347"/>
        <v>650</v>
      </c>
      <c r="ES118" s="13">
        <f t="shared" si="347"/>
        <v>650</v>
      </c>
      <c r="ET118" s="13">
        <f t="shared" si="347"/>
        <v>650</v>
      </c>
      <c r="EU118" s="13">
        <f t="shared" si="347"/>
        <v>650</v>
      </c>
      <c r="EV118" s="13">
        <f t="shared" si="347"/>
        <v>650</v>
      </c>
      <c r="EW118" s="13">
        <f t="shared" si="347"/>
        <v>650</v>
      </c>
      <c r="EX118" s="13">
        <f t="shared" si="347"/>
        <v>650</v>
      </c>
      <c r="EY118" s="13">
        <f t="shared" si="347"/>
        <v>650</v>
      </c>
      <c r="EZ118" s="25">
        <v>11</v>
      </c>
      <c r="FA118" s="26">
        <f t="shared" si="279"/>
        <v>9.2592592592592587E-2</v>
      </c>
    </row>
    <row r="119" spans="3:157" ht="15" customHeight="1" x14ac:dyDescent="0.25">
      <c r="C119" s="84"/>
      <c r="D119" s="85"/>
      <c r="E119" s="25">
        <v>10</v>
      </c>
      <c r="F119" s="26">
        <f t="shared" si="269"/>
        <v>8.3333333333333329E-2</v>
      </c>
      <c r="G119" s="13">
        <f t="shared" si="337"/>
        <v>600</v>
      </c>
      <c r="H119" s="13">
        <f t="shared" si="337"/>
        <v>600</v>
      </c>
      <c r="I119" s="13">
        <f t="shared" si="337"/>
        <v>600</v>
      </c>
      <c r="J119" s="13">
        <f t="shared" si="337"/>
        <v>600</v>
      </c>
      <c r="K119" s="13">
        <f t="shared" si="337"/>
        <v>600</v>
      </c>
      <c r="L119" s="13">
        <f t="shared" si="337"/>
        <v>600</v>
      </c>
      <c r="M119" s="13">
        <f t="shared" si="337"/>
        <v>600</v>
      </c>
      <c r="N119" s="13">
        <f t="shared" si="337"/>
        <v>600</v>
      </c>
      <c r="O119" s="13">
        <f t="shared" si="337"/>
        <v>600</v>
      </c>
      <c r="P119" s="13">
        <f t="shared" si="87"/>
        <v>600</v>
      </c>
      <c r="Q119" s="13">
        <f t="shared" si="129"/>
        <v>600</v>
      </c>
      <c r="R119" s="13">
        <f t="shared" ref="R119" si="401">($F$5*$B$5*Q56+$F$4*S56)/($F$4+$F$5*$B$5)</f>
        <v>574.24607897974818</v>
      </c>
      <c r="S119" s="13">
        <f t="shared" ref="S119" si="402">CS119*T119+EG119</f>
        <v>573.33934516003285</v>
      </c>
      <c r="T119" s="13">
        <f t="shared" ref="T119" si="403">CT119*U119+EH119</f>
        <v>572.94069216811295</v>
      </c>
      <c r="U119" s="13">
        <f t="shared" ref="U119" si="404">CU119*V119+EI119</f>
        <v>573.01549021975586</v>
      </c>
      <c r="V119" s="13">
        <f t="shared" si="181"/>
        <v>573.54941123284834</v>
      </c>
      <c r="W119" s="13">
        <f t="shared" si="181"/>
        <v>574.53810191038792</v>
      </c>
      <c r="X119" s="13">
        <f t="shared" si="181"/>
        <v>575.98638271196796</v>
      </c>
      <c r="Y119" s="13">
        <f t="shared" si="181"/>
        <v>577.90924977271732</v>
      </c>
      <c r="Z119" s="13">
        <f t="shared" ref="Z119:AH125" si="405">($F$6*$B$5*AA56+$F$4*Y56)/($F$4+$F$6*$B$5)</f>
        <v>580.34542768582708</v>
      </c>
      <c r="AA119" s="13">
        <f t="shared" si="137"/>
        <v>650</v>
      </c>
      <c r="AB119" s="13">
        <f t="shared" si="99"/>
        <v>650</v>
      </c>
      <c r="AC119" s="13">
        <f t="shared" si="339"/>
        <v>650</v>
      </c>
      <c r="AD119" s="13">
        <f t="shared" si="339"/>
        <v>650</v>
      </c>
      <c r="AE119" s="13">
        <f t="shared" si="339"/>
        <v>650</v>
      </c>
      <c r="AF119" s="13">
        <f t="shared" si="339"/>
        <v>650</v>
      </c>
      <c r="AG119" s="13">
        <f t="shared" si="339"/>
        <v>650</v>
      </c>
      <c r="AH119" s="13">
        <f t="shared" si="339"/>
        <v>650</v>
      </c>
      <c r="AI119" s="13">
        <f t="shared" si="339"/>
        <v>650</v>
      </c>
      <c r="AJ119" s="13">
        <f t="shared" si="339"/>
        <v>650</v>
      </c>
      <c r="AK119" s="13">
        <f t="shared" si="339"/>
        <v>650</v>
      </c>
      <c r="AL119" s="25">
        <v>10</v>
      </c>
      <c r="AM119" s="26">
        <f t="shared" si="272"/>
        <v>8.3333333333333329E-2</v>
      </c>
      <c r="AP119" s="87"/>
      <c r="AQ119" s="86"/>
      <c r="AR119" s="25">
        <v>10</v>
      </c>
      <c r="AS119" s="26">
        <f t="shared" si="273"/>
        <v>8.3333333333333329E-2</v>
      </c>
      <c r="AT119" s="13">
        <f t="shared" si="340"/>
        <v>600</v>
      </c>
      <c r="AU119" s="13">
        <f t="shared" si="340"/>
        <v>600</v>
      </c>
      <c r="AV119" s="13">
        <f t="shared" si="340"/>
        <v>600</v>
      </c>
      <c r="AW119" s="13">
        <f t="shared" si="340"/>
        <v>600</v>
      </c>
      <c r="AX119" s="13">
        <f t="shared" si="340"/>
        <v>600</v>
      </c>
      <c r="AY119" s="13">
        <f t="shared" si="340"/>
        <v>600</v>
      </c>
      <c r="AZ119" s="13">
        <f t="shared" si="340"/>
        <v>600</v>
      </c>
      <c r="BA119" s="13">
        <f t="shared" si="340"/>
        <v>600</v>
      </c>
      <c r="BB119" s="13">
        <f t="shared" si="340"/>
        <v>600</v>
      </c>
      <c r="BC119" s="13">
        <f t="shared" si="100"/>
        <v>600</v>
      </c>
      <c r="BD119" s="13">
        <f t="shared" si="138"/>
        <v>600</v>
      </c>
      <c r="BE119" s="52"/>
      <c r="BF119" s="13">
        <f t="shared" si="385"/>
        <v>-2055038115.8071241</v>
      </c>
      <c r="BG119" s="13">
        <f t="shared" si="386"/>
        <v>-2053751116.1788385</v>
      </c>
      <c r="BH119" s="13">
        <f t="shared" si="387"/>
        <v>-2054078809.8480828</v>
      </c>
      <c r="BI119" s="13">
        <f t="shared" si="215"/>
        <v>-2056012541.0926492</v>
      </c>
      <c r="BJ119" s="13">
        <f t="shared" si="388"/>
        <v>-2059540006.5409441</v>
      </c>
      <c r="BK119" s="13">
        <f t="shared" si="389"/>
        <v>-2064674354.0575795</v>
      </c>
      <c r="BL119" s="13">
        <f t="shared" si="390"/>
        <v>-2071413281.2557364</v>
      </c>
      <c r="BM119" s="52"/>
      <c r="BN119" s="13">
        <f t="shared" si="146"/>
        <v>650</v>
      </c>
      <c r="BO119" s="13">
        <f t="shared" si="110"/>
        <v>650</v>
      </c>
      <c r="BP119" s="13">
        <f t="shared" si="341"/>
        <v>650</v>
      </c>
      <c r="BQ119" s="13">
        <f t="shared" si="341"/>
        <v>650</v>
      </c>
      <c r="BR119" s="13">
        <f t="shared" si="341"/>
        <v>650</v>
      </c>
      <c r="BS119" s="13">
        <f t="shared" si="341"/>
        <v>650</v>
      </c>
      <c r="BT119" s="13">
        <f t="shared" si="341"/>
        <v>650</v>
      </c>
      <c r="BU119" s="13">
        <f t="shared" si="341"/>
        <v>650</v>
      </c>
      <c r="BV119" s="13">
        <f t="shared" si="341"/>
        <v>650</v>
      </c>
      <c r="BW119" s="13">
        <f t="shared" si="341"/>
        <v>650</v>
      </c>
      <c r="BX119" s="13">
        <f t="shared" si="341"/>
        <v>650</v>
      </c>
      <c r="BY119" s="25">
        <v>10</v>
      </c>
      <c r="BZ119" s="26">
        <f t="shared" si="274"/>
        <v>8.3333333333333329E-2</v>
      </c>
      <c r="CC119" s="84"/>
      <c r="CD119" s="85"/>
      <c r="CE119" s="25">
        <v>10</v>
      </c>
      <c r="CF119" s="26">
        <f t="shared" si="275"/>
        <v>8.3333333333333329E-2</v>
      </c>
      <c r="CG119" s="13">
        <f t="shared" si="342"/>
        <v>600</v>
      </c>
      <c r="CH119" s="13">
        <f t="shared" si="342"/>
        <v>600</v>
      </c>
      <c r="CI119" s="13">
        <f t="shared" si="342"/>
        <v>600</v>
      </c>
      <c r="CJ119" s="13">
        <f t="shared" si="342"/>
        <v>600</v>
      </c>
      <c r="CK119" s="13">
        <f t="shared" si="342"/>
        <v>600</v>
      </c>
      <c r="CL119" s="13">
        <f t="shared" si="342"/>
        <v>600</v>
      </c>
      <c r="CM119" s="13">
        <f t="shared" si="342"/>
        <v>600</v>
      </c>
      <c r="CN119" s="13">
        <f t="shared" si="342"/>
        <v>600</v>
      </c>
      <c r="CO119" s="13">
        <f t="shared" si="342"/>
        <v>600</v>
      </c>
      <c r="CP119" s="13">
        <f t="shared" si="111"/>
        <v>600</v>
      </c>
      <c r="CQ119" s="13">
        <f t="shared" si="147"/>
        <v>600</v>
      </c>
      <c r="CR119" s="13">
        <v>0</v>
      </c>
      <c r="CS119" s="13">
        <f t="shared" ref="CS119:CT119" si="406">$L$2/($L$3-$L$4*CR119)</f>
        <v>0.34883720930232553</v>
      </c>
      <c r="CT119" s="13">
        <f t="shared" si="406"/>
        <v>0.39716748768472904</v>
      </c>
      <c r="CU119" s="13">
        <f t="shared" ref="CU119:CW119" si="407">$L$2/($L$3-$L$4*CT119)</f>
        <v>0.40494040593779607</v>
      </c>
      <c r="CV119" s="13">
        <f t="shared" si="407"/>
        <v>0.4062190081621499</v>
      </c>
      <c r="CW119" s="13">
        <f t="shared" si="407"/>
        <v>0.40643010492156101</v>
      </c>
      <c r="CX119" s="13">
        <f t="shared" ref="CX119:CY119" si="408">$L$2/($L$3-$L$4*CW119)</f>
        <v>0.40646497802255066</v>
      </c>
      <c r="CY119" s="13">
        <f t="shared" si="408"/>
        <v>0.40647073962099717</v>
      </c>
      <c r="CZ119" s="13">
        <f t="shared" ref="CZ119" si="409">$L$2/($L$3-$L$4*CY119)</f>
        <v>0.40647169154566137</v>
      </c>
      <c r="DA119" s="13">
        <f t="shared" si="148"/>
        <v>650</v>
      </c>
      <c r="DB119" s="13">
        <f t="shared" si="113"/>
        <v>650</v>
      </c>
      <c r="DC119" s="13">
        <f t="shared" si="345"/>
        <v>650</v>
      </c>
      <c r="DD119" s="13">
        <f t="shared" si="345"/>
        <v>650</v>
      </c>
      <c r="DE119" s="13">
        <f t="shared" si="345"/>
        <v>650</v>
      </c>
      <c r="DF119" s="13">
        <f t="shared" si="345"/>
        <v>650</v>
      </c>
      <c r="DG119" s="13">
        <f t="shared" si="345"/>
        <v>650</v>
      </c>
      <c r="DH119" s="13">
        <f t="shared" si="345"/>
        <v>650</v>
      </c>
      <c r="DI119" s="13">
        <f t="shared" si="345"/>
        <v>650</v>
      </c>
      <c r="DJ119" s="13">
        <f t="shared" si="345"/>
        <v>650</v>
      </c>
      <c r="DK119" s="13">
        <f t="shared" si="345"/>
        <v>650</v>
      </c>
      <c r="DL119" s="25">
        <v>10</v>
      </c>
      <c r="DM119" s="26">
        <f t="shared" si="277"/>
        <v>8.3333333333333329E-2</v>
      </c>
      <c r="DQ119" s="84"/>
      <c r="DR119" s="85"/>
      <c r="DS119" s="25">
        <v>10</v>
      </c>
      <c r="DT119" s="26">
        <f t="shared" si="278"/>
        <v>8.3333333333333329E-2</v>
      </c>
      <c r="DU119" s="13">
        <f t="shared" si="346"/>
        <v>600</v>
      </c>
      <c r="DV119" s="13">
        <f t="shared" si="346"/>
        <v>600</v>
      </c>
      <c r="DW119" s="13">
        <f t="shared" si="346"/>
        <v>600</v>
      </c>
      <c r="DX119" s="13">
        <f t="shared" si="346"/>
        <v>600</v>
      </c>
      <c r="DY119" s="13">
        <f t="shared" si="346"/>
        <v>600</v>
      </c>
      <c r="DZ119" s="13">
        <f t="shared" si="346"/>
        <v>600</v>
      </c>
      <c r="EA119" s="13">
        <f t="shared" si="346"/>
        <v>600</v>
      </c>
      <c r="EB119" s="13">
        <f t="shared" si="346"/>
        <v>600</v>
      </c>
      <c r="EC119" s="13">
        <f t="shared" si="346"/>
        <v>600</v>
      </c>
      <c r="ED119" s="13">
        <f t="shared" si="114"/>
        <v>600</v>
      </c>
      <c r="EE119" s="13">
        <f t="shared" si="149"/>
        <v>600</v>
      </c>
      <c r="EF119" s="13">
        <f t="shared" si="352"/>
        <v>574.24607897974818</v>
      </c>
      <c r="EG119" s="13">
        <f t="shared" si="395"/>
        <v>373.47631300836554</v>
      </c>
      <c r="EH119" s="13">
        <f t="shared" si="396"/>
        <v>345.35756951309907</v>
      </c>
      <c r="EI119" s="13">
        <f t="shared" si="397"/>
        <v>340.76215880974235</v>
      </c>
      <c r="EJ119" s="13">
        <f t="shared" si="221"/>
        <v>340.16111332344639</v>
      </c>
      <c r="EK119" s="13">
        <f t="shared" si="222"/>
        <v>340.43989595137236</v>
      </c>
      <c r="EL119" s="13">
        <f t="shared" si="398"/>
        <v>341.08651220407165</v>
      </c>
      <c r="EM119" s="13">
        <f t="shared" si="399"/>
        <v>342.01581454559522</v>
      </c>
      <c r="EN119" s="13">
        <f t="shared" si="400"/>
        <v>139.0197466737153</v>
      </c>
      <c r="EO119" s="13">
        <f t="shared" si="158"/>
        <v>650</v>
      </c>
      <c r="EP119" s="13">
        <f t="shared" si="125"/>
        <v>650</v>
      </c>
      <c r="EQ119" s="13">
        <f t="shared" si="347"/>
        <v>650</v>
      </c>
      <c r="ER119" s="13">
        <f t="shared" si="347"/>
        <v>650</v>
      </c>
      <c r="ES119" s="13">
        <f t="shared" si="347"/>
        <v>650</v>
      </c>
      <c r="ET119" s="13">
        <f t="shared" si="347"/>
        <v>650</v>
      </c>
      <c r="EU119" s="13">
        <f t="shared" si="347"/>
        <v>650</v>
      </c>
      <c r="EV119" s="13">
        <f t="shared" si="347"/>
        <v>650</v>
      </c>
      <c r="EW119" s="13">
        <f t="shared" si="347"/>
        <v>650</v>
      </c>
      <c r="EX119" s="13">
        <f t="shared" si="347"/>
        <v>650</v>
      </c>
      <c r="EY119" s="13">
        <f t="shared" si="347"/>
        <v>650</v>
      </c>
      <c r="EZ119" s="25">
        <v>10</v>
      </c>
      <c r="FA119" s="26">
        <f t="shared" si="279"/>
        <v>8.3333333333333329E-2</v>
      </c>
    </row>
    <row r="120" spans="3:157" ht="15" customHeight="1" x14ac:dyDescent="0.25">
      <c r="C120" s="84"/>
      <c r="D120" s="85"/>
      <c r="E120" s="25">
        <v>9</v>
      </c>
      <c r="F120" s="26">
        <f t="shared" si="269"/>
        <v>7.407407407407407E-2</v>
      </c>
      <c r="G120" s="13">
        <f t="shared" si="337"/>
        <v>600</v>
      </c>
      <c r="H120" s="13">
        <f t="shared" si="337"/>
        <v>600</v>
      </c>
      <c r="I120" s="13">
        <f t="shared" si="337"/>
        <v>600</v>
      </c>
      <c r="J120" s="13">
        <f t="shared" si="337"/>
        <v>600</v>
      </c>
      <c r="K120" s="13">
        <f t="shared" si="337"/>
        <v>600</v>
      </c>
      <c r="L120" s="13">
        <f t="shared" si="337"/>
        <v>600</v>
      </c>
      <c r="M120" s="13">
        <f t="shared" si="337"/>
        <v>600</v>
      </c>
      <c r="N120" s="13">
        <f t="shared" si="337"/>
        <v>600</v>
      </c>
      <c r="O120" s="13">
        <f t="shared" si="337"/>
        <v>600</v>
      </c>
      <c r="P120" s="13">
        <f t="shared" si="87"/>
        <v>600</v>
      </c>
      <c r="Q120" s="13">
        <f t="shared" ref="J120:Q125" si="410">($F$5*$B$5*P57+$F$4*R57)/($F$4+$F$5*$B$5)</f>
        <v>564.47127893436084</v>
      </c>
      <c r="R120" s="13">
        <f t="shared" ref="R120" si="411">CR120*S120+EF120</f>
        <v>563.08651601088718</v>
      </c>
      <c r="S120" s="13">
        <f t="shared" ref="S120" si="412">CS120*T120+EG120</f>
        <v>562.28664309036742</v>
      </c>
      <c r="T120" s="13">
        <f t="shared" ref="T120" si="413">CT120*U120+EH120</f>
        <v>561.94570100526334</v>
      </c>
      <c r="U120" s="13">
        <f t="shared" ref="U120" si="414">CU120*V120+EI120</f>
        <v>562.03776280599095</v>
      </c>
      <c r="V120" s="13">
        <f t="shared" si="181"/>
        <v>562.54986714368783</v>
      </c>
      <c r="W120" s="13">
        <f t="shared" si="181"/>
        <v>563.47777706742136</v>
      </c>
      <c r="X120" s="13">
        <f t="shared" si="181"/>
        <v>564.82468923872807</v>
      </c>
      <c r="Y120" s="13">
        <f t="shared" si="181"/>
        <v>566.60169676909322</v>
      </c>
      <c r="Z120" s="13">
        <f t="shared" si="181"/>
        <v>568.83131718284722</v>
      </c>
      <c r="AA120" s="13">
        <f>($F$6*$B$5*AB57+$F$4*Z57)/($F$4+$F$6*$B$5)</f>
        <v>571.60819986072863</v>
      </c>
      <c r="AB120" s="13">
        <f t="shared" si="99"/>
        <v>650</v>
      </c>
      <c r="AC120" s="13">
        <f t="shared" si="339"/>
        <v>650</v>
      </c>
      <c r="AD120" s="13">
        <f t="shared" si="339"/>
        <v>650</v>
      </c>
      <c r="AE120" s="13">
        <f t="shared" si="339"/>
        <v>650</v>
      </c>
      <c r="AF120" s="13">
        <f t="shared" si="339"/>
        <v>650</v>
      </c>
      <c r="AG120" s="13">
        <f t="shared" si="339"/>
        <v>650</v>
      </c>
      <c r="AH120" s="13">
        <f t="shared" si="339"/>
        <v>650</v>
      </c>
      <c r="AI120" s="13">
        <f t="shared" si="339"/>
        <v>650</v>
      </c>
      <c r="AJ120" s="13">
        <f t="shared" si="339"/>
        <v>650</v>
      </c>
      <c r="AK120" s="13">
        <f t="shared" si="339"/>
        <v>650</v>
      </c>
      <c r="AL120" s="25">
        <v>9</v>
      </c>
      <c r="AM120" s="26">
        <f t="shared" si="272"/>
        <v>7.407407407407407E-2</v>
      </c>
      <c r="AP120" s="87"/>
      <c r="AQ120" s="86"/>
      <c r="AR120" s="25">
        <v>9</v>
      </c>
      <c r="AS120" s="26">
        <f t="shared" si="273"/>
        <v>7.407407407407407E-2</v>
      </c>
      <c r="AT120" s="13">
        <f t="shared" si="340"/>
        <v>600</v>
      </c>
      <c r="AU120" s="13">
        <f t="shared" si="340"/>
        <v>600</v>
      </c>
      <c r="AV120" s="13">
        <f t="shared" si="340"/>
        <v>600</v>
      </c>
      <c r="AW120" s="13">
        <f t="shared" si="340"/>
        <v>600</v>
      </c>
      <c r="AX120" s="13">
        <f t="shared" si="340"/>
        <v>600</v>
      </c>
      <c r="AY120" s="13">
        <f t="shared" si="340"/>
        <v>600</v>
      </c>
      <c r="AZ120" s="13">
        <f t="shared" si="340"/>
        <v>600</v>
      </c>
      <c r="BA120" s="13">
        <f t="shared" si="340"/>
        <v>600</v>
      </c>
      <c r="BB120" s="13">
        <f t="shared" si="340"/>
        <v>600</v>
      </c>
      <c r="BC120" s="13">
        <f t="shared" si="100"/>
        <v>600</v>
      </c>
      <c r="BD120" s="52"/>
      <c r="BE120" s="13">
        <f t="shared" ref="BE120" si="415">-($F$3*$F$2)/$B$8*R57</f>
        <v>-2017932974.8348339</v>
      </c>
      <c r="BF120" s="13">
        <f t="shared" ref="BF120" si="416">-($F$3*$F$2)/$B$8*S57</f>
        <v>-2015584501.7496176</v>
      </c>
      <c r="BG120" s="13">
        <f t="shared" ref="BG120" si="417">-($F$3*$F$2)/$B$8*T57</f>
        <v>-2014468539.1195421</v>
      </c>
      <c r="BH120" s="13">
        <f t="shared" ref="BH120" si="418">-($F$3*$F$2)/$B$8*U57</f>
        <v>-2014852516.8448439</v>
      </c>
      <c r="BI120" s="13">
        <f t="shared" ref="BI120" si="419">-($F$3*$F$2)/$B$8*V57</f>
        <v>-2016707488.1853597</v>
      </c>
      <c r="BJ120" s="13">
        <f t="shared" ref="BJ120" si="420">-($F$3*$F$2)/$B$8*W57</f>
        <v>-2020023594.8129542</v>
      </c>
      <c r="BK120" s="13">
        <f t="shared" ref="BK120" si="421">-($F$3*$F$2)/$B$8*X57</f>
        <v>-2024810390.2020543</v>
      </c>
      <c r="BL120" s="13">
        <f t="shared" ref="BL120" si="422">-($F$3*$F$2)/$B$8*Y57</f>
        <v>-2031093070.6702764</v>
      </c>
      <c r="BM120" s="13">
        <f t="shared" ref="BM120" si="423">-($F$3*$F$2)/$B$8*Z57</f>
        <v>-2038701100.2785683</v>
      </c>
      <c r="BN120" s="52"/>
      <c r="BO120" s="13">
        <f t="shared" si="110"/>
        <v>650</v>
      </c>
      <c r="BP120" s="13">
        <f t="shared" si="341"/>
        <v>650</v>
      </c>
      <c r="BQ120" s="13">
        <f t="shared" si="341"/>
        <v>650</v>
      </c>
      <c r="BR120" s="13">
        <f t="shared" si="341"/>
        <v>650</v>
      </c>
      <c r="BS120" s="13">
        <f t="shared" si="341"/>
        <v>650</v>
      </c>
      <c r="BT120" s="13">
        <f t="shared" si="341"/>
        <v>650</v>
      </c>
      <c r="BU120" s="13">
        <f t="shared" si="341"/>
        <v>650</v>
      </c>
      <c r="BV120" s="13">
        <f t="shared" si="341"/>
        <v>650</v>
      </c>
      <c r="BW120" s="13">
        <f t="shared" si="341"/>
        <v>650</v>
      </c>
      <c r="BX120" s="13">
        <f t="shared" si="341"/>
        <v>650</v>
      </c>
      <c r="BY120" s="25">
        <v>9</v>
      </c>
      <c r="BZ120" s="26">
        <f t="shared" si="274"/>
        <v>7.407407407407407E-2</v>
      </c>
      <c r="CC120" s="84"/>
      <c r="CD120" s="85"/>
      <c r="CE120" s="25">
        <v>9</v>
      </c>
      <c r="CF120" s="26">
        <f t="shared" si="275"/>
        <v>7.407407407407407E-2</v>
      </c>
      <c r="CG120" s="13">
        <f t="shared" si="342"/>
        <v>600</v>
      </c>
      <c r="CH120" s="13">
        <f t="shared" si="342"/>
        <v>600</v>
      </c>
      <c r="CI120" s="13">
        <f t="shared" si="342"/>
        <v>600</v>
      </c>
      <c r="CJ120" s="13">
        <f t="shared" si="342"/>
        <v>600</v>
      </c>
      <c r="CK120" s="13">
        <f t="shared" si="342"/>
        <v>600</v>
      </c>
      <c r="CL120" s="13">
        <f t="shared" si="342"/>
        <v>600</v>
      </c>
      <c r="CM120" s="13">
        <f t="shared" si="342"/>
        <v>600</v>
      </c>
      <c r="CN120" s="13">
        <f t="shared" si="342"/>
        <v>600</v>
      </c>
      <c r="CO120" s="13">
        <f t="shared" si="342"/>
        <v>600</v>
      </c>
      <c r="CP120" s="13">
        <f t="shared" si="111"/>
        <v>600</v>
      </c>
      <c r="CQ120" s="13">
        <v>0</v>
      </c>
      <c r="CR120" s="13">
        <f t="shared" ref="CK120:DH125" si="424">$L$2/($L$3-$L$4*CQ120)</f>
        <v>0.34883720930232553</v>
      </c>
      <c r="CS120" s="13">
        <f t="shared" ref="CS120:CT120" si="425">$L$2/($L$3-$L$4*CR120)</f>
        <v>0.39716748768472904</v>
      </c>
      <c r="CT120" s="13">
        <f t="shared" si="425"/>
        <v>0.40494040593779607</v>
      </c>
      <c r="CU120" s="13">
        <f t="shared" ref="CU120:CW120" si="426">$L$2/($L$3-$L$4*CT120)</f>
        <v>0.4062190081621499</v>
      </c>
      <c r="CV120" s="13">
        <f t="shared" si="426"/>
        <v>0.40643010492156101</v>
      </c>
      <c r="CW120" s="13">
        <f t="shared" si="426"/>
        <v>0.40646497802255066</v>
      </c>
      <c r="CX120" s="13">
        <f t="shared" ref="CX120:CY120" si="427">$L$2/($L$3-$L$4*CW120)</f>
        <v>0.40647073962099717</v>
      </c>
      <c r="CY120" s="13">
        <f t="shared" si="427"/>
        <v>0.40647169154566137</v>
      </c>
      <c r="CZ120" s="13">
        <f t="shared" ref="CZ120:DA120" si="428">$L$2/($L$3-$L$4*CY120)</f>
        <v>0.40647184882198806</v>
      </c>
      <c r="DA120" s="13">
        <f t="shared" si="428"/>
        <v>0.40647187480708435</v>
      </c>
      <c r="DB120" s="13">
        <f t="shared" si="113"/>
        <v>650</v>
      </c>
      <c r="DC120" s="13">
        <f t="shared" si="345"/>
        <v>650</v>
      </c>
      <c r="DD120" s="13">
        <f t="shared" si="345"/>
        <v>650</v>
      </c>
      <c r="DE120" s="13">
        <f t="shared" si="345"/>
        <v>650</v>
      </c>
      <c r="DF120" s="13">
        <f t="shared" si="345"/>
        <v>650</v>
      </c>
      <c r="DG120" s="13">
        <f t="shared" si="345"/>
        <v>650</v>
      </c>
      <c r="DH120" s="13">
        <f t="shared" si="345"/>
        <v>650</v>
      </c>
      <c r="DI120" s="13">
        <f t="shared" si="345"/>
        <v>650</v>
      </c>
      <c r="DJ120" s="13">
        <f t="shared" si="345"/>
        <v>650</v>
      </c>
      <c r="DK120" s="13">
        <f t="shared" si="345"/>
        <v>650</v>
      </c>
      <c r="DL120" s="25">
        <v>9</v>
      </c>
      <c r="DM120" s="26">
        <f t="shared" si="277"/>
        <v>7.407407407407407E-2</v>
      </c>
      <c r="DQ120" s="84"/>
      <c r="DR120" s="85"/>
      <c r="DS120" s="25">
        <v>9</v>
      </c>
      <c r="DT120" s="26">
        <f t="shared" si="278"/>
        <v>7.407407407407407E-2</v>
      </c>
      <c r="DU120" s="13">
        <f t="shared" si="346"/>
        <v>600</v>
      </c>
      <c r="DV120" s="13">
        <f t="shared" si="346"/>
        <v>600</v>
      </c>
      <c r="DW120" s="13">
        <f t="shared" si="346"/>
        <v>600</v>
      </c>
      <c r="DX120" s="13">
        <f t="shared" si="346"/>
        <v>600</v>
      </c>
      <c r="DY120" s="13">
        <f t="shared" si="346"/>
        <v>600</v>
      </c>
      <c r="DZ120" s="13">
        <f t="shared" si="346"/>
        <v>600</v>
      </c>
      <c r="EA120" s="13">
        <f t="shared" si="346"/>
        <v>600</v>
      </c>
      <c r="EB120" s="13">
        <f t="shared" si="346"/>
        <v>600</v>
      </c>
      <c r="EC120" s="13">
        <f t="shared" si="346"/>
        <v>600</v>
      </c>
      <c r="ED120" s="13">
        <f t="shared" si="114"/>
        <v>600</v>
      </c>
      <c r="EE120" s="13">
        <f t="shared" si="352"/>
        <v>564.47127893436084</v>
      </c>
      <c r="EF120" s="13">
        <f t="shared" ref="EF120" si="429">(EE120*$L$4-BE120)/($L$3-$L$4*CQ120)</f>
        <v>366.9400126072706</v>
      </c>
      <c r="EG120" s="13">
        <f t="shared" ref="EG120" si="430">(EF120*$L$4-BF120)/($L$3-$L$4*CR120)</f>
        <v>339.10008080687305</v>
      </c>
      <c r="EH120" s="13">
        <f t="shared" ref="EH120" si="431">(EG120*$L$4-BG120)/($L$3-$L$4*CS120)</f>
        <v>334.35390118223467</v>
      </c>
      <c r="EI120" s="13">
        <f t="shared" ref="EI120" si="432">(EH120*$L$4-BH120)/($L$3-$L$4*CT120)</f>
        <v>333.51931373313295</v>
      </c>
      <c r="EJ120" s="13">
        <f t="shared" ref="EJ120" si="433">(EI120*$L$4-BI120)/($L$3-$L$4*CU120)</f>
        <v>333.53553508920777</v>
      </c>
      <c r="EK120" s="13">
        <f t="shared" ref="EK120" si="434">(EJ120*$L$4-BJ120)/($L$3-$L$4*CV120)</f>
        <v>333.89632216940771</v>
      </c>
      <c r="EL120" s="13">
        <f t="shared" ref="EL120" si="435">(EK120*$L$4-BK120)/($L$3-$L$4*CW120)</f>
        <v>334.51767848248284</v>
      </c>
      <c r="EM120" s="13">
        <f t="shared" ref="EM120" si="436">(EL120*$L$4-BL120)/($L$3-$L$4*CX120)</f>
        <v>335.38786906963463</v>
      </c>
      <c r="EN120" s="13">
        <f t="shared" ref="EN120" si="437">(EM120*$L$4-BM120)/($L$3-$L$4*CY120)</f>
        <v>336.4886753836484</v>
      </c>
      <c r="EO120" s="13">
        <f t="shared" ref="EO120" si="438">(EN120*$L$4-BN120)/($L$3-$L$4*CZ120)</f>
        <v>136.77318273454398</v>
      </c>
      <c r="EP120" s="13">
        <f t="shared" si="125"/>
        <v>650</v>
      </c>
      <c r="EQ120" s="13">
        <f t="shared" si="347"/>
        <v>650</v>
      </c>
      <c r="ER120" s="13">
        <f t="shared" si="347"/>
        <v>650</v>
      </c>
      <c r="ES120" s="13">
        <f t="shared" si="347"/>
        <v>650</v>
      </c>
      <c r="ET120" s="13">
        <f t="shared" si="347"/>
        <v>650</v>
      </c>
      <c r="EU120" s="13">
        <f t="shared" si="347"/>
        <v>650</v>
      </c>
      <c r="EV120" s="13">
        <f t="shared" si="347"/>
        <v>650</v>
      </c>
      <c r="EW120" s="13">
        <f t="shared" si="347"/>
        <v>650</v>
      </c>
      <c r="EX120" s="13">
        <f t="shared" si="347"/>
        <v>650</v>
      </c>
      <c r="EY120" s="13">
        <f t="shared" si="347"/>
        <v>650</v>
      </c>
      <c r="EZ120" s="25">
        <v>9</v>
      </c>
      <c r="FA120" s="26">
        <f t="shared" si="279"/>
        <v>7.407407407407407E-2</v>
      </c>
    </row>
    <row r="121" spans="3:157" ht="15" customHeight="1" x14ac:dyDescent="0.25">
      <c r="C121" s="84"/>
      <c r="D121" s="85"/>
      <c r="E121" s="25">
        <v>8</v>
      </c>
      <c r="F121" s="26">
        <f t="shared" si="269"/>
        <v>6.4814814814814811E-2</v>
      </c>
      <c r="G121" s="13">
        <f t="shared" si="337"/>
        <v>600</v>
      </c>
      <c r="H121" s="13">
        <f t="shared" si="337"/>
        <v>600</v>
      </c>
      <c r="I121" s="13">
        <f t="shared" si="337"/>
        <v>600</v>
      </c>
      <c r="J121" s="13">
        <f t="shared" si="337"/>
        <v>600</v>
      </c>
      <c r="K121" s="13">
        <f t="shared" si="337"/>
        <v>600</v>
      </c>
      <c r="L121" s="13">
        <f t="shared" si="337"/>
        <v>600</v>
      </c>
      <c r="M121" s="13">
        <f t="shared" si="337"/>
        <v>600</v>
      </c>
      <c r="N121" s="13">
        <f t="shared" si="337"/>
        <v>600</v>
      </c>
      <c r="O121" s="13">
        <f t="shared" si="337"/>
        <v>600</v>
      </c>
      <c r="P121" s="13">
        <f t="shared" si="410"/>
        <v>551.73777615524853</v>
      </c>
      <c r="Q121" s="13">
        <f t="shared" ref="Q121" si="439">CQ121*R121+EE121</f>
        <v>550.2825242477395</v>
      </c>
      <c r="R121" s="13">
        <f t="shared" ref="R121" si="440">CR121*S121+EF121</f>
        <v>549.99082275461842</v>
      </c>
      <c r="S121" s="13">
        <f t="shared" ref="S121" si="441">CS121*T121+EG121</f>
        <v>549.83494005738066</v>
      </c>
      <c r="T121" s="13">
        <f t="shared" ref="T121" si="442">CT121*U121+EH121</f>
        <v>549.8799288553472</v>
      </c>
      <c r="U121" s="13">
        <f t="shared" ref="U121" si="443">CU121*V121+EI121</f>
        <v>550.17074673100728</v>
      </c>
      <c r="V121" s="13">
        <f t="shared" si="181"/>
        <v>550.73244085815782</v>
      </c>
      <c r="W121" s="13">
        <f t="shared" si="181"/>
        <v>551.57503657789903</v>
      </c>
      <c r="X121" s="13">
        <f t="shared" si="181"/>
        <v>552.69531023775448</v>
      </c>
      <c r="Y121" s="13">
        <f t="shared" si="181"/>
        <v>554.07582837108509</v>
      </c>
      <c r="Z121" s="13">
        <f t="shared" si="181"/>
        <v>555.68116317471572</v>
      </c>
      <c r="AA121" s="13">
        <f t="shared" si="181"/>
        <v>557.45643920971486</v>
      </c>
      <c r="AB121" s="13">
        <f t="shared" si="405"/>
        <v>560.21981291191935</v>
      </c>
      <c r="AC121" s="13">
        <f t="shared" si="339"/>
        <v>650</v>
      </c>
      <c r="AD121" s="13">
        <f t="shared" si="339"/>
        <v>650</v>
      </c>
      <c r="AE121" s="13">
        <f t="shared" si="339"/>
        <v>650</v>
      </c>
      <c r="AF121" s="13">
        <f t="shared" si="339"/>
        <v>650</v>
      </c>
      <c r="AG121" s="13">
        <f t="shared" si="339"/>
        <v>650</v>
      </c>
      <c r="AH121" s="13">
        <f t="shared" si="339"/>
        <v>650</v>
      </c>
      <c r="AI121" s="13">
        <f t="shared" si="339"/>
        <v>650</v>
      </c>
      <c r="AJ121" s="13">
        <f t="shared" si="339"/>
        <v>650</v>
      </c>
      <c r="AK121" s="13">
        <f t="shared" si="339"/>
        <v>650</v>
      </c>
      <c r="AL121" s="25">
        <v>8</v>
      </c>
      <c r="AM121" s="26">
        <f t="shared" si="272"/>
        <v>6.4814814814814811E-2</v>
      </c>
      <c r="AP121" s="87"/>
      <c r="AQ121" s="86"/>
      <c r="AR121" s="25">
        <v>8</v>
      </c>
      <c r="AS121" s="26">
        <f t="shared" si="273"/>
        <v>6.4814814814814811E-2</v>
      </c>
      <c r="AT121" s="13">
        <f t="shared" si="340"/>
        <v>600</v>
      </c>
      <c r="AU121" s="13">
        <f t="shared" si="340"/>
        <v>600</v>
      </c>
      <c r="AV121" s="13">
        <f t="shared" si="340"/>
        <v>600</v>
      </c>
      <c r="AW121" s="13">
        <f t="shared" si="340"/>
        <v>600</v>
      </c>
      <c r="AX121" s="13">
        <f t="shared" si="340"/>
        <v>600</v>
      </c>
      <c r="AY121" s="13">
        <f t="shared" si="340"/>
        <v>600</v>
      </c>
      <c r="AZ121" s="13">
        <f t="shared" si="340"/>
        <v>600</v>
      </c>
      <c r="BA121" s="13">
        <f t="shared" si="340"/>
        <v>600</v>
      </c>
      <c r="BB121" s="13">
        <f t="shared" si="340"/>
        <v>600</v>
      </c>
      <c r="BC121" s="52"/>
      <c r="BD121" s="13">
        <f t="shared" ref="BD121" si="444">-($F$3*$F$2)/$B$8*Q58</f>
        <v>-1969596598.2853231</v>
      </c>
      <c r="BE121" s="13">
        <f t="shared" ref="BE121" si="445">-($F$3*$F$2)/$B$8*R58</f>
        <v>-1972804782.2286146</v>
      </c>
      <c r="BF121" s="13">
        <f t="shared" ref="BF121" si="446">-($F$3*$F$2)/$B$8*S58</f>
        <v>-1971976156.9357359</v>
      </c>
      <c r="BG121" s="13">
        <f t="shared" ref="BG121" si="447">-($F$3*$F$2)/$B$8*T58</f>
        <v>-1971951452.351335</v>
      </c>
      <c r="BH121" s="13">
        <f t="shared" ref="BH121" si="448">-($F$3*$F$2)/$B$8*U58</f>
        <v>-1972891211.5896842</v>
      </c>
      <c r="BI121" s="13">
        <f t="shared" si="215"/>
        <v>-1974865065.2057452</v>
      </c>
      <c r="BJ121" s="13">
        <f t="shared" ref="BJ121" si="449">-($F$3*$F$2)/$B$8*W58</f>
        <v>-1977901644.5694284</v>
      </c>
      <c r="BK121" s="13">
        <f t="shared" ref="BK121" si="450">-($F$3*$F$2)/$B$8*X58</f>
        <v>-1981993361.0128756</v>
      </c>
      <c r="BL121" s="13">
        <f t="shared" ref="BL121" si="451">-($F$3*$F$2)/$B$8*Y58</f>
        <v>-1987093331.1804111</v>
      </c>
      <c r="BM121" s="13">
        <f t="shared" ref="BM121" si="452">-($F$3*$F$2)/$B$8*Z58</f>
        <v>-1993080456.7730145</v>
      </c>
      <c r="BN121" s="13">
        <f t="shared" ref="BN121" si="453">-($F$3*$F$2)/$B$8*AA58</f>
        <v>-1996062979.5422263</v>
      </c>
      <c r="BO121" s="52"/>
      <c r="BP121" s="13">
        <f t="shared" si="341"/>
        <v>650</v>
      </c>
      <c r="BQ121" s="13">
        <f t="shared" si="341"/>
        <v>650</v>
      </c>
      <c r="BR121" s="13">
        <f t="shared" si="341"/>
        <v>650</v>
      </c>
      <c r="BS121" s="13">
        <f t="shared" si="341"/>
        <v>650</v>
      </c>
      <c r="BT121" s="13">
        <f t="shared" si="341"/>
        <v>650</v>
      </c>
      <c r="BU121" s="13">
        <f t="shared" si="341"/>
        <v>650</v>
      </c>
      <c r="BV121" s="13">
        <f t="shared" si="341"/>
        <v>650</v>
      </c>
      <c r="BW121" s="13">
        <f t="shared" si="341"/>
        <v>650</v>
      </c>
      <c r="BX121" s="13">
        <f t="shared" si="341"/>
        <v>650</v>
      </c>
      <c r="BY121" s="25">
        <v>8</v>
      </c>
      <c r="BZ121" s="26">
        <f t="shared" si="274"/>
        <v>6.4814814814814811E-2</v>
      </c>
      <c r="CC121" s="84"/>
      <c r="CD121" s="85"/>
      <c r="CE121" s="25">
        <v>8</v>
      </c>
      <c r="CF121" s="26">
        <f t="shared" si="275"/>
        <v>6.4814814814814811E-2</v>
      </c>
      <c r="CG121" s="13">
        <f t="shared" si="342"/>
        <v>600</v>
      </c>
      <c r="CH121" s="13">
        <f t="shared" si="342"/>
        <v>600</v>
      </c>
      <c r="CI121" s="13">
        <f t="shared" si="342"/>
        <v>600</v>
      </c>
      <c r="CJ121" s="13">
        <f t="shared" si="342"/>
        <v>600</v>
      </c>
      <c r="CK121" s="13">
        <f t="shared" si="342"/>
        <v>600</v>
      </c>
      <c r="CL121" s="13">
        <f t="shared" si="342"/>
        <v>600</v>
      </c>
      <c r="CM121" s="13">
        <f t="shared" si="342"/>
        <v>600</v>
      </c>
      <c r="CN121" s="13">
        <f t="shared" si="342"/>
        <v>600</v>
      </c>
      <c r="CO121" s="13">
        <f t="shared" si="342"/>
        <v>600</v>
      </c>
      <c r="CP121" s="13">
        <v>0</v>
      </c>
      <c r="CQ121" s="13">
        <f t="shared" si="424"/>
        <v>0.34883720930232553</v>
      </c>
      <c r="CR121" s="13">
        <f t="shared" si="424"/>
        <v>0.39716748768472904</v>
      </c>
      <c r="CS121" s="13">
        <f t="shared" ref="CS121:CT121" si="454">$L$2/($L$3-$L$4*CR121)</f>
        <v>0.40494040593779607</v>
      </c>
      <c r="CT121" s="13">
        <f t="shared" si="454"/>
        <v>0.4062190081621499</v>
      </c>
      <c r="CU121" s="13">
        <f t="shared" ref="CU121:CW121" si="455">$L$2/($L$3-$L$4*CT121)</f>
        <v>0.40643010492156101</v>
      </c>
      <c r="CV121" s="13">
        <f t="shared" si="455"/>
        <v>0.40646497802255066</v>
      </c>
      <c r="CW121" s="13">
        <f t="shared" si="455"/>
        <v>0.40647073962099717</v>
      </c>
      <c r="CX121" s="13">
        <f t="shared" ref="CX121:CY121" si="456">$L$2/($L$3-$L$4*CW121)</f>
        <v>0.40647169154566137</v>
      </c>
      <c r="CY121" s="13">
        <f t="shared" si="456"/>
        <v>0.40647184882198806</v>
      </c>
      <c r="CZ121" s="13">
        <f t="shared" ref="CZ121:DA121" si="457">$L$2/($L$3-$L$4*CY121)</f>
        <v>0.40647187480708435</v>
      </c>
      <c r="DA121" s="13">
        <f t="shared" si="457"/>
        <v>0.40647187910032606</v>
      </c>
      <c r="DB121" s="13">
        <f t="shared" ref="DB121" si="458">$L$2/($L$3-$L$4*DA121)</f>
        <v>0.40647187980965277</v>
      </c>
      <c r="DC121" s="13">
        <f t="shared" si="345"/>
        <v>650</v>
      </c>
      <c r="DD121" s="13">
        <f t="shared" si="345"/>
        <v>650</v>
      </c>
      <c r="DE121" s="13">
        <f t="shared" si="345"/>
        <v>650</v>
      </c>
      <c r="DF121" s="13">
        <f t="shared" si="345"/>
        <v>650</v>
      </c>
      <c r="DG121" s="13">
        <f t="shared" si="345"/>
        <v>650</v>
      </c>
      <c r="DH121" s="13">
        <f t="shared" si="345"/>
        <v>650</v>
      </c>
      <c r="DI121" s="13">
        <f t="shared" si="345"/>
        <v>650</v>
      </c>
      <c r="DJ121" s="13">
        <f t="shared" si="345"/>
        <v>650</v>
      </c>
      <c r="DK121" s="13">
        <f t="shared" si="345"/>
        <v>650</v>
      </c>
      <c r="DL121" s="25">
        <v>8</v>
      </c>
      <c r="DM121" s="26">
        <f t="shared" si="277"/>
        <v>6.4814814814814811E-2</v>
      </c>
      <c r="DQ121" s="84"/>
      <c r="DR121" s="85"/>
      <c r="DS121" s="25">
        <v>8</v>
      </c>
      <c r="DT121" s="26">
        <f t="shared" si="278"/>
        <v>6.4814814814814811E-2</v>
      </c>
      <c r="DU121" s="13">
        <f t="shared" si="346"/>
        <v>600</v>
      </c>
      <c r="DV121" s="13">
        <f t="shared" si="346"/>
        <v>600</v>
      </c>
      <c r="DW121" s="13">
        <f t="shared" si="346"/>
        <v>600</v>
      </c>
      <c r="DX121" s="13">
        <f t="shared" si="346"/>
        <v>600</v>
      </c>
      <c r="DY121" s="13">
        <f t="shared" si="346"/>
        <v>600</v>
      </c>
      <c r="DZ121" s="13">
        <f t="shared" si="346"/>
        <v>600</v>
      </c>
      <c r="EA121" s="13">
        <f t="shared" si="346"/>
        <v>600</v>
      </c>
      <c r="EB121" s="13">
        <f t="shared" si="346"/>
        <v>600</v>
      </c>
      <c r="EC121" s="13">
        <f t="shared" si="346"/>
        <v>600</v>
      </c>
      <c r="ED121" s="13">
        <f t="shared" si="352"/>
        <v>551.73777615524853</v>
      </c>
      <c r="EE121" s="13">
        <f t="shared" ref="EE121" si="459">(ED121*$L$4-BD121)/($L$3-$L$4*CP121)</f>
        <v>358.42526049612843</v>
      </c>
      <c r="EF121" s="13">
        <f t="shared" ref="EF121" si="460">(EE121*$L$4-BE121)/($L$3-$L$4*CQ121)</f>
        <v>331.61426097074502</v>
      </c>
      <c r="EG121" s="13">
        <f t="shared" ref="EG121" si="461">(EF121*$L$4-BF121)/($L$3-$L$4*CR121)</f>
        <v>327.16633844964997</v>
      </c>
      <c r="EH121" s="13">
        <f t="shared" ref="EH121" si="462">(EG121*$L$4-BG121)/($L$3-$L$4*CS121)</f>
        <v>326.39011379844806</v>
      </c>
      <c r="EI121" s="13">
        <f t="shared" ref="EI121" si="463">(EH121*$L$4-BH121)/($L$3-$L$4*CT121)</f>
        <v>326.33650300931885</v>
      </c>
      <c r="EJ121" s="13">
        <f t="shared" si="221"/>
        <v>326.53650573773456</v>
      </c>
      <c r="EK121" s="13">
        <f t="shared" si="222"/>
        <v>326.92056504050254</v>
      </c>
      <c r="EL121" s="13">
        <f t="shared" ref="EL121" si="464">(EK121*$L$4-BK121)/($L$3-$L$4*CW121)</f>
        <v>327.47917103519592</v>
      </c>
      <c r="EM121" s="13">
        <f t="shared" ref="EM121" si="465">(EL121*$L$4-BL121)/($L$3-$L$4*CX121)</f>
        <v>328.20707861990553</v>
      </c>
      <c r="EN121" s="13">
        <f t="shared" ref="EN121" si="466">(EM121*$L$4-BM121)/($L$3-$L$4*CY121)</f>
        <v>329.09079920586146</v>
      </c>
      <c r="EO121" s="13">
        <f t="shared" ref="EO121" si="467">(EN121*$L$4-BN121)/($L$3-$L$4*CZ121)</f>
        <v>329.74283914617388</v>
      </c>
      <c r="EP121" s="13">
        <f t="shared" ref="EP121" si="468">(EO121*$L$4-BO121)/($L$3-$L$4*DA121)</f>
        <v>134.03119168151727</v>
      </c>
      <c r="EQ121" s="13">
        <f t="shared" si="347"/>
        <v>650</v>
      </c>
      <c r="ER121" s="13">
        <f t="shared" si="347"/>
        <v>650</v>
      </c>
      <c r="ES121" s="13">
        <f t="shared" si="347"/>
        <v>650</v>
      </c>
      <c r="ET121" s="13">
        <f t="shared" si="347"/>
        <v>650</v>
      </c>
      <c r="EU121" s="13">
        <f t="shared" si="347"/>
        <v>650</v>
      </c>
      <c r="EV121" s="13">
        <f t="shared" si="347"/>
        <v>650</v>
      </c>
      <c r="EW121" s="13">
        <f t="shared" si="347"/>
        <v>650</v>
      </c>
      <c r="EX121" s="13">
        <f t="shared" si="347"/>
        <v>650</v>
      </c>
      <c r="EY121" s="13">
        <f t="shared" si="347"/>
        <v>650</v>
      </c>
      <c r="EZ121" s="25">
        <v>8</v>
      </c>
      <c r="FA121" s="26">
        <f t="shared" si="279"/>
        <v>6.4814814814814811E-2</v>
      </c>
    </row>
    <row r="122" spans="3:157" ht="15" customHeight="1" x14ac:dyDescent="0.25">
      <c r="C122" s="84"/>
      <c r="D122" s="85"/>
      <c r="E122" s="25">
        <v>7</v>
      </c>
      <c r="F122" s="26">
        <f t="shared" si="269"/>
        <v>5.5555555555555552E-2</v>
      </c>
      <c r="G122" s="13">
        <f t="shared" ref="G122:N122" si="469">$R$2</f>
        <v>600</v>
      </c>
      <c r="H122" s="13">
        <f t="shared" si="469"/>
        <v>600</v>
      </c>
      <c r="I122" s="13">
        <f t="shared" si="469"/>
        <v>600</v>
      </c>
      <c r="J122" s="13">
        <f t="shared" si="469"/>
        <v>600</v>
      </c>
      <c r="K122" s="13">
        <f t="shared" si="469"/>
        <v>600</v>
      </c>
      <c r="L122" s="13">
        <f t="shared" si="469"/>
        <v>600</v>
      </c>
      <c r="M122" s="13">
        <f t="shared" si="469"/>
        <v>600</v>
      </c>
      <c r="N122" s="13">
        <f t="shared" si="469"/>
        <v>600</v>
      </c>
      <c r="O122" s="13">
        <f t="shared" si="410"/>
        <v>542.86623476467332</v>
      </c>
      <c r="P122" s="13">
        <f t="shared" ref="P122" si="470">CP122*Q122+ED122</f>
        <v>540.83111335506305</v>
      </c>
      <c r="Q122" s="13">
        <f t="shared" ref="Q122" si="471">CQ122*R122+EE122</f>
        <v>539.90270874527573</v>
      </c>
      <c r="R122" s="13">
        <f t="shared" ref="R122" si="472">CR122*S122+EF122</f>
        <v>539.37897066539563</v>
      </c>
      <c r="S122" s="13">
        <f t="shared" ref="S122" si="473">CS122*T122+EG122</f>
        <v>539.11655050280353</v>
      </c>
      <c r="T122" s="13">
        <f t="shared" ref="T122" si="474">CT122*U122+EH122</f>
        <v>539.11382858442948</v>
      </c>
      <c r="U122" s="13">
        <f t="shared" ref="U122" si="475">CU122*V122+EI122</f>
        <v>539.37559623524862</v>
      </c>
      <c r="V122" s="13">
        <f t="shared" si="181"/>
        <v>539.90726968928368</v>
      </c>
      <c r="W122" s="13">
        <f t="shared" si="181"/>
        <v>540.71256311325737</v>
      </c>
      <c r="X122" s="13">
        <f t="shared" si="181"/>
        <v>541.79263158424078</v>
      </c>
      <c r="Y122" s="13">
        <f t="shared" si="181"/>
        <v>543.14631610993774</v>
      </c>
      <c r="Z122" s="13">
        <f t="shared" si="181"/>
        <v>544.77160593410008</v>
      </c>
      <c r="AA122" s="13">
        <f t="shared" si="181"/>
        <v>546.66961237357987</v>
      </c>
      <c r="AB122" s="13">
        <f t="shared" si="181"/>
        <v>548.95120309334811</v>
      </c>
      <c r="AC122" s="13">
        <f t="shared" si="405"/>
        <v>552.14874214678264</v>
      </c>
      <c r="AD122" s="13">
        <f t="shared" ref="AD122:AK122" si="476">$R$3</f>
        <v>650</v>
      </c>
      <c r="AE122" s="13">
        <f t="shared" si="476"/>
        <v>650</v>
      </c>
      <c r="AF122" s="13">
        <f t="shared" si="476"/>
        <v>650</v>
      </c>
      <c r="AG122" s="13">
        <f t="shared" si="476"/>
        <v>650</v>
      </c>
      <c r="AH122" s="13">
        <f t="shared" si="476"/>
        <v>650</v>
      </c>
      <c r="AI122" s="13">
        <f t="shared" si="476"/>
        <v>650</v>
      </c>
      <c r="AJ122" s="13">
        <f t="shared" si="476"/>
        <v>650</v>
      </c>
      <c r="AK122" s="13">
        <f t="shared" si="476"/>
        <v>650</v>
      </c>
      <c r="AL122" s="25">
        <v>7</v>
      </c>
      <c r="AM122" s="26">
        <f t="shared" si="272"/>
        <v>5.5555555555555552E-2</v>
      </c>
      <c r="AP122" s="87"/>
      <c r="AQ122" s="86"/>
      <c r="AR122" s="25">
        <v>7</v>
      </c>
      <c r="AS122" s="26">
        <f t="shared" si="273"/>
        <v>5.5555555555555552E-2</v>
      </c>
      <c r="AT122" s="13">
        <f t="shared" ref="AT122:BA122" si="477">$R$2</f>
        <v>600</v>
      </c>
      <c r="AU122" s="13">
        <f t="shared" si="477"/>
        <v>600</v>
      </c>
      <c r="AV122" s="13">
        <f t="shared" si="477"/>
        <v>600</v>
      </c>
      <c r="AW122" s="13">
        <f t="shared" si="477"/>
        <v>600</v>
      </c>
      <c r="AX122" s="13">
        <f t="shared" si="477"/>
        <v>600</v>
      </c>
      <c r="AY122" s="13">
        <f t="shared" si="477"/>
        <v>600</v>
      </c>
      <c r="AZ122" s="13">
        <f t="shared" si="477"/>
        <v>600</v>
      </c>
      <c r="BA122" s="13">
        <f t="shared" si="477"/>
        <v>600</v>
      </c>
      <c r="BB122" s="52"/>
      <c r="BC122" s="13">
        <f t="shared" ref="BC122" si="478">-($F$3*$F$2)/$B$8*P59</f>
        <v>-1935920227.1666999</v>
      </c>
      <c r="BD122" s="13">
        <f t="shared" ref="BD122" si="479">-($F$3*$F$2)/$B$8*Q59</f>
        <v>-1935495599.5442338</v>
      </c>
      <c r="BE122" s="13">
        <f t="shared" ref="BE122" si="480">-($F$3*$F$2)/$B$8*R59</f>
        <v>-1934209890.5698667</v>
      </c>
      <c r="BF122" s="13">
        <f t="shared" ref="BF122" si="481">-($F$3*$F$2)/$B$8*S59</f>
        <v>-1933275032.4729972</v>
      </c>
      <c r="BG122" s="13">
        <f t="shared" ref="BG122" si="482">-($F$3*$F$2)/$B$8*T59</f>
        <v>-1933245430.1444724</v>
      </c>
      <c r="BH122" s="13">
        <f t="shared" ref="BH122" si="483">-($F$3*$F$2)/$B$8*U59</f>
        <v>-1934162229.2667582</v>
      </c>
      <c r="BI122" s="13">
        <f t="shared" ref="BI122" si="484">-($F$3*$F$2)/$B$8*V59</f>
        <v>-1936054496.9696031</v>
      </c>
      <c r="BJ122" s="13">
        <f t="shared" ref="BJ122" si="485">-($F$3*$F$2)/$B$8*W59</f>
        <v>-1938939107.7557485</v>
      </c>
      <c r="BK122" s="13">
        <f t="shared" ref="BK122" si="486">-($F$3*$F$2)/$B$8*X59</f>
        <v>-1942819191.6577411</v>
      </c>
      <c r="BL122" s="13">
        <f t="shared" ref="BL122" si="487">-($F$3*$F$2)/$B$8*Y59</f>
        <v>-1947684536.2668109</v>
      </c>
      <c r="BM122" s="13">
        <f t="shared" ref="BM122" si="488">-($F$3*$F$2)/$B$8*Z59</f>
        <v>-1953511475.3041365</v>
      </c>
      <c r="BN122" s="13">
        <f t="shared" ref="BN122" si="489">-($F$3*$F$2)/$B$8*AA59</f>
        <v>-1959862530.2760112</v>
      </c>
      <c r="BO122" s="13">
        <f t="shared" ref="BO122" si="490">-($F$3*$F$2)/$B$8*AB59</f>
        <v>-1965844890.5975542</v>
      </c>
      <c r="BP122" s="52"/>
      <c r="BQ122" s="13">
        <f t="shared" ref="BQ122:BX122" si="491">$R$3</f>
        <v>650</v>
      </c>
      <c r="BR122" s="13">
        <f t="shared" si="491"/>
        <v>650</v>
      </c>
      <c r="BS122" s="13">
        <f t="shared" si="491"/>
        <v>650</v>
      </c>
      <c r="BT122" s="13">
        <f t="shared" si="491"/>
        <v>650</v>
      </c>
      <c r="BU122" s="13">
        <f t="shared" si="491"/>
        <v>650</v>
      </c>
      <c r="BV122" s="13">
        <f t="shared" si="491"/>
        <v>650</v>
      </c>
      <c r="BW122" s="13">
        <f t="shared" si="491"/>
        <v>650</v>
      </c>
      <c r="BX122" s="13">
        <f t="shared" si="491"/>
        <v>650</v>
      </c>
      <c r="BY122" s="25">
        <v>7</v>
      </c>
      <c r="BZ122" s="26">
        <f t="shared" si="274"/>
        <v>5.5555555555555552E-2</v>
      </c>
      <c r="CC122" s="84"/>
      <c r="CD122" s="85"/>
      <c r="CE122" s="25">
        <v>7</v>
      </c>
      <c r="CF122" s="26">
        <f t="shared" si="275"/>
        <v>5.5555555555555552E-2</v>
      </c>
      <c r="CG122" s="13">
        <f t="shared" ref="CG122:CN122" si="492">$R$2</f>
        <v>600</v>
      </c>
      <c r="CH122" s="13">
        <f t="shared" si="492"/>
        <v>600</v>
      </c>
      <c r="CI122" s="13">
        <f t="shared" si="492"/>
        <v>600</v>
      </c>
      <c r="CJ122" s="13">
        <f t="shared" si="492"/>
        <v>600</v>
      </c>
      <c r="CK122" s="13">
        <f t="shared" si="492"/>
        <v>600</v>
      </c>
      <c r="CL122" s="13">
        <f t="shared" si="492"/>
        <v>600</v>
      </c>
      <c r="CM122" s="13">
        <f t="shared" si="492"/>
        <v>600</v>
      </c>
      <c r="CN122" s="13">
        <f t="shared" si="492"/>
        <v>600</v>
      </c>
      <c r="CO122" s="13">
        <v>0</v>
      </c>
      <c r="CP122" s="13">
        <f t="shared" si="424"/>
        <v>0.34883720930232553</v>
      </c>
      <c r="CQ122" s="13">
        <f t="shared" si="424"/>
        <v>0.39716748768472904</v>
      </c>
      <c r="CR122" s="13">
        <f t="shared" si="424"/>
        <v>0.40494040593779607</v>
      </c>
      <c r="CS122" s="13">
        <f t="shared" si="424"/>
        <v>0.4062190081621499</v>
      </c>
      <c r="CT122" s="13">
        <f t="shared" si="424"/>
        <v>0.40643010492156101</v>
      </c>
      <c r="CU122" s="13">
        <f t="shared" ref="CU122:CW122" si="493">$L$2/($L$3-$L$4*CT122)</f>
        <v>0.40646497802255066</v>
      </c>
      <c r="CV122" s="13">
        <f t="shared" si="493"/>
        <v>0.40647073962099717</v>
      </c>
      <c r="CW122" s="13">
        <f t="shared" si="493"/>
        <v>0.40647169154566137</v>
      </c>
      <c r="CX122" s="13">
        <f t="shared" ref="CX122:CY122" si="494">$L$2/($L$3-$L$4*CW122)</f>
        <v>0.40647184882198806</v>
      </c>
      <c r="CY122" s="13">
        <f t="shared" si="494"/>
        <v>0.40647187480708435</v>
      </c>
      <c r="CZ122" s="13">
        <f t="shared" ref="CZ122:DA122" si="495">$L$2/($L$3-$L$4*CY122)</f>
        <v>0.40647187910032606</v>
      </c>
      <c r="DA122" s="13">
        <f t="shared" si="495"/>
        <v>0.40647187980965277</v>
      </c>
      <c r="DB122" s="13">
        <f t="shared" ref="DB122" si="496">$L$2/($L$3-$L$4*DA122)</f>
        <v>0.4064718799268473</v>
      </c>
      <c r="DC122" s="13">
        <f t="shared" si="424"/>
        <v>0.40647187994621015</v>
      </c>
      <c r="DD122" s="13">
        <f t="shared" ref="DD122:DK122" si="497">$R$3</f>
        <v>650</v>
      </c>
      <c r="DE122" s="13">
        <f t="shared" si="497"/>
        <v>650</v>
      </c>
      <c r="DF122" s="13">
        <f t="shared" si="497"/>
        <v>650</v>
      </c>
      <c r="DG122" s="13">
        <f t="shared" si="497"/>
        <v>650</v>
      </c>
      <c r="DH122" s="13">
        <f t="shared" si="497"/>
        <v>650</v>
      </c>
      <c r="DI122" s="13">
        <f t="shared" si="497"/>
        <v>650</v>
      </c>
      <c r="DJ122" s="13">
        <f t="shared" si="497"/>
        <v>650</v>
      </c>
      <c r="DK122" s="13">
        <f t="shared" si="497"/>
        <v>650</v>
      </c>
      <c r="DL122" s="25">
        <v>7</v>
      </c>
      <c r="DM122" s="26">
        <f t="shared" si="277"/>
        <v>5.5555555555555552E-2</v>
      </c>
      <c r="DQ122" s="84"/>
      <c r="DR122" s="85"/>
      <c r="DS122" s="25">
        <v>7</v>
      </c>
      <c r="DT122" s="26">
        <f t="shared" si="278"/>
        <v>5.5555555555555552E-2</v>
      </c>
      <c r="DU122" s="13">
        <f t="shared" ref="DU122:EB122" si="498">$R$2</f>
        <v>600</v>
      </c>
      <c r="DV122" s="13">
        <f t="shared" si="498"/>
        <v>600</v>
      </c>
      <c r="DW122" s="13">
        <f t="shared" si="498"/>
        <v>600</v>
      </c>
      <c r="DX122" s="13">
        <f t="shared" si="498"/>
        <v>600</v>
      </c>
      <c r="DY122" s="13">
        <f t="shared" si="498"/>
        <v>600</v>
      </c>
      <c r="DZ122" s="13">
        <f t="shared" si="498"/>
        <v>600</v>
      </c>
      <c r="EA122" s="13">
        <f t="shared" si="498"/>
        <v>600</v>
      </c>
      <c r="EB122" s="13">
        <f t="shared" si="498"/>
        <v>600</v>
      </c>
      <c r="EC122" s="13">
        <f t="shared" si="352"/>
        <v>542.86623476467332</v>
      </c>
      <c r="ED122" s="13">
        <f t="shared" ref="ED122" si="499">(EC122*$L$4-BC122)/($L$3-$L$4*CO122)</f>
        <v>352.49295914159484</v>
      </c>
      <c r="EE122" s="13">
        <f t="shared" ref="EE122" si="500">(ED122*$L$4-BD122)/($L$3-$L$4*CP122)</f>
        <v>325.67891805612544</v>
      </c>
      <c r="EF122" s="13">
        <f t="shared" ref="EF122" si="501">(EE122*$L$4-BE122)/($L$3-$L$4*CQ122)</f>
        <v>321.068895857006</v>
      </c>
      <c r="EG122" s="13">
        <f t="shared" ref="EG122" si="502">(EF122*$L$4-BF122)/($L$3-$L$4*CR122)</f>
        <v>320.11826576873733</v>
      </c>
      <c r="EH122" s="13">
        <f t="shared" ref="EH122" si="503">(EG122*$L$4-BG122)/($L$3-$L$4*CS122)</f>
        <v>319.89534841440781</v>
      </c>
      <c r="EI122" s="13">
        <f t="shared" ref="EI122" si="504">(EH122*$L$4-BH122)/($L$3-$L$4*CT122)</f>
        <v>319.92219972677862</v>
      </c>
      <c r="EJ122" s="13">
        <f t="shared" ref="EJ122" si="505">(EI122*$L$4-BI122)/($L$3-$L$4*CU122)</f>
        <v>320.12343423827281</v>
      </c>
      <c r="EK122" s="13">
        <f t="shared" ref="EK122" si="506">(EJ122*$L$4-BJ122)/($L$3-$L$4*CV122)</f>
        <v>320.48919568623575</v>
      </c>
      <c r="EL122" s="13">
        <f t="shared" ref="EL122" si="507">(EK122*$L$4-BK122)/($L$3-$L$4*CW122)</f>
        <v>321.0189442941824</v>
      </c>
      <c r="EM122" s="13">
        <f t="shared" ref="EM122" si="508">(EL122*$L$4-BL122)/($L$3-$L$4*CX122)</f>
        <v>321.71198010423797</v>
      </c>
      <c r="EN122" s="13">
        <f t="shared" ref="EN122" si="509">(EM122*$L$4-BM122)/($L$3-$L$4*CY122)</f>
        <v>322.56578134556423</v>
      </c>
      <c r="EO122" s="13">
        <f t="shared" ref="EO122" si="510">(EN122*$L$4-BN122)/($L$3-$L$4*CZ122)</f>
        <v>323.53638492845624</v>
      </c>
      <c r="EP122" s="13">
        <f t="shared" ref="EP122" si="511">(EO122*$L$4-BO122)/($L$3-$L$4*DA122)</f>
        <v>324.51826587370124</v>
      </c>
      <c r="EQ122" s="13">
        <f t="shared" ref="EQ122" si="512">(EP122*$L$4-BP122)/($L$3-$L$4*DB122)</f>
        <v>131.90754960656739</v>
      </c>
      <c r="ER122" s="13">
        <f t="shared" ref="ER122:EY122" si="513">$R$3</f>
        <v>650</v>
      </c>
      <c r="ES122" s="13">
        <f t="shared" si="513"/>
        <v>650</v>
      </c>
      <c r="ET122" s="13">
        <f t="shared" si="513"/>
        <v>650</v>
      </c>
      <c r="EU122" s="13">
        <f t="shared" si="513"/>
        <v>650</v>
      </c>
      <c r="EV122" s="13">
        <f t="shared" si="513"/>
        <v>650</v>
      </c>
      <c r="EW122" s="13">
        <f t="shared" si="513"/>
        <v>650</v>
      </c>
      <c r="EX122" s="13">
        <f t="shared" si="513"/>
        <v>650</v>
      </c>
      <c r="EY122" s="13">
        <f t="shared" si="513"/>
        <v>650</v>
      </c>
      <c r="EZ122" s="25">
        <v>7</v>
      </c>
      <c r="FA122" s="26">
        <f t="shared" si="279"/>
        <v>5.5555555555555552E-2</v>
      </c>
    </row>
    <row r="123" spans="3:157" ht="15" customHeight="1" x14ac:dyDescent="0.25">
      <c r="C123" s="84"/>
      <c r="D123" s="85"/>
      <c r="E123" s="25">
        <v>6</v>
      </c>
      <c r="F123" s="26">
        <f t="shared" si="269"/>
        <v>4.6296296296296294E-2</v>
      </c>
      <c r="G123" s="13">
        <f t="shared" ref="G123:L123" si="514">$R$2</f>
        <v>600</v>
      </c>
      <c r="H123" s="13">
        <f t="shared" si="514"/>
        <v>600</v>
      </c>
      <c r="I123" s="13">
        <f t="shared" si="514"/>
        <v>600</v>
      </c>
      <c r="J123" s="13">
        <f t="shared" si="514"/>
        <v>600</v>
      </c>
      <c r="K123" s="13">
        <f t="shared" si="514"/>
        <v>600</v>
      </c>
      <c r="L123" s="13">
        <f t="shared" si="514"/>
        <v>600</v>
      </c>
      <c r="M123" s="13">
        <f t="shared" si="410"/>
        <v>534.17552033320942</v>
      </c>
      <c r="N123" s="13">
        <f t="shared" ref="N123" si="515">CN123*O123+EB123</f>
        <v>531.75986708222592</v>
      </c>
      <c r="O123" s="13">
        <f t="shared" ref="O123" si="516">CO123*P123+EC123</f>
        <v>530.55777129649937</v>
      </c>
      <c r="P123" s="13">
        <f t="shared" ref="P123" si="517">CP123*Q123+ED123</f>
        <v>529.99715924057841</v>
      </c>
      <c r="Q123" s="13">
        <f t="shared" ref="Q123" si="518">CQ123*R123+EE123</f>
        <v>529.52722714987851</v>
      </c>
      <c r="R123" s="13">
        <f t="shared" ref="R123" si="519">CR123*S123+EF123</f>
        <v>529.17761623672675</v>
      </c>
      <c r="S123" s="13">
        <f t="shared" ref="S123" si="520">CS123*T123+EG123</f>
        <v>528.99366030869271</v>
      </c>
      <c r="T123" s="13">
        <f t="shared" ref="T123" si="521">CT123*U123+EH123</f>
        <v>529.01578008899082</v>
      </c>
      <c r="U123" s="13">
        <f t="shared" ref="U123" si="522">CU123*V123+EI123</f>
        <v>529.27098191384175</v>
      </c>
      <c r="V123" s="13">
        <f t="shared" si="181"/>
        <v>529.77633405928418</v>
      </c>
      <c r="W123" s="13">
        <f t="shared" si="181"/>
        <v>530.5409686857837</v>
      </c>
      <c r="X123" s="13">
        <f t="shared" si="181"/>
        <v>531.5670468999964</v>
      </c>
      <c r="Y123" s="13">
        <f t="shared" si="181"/>
        <v>532.84993314954863</v>
      </c>
      <c r="Z123" s="13">
        <f t="shared" si="181"/>
        <v>534.37759134570547</v>
      </c>
      <c r="AA123" s="13">
        <f t="shared" si="181"/>
        <v>536.12905320022583</v>
      </c>
      <c r="AB123" s="13">
        <f t="shared" si="181"/>
        <v>538.08297342581125</v>
      </c>
      <c r="AC123" s="13">
        <f t="shared" ref="AC123:AC128" si="523">DC123*AD123+EQ123</f>
        <v>540.23324375504876</v>
      </c>
      <c r="AD123" s="13">
        <f t="shared" ref="AD123:AD128" si="524">DD123*AE123+ER123</f>
        <v>542.97435642133689</v>
      </c>
      <c r="AE123" s="13">
        <f t="shared" si="405"/>
        <v>546.53146028190315</v>
      </c>
      <c r="AF123" s="13">
        <f t="shared" ref="AF123:AK123" si="525">$R$3</f>
        <v>650</v>
      </c>
      <c r="AG123" s="13">
        <f t="shared" si="525"/>
        <v>650</v>
      </c>
      <c r="AH123" s="13">
        <f t="shared" si="525"/>
        <v>650</v>
      </c>
      <c r="AI123" s="13">
        <f t="shared" si="525"/>
        <v>650</v>
      </c>
      <c r="AJ123" s="13">
        <f t="shared" si="525"/>
        <v>650</v>
      </c>
      <c r="AK123" s="13">
        <f t="shared" si="525"/>
        <v>650</v>
      </c>
      <c r="AL123" s="25">
        <v>6</v>
      </c>
      <c r="AM123" s="26">
        <f t="shared" si="272"/>
        <v>4.6296296296296294E-2</v>
      </c>
      <c r="AP123" s="87"/>
      <c r="AQ123" s="86"/>
      <c r="AR123" s="25">
        <v>6</v>
      </c>
      <c r="AS123" s="26">
        <f t="shared" si="273"/>
        <v>4.6296296296296294E-2</v>
      </c>
      <c r="AT123" s="13">
        <f t="shared" ref="AT123:AY123" si="526">$R$2</f>
        <v>600</v>
      </c>
      <c r="AU123" s="13">
        <f t="shared" si="526"/>
        <v>600</v>
      </c>
      <c r="AV123" s="13">
        <f t="shared" si="526"/>
        <v>600</v>
      </c>
      <c r="AW123" s="13">
        <f t="shared" si="526"/>
        <v>600</v>
      </c>
      <c r="AX123" s="13">
        <f t="shared" si="526"/>
        <v>600</v>
      </c>
      <c r="AY123" s="13">
        <f t="shared" si="526"/>
        <v>600</v>
      </c>
      <c r="AZ123" s="52"/>
      <c r="BA123" s="13">
        <f t="shared" ref="BA123" si="527">-($F$3*$F$2)/$B$8*N60</f>
        <v>-1902930275.1848631</v>
      </c>
      <c r="BB123" s="13">
        <f t="shared" ref="BB123" si="528">-($F$3*$F$2)/$B$8*O60</f>
        <v>-1900985540.7704439</v>
      </c>
      <c r="BC123" s="13">
        <f t="shared" ref="BC123" si="529">-($F$3*$F$2)/$B$8*P60</f>
        <v>-1901254392.29918</v>
      </c>
      <c r="BD123" s="13">
        <f t="shared" ref="BD123" si="530">-($F$3*$F$2)/$B$8*Q60</f>
        <v>-1899445561.3387156</v>
      </c>
      <c r="BE123" s="13">
        <f t="shared" ref="BE123" si="531">-($F$3*$F$2)/$B$8*R60</f>
        <v>-1898003475.418988</v>
      </c>
      <c r="BF123" s="13">
        <f t="shared" ref="BF123" si="532">-($F$3*$F$2)/$B$8*S60</f>
        <v>-1897176099.7550941</v>
      </c>
      <c r="BG123" s="13">
        <f t="shared" ref="BG123" si="533">-($F$3*$F$2)/$B$8*T60</f>
        <v>-1897143659.2948494</v>
      </c>
      <c r="BH123" s="13">
        <f t="shared" ref="BH123" si="534">-($F$3*$F$2)/$B$8*U60</f>
        <v>-1897988660.7796154</v>
      </c>
      <c r="BI123" s="13">
        <f t="shared" si="215"/>
        <v>-1899764057.1331353</v>
      </c>
      <c r="BJ123" s="13">
        <f t="shared" ref="BJ123" si="535">-($F$3*$F$2)/$B$8*W60</f>
        <v>-1902498619.1914599</v>
      </c>
      <c r="BK123" s="13">
        <f t="shared" ref="BK123" si="536">-($F$3*$F$2)/$B$8*X60</f>
        <v>-1906199379.0108809</v>
      </c>
      <c r="BL123" s="13">
        <f t="shared" ref="BL123" si="537">-($F$3*$F$2)/$B$8*Y60</f>
        <v>-1910852204.2816379</v>
      </c>
      <c r="BM123" s="13">
        <f t="shared" ref="BM123" si="538">-($F$3*$F$2)/$B$8*Z60</f>
        <v>-1916420250.602766</v>
      </c>
      <c r="BN123" s="13">
        <f t="shared" ref="BN123" si="539">-($F$3*$F$2)/$B$8*AA60</f>
        <v>-1922792865.2262018</v>
      </c>
      <c r="BO123" s="13">
        <f t="shared" ref="BO123" si="540">-($F$3*$F$2)/$B$8*AB60</f>
        <v>-1929828819.2226908</v>
      </c>
      <c r="BP123" s="13">
        <f t="shared" ref="BP123" si="541">-($F$3*$F$2)/$B$8*AC60</f>
        <v>-1935910791.3177254</v>
      </c>
      <c r="BQ123" s="13">
        <f t="shared" ref="BQ123" si="542">-($F$3*$F$2)/$B$8*AD60</f>
        <v>-1944813787.2954454</v>
      </c>
      <c r="BR123" s="52"/>
      <c r="BS123" s="13">
        <f t="shared" ref="BS123:BX123" si="543">$R$3</f>
        <v>650</v>
      </c>
      <c r="BT123" s="13">
        <f t="shared" si="543"/>
        <v>650</v>
      </c>
      <c r="BU123" s="13">
        <f t="shared" si="543"/>
        <v>650</v>
      </c>
      <c r="BV123" s="13">
        <f t="shared" si="543"/>
        <v>650</v>
      </c>
      <c r="BW123" s="13">
        <f t="shared" si="543"/>
        <v>650</v>
      </c>
      <c r="BX123" s="13">
        <f t="shared" si="543"/>
        <v>650</v>
      </c>
      <c r="BY123" s="25">
        <v>6</v>
      </c>
      <c r="BZ123" s="26">
        <f t="shared" si="274"/>
        <v>4.6296296296296294E-2</v>
      </c>
      <c r="CC123" s="84"/>
      <c r="CD123" s="85"/>
      <c r="CE123" s="25">
        <v>6</v>
      </c>
      <c r="CF123" s="26">
        <f t="shared" si="275"/>
        <v>4.6296296296296294E-2</v>
      </c>
      <c r="CG123" s="13">
        <f t="shared" ref="CG123:CL123" si="544">$R$2</f>
        <v>600</v>
      </c>
      <c r="CH123" s="13">
        <f t="shared" si="544"/>
        <v>600</v>
      </c>
      <c r="CI123" s="13">
        <f t="shared" si="544"/>
        <v>600</v>
      </c>
      <c r="CJ123" s="13">
        <f t="shared" si="544"/>
        <v>600</v>
      </c>
      <c r="CK123" s="13">
        <f t="shared" si="544"/>
        <v>600</v>
      </c>
      <c r="CL123" s="13">
        <f t="shared" si="544"/>
        <v>600</v>
      </c>
      <c r="CM123" s="13">
        <v>0</v>
      </c>
      <c r="CN123" s="13">
        <f t="shared" si="424"/>
        <v>0.34883720930232553</v>
      </c>
      <c r="CO123" s="13">
        <f t="shared" si="424"/>
        <v>0.39716748768472904</v>
      </c>
      <c r="CP123" s="13">
        <f t="shared" si="424"/>
        <v>0.40494040593779607</v>
      </c>
      <c r="CQ123" s="13">
        <f t="shared" si="424"/>
        <v>0.4062190081621499</v>
      </c>
      <c r="CR123" s="13">
        <f t="shared" si="424"/>
        <v>0.40643010492156101</v>
      </c>
      <c r="CS123" s="13">
        <f t="shared" si="424"/>
        <v>0.40646497802255066</v>
      </c>
      <c r="CT123" s="13">
        <f t="shared" si="424"/>
        <v>0.40647073962099717</v>
      </c>
      <c r="CU123" s="13">
        <f t="shared" si="424"/>
        <v>0.40647169154566137</v>
      </c>
      <c r="CV123" s="13">
        <f t="shared" si="424"/>
        <v>0.40647184882198806</v>
      </c>
      <c r="CW123" s="13">
        <f t="shared" si="424"/>
        <v>0.40647187480708435</v>
      </c>
      <c r="CX123" s="13">
        <f t="shared" si="424"/>
        <v>0.40647187910032606</v>
      </c>
      <c r="CY123" s="13">
        <f t="shared" si="424"/>
        <v>0.40647187980965277</v>
      </c>
      <c r="CZ123" s="13">
        <f t="shared" si="424"/>
        <v>0.4064718799268473</v>
      </c>
      <c r="DA123" s="13">
        <f t="shared" si="424"/>
        <v>0.40647187994621015</v>
      </c>
      <c r="DB123" s="13">
        <f t="shared" si="424"/>
        <v>0.40647187994940925</v>
      </c>
      <c r="DC123" s="13">
        <f t="shared" si="424"/>
        <v>0.40647187994993778</v>
      </c>
      <c r="DD123" s="13">
        <f t="shared" si="424"/>
        <v>0.40647187995002515</v>
      </c>
      <c r="DE123" s="13">
        <f t="shared" si="424"/>
        <v>0.40647187995003953</v>
      </c>
      <c r="DF123" s="13">
        <f t="shared" ref="DF123:DK123" si="545">$R$3</f>
        <v>650</v>
      </c>
      <c r="DG123" s="13">
        <f t="shared" si="545"/>
        <v>650</v>
      </c>
      <c r="DH123" s="13">
        <f t="shared" si="545"/>
        <v>650</v>
      </c>
      <c r="DI123" s="13">
        <f t="shared" si="545"/>
        <v>650</v>
      </c>
      <c r="DJ123" s="13">
        <f t="shared" si="545"/>
        <v>650</v>
      </c>
      <c r="DK123" s="13">
        <f t="shared" si="545"/>
        <v>650</v>
      </c>
      <c r="DL123" s="25">
        <v>6</v>
      </c>
      <c r="DM123" s="26">
        <f t="shared" si="277"/>
        <v>4.6296296296296294E-2</v>
      </c>
      <c r="DQ123" s="84"/>
      <c r="DR123" s="85"/>
      <c r="DS123" s="25">
        <v>6</v>
      </c>
      <c r="DT123" s="26">
        <f t="shared" si="278"/>
        <v>4.6296296296296294E-2</v>
      </c>
      <c r="DU123" s="13">
        <f t="shared" ref="DU123:DZ123" si="546">$R$2</f>
        <v>600</v>
      </c>
      <c r="DV123" s="13">
        <f t="shared" si="546"/>
        <v>600</v>
      </c>
      <c r="DW123" s="13">
        <f t="shared" si="546"/>
        <v>600</v>
      </c>
      <c r="DX123" s="13">
        <f t="shared" si="546"/>
        <v>600</v>
      </c>
      <c r="DY123" s="13">
        <f t="shared" si="546"/>
        <v>600</v>
      </c>
      <c r="DZ123" s="13">
        <f t="shared" si="546"/>
        <v>600</v>
      </c>
      <c r="EA123" s="13">
        <f t="shared" ref="EA123" si="547">M123</f>
        <v>534.17552033320942</v>
      </c>
      <c r="EB123" s="13">
        <f t="shared" ref="EB123" si="548">(EA123*$L$4-BA123)/($L$3-$L$4*CM123)</f>
        <v>346.68157476949358</v>
      </c>
      <c r="EC123" s="13">
        <f t="shared" ref="EC123" si="549">(EB123*$L$4-BB123)/($L$3-$L$4*CN123)</f>
        <v>320.06013108087552</v>
      </c>
      <c r="ED123" s="13">
        <f t="shared" ref="ED123" si="550">(EC123*$L$4-BC123)/($L$3-$L$4*CO123)</f>
        <v>315.57018892339107</v>
      </c>
      <c r="EE123" s="13">
        <f t="shared" ref="EE123" si="551">(ED123*$L$4-BD123)/($L$3-$L$4*CP123)</f>
        <v>314.56522074058461</v>
      </c>
      <c r="EF123" s="13">
        <f t="shared" ref="EF123" si="552">(EE123*$L$4-BE123)/($L$3-$L$4*CQ123)</f>
        <v>314.17866737462413</v>
      </c>
      <c r="EG123" s="13">
        <f t="shared" ref="EG123" si="553">(EF123*$L$4-BF123)/($L$3-$L$4*CR123)</f>
        <v>313.96727288123856</v>
      </c>
      <c r="EH123" s="13">
        <f t="shared" ref="EH123" si="554">(EG123*$L$4-BG123)/($L$3-$L$4*CS123)</f>
        <v>313.88261261054009</v>
      </c>
      <c r="EI123" s="13">
        <f t="shared" ref="EI123" si="555">(EH123*$L$4-BH123)/($L$3-$L$4*CT123)</f>
        <v>313.93189926790507</v>
      </c>
      <c r="EJ123" s="13">
        <f t="shared" si="221"/>
        <v>314.12636564176523</v>
      </c>
      <c r="EK123" s="13">
        <f t="shared" si="222"/>
        <v>314.47391454667684</v>
      </c>
      <c r="EL123" s="13">
        <f t="shared" ref="EL123" si="556">(EK123*$L$4-BK123)/($L$3-$L$4*CW123)</f>
        <v>314.97853329421622</v>
      </c>
      <c r="EM123" s="13">
        <f t="shared" ref="EM123" si="557">(EL123*$L$4-BL123)/($L$3-$L$4*CX123)</f>
        <v>315.6404690671053</v>
      </c>
      <c r="EN123" s="13">
        <f t="shared" ref="EN123" si="558">(EM123*$L$4-BM123)/($L$3-$L$4*CY123)</f>
        <v>316.45620720800889</v>
      </c>
      <c r="EO123" s="13">
        <f t="shared" ref="EO123" si="559">(EN123*$L$4-BN123)/($L$3-$L$4*CZ123)</f>
        <v>317.41345542478973</v>
      </c>
      <c r="EP123" s="13">
        <f t="shared" ref="EP123" si="560">(EO123*$L$4-BO123)/($L$3-$L$4*DA123)</f>
        <v>318.49335122552912</v>
      </c>
      <c r="EQ123" s="13">
        <f t="shared" ref="EQ123" si="561">(EP123*$L$4-BP123)/($L$3-$L$4*DB123)</f>
        <v>319.52943633586034</v>
      </c>
      <c r="ER123" s="13">
        <f t="shared" ref="ER123" si="562">(EQ123*$L$4-BQ123)/($L$3-$L$4*DC123)</f>
        <v>320.82468630871921</v>
      </c>
      <c r="ES123" s="13">
        <f t="shared" ref="ES123" si="563">(ER123*$L$4-BR123)/($L$3-$L$4*DD123)</f>
        <v>130.40621337828679</v>
      </c>
      <c r="ET123" s="13">
        <f t="shared" ref="ET123:EY123" si="564">$R$3</f>
        <v>650</v>
      </c>
      <c r="EU123" s="13">
        <f t="shared" si="564"/>
        <v>650</v>
      </c>
      <c r="EV123" s="13">
        <f t="shared" si="564"/>
        <v>650</v>
      </c>
      <c r="EW123" s="13">
        <f t="shared" si="564"/>
        <v>650</v>
      </c>
      <c r="EX123" s="13">
        <f t="shared" si="564"/>
        <v>650</v>
      </c>
      <c r="EY123" s="13">
        <f t="shared" si="564"/>
        <v>650</v>
      </c>
      <c r="EZ123" s="25">
        <v>6</v>
      </c>
      <c r="FA123" s="26">
        <f t="shared" si="279"/>
        <v>4.6296296296296294E-2</v>
      </c>
    </row>
    <row r="124" spans="3:157" ht="15" customHeight="1" x14ac:dyDescent="0.25">
      <c r="C124" s="84"/>
      <c r="D124" s="85"/>
      <c r="E124" s="25">
        <v>5</v>
      </c>
      <c r="F124" s="26">
        <f t="shared" si="269"/>
        <v>3.7037037037037035E-2</v>
      </c>
      <c r="G124" s="13">
        <f>$R$2</f>
        <v>600</v>
      </c>
      <c r="H124" s="13">
        <f>$R$2</f>
        <v>600</v>
      </c>
      <c r="I124" s="13">
        <f>$R$2</f>
        <v>600</v>
      </c>
      <c r="J124" s="13">
        <f>$R$2</f>
        <v>600</v>
      </c>
      <c r="K124" s="13">
        <f t="shared" si="410"/>
        <v>535.02327530185983</v>
      </c>
      <c r="L124" s="13">
        <f t="shared" ref="L124" si="565">CL124*M124+DZ124</f>
        <v>531.82778337895911</v>
      </c>
      <c r="M124" s="13">
        <f t="shared" ref="M124" si="566">CM124*N124+EA124</f>
        <v>529.12739621882315</v>
      </c>
      <c r="N124" s="13">
        <f t="shared" ref="N124" si="567">CN124*O124+EB124</f>
        <v>526.91966016796698</v>
      </c>
      <c r="O124" s="13">
        <f t="shared" ref="O124" si="568">CO124*P124+EC124</f>
        <v>525.22538689047019</v>
      </c>
      <c r="P124" s="13">
        <f t="shared" ref="P124" si="569">CP124*Q124+ED124</f>
        <v>523.91851815937196</v>
      </c>
      <c r="Q124" s="13">
        <f t="shared" ref="Q124" si="570">CQ124*R124+EE124</f>
        <v>522.90780931045572</v>
      </c>
      <c r="R124" s="13">
        <f t="shared" ref="R124" si="571">CR124*S124+EF124</f>
        <v>522.17955161108875</v>
      </c>
      <c r="S124" s="13">
        <f t="shared" ref="S124" si="572">CS124*T124+EG124</f>
        <v>521.73239006573772</v>
      </c>
      <c r="T124" s="13">
        <f t="shared" ref="T124" si="573">CT124*U124+EH124</f>
        <v>521.57027194444822</v>
      </c>
      <c r="U124" s="13">
        <f t="shared" ref="U124" si="574">CU124*V124+EI124</f>
        <v>521.69814231364023</v>
      </c>
      <c r="V124" s="13">
        <f t="shared" si="181"/>
        <v>522.12050221023867</v>
      </c>
      <c r="W124" s="13">
        <f t="shared" si="181"/>
        <v>522.84069302012222</v>
      </c>
      <c r="X124" s="13">
        <f t="shared" si="181"/>
        <v>523.86065807194439</v>
      </c>
      <c r="Y124" s="13">
        <f t="shared" si="181"/>
        <v>525.18108808877878</v>
      </c>
      <c r="Z124" s="13">
        <f t="shared" si="181"/>
        <v>526.80196718635978</v>
      </c>
      <c r="AA124" s="13">
        <f t="shared" si="181"/>
        <v>528.72365781710675</v>
      </c>
      <c r="AB124" s="13">
        <f t="shared" si="181"/>
        <v>530.95014873588627</v>
      </c>
      <c r="AC124" s="13">
        <f t="shared" si="523"/>
        <v>533.49382719286928</v>
      </c>
      <c r="AD124" s="13">
        <f t="shared" si="524"/>
        <v>536.41714264459119</v>
      </c>
      <c r="AE124" s="13">
        <f t="shared" ref="AE124:AE128" si="575">DE124*AF124+ES124</f>
        <v>539.80460102030008</v>
      </c>
      <c r="AF124" s="13">
        <f t="shared" ref="AF124:AH128" si="576">DF124*AG124+ET124</f>
        <v>543.66746317362322</v>
      </c>
      <c r="AG124" s="13">
        <f t="shared" si="405"/>
        <v>547.79989912741235</v>
      </c>
      <c r="AH124" s="13">
        <f>$R$3</f>
        <v>650</v>
      </c>
      <c r="AI124" s="13">
        <f>$R$3</f>
        <v>650</v>
      </c>
      <c r="AJ124" s="13">
        <f>$R$3</f>
        <v>650</v>
      </c>
      <c r="AK124" s="13">
        <f>$R$3</f>
        <v>650</v>
      </c>
      <c r="AL124" s="25">
        <v>5</v>
      </c>
      <c r="AM124" s="26">
        <f t="shared" si="272"/>
        <v>3.7037037037037035E-2</v>
      </c>
      <c r="AP124" s="87"/>
      <c r="AQ124" s="86"/>
      <c r="AR124" s="25">
        <v>5</v>
      </c>
      <c r="AS124" s="26">
        <f t="shared" si="273"/>
        <v>3.7037037037037035E-2</v>
      </c>
      <c r="AT124" s="13">
        <f>$R$2</f>
        <v>600</v>
      </c>
      <c r="AU124" s="13">
        <f>$R$2</f>
        <v>600</v>
      </c>
      <c r="AV124" s="13">
        <f>$R$2</f>
        <v>600</v>
      </c>
      <c r="AW124" s="13">
        <f>$R$2</f>
        <v>600</v>
      </c>
      <c r="AX124" s="52"/>
      <c r="AY124" s="13">
        <f t="shared" ref="AY124" si="577">-($F$3*$F$2)/$B$8*L61</f>
        <v>-1906148353.0458601</v>
      </c>
      <c r="AZ124" s="13">
        <f t="shared" ref="AZ124" si="578">-($F$3*$F$2)/$B$8*M61</f>
        <v>-1896469522.0407186</v>
      </c>
      <c r="BA124" s="13">
        <f t="shared" ref="BA124" si="579">-($F$3*$F$2)/$B$8*N61</f>
        <v>-1888462004.8009582</v>
      </c>
      <c r="BB124" s="13">
        <f t="shared" ref="BB124" si="580">-($F$3*$F$2)/$B$8*O61</f>
        <v>-1882904833.3409173</v>
      </c>
      <c r="BC124" s="13">
        <f t="shared" ref="BC124" si="581">-($F$3*$F$2)/$B$8*P61</f>
        <v>-1878593541.243593</v>
      </c>
      <c r="BD124" s="13">
        <f t="shared" ref="BD124" si="582">-($F$3*$F$2)/$B$8*Q61</f>
        <v>-1875023872.0467806</v>
      </c>
      <c r="BE124" s="13">
        <f t="shared" ref="BE124" si="583">-($F$3*$F$2)/$B$8*R61</f>
        <v>-1872416493.1029599</v>
      </c>
      <c r="BF124" s="13">
        <f t="shared" ref="BF124" si="584">-($F$3*$F$2)/$B$8*S61</f>
        <v>-1870795735.7802532</v>
      </c>
      <c r="BG124" s="13">
        <f t="shared" ref="BG124" si="585">-($F$3*$F$2)/$B$8*T61</f>
        <v>-1870193583.3860865</v>
      </c>
      <c r="BH124" s="13">
        <f t="shared" ref="BH124" si="586">-($F$3*$F$2)/$B$8*U61</f>
        <v>-1870633747.977879</v>
      </c>
      <c r="BI124" s="13">
        <f t="shared" ref="BI124" si="587">-($F$3*$F$2)/$B$8*V61</f>
        <v>-1872135341.9493361</v>
      </c>
      <c r="BJ124" s="13">
        <f t="shared" ref="BJ124" si="588">-($F$3*$F$2)/$B$8*W61</f>
        <v>-1874711341.1945722</v>
      </c>
      <c r="BK124" s="13">
        <f t="shared" ref="BK124" si="589">-($F$3*$F$2)/$B$8*X61</f>
        <v>-1878368116.2069864</v>
      </c>
      <c r="BL124" s="13">
        <f t="shared" ref="BL124" si="590">-($F$3*$F$2)/$B$8*Y61</f>
        <v>-1883105884.8682477</v>
      </c>
      <c r="BM124" s="13">
        <f t="shared" ref="BM124" si="591">-($F$3*$F$2)/$B$8*Z61</f>
        <v>-1888920098.5173519</v>
      </c>
      <c r="BN124" s="13">
        <f t="shared" ref="BN124" si="592">-($F$3*$F$2)/$B$8*AA61</f>
        <v>-1895798611.0553243</v>
      </c>
      <c r="BO124" s="13">
        <f t="shared" ref="BO124" si="593">-($F$3*$F$2)/$B$8*AB61</f>
        <v>-1903735977.256197</v>
      </c>
      <c r="BP124" s="13">
        <f t="shared" ref="BP124" si="594">-($F$3*$F$2)/$B$8*AC61</f>
        <v>-1912604154.8097963</v>
      </c>
      <c r="BQ124" s="13">
        <f t="shared" ref="BQ124" si="595">-($F$3*$F$2)/$B$8*AD61</f>
        <v>-1922743156.103488</v>
      </c>
      <c r="BR124" s="13">
        <f t="shared" ref="BR124" si="596">-($F$3*$F$2)/$B$8*AE61</f>
        <v>-1934850736.8215132</v>
      </c>
      <c r="BS124" s="13">
        <f t="shared" ref="BS124" si="597">-($F$3*$F$2)/$B$8*AF61</f>
        <v>-1949562822.3330317</v>
      </c>
      <c r="BT124" s="52"/>
      <c r="BU124" s="13">
        <f>$R$3</f>
        <v>650</v>
      </c>
      <c r="BV124" s="13">
        <f>$R$3</f>
        <v>650</v>
      </c>
      <c r="BW124" s="13">
        <f>$R$3</f>
        <v>650</v>
      </c>
      <c r="BX124" s="13">
        <f>$R$3</f>
        <v>650</v>
      </c>
      <c r="BY124" s="25">
        <v>5</v>
      </c>
      <c r="BZ124" s="26">
        <f t="shared" si="274"/>
        <v>3.7037037037037035E-2</v>
      </c>
      <c r="CC124" s="84"/>
      <c r="CD124" s="85"/>
      <c r="CE124" s="25">
        <v>5</v>
      </c>
      <c r="CF124" s="26">
        <f t="shared" si="275"/>
        <v>3.7037037037037035E-2</v>
      </c>
      <c r="CG124" s="13">
        <f>$R$2</f>
        <v>600</v>
      </c>
      <c r="CH124" s="13">
        <f>$R$2</f>
        <v>600</v>
      </c>
      <c r="CI124" s="13">
        <f>$R$2</f>
        <v>600</v>
      </c>
      <c r="CJ124" s="13">
        <f>$R$2</f>
        <v>600</v>
      </c>
      <c r="CK124" s="13">
        <v>0</v>
      </c>
      <c r="CL124" s="13">
        <f t="shared" si="424"/>
        <v>0.34883720930232553</v>
      </c>
      <c r="CM124" s="13">
        <f t="shared" si="424"/>
        <v>0.39716748768472904</v>
      </c>
      <c r="CN124" s="13">
        <f t="shared" si="424"/>
        <v>0.40494040593779607</v>
      </c>
      <c r="CO124" s="13">
        <f t="shared" si="424"/>
        <v>0.4062190081621499</v>
      </c>
      <c r="CP124" s="13">
        <f t="shared" si="424"/>
        <v>0.40643010492156101</v>
      </c>
      <c r="CQ124" s="13">
        <f t="shared" si="424"/>
        <v>0.40646497802255066</v>
      </c>
      <c r="CR124" s="13">
        <f t="shared" si="424"/>
        <v>0.40647073962099717</v>
      </c>
      <c r="CS124" s="13">
        <f t="shared" si="424"/>
        <v>0.40647169154566137</v>
      </c>
      <c r="CT124" s="13">
        <f t="shared" si="424"/>
        <v>0.40647184882198806</v>
      </c>
      <c r="CU124" s="13">
        <f t="shared" si="424"/>
        <v>0.40647187480708435</v>
      </c>
      <c r="CV124" s="13">
        <f t="shared" si="424"/>
        <v>0.40647187910032606</v>
      </c>
      <c r="CW124" s="13">
        <f t="shared" si="424"/>
        <v>0.40647187980965277</v>
      </c>
      <c r="CX124" s="13">
        <f t="shared" si="424"/>
        <v>0.4064718799268473</v>
      </c>
      <c r="CY124" s="13">
        <f t="shared" si="424"/>
        <v>0.40647187994621015</v>
      </c>
      <c r="CZ124" s="13">
        <f t="shared" si="424"/>
        <v>0.40647187994940925</v>
      </c>
      <c r="DA124" s="13">
        <f t="shared" si="424"/>
        <v>0.40647187994993778</v>
      </c>
      <c r="DB124" s="13">
        <f t="shared" si="424"/>
        <v>0.40647187995002515</v>
      </c>
      <c r="DC124" s="13">
        <f t="shared" si="424"/>
        <v>0.40647187995003953</v>
      </c>
      <c r="DD124" s="13">
        <f t="shared" si="424"/>
        <v>0.40647187995004191</v>
      </c>
      <c r="DE124" s="13">
        <f t="shared" si="424"/>
        <v>0.40647187995004236</v>
      </c>
      <c r="DF124" s="13">
        <f t="shared" si="424"/>
        <v>0.40647187995004236</v>
      </c>
      <c r="DG124" s="13">
        <f t="shared" si="424"/>
        <v>0.40647187995004236</v>
      </c>
      <c r="DH124" s="13">
        <f>$R$3</f>
        <v>650</v>
      </c>
      <c r="DI124" s="13">
        <f>$R$3</f>
        <v>650</v>
      </c>
      <c r="DJ124" s="13">
        <f>$R$3</f>
        <v>650</v>
      </c>
      <c r="DK124" s="13">
        <f>$R$3</f>
        <v>650</v>
      </c>
      <c r="DL124" s="25">
        <v>5</v>
      </c>
      <c r="DM124" s="26">
        <f t="shared" si="277"/>
        <v>3.7037037037037035E-2</v>
      </c>
      <c r="DQ124" s="84"/>
      <c r="DR124" s="85"/>
      <c r="DS124" s="25">
        <v>5</v>
      </c>
      <c r="DT124" s="26">
        <f t="shared" si="278"/>
        <v>3.7037037037037035E-2</v>
      </c>
      <c r="DU124" s="13">
        <f>$R$2</f>
        <v>600</v>
      </c>
      <c r="DV124" s="13">
        <f>$R$2</f>
        <v>600</v>
      </c>
      <c r="DW124" s="13">
        <f>$R$2</f>
        <v>600</v>
      </c>
      <c r="DX124" s="13">
        <f>$R$2</f>
        <v>600</v>
      </c>
      <c r="DY124" s="13">
        <f t="shared" ref="DW124:DY128" si="598">K124</f>
        <v>535.02327530185983</v>
      </c>
      <c r="DZ124" s="13">
        <f t="shared" ref="DZ124" si="599">(DY124*$L$4-AY124)/($L$3-$L$4*CK124)</f>
        <v>347.248459116579</v>
      </c>
      <c r="EA124" s="13">
        <f t="shared" ref="EA124" si="600">(DZ124*$L$4-AZ124)/($L$3-$L$4*CL124)</f>
        <v>319.85203857822046</v>
      </c>
      <c r="EB124" s="13">
        <f t="shared" ref="EB124" si="601">(EA124*$L$4-BA124)/($L$3-$L$4*CM124)</f>
        <v>314.23467879170403</v>
      </c>
      <c r="EC124" s="13">
        <f t="shared" ref="EC124" si="602">(EB124*$L$4-BB124)/($L$3-$L$4*CN124)</f>
        <v>312.3997260859868</v>
      </c>
      <c r="ED124" s="13">
        <f t="shared" ref="ED124" si="603">(EC124*$L$4-BC124)/($L$3-$L$4*CO124)</f>
        <v>311.39304235701979</v>
      </c>
      <c r="EE124" s="13">
        <f t="shared" ref="EE124" si="604">(ED124*$L$4-BD124)/($L$3-$L$4*CP124)</f>
        <v>310.66010934102917</v>
      </c>
      <c r="EF124" s="13">
        <f t="shared" ref="EF124" si="605">(EE124*$L$4-BE124)/($L$3-$L$4*CQ124)</f>
        <v>310.11060113683772</v>
      </c>
      <c r="EG124" s="13">
        <f t="shared" ref="EG124" si="606">(EF124*$L$4-BF124)/($L$3-$L$4*CR124)</f>
        <v>309.72883936854726</v>
      </c>
      <c r="EH124" s="13">
        <f t="shared" ref="EH124" si="607">(EG124*$L$4-BG124)/($L$3-$L$4*CS124)</f>
        <v>309.51466351122622</v>
      </c>
      <c r="EI124" s="13">
        <f t="shared" ref="EI124" si="608">(EH124*$L$4-BH124)/($L$3-$L$4*CT124)</f>
        <v>309.47084290502812</v>
      </c>
      <c r="EJ124" s="13">
        <f t="shared" ref="EJ124" si="609">(EI124*$L$4-BI124)/($L$3-$L$4*CU124)</f>
        <v>309.60046324823287</v>
      </c>
      <c r="EK124" s="13">
        <f t="shared" ref="EK124" si="610">(EJ124*$L$4-BJ124)/($L$3-$L$4*CV124)</f>
        <v>309.90606657529719</v>
      </c>
      <c r="EL124" s="13">
        <f t="shared" ref="EL124" si="611">(EK124*$L$4-BK124)/($L$3-$L$4*CW124)</f>
        <v>310.38931389447129</v>
      </c>
      <c r="EM124" s="13">
        <f t="shared" ref="EM124" si="612">(EL124*$L$4-BL124)/($L$3-$L$4*CX124)</f>
        <v>311.05090212717744</v>
      </c>
      <c r="EN124" s="13">
        <f t="shared" ref="EN124" si="613">(EM124*$L$4-BM124)/($L$3-$L$4*CY124)</f>
        <v>311.89066801971222</v>
      </c>
      <c r="EO124" s="13">
        <f t="shared" ref="EO124" si="614">(EN124*$L$4-BN124)/($L$3-$L$4*CZ124)</f>
        <v>312.90735270073196</v>
      </c>
      <c r="EP124" s="13">
        <f t="shared" ref="EP124" si="615">(EO124*$L$4-BO124)/($L$3-$L$4*DA124)</f>
        <v>314.09990985506681</v>
      </c>
      <c r="EQ124" s="13">
        <f t="shared" ref="EQ124" si="616">(EP124*$L$4-BP124)/($L$3-$L$4*DB124)</f>
        <v>315.45534278469376</v>
      </c>
      <c r="ER124" s="13">
        <f t="shared" ref="ER124" si="617">(EQ124*$L$4-BQ124)/($L$3-$L$4*DC124)</f>
        <v>317.00175166218753</v>
      </c>
      <c r="ES124" s="13">
        <f t="shared" ref="ES124" si="618">(ER124*$L$4-BR124)/($L$3-$L$4*DD124)</f>
        <v>318.81906519644707</v>
      </c>
      <c r="ET124" s="13">
        <f t="shared" ref="ET124" si="619">(ES124*$L$4-BS124)/($L$3-$L$4*DE124)</f>
        <v>321.00220833886038</v>
      </c>
      <c r="EU124" s="13">
        <f t="shared" ref="EU124" si="620">(ET124*$L$4-BT124)/($L$3-$L$4*DF124)</f>
        <v>130.47837109161176</v>
      </c>
      <c r="EV124" s="13">
        <f>$R$3</f>
        <v>650</v>
      </c>
      <c r="EW124" s="13">
        <f>$R$3</f>
        <v>650</v>
      </c>
      <c r="EX124" s="13">
        <f>$R$3</f>
        <v>650</v>
      </c>
      <c r="EY124" s="13">
        <f>$R$3</f>
        <v>650</v>
      </c>
      <c r="EZ124" s="25">
        <v>5</v>
      </c>
      <c r="FA124" s="26">
        <f t="shared" si="279"/>
        <v>3.7037037037037035E-2</v>
      </c>
    </row>
    <row r="125" spans="3:157" ht="15" customHeight="1" x14ac:dyDescent="0.25">
      <c r="C125" s="84"/>
      <c r="D125" s="85"/>
      <c r="E125" s="25">
        <v>4</v>
      </c>
      <c r="F125" s="26">
        <f t="shared" si="269"/>
        <v>2.7777777777777776E-2</v>
      </c>
      <c r="G125" s="13">
        <f t="shared" ref="G125:I126" si="621">$R$2</f>
        <v>600</v>
      </c>
      <c r="H125" s="13">
        <f t="shared" si="621"/>
        <v>600</v>
      </c>
      <c r="I125" s="13">
        <f t="shared" si="621"/>
        <v>600</v>
      </c>
      <c r="J125" s="13">
        <f t="shared" si="410"/>
        <v>534.32159433837239</v>
      </c>
      <c r="K125" s="13">
        <f t="shared" ref="K125:K126" si="622">CK125*L125+DY125</f>
        <v>530.91425765241149</v>
      </c>
      <c r="L125" s="13">
        <f t="shared" ref="L125:L126" si="623">CL125*M125+DZ125</f>
        <v>527.8536804708931</v>
      </c>
      <c r="M125" s="13">
        <f t="shared" ref="M125:M126" si="624">CM125*N125+EA125</f>
        <v>525.1573260414425</v>
      </c>
      <c r="N125" s="13">
        <f t="shared" ref="N125:N126" si="625">CN125*O125+EB125</f>
        <v>522.80579831464502</v>
      </c>
      <c r="O125" s="13">
        <f t="shared" ref="O125:O126" si="626">CO125*P125+EC125</f>
        <v>520.81601088780678</v>
      </c>
      <c r="P125" s="13">
        <f t="shared" ref="P125:P126" si="627">CP125*Q125+ED125</f>
        <v>519.17847991880694</v>
      </c>
      <c r="Q125" s="13">
        <f t="shared" ref="Q125:Q126" si="628">CQ125*R125+EE125</f>
        <v>517.87704231726627</v>
      </c>
      <c r="R125" s="13">
        <f t="shared" ref="R125:R126" si="629">CR125*S125+EF125</f>
        <v>516.90607022882114</v>
      </c>
      <c r="S125" s="13">
        <f t="shared" ref="S125:S126" si="630">CS125*T125+EG125</f>
        <v>516.26313509479428</v>
      </c>
      <c r="T125" s="13">
        <f t="shared" ref="T125:T126" si="631">CT125*U125+EH125</f>
        <v>515.94779945503694</v>
      </c>
      <c r="U125" s="13">
        <f t="shared" ref="U125:U126" si="632">CU125*V125+EI125</f>
        <v>515.96056188439059</v>
      </c>
      <c r="V125" s="13">
        <f t="shared" si="181"/>
        <v>516.30222142113439</v>
      </c>
      <c r="W125" s="13">
        <f t="shared" si="181"/>
        <v>516.97345317473582</v>
      </c>
      <c r="X125" s="13">
        <f t="shared" si="181"/>
        <v>517.97457115369934</v>
      </c>
      <c r="Y125" s="13">
        <f t="shared" si="181"/>
        <v>519.305456282911</v>
      </c>
      <c r="Z125" s="13">
        <f t="shared" si="181"/>
        <v>520.96562917928918</v>
      </c>
      <c r="AA125" s="13">
        <f t="shared" si="181"/>
        <v>522.95444493396246</v>
      </c>
      <c r="AB125" s="13">
        <f t="shared" si="181"/>
        <v>525.27152644842158</v>
      </c>
      <c r="AC125" s="13">
        <f t="shared" si="523"/>
        <v>527.91711279451386</v>
      </c>
      <c r="AD125" s="13">
        <f t="shared" si="524"/>
        <v>530.89604209332992</v>
      </c>
      <c r="AE125" s="13">
        <f t="shared" si="575"/>
        <v>534.20293064309976</v>
      </c>
      <c r="AF125" s="13">
        <f t="shared" si="576"/>
        <v>537.8152181671162</v>
      </c>
      <c r="AG125" s="13">
        <f t="shared" si="576"/>
        <v>541.71985201016548</v>
      </c>
      <c r="AH125" s="13">
        <f t="shared" si="405"/>
        <v>545.91276007671024</v>
      </c>
      <c r="AI125" s="13">
        <f t="shared" ref="AI125:AK126" si="633">$R$3</f>
        <v>650</v>
      </c>
      <c r="AJ125" s="13">
        <f t="shared" si="633"/>
        <v>650</v>
      </c>
      <c r="AK125" s="13">
        <f t="shared" si="633"/>
        <v>650</v>
      </c>
      <c r="AL125" s="25">
        <v>4</v>
      </c>
      <c r="AM125" s="26">
        <f t="shared" si="272"/>
        <v>2.7777777777777776E-2</v>
      </c>
      <c r="AP125" s="87"/>
      <c r="AQ125" s="86"/>
      <c r="AR125" s="25">
        <v>4</v>
      </c>
      <c r="AS125" s="26">
        <f t="shared" si="273"/>
        <v>2.7777777777777776E-2</v>
      </c>
      <c r="AT125" s="13">
        <f t="shared" ref="AT125:AV126" si="634">$R$2</f>
        <v>600</v>
      </c>
      <c r="AU125" s="13">
        <f t="shared" si="634"/>
        <v>600</v>
      </c>
      <c r="AV125" s="13">
        <f t="shared" si="634"/>
        <v>600</v>
      </c>
      <c r="AW125" s="52"/>
      <c r="AX125" s="13">
        <f t="shared" ref="AX125:AX126" si="635">-($F$3*$F$2)/$B$8*K62</f>
        <v>-1903484772.1084611</v>
      </c>
      <c r="AY125" s="13">
        <f t="shared" ref="AY125" si="636">-($F$3*$F$2)/$B$8*L62</f>
        <v>-1892431123.3360047</v>
      </c>
      <c r="AZ125" s="13">
        <f t="shared" ref="AZ125" si="637">-($F$3*$F$2)/$B$8*M62</f>
        <v>-1882836903.2877119</v>
      </c>
      <c r="BA125" s="13">
        <f t="shared" ref="BA125" si="638">-($F$3*$F$2)/$B$8*N62</f>
        <v>-1874329599.5111156</v>
      </c>
      <c r="BB125" s="13">
        <f t="shared" ref="BB125" si="639">-($F$3*$F$2)/$B$8*O62</f>
        <v>-1867229505.3299997</v>
      </c>
      <c r="BC125" s="13">
        <f t="shared" ref="BC125" si="640">-($F$3*$F$2)/$B$8*P62</f>
        <v>-1861420959.407398</v>
      </c>
      <c r="BD125" s="13">
        <f t="shared" ref="BD125" si="641">-($F$3*$F$2)/$B$8*Q62</f>
        <v>-1856774700.6101353</v>
      </c>
      <c r="BE125" s="13">
        <f t="shared" ref="BE125" si="642">-($F$3*$F$2)/$B$8*R62</f>
        <v>-1853300906.9897187</v>
      </c>
      <c r="BF125" s="13">
        <f t="shared" ref="BF125" si="643">-($F$3*$F$2)/$B$8*S62</f>
        <v>-1850995866.8138461</v>
      </c>
      <c r="BG125" s="13">
        <f t="shared" ref="BG125" si="644">-($F$3*$F$2)/$B$8*T62</f>
        <v>-1849862378.4385536</v>
      </c>
      <c r="BH125" s="13">
        <f t="shared" ref="BH125" si="645">-($F$3*$F$2)/$B$8*U62</f>
        <v>-1849904862.0165973</v>
      </c>
      <c r="BI125" s="13">
        <f t="shared" si="215"/>
        <v>-1851127941.481241</v>
      </c>
      <c r="BJ125" s="13">
        <f t="shared" ref="BJ125" si="646">-($F$3*$F$2)/$B$8*W62</f>
        <v>-1853535021.0179543</v>
      </c>
      <c r="BK125" s="13">
        <f t="shared" ref="BK125" si="647">-($F$3*$F$2)/$B$8*X62</f>
        <v>-1857127525.2974448</v>
      </c>
      <c r="BL125" s="13">
        <f t="shared" ref="BL125" si="648">-($F$3*$F$2)/$B$8*Y62</f>
        <v>-1861904725.7870152</v>
      </c>
      <c r="BM125" s="13">
        <f t="shared" ref="BM125" si="649">-($F$3*$F$2)/$B$8*Z62</f>
        <v>-1867864096.0619481</v>
      </c>
      <c r="BN125" s="13">
        <f t="shared" ref="BN125" si="650">-($F$3*$F$2)/$B$8*AA62</f>
        <v>-1875001528.1775441</v>
      </c>
      <c r="BO125" s="13">
        <f t="shared" ref="BO125" si="651">-($F$3*$F$2)/$B$8*AB62</f>
        <v>-1883314226.8939755</v>
      </c>
      <c r="BP125" s="13">
        <f t="shared" ref="BP125" si="652">-($F$3*$F$2)/$B$8*AC62</f>
        <v>-1892786560.8824399</v>
      </c>
      <c r="BQ125" s="13">
        <f t="shared" ref="BQ125" si="653">-($F$3*$F$2)/$B$8*AD62</f>
        <v>-1903497247.7319181</v>
      </c>
      <c r="BR125" s="13">
        <f t="shared" ref="BR125" si="654">-($F$3*$F$2)/$B$8*AE62</f>
        <v>-1915455763.3940623</v>
      </c>
      <c r="BS125" s="13">
        <f t="shared" ref="BS125:BS126" si="655">-($F$3*$F$2)/$B$8*AF62</f>
        <v>-1928470689.0228181</v>
      </c>
      <c r="BT125" s="13">
        <f t="shared" ref="BT125:BT126" si="656">-($F$3*$F$2)/$B$8*AG62</f>
        <v>-1942497373.7272034</v>
      </c>
      <c r="BU125" s="52"/>
      <c r="BV125" s="13">
        <f t="shared" ref="BV125:BX126" si="657">$R$3</f>
        <v>650</v>
      </c>
      <c r="BW125" s="13">
        <f t="shared" si="657"/>
        <v>650</v>
      </c>
      <c r="BX125" s="13">
        <f t="shared" si="657"/>
        <v>650</v>
      </c>
      <c r="BY125" s="25">
        <v>4</v>
      </c>
      <c r="BZ125" s="26">
        <f t="shared" si="274"/>
        <v>2.7777777777777776E-2</v>
      </c>
      <c r="CC125" s="84"/>
      <c r="CD125" s="85"/>
      <c r="CE125" s="25">
        <v>4</v>
      </c>
      <c r="CF125" s="26">
        <f t="shared" si="275"/>
        <v>2.7777777777777776E-2</v>
      </c>
      <c r="CG125" s="13">
        <f t="shared" ref="CG125:CI126" si="658">$R$2</f>
        <v>600</v>
      </c>
      <c r="CH125" s="13">
        <f t="shared" si="658"/>
        <v>600</v>
      </c>
      <c r="CI125" s="13">
        <f t="shared" si="658"/>
        <v>600</v>
      </c>
      <c r="CJ125" s="13">
        <v>0</v>
      </c>
      <c r="CK125" s="13">
        <f t="shared" si="424"/>
        <v>0.34883720930232553</v>
      </c>
      <c r="CL125" s="13">
        <f t="shared" si="424"/>
        <v>0.39716748768472904</v>
      </c>
      <c r="CM125" s="13">
        <f t="shared" si="424"/>
        <v>0.40494040593779607</v>
      </c>
      <c r="CN125" s="13">
        <f t="shared" si="424"/>
        <v>0.4062190081621499</v>
      </c>
      <c r="CO125" s="13">
        <f t="shared" si="424"/>
        <v>0.40643010492156101</v>
      </c>
      <c r="CP125" s="13">
        <f t="shared" si="424"/>
        <v>0.40646497802255066</v>
      </c>
      <c r="CQ125" s="13">
        <f t="shared" si="424"/>
        <v>0.40647073962099717</v>
      </c>
      <c r="CR125" s="13">
        <f t="shared" si="424"/>
        <v>0.40647169154566137</v>
      </c>
      <c r="CS125" s="13">
        <f t="shared" si="424"/>
        <v>0.40647184882198806</v>
      </c>
      <c r="CT125" s="13">
        <f t="shared" si="424"/>
        <v>0.40647187480708435</v>
      </c>
      <c r="CU125" s="13">
        <f t="shared" si="424"/>
        <v>0.40647187910032606</v>
      </c>
      <c r="CV125" s="13">
        <f t="shared" si="424"/>
        <v>0.40647187980965277</v>
      </c>
      <c r="CW125" s="13">
        <f t="shared" si="424"/>
        <v>0.4064718799268473</v>
      </c>
      <c r="CX125" s="13">
        <f t="shared" si="424"/>
        <v>0.40647187994621015</v>
      </c>
      <c r="CY125" s="13">
        <f t="shared" si="424"/>
        <v>0.40647187994940925</v>
      </c>
      <c r="CZ125" s="13">
        <f t="shared" si="424"/>
        <v>0.40647187994993778</v>
      </c>
      <c r="DA125" s="13">
        <f t="shared" si="424"/>
        <v>0.40647187995002515</v>
      </c>
      <c r="DB125" s="13">
        <f t="shared" si="424"/>
        <v>0.40647187995003953</v>
      </c>
      <c r="DC125" s="13">
        <f t="shared" si="424"/>
        <v>0.40647187995004191</v>
      </c>
      <c r="DD125" s="13">
        <f t="shared" si="424"/>
        <v>0.40647187995004236</v>
      </c>
      <c r="DE125" s="13">
        <f t="shared" si="424"/>
        <v>0.40647187995004236</v>
      </c>
      <c r="DF125" s="13">
        <f t="shared" si="424"/>
        <v>0.40647187995004236</v>
      </c>
      <c r="DG125" s="13">
        <f t="shared" si="424"/>
        <v>0.40647187995004236</v>
      </c>
      <c r="DH125" s="13">
        <f t="shared" si="424"/>
        <v>0.40647187995004236</v>
      </c>
      <c r="DI125" s="13">
        <f t="shared" ref="DI125:DK126" si="659">$R$3</f>
        <v>650</v>
      </c>
      <c r="DJ125" s="13">
        <f t="shared" si="659"/>
        <v>650</v>
      </c>
      <c r="DK125" s="13">
        <f t="shared" si="659"/>
        <v>650</v>
      </c>
      <c r="DL125" s="25">
        <v>4</v>
      </c>
      <c r="DM125" s="26">
        <f t="shared" si="277"/>
        <v>2.7777777777777776E-2</v>
      </c>
      <c r="DQ125" s="84"/>
      <c r="DR125" s="85"/>
      <c r="DS125" s="25">
        <v>4</v>
      </c>
      <c r="DT125" s="26">
        <f t="shared" si="278"/>
        <v>2.7777777777777776E-2</v>
      </c>
      <c r="DU125" s="13">
        <f t="shared" ref="DU125:DW126" si="660">$R$2</f>
        <v>600</v>
      </c>
      <c r="DV125" s="13">
        <f t="shared" si="660"/>
        <v>600</v>
      </c>
      <c r="DW125" s="13">
        <f t="shared" si="660"/>
        <v>600</v>
      </c>
      <c r="DX125" s="13">
        <f t="shared" si="598"/>
        <v>534.32159433837239</v>
      </c>
      <c r="DY125" s="13">
        <f t="shared" ref="DY125:DY126" si="661">(DX125*$L$4-AX125)/($L$3-$L$4*CJ125)</f>
        <v>346.77925283698369</v>
      </c>
      <c r="DZ125" s="13">
        <f t="shared" ref="DZ125:DZ126" si="662">(DY125*$L$4-AY125)/($L$3-$L$4*CK125)</f>
        <v>319.27826464778332</v>
      </c>
      <c r="EA125" s="13">
        <f t="shared" ref="EA125:EA126" si="663">(DZ125*$L$4-AZ125)/($L$3-$L$4*CL125)</f>
        <v>313.45213384527665</v>
      </c>
      <c r="EB125" s="13">
        <f t="shared" ref="EB125:EB126" si="664">(EA125*$L$4-BA125)/($L$3-$L$4*CM125)</f>
        <v>311.24043493683274</v>
      </c>
      <c r="EC125" s="13">
        <f t="shared" ref="EC125:EC126" si="665">(EB125*$L$4-BB125)/($L$3-$L$4*CN125)</f>
        <v>309.80624682138949</v>
      </c>
      <c r="ED125" s="13">
        <f t="shared" ref="ED125:ED126" si="666">(EC125*$L$4-BC125)/($L$3-$L$4*CO125)</f>
        <v>308.67959929493577</v>
      </c>
      <c r="EE125" s="13">
        <f t="shared" ref="EE125:EE126" si="667">(ED125*$L$4-BD125)/($L$3-$L$4*CP125)</f>
        <v>307.76984963677421</v>
      </c>
      <c r="EF125" s="13">
        <f t="shared" ref="EF125:EF126" si="668">(EE125*$L$4-BE125)/($L$3-$L$4*CQ125)</f>
        <v>307.0597204241738</v>
      </c>
      <c r="EG125" s="13">
        <f t="shared" ref="EG125:EG126" si="669">(EF125*$L$4-BF125)/($L$3-$L$4*CR125)</f>
        <v>306.5448791546691</v>
      </c>
      <c r="EH125" s="13">
        <f t="shared" ref="EH125:EH126" si="670">(EG125*$L$4-BG125)/($L$3-$L$4*CS125)</f>
        <v>306.22434253937206</v>
      </c>
      <c r="EI125" s="13">
        <f t="shared" ref="EI125:EI126" si="671">(EH125*$L$4-BH125)/($L$3-$L$4*CT125)</f>
        <v>306.09822775966944</v>
      </c>
      <c r="EJ125" s="13">
        <f t="shared" si="221"/>
        <v>306.16705009751206</v>
      </c>
      <c r="EK125" s="13">
        <f t="shared" si="222"/>
        <v>306.43135548358919</v>
      </c>
      <c r="EL125" s="13">
        <f t="shared" ref="EL125:EL126" si="672">(EK125*$L$4-BK125)/($L$3-$L$4*CW125)</f>
        <v>306.89150607206</v>
      </c>
      <c r="EM125" s="13">
        <f t="shared" ref="EM125:EM126" si="673">(EL125*$L$4-BL125)/($L$3-$L$4*CX125)</f>
        <v>307.54757760137852</v>
      </c>
      <c r="EN125" s="13">
        <f t="shared" ref="EN125:EN126" si="674">(EM125*$L$4-BM125)/($L$3-$L$4*CY125)</f>
        <v>308.3993528188052</v>
      </c>
      <c r="EO125" s="13">
        <f t="shared" ref="EO125:EO126" si="675">(EN125*$L$4-BN125)/($L$3-$L$4*CZ125)</f>
        <v>309.44634009425317</v>
      </c>
      <c r="EP125" s="13">
        <f t="shared" ref="EP125:EP126" si="676">(EO125*$L$4-BO125)/($L$3-$L$4*DA125)</f>
        <v>310.68806515303845</v>
      </c>
      <c r="EQ125" s="13">
        <f t="shared" ref="EQ125:EQ126" si="677">(EP125*$L$4-BP125)/($L$3-$L$4*DB125)</f>
        <v>312.12280050680147</v>
      </c>
      <c r="ER125" s="13">
        <f t="shared" ref="ER125:ER126" si="678">(EQ125*$L$4-BQ125)/($L$3-$L$4*DC125)</f>
        <v>313.75757260000705</v>
      </c>
      <c r="ES125" s="13">
        <f t="shared" ref="ES125:ES126" si="679">(ER125*$L$4-BR125)/($L$3-$L$4*DD125)</f>
        <v>315.59616784896991</v>
      </c>
      <c r="ET125" s="13">
        <f t="shared" ref="ET125:ET126" si="680">(ES125*$L$4-BS125)/($L$3-$L$4*DE125)</f>
        <v>317.62133151428554</v>
      </c>
      <c r="EU125" s="13">
        <f t="shared" ref="EU125:EU126" si="681">(ET125*$L$4-BT125)/($L$3-$L$4*DF125)</f>
        <v>319.82166613306867</v>
      </c>
      <c r="EV125" s="13">
        <f t="shared" ref="EV125:EV126" si="682">(EU125*$L$4-BU125)/($L$3-$L$4*DG125)</f>
        <v>129.99851388186323</v>
      </c>
      <c r="EW125" s="13">
        <f t="shared" ref="EW125:EY126" si="683">$R$3</f>
        <v>650</v>
      </c>
      <c r="EX125" s="13">
        <f t="shared" si="683"/>
        <v>650</v>
      </c>
      <c r="EY125" s="13">
        <f t="shared" si="683"/>
        <v>650</v>
      </c>
      <c r="EZ125" s="25">
        <v>4</v>
      </c>
      <c r="FA125" s="26">
        <f t="shared" si="279"/>
        <v>2.7777777777777776E-2</v>
      </c>
    </row>
    <row r="126" spans="3:157" ht="15" customHeight="1" x14ac:dyDescent="0.25">
      <c r="C126" s="84"/>
      <c r="D126" s="85"/>
      <c r="E126" s="25">
        <v>3</v>
      </c>
      <c r="F126" s="26">
        <f t="shared" si="269"/>
        <v>1.8518518518518517E-2</v>
      </c>
      <c r="G126" s="13">
        <f t="shared" si="621"/>
        <v>600</v>
      </c>
      <c r="H126" s="13">
        <f t="shared" si="621"/>
        <v>600</v>
      </c>
      <c r="I126" s="13">
        <f t="shared" si="621"/>
        <v>600</v>
      </c>
      <c r="J126" s="13">
        <f t="shared" ref="J126" si="684">($F$5*$B$5*I63+$F$4*K63)/($F$4+$F$5*$B$5)</f>
        <v>531.84840014068413</v>
      </c>
      <c r="K126" s="13">
        <f t="shared" si="622"/>
        <v>528.29826861202537</v>
      </c>
      <c r="L126" s="13">
        <f t="shared" si="623"/>
        <v>525.09539815725782</v>
      </c>
      <c r="M126" s="13">
        <f t="shared" si="624"/>
        <v>522.24043150053831</v>
      </c>
      <c r="N126" s="13">
        <f t="shared" si="625"/>
        <v>519.73144065392808</v>
      </c>
      <c r="O126" s="13">
        <f t="shared" si="626"/>
        <v>517.572298134672</v>
      </c>
      <c r="P126" s="13">
        <f t="shared" si="627"/>
        <v>515.76302965899924</v>
      </c>
      <c r="Q126" s="13">
        <f t="shared" si="628"/>
        <v>514.30216182140839</v>
      </c>
      <c r="R126" s="13">
        <f t="shared" si="629"/>
        <v>513.18945791491296</v>
      </c>
      <c r="S126" s="13">
        <f t="shared" si="630"/>
        <v>512.42511757735122</v>
      </c>
      <c r="T126" s="13">
        <f t="shared" si="631"/>
        <v>512.0095794919747</v>
      </c>
      <c r="U126" s="13">
        <f t="shared" si="632"/>
        <v>511.9432853525559</v>
      </c>
      <c r="V126" s="13">
        <f t="shared" si="181"/>
        <v>512.22648332354174</v>
      </c>
      <c r="W126" s="13">
        <f t="shared" si="181"/>
        <v>512.85906701742056</v>
      </c>
      <c r="X126" s="13">
        <f t="shared" si="181"/>
        <v>513.84045848978963</v>
      </c>
      <c r="Y126" s="13">
        <f t="shared" si="181"/>
        <v>515.16953705567767</v>
      </c>
      <c r="Z126" s="13">
        <f t="shared" si="181"/>
        <v>516.84461064198672</v>
      </c>
      <c r="AA126" s="13">
        <f t="shared" si="181"/>
        <v>518.86342222890733</v>
      </c>
      <c r="AB126" s="13">
        <f t="shared" si="181"/>
        <v>521.2231979636415</v>
      </c>
      <c r="AC126" s="13">
        <f t="shared" si="523"/>
        <v>523.92068055614357</v>
      </c>
      <c r="AD126" s="13">
        <f t="shared" si="524"/>
        <v>526.95257786196953</v>
      </c>
      <c r="AE126" s="13">
        <f t="shared" si="575"/>
        <v>530.31351386187441</v>
      </c>
      <c r="AF126" s="13">
        <f t="shared" si="576"/>
        <v>533.99580034380153</v>
      </c>
      <c r="AG126" s="13">
        <f t="shared" si="576"/>
        <v>537.99477113458192</v>
      </c>
      <c r="AH126" s="13">
        <f t="shared" ref="AH126" si="685">($F$6*$B$5*AI63+$F$4*AG63)/($F$4+$F$6*$B$5)</f>
        <v>542.31092470850842</v>
      </c>
      <c r="AI126" s="13">
        <f t="shared" si="633"/>
        <v>650</v>
      </c>
      <c r="AJ126" s="13">
        <f t="shared" si="633"/>
        <v>650</v>
      </c>
      <c r="AK126" s="13">
        <f t="shared" si="633"/>
        <v>650</v>
      </c>
      <c r="AL126" s="25">
        <v>3</v>
      </c>
      <c r="AM126" s="26">
        <f t="shared" si="272"/>
        <v>1.8518518518518517E-2</v>
      </c>
      <c r="AP126" s="87"/>
      <c r="AQ126" s="86"/>
      <c r="AR126" s="25">
        <v>3</v>
      </c>
      <c r="AS126" s="26">
        <f t="shared" si="273"/>
        <v>1.8518518518518517E-2</v>
      </c>
      <c r="AT126" s="13">
        <f t="shared" si="634"/>
        <v>600</v>
      </c>
      <c r="AU126" s="13">
        <f t="shared" si="634"/>
        <v>600</v>
      </c>
      <c r="AV126" s="13">
        <f t="shared" si="634"/>
        <v>600</v>
      </c>
      <c r="AW126" s="52"/>
      <c r="AX126" s="13">
        <f t="shared" si="635"/>
        <v>-1894096526.934037</v>
      </c>
      <c r="AY126" s="13">
        <f t="shared" ref="AY126" si="686">-($F$3*$F$2)/$B$8*L63</f>
        <v>-1882601966.8643227</v>
      </c>
      <c r="AZ126" s="13">
        <f t="shared" ref="AZ126" si="687">-($F$3*$F$2)/$B$8*M63</f>
        <v>-1872366328.370079</v>
      </c>
      <c r="BA126" s="13">
        <f t="shared" ref="BA126" si="688">-($F$3*$F$2)/$B$8*N63</f>
        <v>-1863348036.9910486</v>
      </c>
      <c r="BB126" s="13">
        <f t="shared" ref="BB126" si="689">-($F$3*$F$2)/$B$8*O63</f>
        <v>-1855600927.1667681</v>
      </c>
      <c r="BC126" s="13">
        <f t="shared" ref="BC126" si="690">-($F$3*$F$2)/$B$8*P63</f>
        <v>-1849115371.7748296</v>
      </c>
      <c r="BD126" s="13">
        <f t="shared" ref="BD126" si="691">-($F$3*$F$2)/$B$8*Q63</f>
        <v>-1843874757.9404786</v>
      </c>
      <c r="BE126" s="13">
        <f t="shared" ref="BE126" si="692">-($F$3*$F$2)/$B$8*R63</f>
        <v>-1839881549.8233228</v>
      </c>
      <c r="BF126" s="13">
        <f t="shared" ref="BF126" si="693">-($F$3*$F$2)/$B$8*S63</f>
        <v>-1837137280.543489</v>
      </c>
      <c r="BG126" s="13">
        <f t="shared" ref="BG126" si="694">-($F$3*$F$2)/$B$8*T63</f>
        <v>-1835644501.2809405</v>
      </c>
      <c r="BH126" s="13">
        <f t="shared" ref="BH126" si="695">-($F$3*$F$2)/$B$8*U63</f>
        <v>-1835405610.507895</v>
      </c>
      <c r="BI126" s="13">
        <f t="shared" si="215"/>
        <v>-1836422165.2720909</v>
      </c>
      <c r="BJ126" s="13">
        <f t="shared" ref="BJ126" si="696">-($F$3*$F$2)/$B$8*W63</f>
        <v>-1838694268.2555561</v>
      </c>
      <c r="BK126" s="13">
        <f t="shared" ref="BK126" si="697">-($F$3*$F$2)/$B$8*X63</f>
        <v>-1842220140.4941967</v>
      </c>
      <c r="BL126" s="13">
        <f t="shared" ref="BL126" si="698">-($F$3*$F$2)/$B$8*Y63</f>
        <v>-1846995879.5712287</v>
      </c>
      <c r="BM126" s="13">
        <f t="shared" ref="BM126" si="699">-($F$3*$F$2)/$B$8*Z63</f>
        <v>-1853015387.660918</v>
      </c>
      <c r="BN126" s="13">
        <f t="shared" ref="BN126" si="700">-($F$3*$F$2)/$B$8*AA63</f>
        <v>-1860270367.385371</v>
      </c>
      <c r="BO126" s="13">
        <f t="shared" ref="BO126" si="701">-($F$3*$F$2)/$B$8*AB63</f>
        <v>-1868750727.9023867</v>
      </c>
      <c r="BP126" s="13">
        <f t="shared" ref="BP126" si="702">-($F$3*$F$2)/$B$8*AC63</f>
        <v>-1878442924.9222825</v>
      </c>
      <c r="BQ126" s="13">
        <f t="shared" ref="BQ126" si="703">-($F$3*$F$2)/$B$8*AD63</f>
        <v>-1889343629.1752598</v>
      </c>
      <c r="BR126" s="13">
        <f t="shared" ref="BR126" si="704">-($F$3*$F$2)/$B$8*AE63</f>
        <v>-1901434496.740834</v>
      </c>
      <c r="BS126" s="13">
        <f t="shared" si="655"/>
        <v>-1914665858.594908</v>
      </c>
      <c r="BT126" s="13">
        <f t="shared" si="656"/>
        <v>-1929012102.1086555</v>
      </c>
      <c r="BU126" s="52"/>
      <c r="BV126" s="13">
        <f t="shared" si="657"/>
        <v>650</v>
      </c>
      <c r="BW126" s="13">
        <f t="shared" si="657"/>
        <v>650</v>
      </c>
      <c r="BX126" s="13">
        <f t="shared" si="657"/>
        <v>650</v>
      </c>
      <c r="BY126" s="25">
        <v>3</v>
      </c>
      <c r="BZ126" s="26">
        <f t="shared" si="274"/>
        <v>1.8518518518518517E-2</v>
      </c>
      <c r="CC126" s="84"/>
      <c r="CD126" s="85"/>
      <c r="CE126" s="25">
        <v>3</v>
      </c>
      <c r="CF126" s="26">
        <f t="shared" si="275"/>
        <v>1.8518518518518517E-2</v>
      </c>
      <c r="CG126" s="13">
        <f t="shared" si="658"/>
        <v>600</v>
      </c>
      <c r="CH126" s="13">
        <f t="shared" si="658"/>
        <v>600</v>
      </c>
      <c r="CI126" s="13">
        <f t="shared" si="658"/>
        <v>600</v>
      </c>
      <c r="CJ126" s="13">
        <v>0</v>
      </c>
      <c r="CK126" s="13">
        <f t="shared" ref="CK126:DH126" si="705">$L$2/($L$3-$L$4*CJ126)</f>
        <v>0.34883720930232553</v>
      </c>
      <c r="CL126" s="13">
        <f t="shared" si="705"/>
        <v>0.39716748768472904</v>
      </c>
      <c r="CM126" s="13">
        <f t="shared" si="705"/>
        <v>0.40494040593779607</v>
      </c>
      <c r="CN126" s="13">
        <f t="shared" si="705"/>
        <v>0.4062190081621499</v>
      </c>
      <c r="CO126" s="13">
        <f t="shared" si="705"/>
        <v>0.40643010492156101</v>
      </c>
      <c r="CP126" s="13">
        <f t="shared" si="705"/>
        <v>0.40646497802255066</v>
      </c>
      <c r="CQ126" s="13">
        <f t="shared" si="705"/>
        <v>0.40647073962099717</v>
      </c>
      <c r="CR126" s="13">
        <f t="shared" si="705"/>
        <v>0.40647169154566137</v>
      </c>
      <c r="CS126" s="13">
        <f t="shared" si="705"/>
        <v>0.40647184882198806</v>
      </c>
      <c r="CT126" s="13">
        <f t="shared" si="705"/>
        <v>0.40647187480708435</v>
      </c>
      <c r="CU126" s="13">
        <f t="shared" si="705"/>
        <v>0.40647187910032606</v>
      </c>
      <c r="CV126" s="13">
        <f t="shared" si="705"/>
        <v>0.40647187980965277</v>
      </c>
      <c r="CW126" s="13">
        <f t="shared" si="705"/>
        <v>0.4064718799268473</v>
      </c>
      <c r="CX126" s="13">
        <f t="shared" si="705"/>
        <v>0.40647187994621015</v>
      </c>
      <c r="CY126" s="13">
        <f t="shared" si="705"/>
        <v>0.40647187994940925</v>
      </c>
      <c r="CZ126" s="13">
        <f t="shared" si="705"/>
        <v>0.40647187994993778</v>
      </c>
      <c r="DA126" s="13">
        <f t="shared" si="705"/>
        <v>0.40647187995002515</v>
      </c>
      <c r="DB126" s="13">
        <f t="shared" si="705"/>
        <v>0.40647187995003953</v>
      </c>
      <c r="DC126" s="13">
        <f t="shared" si="705"/>
        <v>0.40647187995004191</v>
      </c>
      <c r="DD126" s="13">
        <f t="shared" si="705"/>
        <v>0.40647187995004236</v>
      </c>
      <c r="DE126" s="13">
        <f t="shared" si="705"/>
        <v>0.40647187995004236</v>
      </c>
      <c r="DF126" s="13">
        <f t="shared" si="705"/>
        <v>0.40647187995004236</v>
      </c>
      <c r="DG126" s="13">
        <f t="shared" si="705"/>
        <v>0.40647187995004236</v>
      </c>
      <c r="DH126" s="13">
        <f t="shared" si="705"/>
        <v>0.40647187995004236</v>
      </c>
      <c r="DI126" s="13">
        <f t="shared" si="659"/>
        <v>650</v>
      </c>
      <c r="DJ126" s="13">
        <f t="shared" si="659"/>
        <v>650</v>
      </c>
      <c r="DK126" s="13">
        <f t="shared" si="659"/>
        <v>650</v>
      </c>
      <c r="DL126" s="25">
        <v>3</v>
      </c>
      <c r="DM126" s="26">
        <f t="shared" si="277"/>
        <v>1.8518518518518517E-2</v>
      </c>
      <c r="DQ126" s="84"/>
      <c r="DR126" s="85"/>
      <c r="DS126" s="25">
        <v>3</v>
      </c>
      <c r="DT126" s="26">
        <f t="shared" si="278"/>
        <v>1.8518518518518517E-2</v>
      </c>
      <c r="DU126" s="13">
        <f t="shared" si="660"/>
        <v>600</v>
      </c>
      <c r="DV126" s="13">
        <f t="shared" si="660"/>
        <v>600</v>
      </c>
      <c r="DW126" s="13">
        <f t="shared" si="660"/>
        <v>600</v>
      </c>
      <c r="DX126" s="13">
        <f t="shared" si="598"/>
        <v>531.84840014068413</v>
      </c>
      <c r="DY126" s="13">
        <f t="shared" si="661"/>
        <v>345.12545530135401</v>
      </c>
      <c r="DZ126" s="13">
        <f t="shared" si="662"/>
        <v>317.67847801080023</v>
      </c>
      <c r="EA126" s="13">
        <f t="shared" si="663"/>
        <v>311.78017094350116</v>
      </c>
      <c r="EB126" s="13">
        <f t="shared" si="664"/>
        <v>309.48373505345711</v>
      </c>
      <c r="EC126" s="13">
        <f t="shared" si="665"/>
        <v>307.95067587570276</v>
      </c>
      <c r="ED126" s="13">
        <f t="shared" si="666"/>
        <v>306.71721275731016</v>
      </c>
      <c r="EE126" s="13">
        <f t="shared" si="667"/>
        <v>305.70566329703519</v>
      </c>
      <c r="EF126" s="13">
        <f t="shared" si="668"/>
        <v>304.90315358276257</v>
      </c>
      <c r="EG126" s="13">
        <f t="shared" si="669"/>
        <v>304.30763718667959</v>
      </c>
      <c r="EH126" s="13">
        <f t="shared" si="670"/>
        <v>303.91903249982312</v>
      </c>
      <c r="EI126" s="13">
        <f t="shared" si="671"/>
        <v>303.73762415108405</v>
      </c>
      <c r="EJ126" s="13">
        <f t="shared" si="221"/>
        <v>303.76369427554613</v>
      </c>
      <c r="EK126" s="13">
        <f t="shared" si="222"/>
        <v>303.99736987260269</v>
      </c>
      <c r="EL126" s="13">
        <f t="shared" si="672"/>
        <v>304.43852827174953</v>
      </c>
      <c r="EM126" s="13">
        <f t="shared" si="673"/>
        <v>305.08673652630887</v>
      </c>
      <c r="EN126" s="13">
        <f t="shared" si="674"/>
        <v>305.94121997134448</v>
      </c>
      <c r="EO126" s="13">
        <f t="shared" si="675"/>
        <v>307.00084907906188</v>
      </c>
      <c r="EP126" s="13">
        <f t="shared" si="676"/>
        <v>308.2641739932817</v>
      </c>
      <c r="EQ126" s="13">
        <f t="shared" si="677"/>
        <v>309.72927558806799</v>
      </c>
      <c r="ER126" s="13">
        <f t="shared" si="678"/>
        <v>311.39504691962065</v>
      </c>
      <c r="ES126" s="13">
        <f t="shared" si="679"/>
        <v>313.2592370107019</v>
      </c>
      <c r="ET126" s="13">
        <f t="shared" si="680"/>
        <v>315.31605431743526</v>
      </c>
      <c r="EU126" s="13">
        <f t="shared" si="681"/>
        <v>317.56063005086861</v>
      </c>
      <c r="EV126" s="13">
        <f t="shared" si="682"/>
        <v>129.07946629489646</v>
      </c>
      <c r="EW126" s="13">
        <f t="shared" si="683"/>
        <v>650</v>
      </c>
      <c r="EX126" s="13">
        <f t="shared" si="683"/>
        <v>650</v>
      </c>
      <c r="EY126" s="13">
        <f t="shared" si="683"/>
        <v>650</v>
      </c>
      <c r="EZ126" s="25">
        <v>3</v>
      </c>
      <c r="FA126" s="26">
        <f t="shared" si="279"/>
        <v>1.8518518518518517E-2</v>
      </c>
    </row>
    <row r="127" spans="3:157" ht="15" customHeight="1" x14ac:dyDescent="0.25">
      <c r="C127" s="84"/>
      <c r="D127" s="85"/>
      <c r="E127" s="25">
        <v>2</v>
      </c>
      <c r="F127" s="26">
        <f t="shared" si="269"/>
        <v>9.2592592592592587E-3</v>
      </c>
      <c r="G127" s="13">
        <f>$R$2</f>
        <v>600</v>
      </c>
      <c r="H127" s="13">
        <f>$R$2</f>
        <v>600</v>
      </c>
      <c r="I127" s="13">
        <f t="shared" ref="I127:I128" si="706">($F$5*$B$5*H64+$F$4*J64)/($F$4+$F$5*$B$5)</f>
        <v>533.79876967059022</v>
      </c>
      <c r="J127" s="13">
        <f t="shared" ref="J127:J128" si="707">CJ127*K127+DX127</f>
        <v>530.20619367507265</v>
      </c>
      <c r="K127" s="13">
        <f t="shared" ref="K127:K128" si="708">CK127*L127+DY127</f>
        <v>526.82610396858911</v>
      </c>
      <c r="L127" s="13">
        <f t="shared" ref="L127:L128" si="709">CL127*M127+DZ127</f>
        <v>523.7099735126817</v>
      </c>
      <c r="M127" s="13">
        <f t="shared" ref="M127:M128" si="710">CM127*N127+EA127</f>
        <v>520.88486101984972</v>
      </c>
      <c r="N127" s="13">
        <f t="shared" ref="N127:N128" si="711">CN127*O127+EB127</f>
        <v>518.37071736727296</v>
      </c>
      <c r="O127" s="13">
        <f t="shared" ref="O127:O128" si="712">CO127*P127+EC127</f>
        <v>516.18228708858953</v>
      </c>
      <c r="P127" s="13">
        <f t="shared" ref="P127:P128" si="713">CP127*Q127+ED127</f>
        <v>514.32975161248555</v>
      </c>
      <c r="Q127" s="13">
        <f t="shared" ref="Q127:Q128" si="714">CQ127*R127+EE127</f>
        <v>512.82011920641298</v>
      </c>
      <c r="R127" s="13">
        <f t="shared" ref="R127:R128" si="715">CR127*S127+EF127</f>
        <v>511.6584864927521</v>
      </c>
      <c r="S127" s="13">
        <f t="shared" ref="S127:S128" si="716">CS127*T127+EG127</f>
        <v>510.84849709406308</v>
      </c>
      <c r="T127" s="13">
        <f t="shared" ref="T127:T128" si="717">CT127*U127+EH127</f>
        <v>510.3926736539579</v>
      </c>
      <c r="U127" s="13">
        <f t="shared" ref="U127:U128" si="718">CU127*V127+EI127</f>
        <v>510.29259775188274</v>
      </c>
      <c r="V127" s="13">
        <f t="shared" si="181"/>
        <v>510.54899376448918</v>
      </c>
      <c r="W127" s="13">
        <f t="shared" si="181"/>
        <v>511.16174719600542</v>
      </c>
      <c r="X127" s="13">
        <f t="shared" si="181"/>
        <v>512.12987853256584</v>
      </c>
      <c r="Y127" s="13">
        <f t="shared" si="181"/>
        <v>513.45148305047985</v>
      </c>
      <c r="Z127" s="13">
        <f t="shared" si="181"/>
        <v>515.12363753646127</v>
      </c>
      <c r="AA127" s="13">
        <f t="shared" si="181"/>
        <v>517.14226602321901</v>
      </c>
      <c r="AB127" s="13">
        <f t="shared" si="181"/>
        <v>519.501950170398</v>
      </c>
      <c r="AC127" s="13">
        <f t="shared" si="523"/>
        <v>522.19565119328274</v>
      </c>
      <c r="AD127" s="13">
        <f t="shared" si="524"/>
        <v>525.21436576807173</v>
      </c>
      <c r="AE127" s="13">
        <f t="shared" si="575"/>
        <v>528.54625168645089</v>
      </c>
      <c r="AF127" s="13">
        <f t="shared" si="576"/>
        <v>532.17591441851289</v>
      </c>
      <c r="AG127" s="13">
        <f t="shared" si="576"/>
        <v>536.08346785845811</v>
      </c>
      <c r="AH127" s="13">
        <f t="shared" si="576"/>
        <v>540.24487970222424</v>
      </c>
      <c r="AI127" s="13">
        <f t="shared" ref="AI127:AI128" si="719">($F$6*$B$5*AJ64+$F$4*AH64)/($F$4+$F$6*$B$5)</f>
        <v>544.60181067630401</v>
      </c>
      <c r="AJ127" s="13">
        <f>$R$3</f>
        <v>650</v>
      </c>
      <c r="AK127" s="13">
        <f>$R$3</f>
        <v>650</v>
      </c>
      <c r="AL127" s="25">
        <v>2</v>
      </c>
      <c r="AM127" s="26">
        <f t="shared" si="272"/>
        <v>9.2592592592592587E-3</v>
      </c>
      <c r="AP127" s="87"/>
      <c r="AQ127" s="86"/>
      <c r="AR127" s="25">
        <v>2</v>
      </c>
      <c r="AS127" s="26">
        <f t="shared" si="273"/>
        <v>9.2592592592592587E-3</v>
      </c>
      <c r="AT127" s="13">
        <f>$R$2</f>
        <v>600</v>
      </c>
      <c r="AU127" s="13">
        <f>$R$2</f>
        <v>600</v>
      </c>
      <c r="AV127" s="52"/>
      <c r="AW127" s="13">
        <f t="shared" ref="AW127" si="720">-($F$3*$F$2)/$B$8*J64</f>
        <v>-1901500129.6695607</v>
      </c>
      <c r="AX127" s="13">
        <f t="shared" ref="AX127" si="721">-($F$3*$F$2)/$B$8*K64</f>
        <v>-1889159269.7419121</v>
      </c>
      <c r="AY127" s="13">
        <f t="shared" ref="AY127" si="722">-($F$3*$F$2)/$B$8*L64</f>
        <v>-1877866570.5963693</v>
      </c>
      <c r="AZ127" s="13">
        <f t="shared" ref="AZ127" si="723">-($F$3*$F$2)/$B$8*M64</f>
        <v>-1867647470.3405652</v>
      </c>
      <c r="BA127" s="13">
        <f t="shared" ref="BA127" si="724">-($F$3*$F$2)/$B$8*N64</f>
        <v>-1858565680.5458574</v>
      </c>
      <c r="BB127" s="13">
        <f t="shared" ref="BB127" si="725">-($F$3*$F$2)/$B$8*O64</f>
        <v>-1850671441.5911801</v>
      </c>
      <c r="BC127" s="13">
        <f t="shared" ref="BC127" si="726">-($F$3*$F$2)/$B$8*P64</f>
        <v>-1843995530.0756674</v>
      </c>
      <c r="BD127" s="13">
        <f t="shared" ref="BD127" si="727">-($F$3*$F$2)/$B$8*Q64</f>
        <v>-1838557868.9860253</v>
      </c>
      <c r="BE127" s="13">
        <f t="shared" ref="BE127" si="728">-($F$3*$F$2)/$B$8*R64</f>
        <v>-1834374846.2120111</v>
      </c>
      <c r="BF127" s="13">
        <f t="shared" ref="BF127" si="729">-($F$3*$F$2)/$B$8*S64</f>
        <v>-1831458160.504961</v>
      </c>
      <c r="BG127" s="13">
        <f t="shared" ref="BG127" si="730">-($F$3*$F$2)/$B$8*T64</f>
        <v>-1829816118.2629566</v>
      </c>
      <c r="BH127" s="13">
        <f t="shared" ref="BH127" si="731">-($F$3*$F$2)/$B$8*U64</f>
        <v>-1829454047.006974</v>
      </c>
      <c r="BI127" s="13">
        <f t="shared" ref="BI127" si="732">-($F$3*$F$2)/$B$8*V64</f>
        <v>-1830374469.9127007</v>
      </c>
      <c r="BJ127" s="13">
        <f t="shared" ref="BJ127" si="733">-($F$3*$F$2)/$B$8*W64</f>
        <v>-1832577084.4123847</v>
      </c>
      <c r="BK127" s="13">
        <f t="shared" ref="BK127" si="734">-($F$3*$F$2)/$B$8*X64</f>
        <v>-1836058625.204042</v>
      </c>
      <c r="BL127" s="13">
        <f t="shared" ref="BL127" si="735">-($F$3*$F$2)/$B$8*Y64</f>
        <v>-1840812644.3173227</v>
      </c>
      <c r="BM127" s="13">
        <f t="shared" ref="BM127" si="736">-($F$3*$F$2)/$B$8*Z64</f>
        <v>-1846829209.1176093</v>
      </c>
      <c r="BN127" s="13">
        <f t="shared" ref="BN127" si="737">-($F$3*$F$2)/$B$8*AA64</f>
        <v>-1854094480.0571659</v>
      </c>
      <c r="BO127" s="13">
        <f t="shared" ref="BO127" si="738">-($F$3*$F$2)/$B$8*AB64</f>
        <v>-1862590167.3459659</v>
      </c>
      <c r="BP127" s="13">
        <f t="shared" ref="BP127" si="739">-($F$3*$F$2)/$B$8*AC64</f>
        <v>-1872292440.376615</v>
      </c>
      <c r="BQ127" s="13">
        <f t="shared" ref="BQ127" si="740">-($F$3*$F$2)/$B$8*AD64</f>
        <v>-1883172615.0133789</v>
      </c>
      <c r="BR127" s="13">
        <f t="shared" ref="BR127" si="741">-($F$3*$F$2)/$B$8*AE64</f>
        <v>-1895191155.0423391</v>
      </c>
      <c r="BS127" s="13">
        <f t="shared" ref="BS127" si="742">-($F$3*$F$2)/$B$8*AF64</f>
        <v>-1908296713.4029887</v>
      </c>
      <c r="BT127" s="13">
        <f t="shared" ref="BT127" si="743">-($F$3*$F$2)/$B$8*AG64</f>
        <v>-1922416508.88433</v>
      </c>
      <c r="BU127" s="13">
        <f t="shared" ref="BU127" si="744">-($F$3*$F$2)/$B$8*AH64</f>
        <v>-1937589179.1720822</v>
      </c>
      <c r="BV127" s="52"/>
      <c r="BW127" s="13">
        <f>$R$3</f>
        <v>650</v>
      </c>
      <c r="BX127" s="13">
        <f>$R$3</f>
        <v>650</v>
      </c>
      <c r="BY127" s="25">
        <v>2</v>
      </c>
      <c r="BZ127" s="26">
        <f t="shared" si="274"/>
        <v>9.2592592592592587E-3</v>
      </c>
      <c r="CC127" s="84"/>
      <c r="CD127" s="85"/>
      <c r="CE127" s="25">
        <v>2</v>
      </c>
      <c r="CF127" s="26">
        <f t="shared" si="275"/>
        <v>9.2592592592592587E-3</v>
      </c>
      <c r="CG127" s="13">
        <f>$R$2</f>
        <v>600</v>
      </c>
      <c r="CH127" s="13">
        <f>$R$2</f>
        <v>600</v>
      </c>
      <c r="CI127" s="13">
        <v>0</v>
      </c>
      <c r="CJ127" s="13">
        <f t="shared" ref="CJ127:CT128" si="745">$L$2/($L$3-$L$4*CI127)</f>
        <v>0.34883720930232553</v>
      </c>
      <c r="CK127" s="13">
        <f t="shared" si="745"/>
        <v>0.39716748768472904</v>
      </c>
      <c r="CL127" s="13">
        <f t="shared" si="745"/>
        <v>0.40494040593779607</v>
      </c>
      <c r="CM127" s="13">
        <f t="shared" si="745"/>
        <v>0.4062190081621499</v>
      </c>
      <c r="CN127" s="13">
        <f t="shared" si="745"/>
        <v>0.40643010492156101</v>
      </c>
      <c r="CO127" s="13">
        <f t="shared" si="745"/>
        <v>0.40646497802255066</v>
      </c>
      <c r="CP127" s="13">
        <f t="shared" si="745"/>
        <v>0.40647073962099717</v>
      </c>
      <c r="CQ127" s="13">
        <f t="shared" si="745"/>
        <v>0.40647169154566137</v>
      </c>
      <c r="CR127" s="13">
        <f t="shared" si="745"/>
        <v>0.40647184882198806</v>
      </c>
      <c r="CS127" s="13">
        <f t="shared" si="745"/>
        <v>0.40647187480708435</v>
      </c>
      <c r="CT127" s="13">
        <f t="shared" si="745"/>
        <v>0.40647187910032606</v>
      </c>
      <c r="CU127" s="13">
        <f t="shared" ref="CU127:DI128" si="746">$L$2/($L$3-$L$4*CT127)</f>
        <v>0.40647187980965277</v>
      </c>
      <c r="CV127" s="13">
        <f t="shared" si="746"/>
        <v>0.4064718799268473</v>
      </c>
      <c r="CW127" s="13">
        <f t="shared" si="746"/>
        <v>0.40647187994621015</v>
      </c>
      <c r="CX127" s="13">
        <f t="shared" si="746"/>
        <v>0.40647187994940925</v>
      </c>
      <c r="CY127" s="13">
        <f t="shared" si="746"/>
        <v>0.40647187994993778</v>
      </c>
      <c r="CZ127" s="13">
        <f t="shared" si="746"/>
        <v>0.40647187995002515</v>
      </c>
      <c r="DA127" s="13">
        <f t="shared" si="746"/>
        <v>0.40647187995003953</v>
      </c>
      <c r="DB127" s="13">
        <f t="shared" si="746"/>
        <v>0.40647187995004191</v>
      </c>
      <c r="DC127" s="13">
        <f t="shared" si="746"/>
        <v>0.40647187995004236</v>
      </c>
      <c r="DD127" s="13">
        <f t="shared" si="746"/>
        <v>0.40647187995004236</v>
      </c>
      <c r="DE127" s="13">
        <f t="shared" si="746"/>
        <v>0.40647187995004236</v>
      </c>
      <c r="DF127" s="13">
        <f t="shared" si="746"/>
        <v>0.40647187995004236</v>
      </c>
      <c r="DG127" s="13">
        <f t="shared" si="746"/>
        <v>0.40647187995004236</v>
      </c>
      <c r="DH127" s="13">
        <f t="shared" si="746"/>
        <v>0.40647187995004236</v>
      </c>
      <c r="DI127" s="13">
        <f t="shared" si="746"/>
        <v>0.40647187995004236</v>
      </c>
      <c r="DJ127" s="13">
        <f>$R$3</f>
        <v>650</v>
      </c>
      <c r="DK127" s="13">
        <f>$R$3</f>
        <v>650</v>
      </c>
      <c r="DL127" s="25">
        <v>2</v>
      </c>
      <c r="DM127" s="26">
        <f t="shared" si="277"/>
        <v>9.2592592592592587E-3</v>
      </c>
      <c r="DQ127" s="84"/>
      <c r="DR127" s="85"/>
      <c r="DS127" s="25">
        <v>2</v>
      </c>
      <c r="DT127" s="26">
        <f t="shared" si="278"/>
        <v>9.2592592592592587E-3</v>
      </c>
      <c r="DU127" s="13">
        <f>$R$2</f>
        <v>600</v>
      </c>
      <c r="DV127" s="13">
        <f>$R$2</f>
        <v>600</v>
      </c>
      <c r="DW127" s="13">
        <f t="shared" si="598"/>
        <v>533.79876967059022</v>
      </c>
      <c r="DX127" s="13">
        <f t="shared" ref="DX127" si="747">(DW127*$L$4-AW127)/($L$3-$L$4*CI127)</f>
        <v>346.42964577905326</v>
      </c>
      <c r="DY127" s="13">
        <f t="shared" ref="DY127" si="748">(DX127*$L$4-AX127)/($L$3-$L$4*CJ127)</f>
        <v>318.82552951312135</v>
      </c>
      <c r="DZ127" s="13">
        <f t="shared" ref="DZ127" si="749">(DY127*$L$4-AY127)/($L$3-$L$4*CK127)</f>
        <v>312.78264644445125</v>
      </c>
      <c r="EA127" s="13">
        <f t="shared" ref="EA127" si="750">(DZ127*$L$4-AZ127)/($L$3-$L$4*CL127)</f>
        <v>310.312822350614</v>
      </c>
      <c r="EB127" s="13">
        <f t="shared" ref="EB127" si="751">(EA127*$L$4-BA127)/($L$3-$L$4*CM127)</f>
        <v>308.57869626720623</v>
      </c>
      <c r="EC127" s="13">
        <f t="shared" ref="EC127" si="752">(EB127*$L$4-BB127)/($L$3-$L$4*CN127)</f>
        <v>307.12525590307666</v>
      </c>
      <c r="ED127" s="13">
        <f t="shared" ref="ED127" si="753">(EC127*$L$4-BC127)/($L$3-$L$4*CO127)</f>
        <v>305.88337846612689</v>
      </c>
      <c r="EE127" s="13">
        <f t="shared" ref="EE127" si="754">(ED127*$L$4-BD127)/($L$3-$L$4*CP127)</f>
        <v>304.84542870801107</v>
      </c>
      <c r="EF127" s="13">
        <f t="shared" ref="EF127" si="755">(EE127*$L$4-BE127)/($L$3-$L$4*CQ127)</f>
        <v>304.01295341099427</v>
      </c>
      <c r="EG127" s="13">
        <f t="shared" ref="EG127" si="756">(EF127*$L$4-BF127)/($L$3-$L$4*CR127)</f>
        <v>303.38823014613843</v>
      </c>
      <c r="EH127" s="13">
        <f t="shared" ref="EH127" si="757">(EG127*$L$4-BG127)/($L$3-$L$4*CS127)</f>
        <v>302.97308255476332</v>
      </c>
      <c r="EI127" s="13">
        <f t="shared" ref="EI127" si="758">(EH127*$L$4-BH127)/($L$3-$L$4*CT127)</f>
        <v>302.76878852150412</v>
      </c>
      <c r="EJ127" s="13">
        <f t="shared" ref="EJ127" si="759">(EI127*$L$4-BI127)/($L$3-$L$4*CU127)</f>
        <v>302.77611743503695</v>
      </c>
      <c r="EK127" s="13">
        <f t="shared" ref="EK127" si="760">(EJ127*$L$4-BJ127)/($L$3-$L$4*CV127)</f>
        <v>302.99535269224913</v>
      </c>
      <c r="EL127" s="13">
        <f t="shared" ref="EL127:EL128" si="761">(EK127*$L$4-BK127)/($L$3-$L$4*CW127)</f>
        <v>303.42628895422502</v>
      </c>
      <c r="EM127" s="13">
        <f t="shared" ref="EM127:EM128" si="762">(EL127*$L$4-BL127)/($L$3-$L$4*CX127)</f>
        <v>304.06820969438411</v>
      </c>
      <c r="EN127" s="13">
        <f t="shared" ref="EN127:EN128" si="763">(EM127*$L$4-BM127)/($L$3-$L$4*CY127)</f>
        <v>304.91984846438748</v>
      </c>
      <c r="EO127" s="13">
        <f t="shared" ref="EO127:EO128" si="764">(EN127*$L$4-BN127)/($L$3-$L$4*CZ127)</f>
        <v>305.97933169974556</v>
      </c>
      <c r="EP127" s="13">
        <f t="shared" ref="EP127:EP128" si="765">(EO127*$L$4-BO127)/($L$3-$L$4*DA127)</f>
        <v>307.24410212812796</v>
      </c>
      <c r="EQ127" s="13">
        <f t="shared" ref="EQ127:EQ128" si="766">(EP127*$L$4-BP127)/($L$3-$L$4*DB127)</f>
        <v>308.71078056276548</v>
      </c>
      <c r="ER127" s="13">
        <f t="shared" ref="ER127:ER128" si="767">(EQ127*$L$4-BQ127)/($L$3-$L$4*DC127)</f>
        <v>310.37517720453184</v>
      </c>
      <c r="ES127" s="13">
        <f t="shared" ref="ES127:ES128" si="768">(ER127*$L$4-BR127)/($L$3-$L$4*DD127)</f>
        <v>312.2317072886251</v>
      </c>
      <c r="ET127" s="13">
        <f t="shared" ref="ET127:ET128" si="769">(ES127*$L$4-BS127)/($L$3-$L$4*DE127)</f>
        <v>314.27305942794732</v>
      </c>
      <c r="EU127" s="13">
        <f t="shared" ref="EU127:EU128" si="770">(ET127*$L$4-BT127)/($L$3-$L$4*DF127)</f>
        <v>316.4891159725106</v>
      </c>
      <c r="EV127" s="13">
        <f t="shared" ref="EV127:EV128" si="771">(EU127*$L$4-BU127)/($L$3-$L$4*DG127)</f>
        <v>318.87955789242989</v>
      </c>
      <c r="EW127" s="13">
        <f t="shared" ref="EW127:EW128" si="772">(EV127*$L$4-BV127)/($L$3-$L$4*DH127)</f>
        <v>129.61557337417435</v>
      </c>
      <c r="EX127" s="13">
        <f>$R$3</f>
        <v>650</v>
      </c>
      <c r="EY127" s="13">
        <f>$R$3</f>
        <v>650</v>
      </c>
      <c r="EZ127" s="25">
        <v>2</v>
      </c>
      <c r="FA127" s="26">
        <f t="shared" si="279"/>
        <v>9.2592592592592587E-3</v>
      </c>
    </row>
    <row r="128" spans="3:157" ht="15" customHeight="1" x14ac:dyDescent="0.25">
      <c r="C128" s="84"/>
      <c r="D128" s="85"/>
      <c r="E128" s="25">
        <v>1</v>
      </c>
      <c r="F128" s="26">
        <v>0</v>
      </c>
      <c r="G128" s="13">
        <f>$R$2</f>
        <v>600</v>
      </c>
      <c r="H128" s="13">
        <f>$R$2</f>
        <v>600</v>
      </c>
      <c r="I128" s="13">
        <f t="shared" si="706"/>
        <v>533.79876967059022</v>
      </c>
      <c r="J128" s="13">
        <f t="shared" si="707"/>
        <v>530.20619367507265</v>
      </c>
      <c r="K128" s="13">
        <f t="shared" si="708"/>
        <v>526.82610396858911</v>
      </c>
      <c r="L128" s="13">
        <f t="shared" si="709"/>
        <v>523.7099735126817</v>
      </c>
      <c r="M128" s="13">
        <f t="shared" si="710"/>
        <v>520.88486101984972</v>
      </c>
      <c r="N128" s="13">
        <f t="shared" si="711"/>
        <v>518.37071736727296</v>
      </c>
      <c r="O128" s="13">
        <f t="shared" si="712"/>
        <v>516.18228708858953</v>
      </c>
      <c r="P128" s="13">
        <f t="shared" si="713"/>
        <v>514.32975161248555</v>
      </c>
      <c r="Q128" s="13">
        <f t="shared" si="714"/>
        <v>512.82011920641298</v>
      </c>
      <c r="R128" s="13">
        <f t="shared" si="715"/>
        <v>511.6584864927521</v>
      </c>
      <c r="S128" s="13">
        <f t="shared" si="716"/>
        <v>510.84849709406308</v>
      </c>
      <c r="T128" s="13">
        <f t="shared" si="717"/>
        <v>510.3926736539579</v>
      </c>
      <c r="U128" s="13">
        <f t="shared" si="718"/>
        <v>510.29259775188274</v>
      </c>
      <c r="V128" s="13">
        <f t="shared" si="181"/>
        <v>510.54899376448918</v>
      </c>
      <c r="W128" s="13">
        <f t="shared" si="181"/>
        <v>511.16174719600542</v>
      </c>
      <c r="X128" s="13">
        <f t="shared" si="181"/>
        <v>512.12987853256584</v>
      </c>
      <c r="Y128" s="13">
        <f t="shared" si="181"/>
        <v>513.45148305047985</v>
      </c>
      <c r="Z128" s="13">
        <f t="shared" si="181"/>
        <v>515.12363753646127</v>
      </c>
      <c r="AA128" s="13">
        <f t="shared" si="181"/>
        <v>517.14226602321901</v>
      </c>
      <c r="AB128" s="13">
        <f t="shared" si="181"/>
        <v>519.501950170398</v>
      </c>
      <c r="AC128" s="13">
        <f t="shared" si="523"/>
        <v>522.19565119328274</v>
      </c>
      <c r="AD128" s="13">
        <f t="shared" si="524"/>
        <v>525.21436576807173</v>
      </c>
      <c r="AE128" s="13">
        <f t="shared" si="575"/>
        <v>528.54625168645077</v>
      </c>
      <c r="AF128" s="13">
        <f t="shared" si="576"/>
        <v>532.17591441851289</v>
      </c>
      <c r="AG128" s="13">
        <f t="shared" si="576"/>
        <v>536.08346785845811</v>
      </c>
      <c r="AH128" s="13">
        <f t="shared" si="576"/>
        <v>540.24487970222424</v>
      </c>
      <c r="AI128" s="13">
        <f t="shared" si="719"/>
        <v>544.60181067630401</v>
      </c>
      <c r="AJ128" s="13">
        <f>$R$3</f>
        <v>650</v>
      </c>
      <c r="AK128" s="13">
        <f>$R$3</f>
        <v>650</v>
      </c>
      <c r="AL128" s="25">
        <v>1</v>
      </c>
      <c r="AM128" s="26">
        <v>0</v>
      </c>
      <c r="AP128" s="87"/>
      <c r="AQ128" s="86"/>
      <c r="AR128" s="25">
        <v>1</v>
      </c>
      <c r="AS128" s="26">
        <v>0</v>
      </c>
      <c r="AT128" s="13">
        <f>$R$2</f>
        <v>600</v>
      </c>
      <c r="AU128" s="13">
        <f>$R$2</f>
        <v>600</v>
      </c>
      <c r="AV128" s="52"/>
      <c r="AW128" s="13">
        <f t="shared" ref="AW128" si="773">-($F$3*$F$2)/$B$8*J65</f>
        <v>-1901500129.6695607</v>
      </c>
      <c r="AX128" s="13">
        <f t="shared" ref="AX128" si="774">-($F$3*$F$2)/$B$8*K65</f>
        <v>-1889159269.7419119</v>
      </c>
      <c r="AY128" s="13">
        <f t="shared" ref="AY128" si="775">-($F$3*$F$2)/$B$8*L65</f>
        <v>-1877866570.596369</v>
      </c>
      <c r="AZ128" s="13">
        <f t="shared" ref="AZ128" si="776">-($F$3*$F$2)/$B$8*M65</f>
        <v>-1867647470.3405647</v>
      </c>
      <c r="BA128" s="13">
        <f t="shared" ref="BA128" si="777">-($F$3*$F$2)/$B$8*N65</f>
        <v>-1858565680.5458574</v>
      </c>
      <c r="BB128" s="13">
        <f t="shared" ref="BB128" si="778">-($F$3*$F$2)/$B$8*O65</f>
        <v>-1850671441.5911801</v>
      </c>
      <c r="BC128" s="13">
        <f t="shared" ref="BC128" si="779">-($F$3*$F$2)/$B$8*P65</f>
        <v>-1843995530.0756674</v>
      </c>
      <c r="BD128" s="13">
        <f t="shared" ref="BD128" si="780">-($F$3*$F$2)/$B$8*Q65</f>
        <v>-1838557868.9860253</v>
      </c>
      <c r="BE128" s="13">
        <f t="shared" ref="BE128" si="781">-($F$3*$F$2)/$B$8*R65</f>
        <v>-1834374846.2120111</v>
      </c>
      <c r="BF128" s="13">
        <f t="shared" ref="BF128" si="782">-($F$3*$F$2)/$B$8*S65</f>
        <v>-1831458160.504961</v>
      </c>
      <c r="BG128" s="13">
        <f t="shared" ref="BG128" si="783">-($F$3*$F$2)/$B$8*T65</f>
        <v>-1829816118.2629564</v>
      </c>
      <c r="BH128" s="13">
        <f t="shared" ref="BH128" si="784">-($F$3*$F$2)/$B$8*U65</f>
        <v>-1829454047.006974</v>
      </c>
      <c r="BI128" s="13">
        <f t="shared" si="215"/>
        <v>-1830374469.9127007</v>
      </c>
      <c r="BJ128" s="13">
        <f t="shared" ref="BJ128" si="785">-($F$3*$F$2)/$B$8*W65</f>
        <v>-1832577084.4123847</v>
      </c>
      <c r="BK128" s="13">
        <f t="shared" ref="BK128" si="786">-($F$3*$F$2)/$B$8*X65</f>
        <v>-1836058625.204042</v>
      </c>
      <c r="BL128" s="13">
        <f t="shared" ref="BL128" si="787">-($F$3*$F$2)/$B$8*Y65</f>
        <v>-1840812644.3173227</v>
      </c>
      <c r="BM128" s="13">
        <f t="shared" ref="BM128" si="788">-($F$3*$F$2)/$B$8*Z65</f>
        <v>-1846829209.1176093</v>
      </c>
      <c r="BN128" s="13">
        <f t="shared" ref="BN128" si="789">-($F$3*$F$2)/$B$8*AA65</f>
        <v>-1854094480.0571659</v>
      </c>
      <c r="BO128" s="13">
        <f t="shared" ref="BO128" si="790">-($F$3*$F$2)/$B$8*AB65</f>
        <v>-1862590167.3459659</v>
      </c>
      <c r="BP128" s="13">
        <f t="shared" ref="BP128" si="791">-($F$3*$F$2)/$B$8*AC65</f>
        <v>-1872292440.376615</v>
      </c>
      <c r="BQ128" s="13">
        <f t="shared" ref="BQ128" si="792">-($F$3*$F$2)/$B$8*AD65</f>
        <v>-1883172615.0133789</v>
      </c>
      <c r="BR128" s="13">
        <f t="shared" ref="BR128" si="793">-($F$3*$F$2)/$B$8*AE65</f>
        <v>-1895191155.0423386</v>
      </c>
      <c r="BS128" s="13">
        <f t="shared" ref="BS128" si="794">-($F$3*$F$2)/$B$8*AF65</f>
        <v>-1908296713.4029887</v>
      </c>
      <c r="BT128" s="13">
        <f t="shared" ref="BT128" si="795">-($F$3*$F$2)/$B$8*AG65</f>
        <v>-1922416508.88433</v>
      </c>
      <c r="BU128" s="13">
        <f t="shared" ref="BU128" si="796">-($F$3*$F$2)/$B$8*AH65</f>
        <v>-1937589179.1720822</v>
      </c>
      <c r="BV128" s="52"/>
      <c r="BW128" s="13">
        <f>$R$3</f>
        <v>650</v>
      </c>
      <c r="BX128" s="13">
        <f>$R$3</f>
        <v>650</v>
      </c>
      <c r="BY128" s="25">
        <v>1</v>
      </c>
      <c r="BZ128" s="26">
        <v>0</v>
      </c>
      <c r="CC128" s="84"/>
      <c r="CD128" s="85"/>
      <c r="CE128" s="25">
        <v>1</v>
      </c>
      <c r="CF128" s="26">
        <v>0</v>
      </c>
      <c r="CG128" s="13">
        <f>$R$2</f>
        <v>600</v>
      </c>
      <c r="CH128" s="13">
        <f>$R$2</f>
        <v>600</v>
      </c>
      <c r="CI128" s="13">
        <v>0</v>
      </c>
      <c r="CJ128" s="13">
        <f t="shared" si="745"/>
        <v>0.34883720930232553</v>
      </c>
      <c r="CK128" s="13">
        <f t="shared" si="745"/>
        <v>0.39716748768472904</v>
      </c>
      <c r="CL128" s="13">
        <f t="shared" si="745"/>
        <v>0.40494040593779607</v>
      </c>
      <c r="CM128" s="13">
        <f t="shared" si="745"/>
        <v>0.4062190081621499</v>
      </c>
      <c r="CN128" s="13">
        <f t="shared" si="745"/>
        <v>0.40643010492156101</v>
      </c>
      <c r="CO128" s="13">
        <f t="shared" si="745"/>
        <v>0.40646497802255066</v>
      </c>
      <c r="CP128" s="13">
        <f t="shared" si="745"/>
        <v>0.40647073962099717</v>
      </c>
      <c r="CQ128" s="13">
        <f t="shared" si="745"/>
        <v>0.40647169154566137</v>
      </c>
      <c r="CR128" s="13">
        <f t="shared" si="745"/>
        <v>0.40647184882198806</v>
      </c>
      <c r="CS128" s="13">
        <f t="shared" si="745"/>
        <v>0.40647187480708435</v>
      </c>
      <c r="CT128" s="13">
        <f t="shared" si="745"/>
        <v>0.40647187910032606</v>
      </c>
      <c r="CU128" s="13">
        <f t="shared" si="746"/>
        <v>0.40647187980965277</v>
      </c>
      <c r="CV128" s="13">
        <f t="shared" si="746"/>
        <v>0.4064718799268473</v>
      </c>
      <c r="CW128" s="13">
        <f t="shared" si="746"/>
        <v>0.40647187994621015</v>
      </c>
      <c r="CX128" s="13">
        <f t="shared" si="746"/>
        <v>0.40647187994940925</v>
      </c>
      <c r="CY128" s="13">
        <f t="shared" si="746"/>
        <v>0.40647187994993778</v>
      </c>
      <c r="CZ128" s="13">
        <f t="shared" si="746"/>
        <v>0.40647187995002515</v>
      </c>
      <c r="DA128" s="13">
        <f t="shared" si="746"/>
        <v>0.40647187995003953</v>
      </c>
      <c r="DB128" s="13">
        <f t="shared" si="746"/>
        <v>0.40647187995004191</v>
      </c>
      <c r="DC128" s="13">
        <f t="shared" si="746"/>
        <v>0.40647187995004236</v>
      </c>
      <c r="DD128" s="13">
        <f t="shared" si="746"/>
        <v>0.40647187995004236</v>
      </c>
      <c r="DE128" s="13">
        <f t="shared" si="746"/>
        <v>0.40647187995004236</v>
      </c>
      <c r="DF128" s="13">
        <f t="shared" si="746"/>
        <v>0.40647187995004236</v>
      </c>
      <c r="DG128" s="13">
        <f t="shared" si="746"/>
        <v>0.40647187995004236</v>
      </c>
      <c r="DH128" s="13">
        <f t="shared" si="746"/>
        <v>0.40647187995004236</v>
      </c>
      <c r="DI128" s="13">
        <f t="shared" si="746"/>
        <v>0.40647187995004236</v>
      </c>
      <c r="DJ128" s="13">
        <f>$R$3</f>
        <v>650</v>
      </c>
      <c r="DK128" s="13">
        <f>$R$3</f>
        <v>650</v>
      </c>
      <c r="DL128" s="25">
        <v>1</v>
      </c>
      <c r="DM128" s="26">
        <v>0</v>
      </c>
      <c r="DQ128" s="84"/>
      <c r="DR128" s="85"/>
      <c r="DS128" s="25">
        <v>1</v>
      </c>
      <c r="DT128" s="26">
        <v>0</v>
      </c>
      <c r="DU128" s="13">
        <f>$R$2</f>
        <v>600</v>
      </c>
      <c r="DV128" s="13">
        <f>$R$2</f>
        <v>600</v>
      </c>
      <c r="DW128" s="13">
        <f t="shared" si="598"/>
        <v>533.79876967059022</v>
      </c>
      <c r="DX128" s="13">
        <f t="shared" ref="DX128:DY128" si="797">(DW128*$L$4-AW128)/($L$3-$L$4*CI128)</f>
        <v>346.42964577905326</v>
      </c>
      <c r="DY128" s="13">
        <f t="shared" si="797"/>
        <v>318.8255295131213</v>
      </c>
      <c r="DZ128" s="13">
        <f t="shared" ref="DZ128" si="798">(DY128*$L$4-AY128)/($L$3-$L$4*CK128)</f>
        <v>312.78264644445125</v>
      </c>
      <c r="EA128" s="13">
        <f t="shared" ref="EA128" si="799">(DZ128*$L$4-AZ128)/($L$3-$L$4*CL128)</f>
        <v>310.31282235061394</v>
      </c>
      <c r="EB128" s="13">
        <f t="shared" ref="EB128" si="800">(EA128*$L$4-BA128)/($L$3-$L$4*CM128)</f>
        <v>308.57869626720623</v>
      </c>
      <c r="EC128" s="13">
        <f t="shared" ref="EC128" si="801">(EB128*$L$4-BB128)/($L$3-$L$4*CN128)</f>
        <v>307.12525590307666</v>
      </c>
      <c r="ED128" s="13">
        <f t="shared" ref="ED128" si="802">(EC128*$L$4-BC128)/($L$3-$L$4*CO128)</f>
        <v>305.88337846612689</v>
      </c>
      <c r="EE128" s="13">
        <f t="shared" ref="EE128" si="803">(ED128*$L$4-BD128)/($L$3-$L$4*CP128)</f>
        <v>304.84542870801107</v>
      </c>
      <c r="EF128" s="13">
        <f t="shared" ref="EF128" si="804">(EE128*$L$4-BE128)/($L$3-$L$4*CQ128)</f>
        <v>304.01295341099427</v>
      </c>
      <c r="EG128" s="13">
        <f t="shared" ref="EG128" si="805">(EF128*$L$4-BF128)/($L$3-$L$4*CR128)</f>
        <v>303.38823014613843</v>
      </c>
      <c r="EH128" s="13">
        <f t="shared" ref="EH128" si="806">(EG128*$L$4-BG128)/($L$3-$L$4*CS128)</f>
        <v>302.97308255476332</v>
      </c>
      <c r="EI128" s="13">
        <f t="shared" ref="EI128" si="807">(EH128*$L$4-BH128)/($L$3-$L$4*CT128)</f>
        <v>302.76878852150412</v>
      </c>
      <c r="EJ128" s="13">
        <f t="shared" si="221"/>
        <v>302.77611743503695</v>
      </c>
      <c r="EK128" s="13">
        <f t="shared" si="222"/>
        <v>302.99535269224913</v>
      </c>
      <c r="EL128" s="13">
        <f t="shared" si="761"/>
        <v>303.42628895422502</v>
      </c>
      <c r="EM128" s="13">
        <f t="shared" si="762"/>
        <v>304.06820969438411</v>
      </c>
      <c r="EN128" s="13">
        <f t="shared" si="763"/>
        <v>304.91984846438748</v>
      </c>
      <c r="EO128" s="13">
        <f t="shared" si="764"/>
        <v>305.97933169974556</v>
      </c>
      <c r="EP128" s="13">
        <f t="shared" si="765"/>
        <v>307.24410212812796</v>
      </c>
      <c r="EQ128" s="13">
        <f t="shared" si="766"/>
        <v>308.71078056276548</v>
      </c>
      <c r="ER128" s="13">
        <f t="shared" si="767"/>
        <v>310.37517720453184</v>
      </c>
      <c r="ES128" s="13">
        <f t="shared" si="768"/>
        <v>312.23170728862499</v>
      </c>
      <c r="ET128" s="13">
        <f t="shared" si="769"/>
        <v>314.27305942794732</v>
      </c>
      <c r="EU128" s="13">
        <f t="shared" si="770"/>
        <v>316.4891159725106</v>
      </c>
      <c r="EV128" s="13">
        <f t="shared" si="771"/>
        <v>318.87955789242989</v>
      </c>
      <c r="EW128" s="13">
        <f t="shared" si="772"/>
        <v>129.61557337417435</v>
      </c>
      <c r="EX128" s="13">
        <f>$R$3</f>
        <v>650</v>
      </c>
      <c r="EY128" s="13">
        <f>$R$3</f>
        <v>650</v>
      </c>
      <c r="EZ128" s="25">
        <v>1</v>
      </c>
      <c r="FA128" s="26">
        <v>0</v>
      </c>
    </row>
    <row r="129" spans="3:157" ht="15" customHeight="1" x14ac:dyDescent="0.25">
      <c r="C129" s="84"/>
      <c r="D129" s="85"/>
      <c r="E129" s="32"/>
      <c r="F129" s="29"/>
      <c r="G129" s="25">
        <v>0</v>
      </c>
      <c r="H129" s="26">
        <f t="shared" ref="H129:AK129" si="808">$B$5*(H130-1)</f>
        <v>3.3333333333333335E-3</v>
      </c>
      <c r="I129" s="26">
        <f t="shared" si="808"/>
        <v>6.6666666666666671E-3</v>
      </c>
      <c r="J129" s="26">
        <f t="shared" si="808"/>
        <v>0.01</v>
      </c>
      <c r="K129" s="26">
        <f t="shared" si="808"/>
        <v>1.3333333333333334E-2</v>
      </c>
      <c r="L129" s="26">
        <f t="shared" si="808"/>
        <v>1.6666666666666666E-2</v>
      </c>
      <c r="M129" s="26">
        <f t="shared" si="808"/>
        <v>0.02</v>
      </c>
      <c r="N129" s="26">
        <f t="shared" si="808"/>
        <v>2.3333333333333334E-2</v>
      </c>
      <c r="O129" s="26">
        <f t="shared" si="808"/>
        <v>2.6666666666666668E-2</v>
      </c>
      <c r="P129" s="26">
        <f t="shared" si="808"/>
        <v>3.0000000000000002E-2</v>
      </c>
      <c r="Q129" s="26">
        <f t="shared" si="808"/>
        <v>3.3333333333333333E-2</v>
      </c>
      <c r="R129" s="26">
        <f t="shared" si="808"/>
        <v>3.6666666666666667E-2</v>
      </c>
      <c r="S129" s="26">
        <f t="shared" si="808"/>
        <v>0.04</v>
      </c>
      <c r="T129" s="26">
        <f t="shared" si="808"/>
        <v>4.3333333333333335E-2</v>
      </c>
      <c r="U129" s="26">
        <f t="shared" si="808"/>
        <v>4.6666666666666669E-2</v>
      </c>
      <c r="V129" s="26">
        <f t="shared" si="808"/>
        <v>0.05</v>
      </c>
      <c r="W129" s="26">
        <f t="shared" si="808"/>
        <v>5.3333333333333337E-2</v>
      </c>
      <c r="X129" s="26">
        <f t="shared" si="808"/>
        <v>5.6666666666666671E-2</v>
      </c>
      <c r="Y129" s="26">
        <f t="shared" si="808"/>
        <v>6.0000000000000005E-2</v>
      </c>
      <c r="Z129" s="26">
        <f t="shared" si="808"/>
        <v>6.3333333333333339E-2</v>
      </c>
      <c r="AA129" s="26">
        <f t="shared" si="808"/>
        <v>6.6666666666666666E-2</v>
      </c>
      <c r="AB129" s="26">
        <f t="shared" si="808"/>
        <v>7.0000000000000007E-2</v>
      </c>
      <c r="AC129" s="26">
        <f t="shared" si="808"/>
        <v>7.3333333333333334E-2</v>
      </c>
      <c r="AD129" s="26">
        <f t="shared" si="808"/>
        <v>7.6666666666666675E-2</v>
      </c>
      <c r="AE129" s="26">
        <f t="shared" si="808"/>
        <v>0.08</v>
      </c>
      <c r="AF129" s="26">
        <f t="shared" si="808"/>
        <v>8.3333333333333343E-2</v>
      </c>
      <c r="AG129" s="26">
        <f t="shared" si="808"/>
        <v>8.666666666666667E-2</v>
      </c>
      <c r="AH129" s="26">
        <f t="shared" si="808"/>
        <v>9.0000000000000011E-2</v>
      </c>
      <c r="AI129" s="26">
        <f t="shared" si="808"/>
        <v>9.3333333333333338E-2</v>
      </c>
      <c r="AJ129" s="26">
        <f t="shared" si="808"/>
        <v>9.6666666666666679E-2</v>
      </c>
      <c r="AK129" s="26">
        <f t="shared" si="808"/>
        <v>0.1</v>
      </c>
      <c r="AL129" s="24"/>
      <c r="AM129" s="29"/>
      <c r="AP129" s="87"/>
      <c r="AQ129" s="86"/>
      <c r="AR129" s="32"/>
      <c r="AS129" s="29"/>
      <c r="AT129" s="25">
        <v>0</v>
      </c>
      <c r="AU129" s="26">
        <f t="shared" ref="AU129:BX129" si="809">$B$5*(AU130-1)</f>
        <v>3.3333333333333335E-3</v>
      </c>
      <c r="AV129" s="26">
        <f t="shared" si="809"/>
        <v>6.6666666666666671E-3</v>
      </c>
      <c r="AW129" s="26">
        <f t="shared" si="809"/>
        <v>0.01</v>
      </c>
      <c r="AX129" s="26">
        <f t="shared" si="809"/>
        <v>1.3333333333333334E-2</v>
      </c>
      <c r="AY129" s="26">
        <f t="shared" si="809"/>
        <v>1.6666666666666666E-2</v>
      </c>
      <c r="AZ129" s="26">
        <f t="shared" si="809"/>
        <v>0.02</v>
      </c>
      <c r="BA129" s="26">
        <f t="shared" si="809"/>
        <v>2.3333333333333334E-2</v>
      </c>
      <c r="BB129" s="26">
        <f t="shared" si="809"/>
        <v>2.6666666666666668E-2</v>
      </c>
      <c r="BC129" s="26">
        <f t="shared" si="809"/>
        <v>3.0000000000000002E-2</v>
      </c>
      <c r="BD129" s="26">
        <f t="shared" si="809"/>
        <v>3.3333333333333333E-2</v>
      </c>
      <c r="BE129" s="26">
        <f t="shared" si="809"/>
        <v>3.6666666666666667E-2</v>
      </c>
      <c r="BF129" s="26">
        <f t="shared" si="809"/>
        <v>0.04</v>
      </c>
      <c r="BG129" s="26">
        <f t="shared" si="809"/>
        <v>4.3333333333333335E-2</v>
      </c>
      <c r="BH129" s="26">
        <f t="shared" si="809"/>
        <v>4.6666666666666669E-2</v>
      </c>
      <c r="BI129" s="26">
        <f t="shared" si="809"/>
        <v>0.05</v>
      </c>
      <c r="BJ129" s="26">
        <f t="shared" si="809"/>
        <v>5.3333333333333337E-2</v>
      </c>
      <c r="BK129" s="26">
        <f t="shared" si="809"/>
        <v>5.6666666666666671E-2</v>
      </c>
      <c r="BL129" s="26">
        <f t="shared" si="809"/>
        <v>6.0000000000000005E-2</v>
      </c>
      <c r="BM129" s="26">
        <f t="shared" si="809"/>
        <v>6.3333333333333339E-2</v>
      </c>
      <c r="BN129" s="26">
        <f t="shared" si="809"/>
        <v>6.6666666666666666E-2</v>
      </c>
      <c r="BO129" s="26">
        <f t="shared" si="809"/>
        <v>7.0000000000000007E-2</v>
      </c>
      <c r="BP129" s="26">
        <f t="shared" si="809"/>
        <v>7.3333333333333334E-2</v>
      </c>
      <c r="BQ129" s="26">
        <f t="shared" si="809"/>
        <v>7.6666666666666675E-2</v>
      </c>
      <c r="BR129" s="26">
        <f t="shared" si="809"/>
        <v>0.08</v>
      </c>
      <c r="BS129" s="26">
        <f t="shared" si="809"/>
        <v>8.3333333333333343E-2</v>
      </c>
      <c r="BT129" s="26">
        <f t="shared" si="809"/>
        <v>8.666666666666667E-2</v>
      </c>
      <c r="BU129" s="26">
        <f t="shared" si="809"/>
        <v>9.0000000000000011E-2</v>
      </c>
      <c r="BV129" s="26">
        <f t="shared" si="809"/>
        <v>9.3333333333333338E-2</v>
      </c>
      <c r="BW129" s="26">
        <f t="shared" si="809"/>
        <v>9.6666666666666679E-2</v>
      </c>
      <c r="BX129" s="26">
        <f t="shared" si="809"/>
        <v>0.1</v>
      </c>
      <c r="BY129" s="24"/>
      <c r="BZ129" s="29"/>
      <c r="CC129" s="84"/>
      <c r="CD129" s="85"/>
      <c r="CE129" s="32"/>
      <c r="CF129" s="29"/>
      <c r="CG129" s="25">
        <v>0</v>
      </c>
      <c r="CH129" s="26">
        <f t="shared" ref="CH129:DK129" si="810">$B$5*(CH130-1)</f>
        <v>3.3333333333333335E-3</v>
      </c>
      <c r="CI129" s="26">
        <f t="shared" si="810"/>
        <v>6.6666666666666671E-3</v>
      </c>
      <c r="CJ129" s="26">
        <f t="shared" si="810"/>
        <v>0.01</v>
      </c>
      <c r="CK129" s="26">
        <f t="shared" si="810"/>
        <v>1.3333333333333334E-2</v>
      </c>
      <c r="CL129" s="26">
        <f t="shared" si="810"/>
        <v>1.6666666666666666E-2</v>
      </c>
      <c r="CM129" s="26">
        <f t="shared" si="810"/>
        <v>0.02</v>
      </c>
      <c r="CN129" s="26">
        <f t="shared" si="810"/>
        <v>2.3333333333333334E-2</v>
      </c>
      <c r="CO129" s="26">
        <f t="shared" si="810"/>
        <v>2.6666666666666668E-2</v>
      </c>
      <c r="CP129" s="26">
        <f t="shared" si="810"/>
        <v>3.0000000000000002E-2</v>
      </c>
      <c r="CQ129" s="26">
        <f t="shared" si="810"/>
        <v>3.3333333333333333E-2</v>
      </c>
      <c r="CR129" s="26">
        <f t="shared" si="810"/>
        <v>3.6666666666666667E-2</v>
      </c>
      <c r="CS129" s="26">
        <f t="shared" si="810"/>
        <v>0.04</v>
      </c>
      <c r="CT129" s="26">
        <f t="shared" si="810"/>
        <v>4.3333333333333335E-2</v>
      </c>
      <c r="CU129" s="26">
        <f t="shared" si="810"/>
        <v>4.6666666666666669E-2</v>
      </c>
      <c r="CV129" s="26">
        <f t="shared" si="810"/>
        <v>0.05</v>
      </c>
      <c r="CW129" s="26">
        <f t="shared" si="810"/>
        <v>5.3333333333333337E-2</v>
      </c>
      <c r="CX129" s="26">
        <f t="shared" si="810"/>
        <v>5.6666666666666671E-2</v>
      </c>
      <c r="CY129" s="26">
        <f t="shared" si="810"/>
        <v>6.0000000000000005E-2</v>
      </c>
      <c r="CZ129" s="26">
        <f t="shared" si="810"/>
        <v>6.3333333333333339E-2</v>
      </c>
      <c r="DA129" s="26">
        <f t="shared" si="810"/>
        <v>6.6666666666666666E-2</v>
      </c>
      <c r="DB129" s="26">
        <f t="shared" si="810"/>
        <v>7.0000000000000007E-2</v>
      </c>
      <c r="DC129" s="26">
        <f t="shared" si="810"/>
        <v>7.3333333333333334E-2</v>
      </c>
      <c r="DD129" s="26">
        <f t="shared" si="810"/>
        <v>7.6666666666666675E-2</v>
      </c>
      <c r="DE129" s="26">
        <f t="shared" si="810"/>
        <v>0.08</v>
      </c>
      <c r="DF129" s="26">
        <f t="shared" si="810"/>
        <v>8.3333333333333343E-2</v>
      </c>
      <c r="DG129" s="26">
        <f t="shared" si="810"/>
        <v>8.666666666666667E-2</v>
      </c>
      <c r="DH129" s="26">
        <f t="shared" si="810"/>
        <v>9.0000000000000011E-2</v>
      </c>
      <c r="DI129" s="26">
        <f t="shared" si="810"/>
        <v>9.3333333333333338E-2</v>
      </c>
      <c r="DJ129" s="26">
        <f t="shared" si="810"/>
        <v>9.6666666666666679E-2</v>
      </c>
      <c r="DK129" s="26">
        <f t="shared" si="810"/>
        <v>0.1</v>
      </c>
      <c r="DL129" s="24"/>
      <c r="DM129" s="29"/>
      <c r="DQ129" s="84"/>
      <c r="DR129" s="85"/>
      <c r="DS129" s="32"/>
      <c r="DT129" s="29"/>
      <c r="DU129" s="25">
        <v>0</v>
      </c>
      <c r="DV129" s="26">
        <f t="shared" ref="DV129:EY129" si="811">$B$5*(DV130-1)</f>
        <v>3.3333333333333335E-3</v>
      </c>
      <c r="DW129" s="26">
        <f t="shared" si="811"/>
        <v>6.6666666666666671E-3</v>
      </c>
      <c r="DX129" s="26">
        <f t="shared" si="811"/>
        <v>0.01</v>
      </c>
      <c r="DY129" s="26">
        <f t="shared" si="811"/>
        <v>1.3333333333333334E-2</v>
      </c>
      <c r="DZ129" s="26">
        <f t="shared" si="811"/>
        <v>1.6666666666666666E-2</v>
      </c>
      <c r="EA129" s="26">
        <f t="shared" si="811"/>
        <v>0.02</v>
      </c>
      <c r="EB129" s="26">
        <f t="shared" si="811"/>
        <v>2.3333333333333334E-2</v>
      </c>
      <c r="EC129" s="26">
        <f t="shared" si="811"/>
        <v>2.6666666666666668E-2</v>
      </c>
      <c r="ED129" s="26">
        <f t="shared" si="811"/>
        <v>3.0000000000000002E-2</v>
      </c>
      <c r="EE129" s="26">
        <f t="shared" si="811"/>
        <v>3.3333333333333333E-2</v>
      </c>
      <c r="EF129" s="26">
        <f t="shared" si="811"/>
        <v>3.6666666666666667E-2</v>
      </c>
      <c r="EG129" s="26">
        <f t="shared" si="811"/>
        <v>0.04</v>
      </c>
      <c r="EH129" s="26">
        <f t="shared" si="811"/>
        <v>4.3333333333333335E-2</v>
      </c>
      <c r="EI129" s="26">
        <f t="shared" si="811"/>
        <v>4.6666666666666669E-2</v>
      </c>
      <c r="EJ129" s="26">
        <f t="shared" si="811"/>
        <v>0.05</v>
      </c>
      <c r="EK129" s="26">
        <f t="shared" si="811"/>
        <v>5.3333333333333337E-2</v>
      </c>
      <c r="EL129" s="26">
        <f t="shared" si="811"/>
        <v>5.6666666666666671E-2</v>
      </c>
      <c r="EM129" s="26">
        <f t="shared" si="811"/>
        <v>6.0000000000000005E-2</v>
      </c>
      <c r="EN129" s="26">
        <f t="shared" si="811"/>
        <v>6.3333333333333339E-2</v>
      </c>
      <c r="EO129" s="26">
        <f t="shared" si="811"/>
        <v>6.6666666666666666E-2</v>
      </c>
      <c r="EP129" s="26">
        <f t="shared" si="811"/>
        <v>7.0000000000000007E-2</v>
      </c>
      <c r="EQ129" s="26">
        <f t="shared" si="811"/>
        <v>7.3333333333333334E-2</v>
      </c>
      <c r="ER129" s="26">
        <f t="shared" si="811"/>
        <v>7.6666666666666675E-2</v>
      </c>
      <c r="ES129" s="26">
        <f t="shared" si="811"/>
        <v>0.08</v>
      </c>
      <c r="ET129" s="26">
        <f t="shared" si="811"/>
        <v>8.3333333333333343E-2</v>
      </c>
      <c r="EU129" s="26">
        <f t="shared" si="811"/>
        <v>8.666666666666667E-2</v>
      </c>
      <c r="EV129" s="26">
        <f t="shared" si="811"/>
        <v>9.0000000000000011E-2</v>
      </c>
      <c r="EW129" s="26">
        <f t="shared" si="811"/>
        <v>9.3333333333333338E-2</v>
      </c>
      <c r="EX129" s="26">
        <f t="shared" si="811"/>
        <v>9.6666666666666679E-2</v>
      </c>
      <c r="EY129" s="26">
        <f t="shared" si="811"/>
        <v>0.1</v>
      </c>
      <c r="EZ129" s="24"/>
      <c r="FA129" s="29"/>
    </row>
    <row r="130" spans="3:157" ht="15" customHeight="1" x14ac:dyDescent="0.25">
      <c r="C130" s="84"/>
      <c r="D130" s="85"/>
      <c r="E130" s="33"/>
      <c r="F130" s="30"/>
      <c r="G130" s="44">
        <v>1</v>
      </c>
      <c r="H130" s="44">
        <v>2</v>
      </c>
      <c r="I130" s="44">
        <v>3</v>
      </c>
      <c r="J130" s="44">
        <v>4</v>
      </c>
      <c r="K130" s="44">
        <v>5</v>
      </c>
      <c r="L130" s="44">
        <v>6</v>
      </c>
      <c r="M130" s="44">
        <v>7</v>
      </c>
      <c r="N130" s="44">
        <v>8</v>
      </c>
      <c r="O130" s="44">
        <v>9</v>
      </c>
      <c r="P130" s="44">
        <v>10</v>
      </c>
      <c r="Q130" s="44">
        <v>11</v>
      </c>
      <c r="R130" s="44">
        <v>12</v>
      </c>
      <c r="S130" s="44">
        <v>13</v>
      </c>
      <c r="T130" s="44">
        <v>14</v>
      </c>
      <c r="U130" s="44">
        <v>15</v>
      </c>
      <c r="V130" s="44">
        <v>16</v>
      </c>
      <c r="W130" s="44">
        <v>17</v>
      </c>
      <c r="X130" s="44">
        <v>18</v>
      </c>
      <c r="Y130" s="44">
        <v>19</v>
      </c>
      <c r="Z130" s="44">
        <v>20</v>
      </c>
      <c r="AA130" s="44">
        <v>21</v>
      </c>
      <c r="AB130" s="44">
        <v>22</v>
      </c>
      <c r="AC130" s="44">
        <v>23</v>
      </c>
      <c r="AD130" s="44">
        <v>24</v>
      </c>
      <c r="AE130" s="44">
        <v>25</v>
      </c>
      <c r="AF130" s="44">
        <v>26</v>
      </c>
      <c r="AG130" s="44">
        <v>27</v>
      </c>
      <c r="AH130" s="44">
        <v>28</v>
      </c>
      <c r="AI130" s="44">
        <v>29</v>
      </c>
      <c r="AJ130" s="44">
        <v>30</v>
      </c>
      <c r="AK130" s="44">
        <v>31</v>
      </c>
      <c r="AL130" s="34"/>
      <c r="AM130" s="30"/>
      <c r="AP130" s="87"/>
      <c r="AQ130" s="86"/>
      <c r="AR130" s="33"/>
      <c r="AS130" s="30"/>
      <c r="AT130" s="44">
        <v>1</v>
      </c>
      <c r="AU130" s="44">
        <v>2</v>
      </c>
      <c r="AV130" s="44">
        <v>3</v>
      </c>
      <c r="AW130" s="44">
        <v>4</v>
      </c>
      <c r="AX130" s="44">
        <v>5</v>
      </c>
      <c r="AY130" s="44">
        <v>6</v>
      </c>
      <c r="AZ130" s="44">
        <v>7</v>
      </c>
      <c r="BA130" s="44">
        <v>8</v>
      </c>
      <c r="BB130" s="44">
        <v>9</v>
      </c>
      <c r="BC130" s="44">
        <v>10</v>
      </c>
      <c r="BD130" s="44">
        <v>11</v>
      </c>
      <c r="BE130" s="44">
        <v>12</v>
      </c>
      <c r="BF130" s="44">
        <v>13</v>
      </c>
      <c r="BG130" s="44">
        <v>14</v>
      </c>
      <c r="BH130" s="44">
        <v>15</v>
      </c>
      <c r="BI130" s="44">
        <v>16</v>
      </c>
      <c r="BJ130" s="44">
        <v>17</v>
      </c>
      <c r="BK130" s="44">
        <v>18</v>
      </c>
      <c r="BL130" s="44">
        <v>19</v>
      </c>
      <c r="BM130" s="44">
        <v>20</v>
      </c>
      <c r="BN130" s="44">
        <v>21</v>
      </c>
      <c r="BO130" s="44">
        <v>22</v>
      </c>
      <c r="BP130" s="44">
        <v>23</v>
      </c>
      <c r="BQ130" s="44">
        <v>24</v>
      </c>
      <c r="BR130" s="44">
        <v>25</v>
      </c>
      <c r="BS130" s="44">
        <v>26</v>
      </c>
      <c r="BT130" s="44">
        <v>27</v>
      </c>
      <c r="BU130" s="44">
        <v>28</v>
      </c>
      <c r="BV130" s="44">
        <v>29</v>
      </c>
      <c r="BW130" s="44">
        <v>30</v>
      </c>
      <c r="BX130" s="44">
        <v>31</v>
      </c>
      <c r="BY130" s="34"/>
      <c r="BZ130" s="30"/>
      <c r="CC130" s="84"/>
      <c r="CD130" s="85"/>
      <c r="CE130" s="33"/>
      <c r="CF130" s="30"/>
      <c r="CG130" s="44">
        <v>1</v>
      </c>
      <c r="CH130" s="44">
        <v>2</v>
      </c>
      <c r="CI130" s="44">
        <v>3</v>
      </c>
      <c r="CJ130" s="44">
        <v>4</v>
      </c>
      <c r="CK130" s="44">
        <v>5</v>
      </c>
      <c r="CL130" s="44">
        <v>6</v>
      </c>
      <c r="CM130" s="44">
        <v>7</v>
      </c>
      <c r="CN130" s="44">
        <v>8</v>
      </c>
      <c r="CO130" s="44">
        <v>9</v>
      </c>
      <c r="CP130" s="44">
        <v>10</v>
      </c>
      <c r="CQ130" s="44">
        <v>11</v>
      </c>
      <c r="CR130" s="44">
        <v>12</v>
      </c>
      <c r="CS130" s="44">
        <v>13</v>
      </c>
      <c r="CT130" s="44">
        <v>14</v>
      </c>
      <c r="CU130" s="44">
        <v>15</v>
      </c>
      <c r="CV130" s="44">
        <v>16</v>
      </c>
      <c r="CW130" s="44">
        <v>17</v>
      </c>
      <c r="CX130" s="44">
        <v>18</v>
      </c>
      <c r="CY130" s="44">
        <v>19</v>
      </c>
      <c r="CZ130" s="44">
        <v>20</v>
      </c>
      <c r="DA130" s="44">
        <v>21</v>
      </c>
      <c r="DB130" s="44">
        <v>22</v>
      </c>
      <c r="DC130" s="44">
        <v>23</v>
      </c>
      <c r="DD130" s="44">
        <v>24</v>
      </c>
      <c r="DE130" s="44">
        <v>25</v>
      </c>
      <c r="DF130" s="44">
        <v>26</v>
      </c>
      <c r="DG130" s="44">
        <v>27</v>
      </c>
      <c r="DH130" s="44">
        <v>28</v>
      </c>
      <c r="DI130" s="44">
        <v>29</v>
      </c>
      <c r="DJ130" s="44">
        <v>30</v>
      </c>
      <c r="DK130" s="44">
        <v>31</v>
      </c>
      <c r="DL130" s="34"/>
      <c r="DM130" s="30"/>
      <c r="DQ130" s="84"/>
      <c r="DR130" s="85"/>
      <c r="DS130" s="33"/>
      <c r="DT130" s="30"/>
      <c r="DU130" s="44">
        <v>1</v>
      </c>
      <c r="DV130" s="44">
        <v>2</v>
      </c>
      <c r="DW130" s="44">
        <v>3</v>
      </c>
      <c r="DX130" s="44">
        <v>4</v>
      </c>
      <c r="DY130" s="44">
        <v>5</v>
      </c>
      <c r="DZ130" s="44">
        <v>6</v>
      </c>
      <c r="EA130" s="44">
        <v>7</v>
      </c>
      <c r="EB130" s="44">
        <v>8</v>
      </c>
      <c r="EC130" s="44">
        <v>9</v>
      </c>
      <c r="ED130" s="44">
        <v>10</v>
      </c>
      <c r="EE130" s="44">
        <v>11</v>
      </c>
      <c r="EF130" s="44">
        <v>12</v>
      </c>
      <c r="EG130" s="44">
        <v>13</v>
      </c>
      <c r="EH130" s="44">
        <v>14</v>
      </c>
      <c r="EI130" s="44">
        <v>15</v>
      </c>
      <c r="EJ130" s="44">
        <v>16</v>
      </c>
      <c r="EK130" s="44">
        <v>17</v>
      </c>
      <c r="EL130" s="44">
        <v>18</v>
      </c>
      <c r="EM130" s="44">
        <v>19</v>
      </c>
      <c r="EN130" s="44">
        <v>20</v>
      </c>
      <c r="EO130" s="44">
        <v>21</v>
      </c>
      <c r="EP130" s="44">
        <v>22</v>
      </c>
      <c r="EQ130" s="44">
        <v>23</v>
      </c>
      <c r="ER130" s="44">
        <v>24</v>
      </c>
      <c r="ES130" s="44">
        <v>25</v>
      </c>
      <c r="ET130" s="44">
        <v>26</v>
      </c>
      <c r="EU130" s="44">
        <v>27</v>
      </c>
      <c r="EV130" s="44">
        <v>28</v>
      </c>
      <c r="EW130" s="44">
        <v>29</v>
      </c>
      <c r="EX130" s="44">
        <v>30</v>
      </c>
      <c r="EY130" s="44">
        <v>31</v>
      </c>
      <c r="EZ130" s="34"/>
      <c r="FA130" s="30"/>
    </row>
    <row r="131" spans="3:157" ht="15" customHeight="1" x14ac:dyDescent="0.25"/>
    <row r="132" spans="3:157" ht="15" customHeight="1" x14ac:dyDescent="0.25"/>
    <row r="133" spans="3:157" ht="15" customHeight="1" x14ac:dyDescent="0.25"/>
    <row r="134" spans="3:157" ht="15" customHeight="1" x14ac:dyDescent="0.25"/>
    <row r="135" spans="3:157" ht="15" customHeight="1" x14ac:dyDescent="0.25"/>
    <row r="136" spans="3:157" ht="15" customHeight="1" x14ac:dyDescent="0.25">
      <c r="C136" s="84" t="s">
        <v>44</v>
      </c>
      <c r="D136" s="85"/>
      <c r="E136" s="82" t="s">
        <v>38</v>
      </c>
      <c r="F136" s="83"/>
      <c r="G136" s="25">
        <v>1</v>
      </c>
      <c r="H136" s="25">
        <v>2</v>
      </c>
      <c r="I136" s="25">
        <v>3</v>
      </c>
      <c r="J136" s="25">
        <v>4</v>
      </c>
      <c r="K136" s="25">
        <v>5</v>
      </c>
      <c r="L136" s="25">
        <v>6</v>
      </c>
      <c r="M136" s="25">
        <v>7</v>
      </c>
      <c r="N136" s="25">
        <v>8</v>
      </c>
      <c r="O136" s="25">
        <v>9</v>
      </c>
      <c r="P136" s="25">
        <v>10</v>
      </c>
      <c r="Q136" s="25">
        <v>11</v>
      </c>
      <c r="R136" s="25">
        <v>12</v>
      </c>
      <c r="S136" s="25">
        <v>13</v>
      </c>
      <c r="T136" s="25">
        <v>14</v>
      </c>
      <c r="U136" s="25">
        <v>15</v>
      </c>
      <c r="V136" s="25">
        <v>16</v>
      </c>
      <c r="W136" s="25">
        <v>17</v>
      </c>
      <c r="X136" s="25">
        <v>18</v>
      </c>
      <c r="Y136" s="25">
        <v>19</v>
      </c>
      <c r="Z136" s="25">
        <v>20</v>
      </c>
      <c r="AA136" s="25">
        <v>21</v>
      </c>
      <c r="AB136" s="25">
        <v>22</v>
      </c>
      <c r="AC136" s="25">
        <v>23</v>
      </c>
      <c r="AD136" s="25">
        <v>24</v>
      </c>
      <c r="AE136" s="25">
        <v>25</v>
      </c>
      <c r="AF136" s="25">
        <v>26</v>
      </c>
      <c r="AG136" s="25">
        <v>27</v>
      </c>
      <c r="AH136" s="25">
        <v>28</v>
      </c>
      <c r="AI136" s="25">
        <v>29</v>
      </c>
      <c r="AJ136" s="25">
        <v>30</v>
      </c>
      <c r="AK136" s="25">
        <v>31</v>
      </c>
      <c r="AL136" s="24"/>
      <c r="AM136" s="35"/>
      <c r="AP136" s="84" t="s">
        <v>45</v>
      </c>
      <c r="AQ136" s="86"/>
      <c r="AR136" s="82" t="s">
        <v>38</v>
      </c>
      <c r="AS136" s="83"/>
      <c r="AT136" s="25">
        <v>1</v>
      </c>
      <c r="AU136" s="25">
        <v>2</v>
      </c>
      <c r="AV136" s="25">
        <v>3</v>
      </c>
      <c r="AW136" s="25">
        <v>4</v>
      </c>
      <c r="AX136" s="25">
        <v>5</v>
      </c>
      <c r="AY136" s="25">
        <v>6</v>
      </c>
      <c r="AZ136" s="25">
        <v>7</v>
      </c>
      <c r="BA136" s="25">
        <v>8</v>
      </c>
      <c r="BB136" s="25">
        <v>9</v>
      </c>
      <c r="BC136" s="25">
        <v>10</v>
      </c>
      <c r="BD136" s="25">
        <v>11</v>
      </c>
      <c r="BE136" s="25">
        <v>12</v>
      </c>
      <c r="BF136" s="25">
        <v>13</v>
      </c>
      <c r="BG136" s="25">
        <v>14</v>
      </c>
      <c r="BH136" s="25">
        <v>15</v>
      </c>
      <c r="BI136" s="25">
        <v>16</v>
      </c>
      <c r="BJ136" s="25">
        <v>17</v>
      </c>
      <c r="BK136" s="25">
        <v>18</v>
      </c>
      <c r="BL136" s="25">
        <v>19</v>
      </c>
      <c r="BM136" s="25">
        <v>20</v>
      </c>
      <c r="BN136" s="25">
        <v>21</v>
      </c>
      <c r="BO136" s="25">
        <v>22</v>
      </c>
      <c r="BP136" s="25">
        <v>23</v>
      </c>
      <c r="BQ136" s="25">
        <v>24</v>
      </c>
      <c r="BR136" s="25">
        <v>25</v>
      </c>
      <c r="BS136" s="25">
        <v>26</v>
      </c>
      <c r="BT136" s="25">
        <v>27</v>
      </c>
      <c r="BU136" s="25">
        <v>28</v>
      </c>
      <c r="BV136" s="25">
        <v>29</v>
      </c>
      <c r="BW136" s="25">
        <v>30</v>
      </c>
      <c r="BX136" s="25">
        <v>31</v>
      </c>
      <c r="BY136" s="24"/>
      <c r="BZ136" s="35"/>
      <c r="CC136" s="88" t="s">
        <v>46</v>
      </c>
      <c r="CD136" s="85"/>
      <c r="CE136" s="82" t="s">
        <v>38</v>
      </c>
      <c r="CF136" s="83"/>
      <c r="CG136" s="25">
        <v>1</v>
      </c>
      <c r="CH136" s="25">
        <v>2</v>
      </c>
      <c r="CI136" s="25">
        <v>3</v>
      </c>
      <c r="CJ136" s="25">
        <v>4</v>
      </c>
      <c r="CK136" s="25">
        <v>5</v>
      </c>
      <c r="CL136" s="25">
        <v>6</v>
      </c>
      <c r="CM136" s="25">
        <v>7</v>
      </c>
      <c r="CN136" s="25">
        <v>8</v>
      </c>
      <c r="CO136" s="25">
        <v>9</v>
      </c>
      <c r="CP136" s="25">
        <v>10</v>
      </c>
      <c r="CQ136" s="25">
        <v>11</v>
      </c>
      <c r="CR136" s="25">
        <v>12</v>
      </c>
      <c r="CS136" s="25">
        <v>13</v>
      </c>
      <c r="CT136" s="25">
        <v>14</v>
      </c>
      <c r="CU136" s="25">
        <v>15</v>
      </c>
      <c r="CV136" s="25">
        <v>16</v>
      </c>
      <c r="CW136" s="25">
        <v>17</v>
      </c>
      <c r="CX136" s="25">
        <v>18</v>
      </c>
      <c r="CY136" s="25">
        <v>19</v>
      </c>
      <c r="CZ136" s="25">
        <v>20</v>
      </c>
      <c r="DA136" s="25">
        <v>21</v>
      </c>
      <c r="DB136" s="25">
        <v>22</v>
      </c>
      <c r="DC136" s="25">
        <v>23</v>
      </c>
      <c r="DD136" s="25">
        <v>24</v>
      </c>
      <c r="DE136" s="25">
        <v>25</v>
      </c>
      <c r="DF136" s="25">
        <v>26</v>
      </c>
      <c r="DG136" s="25">
        <v>27</v>
      </c>
      <c r="DH136" s="25">
        <v>28</v>
      </c>
      <c r="DI136" s="25">
        <v>29</v>
      </c>
      <c r="DJ136" s="25">
        <v>30</v>
      </c>
      <c r="DK136" s="25">
        <v>31</v>
      </c>
      <c r="DL136" s="24"/>
      <c r="DM136" s="35"/>
      <c r="DQ136" s="88" t="s">
        <v>47</v>
      </c>
      <c r="DR136" s="85"/>
      <c r="DS136" s="82" t="s">
        <v>38</v>
      </c>
      <c r="DT136" s="83"/>
      <c r="DU136" s="25">
        <v>1</v>
      </c>
      <c r="DV136" s="25">
        <v>2</v>
      </c>
      <c r="DW136" s="25">
        <v>3</v>
      </c>
      <c r="DX136" s="25">
        <v>4</v>
      </c>
      <c r="DY136" s="25">
        <v>5</v>
      </c>
      <c r="DZ136" s="25">
        <v>6</v>
      </c>
      <c r="EA136" s="25">
        <v>7</v>
      </c>
      <c r="EB136" s="25">
        <v>8</v>
      </c>
      <c r="EC136" s="25">
        <v>9</v>
      </c>
      <c r="ED136" s="25">
        <v>10</v>
      </c>
      <c r="EE136" s="25">
        <v>11</v>
      </c>
      <c r="EF136" s="25">
        <v>12</v>
      </c>
      <c r="EG136" s="25">
        <v>13</v>
      </c>
      <c r="EH136" s="25">
        <v>14</v>
      </c>
      <c r="EI136" s="25">
        <v>15</v>
      </c>
      <c r="EJ136" s="25">
        <v>16</v>
      </c>
      <c r="EK136" s="25">
        <v>17</v>
      </c>
      <c r="EL136" s="25">
        <v>18</v>
      </c>
      <c r="EM136" s="25">
        <v>19</v>
      </c>
      <c r="EN136" s="25">
        <v>20</v>
      </c>
      <c r="EO136" s="25">
        <v>21</v>
      </c>
      <c r="EP136" s="25">
        <v>22</v>
      </c>
      <c r="EQ136" s="25">
        <v>23</v>
      </c>
      <c r="ER136" s="25">
        <v>24</v>
      </c>
      <c r="ES136" s="25">
        <v>25</v>
      </c>
      <c r="ET136" s="25">
        <v>26</v>
      </c>
      <c r="EU136" s="25">
        <v>27</v>
      </c>
      <c r="EV136" s="25">
        <v>28</v>
      </c>
      <c r="EW136" s="25">
        <v>29</v>
      </c>
      <c r="EX136" s="25">
        <v>30</v>
      </c>
      <c r="EY136" s="25">
        <v>31</v>
      </c>
      <c r="EZ136" s="24"/>
      <c r="FA136" s="35"/>
    </row>
    <row r="137" spans="3:157" x14ac:dyDescent="0.25">
      <c r="C137" s="84"/>
      <c r="D137" s="85"/>
      <c r="E137" s="82" t="s">
        <v>39</v>
      </c>
      <c r="F137" s="83"/>
      <c r="G137" s="25">
        <v>0</v>
      </c>
      <c r="H137" s="26">
        <f>$B$5*(H136-1)</f>
        <v>3.3333333333333335E-3</v>
      </c>
      <c r="I137" s="26">
        <f t="shared" ref="I137:AJ137" si="812">$B$5*(I136-1)</f>
        <v>6.6666666666666671E-3</v>
      </c>
      <c r="J137" s="26">
        <f t="shared" si="812"/>
        <v>0.01</v>
      </c>
      <c r="K137" s="26">
        <f t="shared" si="812"/>
        <v>1.3333333333333334E-2</v>
      </c>
      <c r="L137" s="26">
        <f t="shared" si="812"/>
        <v>1.6666666666666666E-2</v>
      </c>
      <c r="M137" s="26">
        <f t="shared" si="812"/>
        <v>0.02</v>
      </c>
      <c r="N137" s="26">
        <f t="shared" si="812"/>
        <v>2.3333333333333334E-2</v>
      </c>
      <c r="O137" s="26">
        <f t="shared" si="812"/>
        <v>2.6666666666666668E-2</v>
      </c>
      <c r="P137" s="26">
        <f t="shared" si="812"/>
        <v>3.0000000000000002E-2</v>
      </c>
      <c r="Q137" s="26">
        <f t="shared" si="812"/>
        <v>3.3333333333333333E-2</v>
      </c>
      <c r="R137" s="26">
        <f t="shared" si="812"/>
        <v>3.6666666666666667E-2</v>
      </c>
      <c r="S137" s="26">
        <f t="shared" si="812"/>
        <v>0.04</v>
      </c>
      <c r="T137" s="26">
        <f t="shared" si="812"/>
        <v>4.3333333333333335E-2</v>
      </c>
      <c r="U137" s="26">
        <f t="shared" si="812"/>
        <v>4.6666666666666669E-2</v>
      </c>
      <c r="V137" s="26">
        <f t="shared" si="812"/>
        <v>0.05</v>
      </c>
      <c r="W137" s="26">
        <f t="shared" si="812"/>
        <v>5.3333333333333337E-2</v>
      </c>
      <c r="X137" s="26">
        <f t="shared" si="812"/>
        <v>5.6666666666666671E-2</v>
      </c>
      <c r="Y137" s="26">
        <f t="shared" si="812"/>
        <v>6.0000000000000005E-2</v>
      </c>
      <c r="Z137" s="26">
        <f t="shared" si="812"/>
        <v>6.3333333333333339E-2</v>
      </c>
      <c r="AA137" s="26">
        <f t="shared" si="812"/>
        <v>6.6666666666666666E-2</v>
      </c>
      <c r="AB137" s="26">
        <f t="shared" si="812"/>
        <v>7.0000000000000007E-2</v>
      </c>
      <c r="AC137" s="26">
        <f t="shared" si="812"/>
        <v>7.3333333333333334E-2</v>
      </c>
      <c r="AD137" s="26">
        <f t="shared" si="812"/>
        <v>7.6666666666666675E-2</v>
      </c>
      <c r="AE137" s="26">
        <f t="shared" si="812"/>
        <v>0.08</v>
      </c>
      <c r="AF137" s="26">
        <f t="shared" si="812"/>
        <v>8.3333333333333343E-2</v>
      </c>
      <c r="AG137" s="26">
        <f t="shared" si="812"/>
        <v>8.666666666666667E-2</v>
      </c>
      <c r="AH137" s="26">
        <f t="shared" si="812"/>
        <v>9.0000000000000011E-2</v>
      </c>
      <c r="AI137" s="26">
        <f t="shared" si="812"/>
        <v>9.3333333333333338E-2</v>
      </c>
      <c r="AJ137" s="26">
        <f t="shared" si="812"/>
        <v>9.6666666666666679E-2</v>
      </c>
      <c r="AK137" s="26">
        <f>$B$5*(AK136-1)</f>
        <v>0.1</v>
      </c>
      <c r="AL137" s="24"/>
      <c r="AM137" s="36"/>
      <c r="AP137" s="87"/>
      <c r="AQ137" s="86"/>
      <c r="AR137" s="82" t="s">
        <v>39</v>
      </c>
      <c r="AS137" s="83"/>
      <c r="AT137" s="25">
        <v>0</v>
      </c>
      <c r="AU137" s="26">
        <f>$B$5*(AU136-1)</f>
        <v>3.3333333333333335E-3</v>
      </c>
      <c r="AV137" s="26">
        <f t="shared" ref="AV137:BW137" si="813">$B$5*(AV136-1)</f>
        <v>6.6666666666666671E-3</v>
      </c>
      <c r="AW137" s="26">
        <f t="shared" si="813"/>
        <v>0.01</v>
      </c>
      <c r="AX137" s="26">
        <f t="shared" si="813"/>
        <v>1.3333333333333334E-2</v>
      </c>
      <c r="AY137" s="26">
        <f t="shared" si="813"/>
        <v>1.6666666666666666E-2</v>
      </c>
      <c r="AZ137" s="26">
        <f t="shared" si="813"/>
        <v>0.02</v>
      </c>
      <c r="BA137" s="26">
        <f t="shared" si="813"/>
        <v>2.3333333333333334E-2</v>
      </c>
      <c r="BB137" s="26">
        <f t="shared" si="813"/>
        <v>2.6666666666666668E-2</v>
      </c>
      <c r="BC137" s="26">
        <f t="shared" si="813"/>
        <v>3.0000000000000002E-2</v>
      </c>
      <c r="BD137" s="26">
        <f t="shared" si="813"/>
        <v>3.3333333333333333E-2</v>
      </c>
      <c r="BE137" s="26">
        <f t="shared" si="813"/>
        <v>3.6666666666666667E-2</v>
      </c>
      <c r="BF137" s="26">
        <f t="shared" si="813"/>
        <v>0.04</v>
      </c>
      <c r="BG137" s="26">
        <f t="shared" si="813"/>
        <v>4.3333333333333335E-2</v>
      </c>
      <c r="BH137" s="26">
        <f t="shared" si="813"/>
        <v>4.6666666666666669E-2</v>
      </c>
      <c r="BI137" s="26">
        <f t="shared" si="813"/>
        <v>0.05</v>
      </c>
      <c r="BJ137" s="26">
        <f t="shared" si="813"/>
        <v>5.3333333333333337E-2</v>
      </c>
      <c r="BK137" s="26">
        <f t="shared" si="813"/>
        <v>5.6666666666666671E-2</v>
      </c>
      <c r="BL137" s="26">
        <f t="shared" si="813"/>
        <v>6.0000000000000005E-2</v>
      </c>
      <c r="BM137" s="26">
        <f t="shared" si="813"/>
        <v>6.3333333333333339E-2</v>
      </c>
      <c r="BN137" s="26">
        <f t="shared" si="813"/>
        <v>6.6666666666666666E-2</v>
      </c>
      <c r="BO137" s="26">
        <f t="shared" si="813"/>
        <v>7.0000000000000007E-2</v>
      </c>
      <c r="BP137" s="26">
        <f t="shared" si="813"/>
        <v>7.3333333333333334E-2</v>
      </c>
      <c r="BQ137" s="26">
        <f t="shared" si="813"/>
        <v>7.6666666666666675E-2</v>
      </c>
      <c r="BR137" s="26">
        <f t="shared" si="813"/>
        <v>0.08</v>
      </c>
      <c r="BS137" s="26">
        <f t="shared" si="813"/>
        <v>8.3333333333333343E-2</v>
      </c>
      <c r="BT137" s="26">
        <f t="shared" si="813"/>
        <v>8.666666666666667E-2</v>
      </c>
      <c r="BU137" s="26">
        <f t="shared" si="813"/>
        <v>9.0000000000000011E-2</v>
      </c>
      <c r="BV137" s="26">
        <f t="shared" si="813"/>
        <v>9.3333333333333338E-2</v>
      </c>
      <c r="BW137" s="26">
        <f t="shared" si="813"/>
        <v>9.6666666666666679E-2</v>
      </c>
      <c r="BX137" s="26">
        <f>$B$5*(BX136-1)</f>
        <v>0.1</v>
      </c>
      <c r="BY137" s="24"/>
      <c r="BZ137" s="36"/>
      <c r="CC137" s="84"/>
      <c r="CD137" s="85"/>
      <c r="CE137" s="82" t="s">
        <v>39</v>
      </c>
      <c r="CF137" s="83"/>
      <c r="CG137" s="25">
        <v>0</v>
      </c>
      <c r="CH137" s="26">
        <f>$B$5*(CH136-1)</f>
        <v>3.3333333333333335E-3</v>
      </c>
      <c r="CI137" s="26">
        <f t="shared" ref="CI137:DJ137" si="814">$B$5*(CI136-1)</f>
        <v>6.6666666666666671E-3</v>
      </c>
      <c r="CJ137" s="26">
        <f t="shared" si="814"/>
        <v>0.01</v>
      </c>
      <c r="CK137" s="26">
        <f t="shared" si="814"/>
        <v>1.3333333333333334E-2</v>
      </c>
      <c r="CL137" s="26">
        <f t="shared" si="814"/>
        <v>1.6666666666666666E-2</v>
      </c>
      <c r="CM137" s="26">
        <f t="shared" si="814"/>
        <v>0.02</v>
      </c>
      <c r="CN137" s="26">
        <f t="shared" si="814"/>
        <v>2.3333333333333334E-2</v>
      </c>
      <c r="CO137" s="26">
        <f t="shared" si="814"/>
        <v>2.6666666666666668E-2</v>
      </c>
      <c r="CP137" s="26">
        <f t="shared" si="814"/>
        <v>3.0000000000000002E-2</v>
      </c>
      <c r="CQ137" s="26">
        <f t="shared" si="814"/>
        <v>3.3333333333333333E-2</v>
      </c>
      <c r="CR137" s="26">
        <f t="shared" si="814"/>
        <v>3.6666666666666667E-2</v>
      </c>
      <c r="CS137" s="26">
        <f t="shared" si="814"/>
        <v>0.04</v>
      </c>
      <c r="CT137" s="26">
        <f t="shared" si="814"/>
        <v>4.3333333333333335E-2</v>
      </c>
      <c r="CU137" s="26">
        <f t="shared" si="814"/>
        <v>4.6666666666666669E-2</v>
      </c>
      <c r="CV137" s="26">
        <f t="shared" si="814"/>
        <v>0.05</v>
      </c>
      <c r="CW137" s="26">
        <f t="shared" si="814"/>
        <v>5.3333333333333337E-2</v>
      </c>
      <c r="CX137" s="26">
        <f t="shared" si="814"/>
        <v>5.6666666666666671E-2</v>
      </c>
      <c r="CY137" s="26">
        <f t="shared" si="814"/>
        <v>6.0000000000000005E-2</v>
      </c>
      <c r="CZ137" s="26">
        <f t="shared" si="814"/>
        <v>6.3333333333333339E-2</v>
      </c>
      <c r="DA137" s="26">
        <f t="shared" si="814"/>
        <v>6.6666666666666666E-2</v>
      </c>
      <c r="DB137" s="26">
        <f t="shared" si="814"/>
        <v>7.0000000000000007E-2</v>
      </c>
      <c r="DC137" s="26">
        <f t="shared" si="814"/>
        <v>7.3333333333333334E-2</v>
      </c>
      <c r="DD137" s="26">
        <f t="shared" si="814"/>
        <v>7.6666666666666675E-2</v>
      </c>
      <c r="DE137" s="26">
        <f t="shared" si="814"/>
        <v>0.08</v>
      </c>
      <c r="DF137" s="26">
        <f t="shared" si="814"/>
        <v>8.3333333333333343E-2</v>
      </c>
      <c r="DG137" s="26">
        <f t="shared" si="814"/>
        <v>8.666666666666667E-2</v>
      </c>
      <c r="DH137" s="26">
        <f t="shared" si="814"/>
        <v>9.0000000000000011E-2</v>
      </c>
      <c r="DI137" s="26">
        <f t="shared" si="814"/>
        <v>9.3333333333333338E-2</v>
      </c>
      <c r="DJ137" s="26">
        <f t="shared" si="814"/>
        <v>9.6666666666666679E-2</v>
      </c>
      <c r="DK137" s="26">
        <f>$B$5*(DK136-1)</f>
        <v>0.1</v>
      </c>
      <c r="DL137" s="24"/>
      <c r="DM137" s="36"/>
      <c r="DQ137" s="84"/>
      <c r="DR137" s="85"/>
      <c r="DS137" s="82" t="s">
        <v>39</v>
      </c>
      <c r="DT137" s="83"/>
      <c r="DU137" s="25">
        <v>0</v>
      </c>
      <c r="DV137" s="26">
        <f>$B$5*(DV136-1)</f>
        <v>3.3333333333333335E-3</v>
      </c>
      <c r="DW137" s="26">
        <f t="shared" ref="DW137:EX137" si="815">$B$5*(DW136-1)</f>
        <v>6.6666666666666671E-3</v>
      </c>
      <c r="DX137" s="26">
        <f t="shared" si="815"/>
        <v>0.01</v>
      </c>
      <c r="DY137" s="26">
        <f t="shared" si="815"/>
        <v>1.3333333333333334E-2</v>
      </c>
      <c r="DZ137" s="26">
        <f t="shared" si="815"/>
        <v>1.6666666666666666E-2</v>
      </c>
      <c r="EA137" s="26">
        <f t="shared" si="815"/>
        <v>0.02</v>
      </c>
      <c r="EB137" s="26">
        <f t="shared" si="815"/>
        <v>2.3333333333333334E-2</v>
      </c>
      <c r="EC137" s="26">
        <f t="shared" si="815"/>
        <v>2.6666666666666668E-2</v>
      </c>
      <c r="ED137" s="26">
        <f t="shared" si="815"/>
        <v>3.0000000000000002E-2</v>
      </c>
      <c r="EE137" s="26">
        <f t="shared" si="815"/>
        <v>3.3333333333333333E-2</v>
      </c>
      <c r="EF137" s="26">
        <f t="shared" si="815"/>
        <v>3.6666666666666667E-2</v>
      </c>
      <c r="EG137" s="26">
        <f t="shared" si="815"/>
        <v>0.04</v>
      </c>
      <c r="EH137" s="26">
        <f t="shared" si="815"/>
        <v>4.3333333333333335E-2</v>
      </c>
      <c r="EI137" s="26">
        <f t="shared" si="815"/>
        <v>4.6666666666666669E-2</v>
      </c>
      <c r="EJ137" s="26">
        <f t="shared" si="815"/>
        <v>0.05</v>
      </c>
      <c r="EK137" s="26">
        <f t="shared" si="815"/>
        <v>5.3333333333333337E-2</v>
      </c>
      <c r="EL137" s="26">
        <f t="shared" si="815"/>
        <v>5.6666666666666671E-2</v>
      </c>
      <c r="EM137" s="26">
        <f t="shared" si="815"/>
        <v>6.0000000000000005E-2</v>
      </c>
      <c r="EN137" s="26">
        <f t="shared" si="815"/>
        <v>6.3333333333333339E-2</v>
      </c>
      <c r="EO137" s="26">
        <f t="shared" si="815"/>
        <v>6.6666666666666666E-2</v>
      </c>
      <c r="EP137" s="26">
        <f t="shared" si="815"/>
        <v>7.0000000000000007E-2</v>
      </c>
      <c r="EQ137" s="26">
        <f t="shared" si="815"/>
        <v>7.3333333333333334E-2</v>
      </c>
      <c r="ER137" s="26">
        <f t="shared" si="815"/>
        <v>7.6666666666666675E-2</v>
      </c>
      <c r="ES137" s="26">
        <f t="shared" si="815"/>
        <v>0.08</v>
      </c>
      <c r="ET137" s="26">
        <f t="shared" si="815"/>
        <v>8.3333333333333343E-2</v>
      </c>
      <c r="EU137" s="26">
        <f t="shared" si="815"/>
        <v>8.666666666666667E-2</v>
      </c>
      <c r="EV137" s="26">
        <f t="shared" si="815"/>
        <v>9.0000000000000011E-2</v>
      </c>
      <c r="EW137" s="26">
        <f t="shared" si="815"/>
        <v>9.3333333333333338E-2</v>
      </c>
      <c r="EX137" s="26">
        <f t="shared" si="815"/>
        <v>9.6666666666666679E-2</v>
      </c>
      <c r="EY137" s="26">
        <f>$B$5*(EY136-1)</f>
        <v>0.1</v>
      </c>
      <c r="EZ137" s="24"/>
      <c r="FA137" s="36"/>
    </row>
    <row r="138" spans="3:157" x14ac:dyDescent="0.25">
      <c r="C138" s="84"/>
      <c r="D138" s="85"/>
      <c r="E138" s="25">
        <v>55</v>
      </c>
      <c r="F138" s="26">
        <f t="shared" ref="F138:F161" si="816">$B$6*(E138-1)</f>
        <v>0.5</v>
      </c>
      <c r="G138" s="13">
        <f t="shared" ref="G138:O147" si="817">$R$2</f>
        <v>600</v>
      </c>
      <c r="H138" s="13">
        <f t="shared" si="817"/>
        <v>600</v>
      </c>
      <c r="I138" s="13">
        <f t="shared" si="817"/>
        <v>600</v>
      </c>
      <c r="J138" s="13">
        <f t="shared" si="817"/>
        <v>600</v>
      </c>
      <c r="K138" s="13">
        <f t="shared" si="817"/>
        <v>600</v>
      </c>
      <c r="L138" s="13">
        <f t="shared" si="817"/>
        <v>600</v>
      </c>
      <c r="M138" s="13">
        <f t="shared" si="817"/>
        <v>600</v>
      </c>
      <c r="N138" s="13">
        <f t="shared" si="817"/>
        <v>600</v>
      </c>
      <c r="O138" s="13">
        <f t="shared" si="817"/>
        <v>600</v>
      </c>
      <c r="P138" s="13">
        <f t="shared" ref="P138:AB138" si="818">$R$4</f>
        <v>950</v>
      </c>
      <c r="Q138" s="13">
        <f t="shared" si="818"/>
        <v>950</v>
      </c>
      <c r="R138" s="13">
        <f t="shared" si="818"/>
        <v>950</v>
      </c>
      <c r="S138" s="13">
        <f t="shared" si="818"/>
        <v>950</v>
      </c>
      <c r="T138" s="13">
        <f t="shared" si="818"/>
        <v>950</v>
      </c>
      <c r="U138" s="13">
        <f t="shared" si="818"/>
        <v>950</v>
      </c>
      <c r="V138" s="13">
        <f t="shared" si="818"/>
        <v>950</v>
      </c>
      <c r="W138" s="13">
        <f t="shared" si="818"/>
        <v>950</v>
      </c>
      <c r="X138" s="13">
        <f t="shared" si="818"/>
        <v>950</v>
      </c>
      <c r="Y138" s="13">
        <f t="shared" si="818"/>
        <v>950</v>
      </c>
      <c r="Z138" s="13">
        <f t="shared" si="818"/>
        <v>950</v>
      </c>
      <c r="AA138" s="13">
        <f t="shared" si="818"/>
        <v>950</v>
      </c>
      <c r="AB138" s="13">
        <f t="shared" si="818"/>
        <v>950</v>
      </c>
      <c r="AC138" s="13">
        <f t="shared" ref="AC138:AK147" si="819">$R$3</f>
        <v>650</v>
      </c>
      <c r="AD138" s="13">
        <f t="shared" si="819"/>
        <v>650</v>
      </c>
      <c r="AE138" s="13">
        <f t="shared" si="819"/>
        <v>650</v>
      </c>
      <c r="AF138" s="13">
        <f t="shared" si="819"/>
        <v>650</v>
      </c>
      <c r="AG138" s="13">
        <f t="shared" si="819"/>
        <v>650</v>
      </c>
      <c r="AH138" s="13">
        <f t="shared" si="819"/>
        <v>650</v>
      </c>
      <c r="AI138" s="13">
        <f t="shared" si="819"/>
        <v>650</v>
      </c>
      <c r="AJ138" s="13">
        <f t="shared" si="819"/>
        <v>650</v>
      </c>
      <c r="AK138" s="13">
        <f t="shared" si="819"/>
        <v>650</v>
      </c>
      <c r="AL138" s="25">
        <v>55</v>
      </c>
      <c r="AM138" s="26">
        <f t="shared" ref="AM138:AM161" si="820">$B$6*(AL138-1)</f>
        <v>0.5</v>
      </c>
      <c r="AP138" s="87"/>
      <c r="AQ138" s="86"/>
      <c r="AR138" s="25">
        <v>55</v>
      </c>
      <c r="AS138" s="26">
        <f t="shared" ref="AS138:AS161" si="821">$B$6*(AR138-1)</f>
        <v>0.5</v>
      </c>
      <c r="AT138" s="13">
        <f t="shared" ref="AT138:BB147" si="822">$R$2</f>
        <v>600</v>
      </c>
      <c r="AU138" s="13">
        <f t="shared" si="822"/>
        <v>600</v>
      </c>
      <c r="AV138" s="13">
        <f t="shared" si="822"/>
        <v>600</v>
      </c>
      <c r="AW138" s="13">
        <f t="shared" si="822"/>
        <v>600</v>
      </c>
      <c r="AX138" s="13">
        <f t="shared" si="822"/>
        <v>600</v>
      </c>
      <c r="AY138" s="13">
        <f t="shared" si="822"/>
        <v>600</v>
      </c>
      <c r="AZ138" s="13">
        <f t="shared" si="822"/>
        <v>600</v>
      </c>
      <c r="BA138" s="13">
        <f t="shared" si="822"/>
        <v>600</v>
      </c>
      <c r="BB138" s="13">
        <f t="shared" si="822"/>
        <v>600</v>
      </c>
      <c r="BC138" s="13">
        <f>-($F$3*$F$2)/$B$8*P74</f>
        <v>-3408600000</v>
      </c>
      <c r="BD138" s="13">
        <f t="shared" ref="BD138" si="823">-($F$3*$F$2)/$B$8*Q74</f>
        <v>-3408600000</v>
      </c>
      <c r="BE138" s="13">
        <f t="shared" ref="BE138" si="824">-($F$3*$F$2)/$B$8*R74</f>
        <v>-3408600000</v>
      </c>
      <c r="BF138" s="13">
        <f t="shared" ref="BF138" si="825">-($F$3*$F$2)/$B$8*S74</f>
        <v>-3408600000</v>
      </c>
      <c r="BG138" s="13">
        <f t="shared" ref="BG138" si="826">-($F$3*$F$2)/$B$8*T74</f>
        <v>-3408600000</v>
      </c>
      <c r="BH138" s="13">
        <f t="shared" ref="BH138" si="827">-($F$3*$F$2)/$B$8*U74</f>
        <v>-3408600000</v>
      </c>
      <c r="BI138" s="13">
        <f t="shared" ref="BI138" si="828">-($F$3*$F$2)/$B$8*V74</f>
        <v>-3408600000</v>
      </c>
      <c r="BJ138" s="13">
        <f t="shared" ref="BJ138" si="829">-($F$3*$F$2)/$B$8*W74</f>
        <v>-3408600000</v>
      </c>
      <c r="BK138" s="13">
        <f t="shared" ref="BK138" si="830">-($F$3*$F$2)/$B$8*X74</f>
        <v>-3408600000</v>
      </c>
      <c r="BL138" s="13">
        <f t="shared" ref="BL138" si="831">-($F$3*$F$2)/$B$8*Y74</f>
        <v>-3408600000</v>
      </c>
      <c r="BM138" s="13">
        <f t="shared" ref="BM138" si="832">-($F$3*$F$2)/$B$8*Z74</f>
        <v>-3408600000</v>
      </c>
      <c r="BN138" s="13">
        <f t="shared" ref="BN138" si="833">-($F$3*$F$2)/$B$8*AA74</f>
        <v>-3408600000</v>
      </c>
      <c r="BO138" s="13">
        <f t="shared" ref="BO138" si="834">-($F$3*$F$2)/$B$8*AB74</f>
        <v>-3408600000</v>
      </c>
      <c r="BP138" s="13">
        <f t="shared" ref="BP138:BX147" si="835">$R$3</f>
        <v>650</v>
      </c>
      <c r="BQ138" s="13">
        <f t="shared" si="835"/>
        <v>650</v>
      </c>
      <c r="BR138" s="13">
        <f t="shared" si="835"/>
        <v>650</v>
      </c>
      <c r="BS138" s="13">
        <f t="shared" si="835"/>
        <v>650</v>
      </c>
      <c r="BT138" s="13">
        <f t="shared" si="835"/>
        <v>650</v>
      </c>
      <c r="BU138" s="13">
        <f t="shared" si="835"/>
        <v>650</v>
      </c>
      <c r="BV138" s="13">
        <f t="shared" si="835"/>
        <v>650</v>
      </c>
      <c r="BW138" s="13">
        <f t="shared" si="835"/>
        <v>650</v>
      </c>
      <c r="BX138" s="13">
        <f t="shared" si="835"/>
        <v>650</v>
      </c>
      <c r="BY138" s="25">
        <v>55</v>
      </c>
      <c r="BZ138" s="26">
        <f t="shared" ref="BZ138:BZ161" si="836">$B$6*(BY138-1)</f>
        <v>0.5</v>
      </c>
      <c r="CC138" s="84"/>
      <c r="CD138" s="85"/>
      <c r="CE138" s="25">
        <v>55</v>
      </c>
      <c r="CF138" s="26">
        <f t="shared" ref="CF138:CF161" si="837">$B$6*(CE138-1)</f>
        <v>0.5</v>
      </c>
      <c r="CG138" s="13">
        <f t="shared" ref="CG138:CO147" si="838">$R$2</f>
        <v>600</v>
      </c>
      <c r="CH138" s="13">
        <f t="shared" si="838"/>
        <v>600</v>
      </c>
      <c r="CI138" s="13">
        <f t="shared" si="838"/>
        <v>600</v>
      </c>
      <c r="CJ138" s="13">
        <f t="shared" si="838"/>
        <v>600</v>
      </c>
      <c r="CK138" s="13">
        <f t="shared" si="838"/>
        <v>600</v>
      </c>
      <c r="CL138" s="13">
        <f t="shared" si="838"/>
        <v>600</v>
      </c>
      <c r="CM138" s="13">
        <f t="shared" si="838"/>
        <v>600</v>
      </c>
      <c r="CN138" s="13">
        <f t="shared" si="838"/>
        <v>600</v>
      </c>
      <c r="CO138" s="13">
        <f t="shared" si="838"/>
        <v>600</v>
      </c>
      <c r="CP138" s="13">
        <v>0</v>
      </c>
      <c r="CQ138" s="13">
        <v>0</v>
      </c>
      <c r="CR138" s="13">
        <v>0</v>
      </c>
      <c r="CS138" s="13">
        <v>0</v>
      </c>
      <c r="CT138" s="13">
        <v>0</v>
      </c>
      <c r="CU138" s="13">
        <v>0</v>
      </c>
      <c r="CV138" s="13">
        <v>0</v>
      </c>
      <c r="CW138" s="13">
        <v>0</v>
      </c>
      <c r="CX138" s="13">
        <v>0</v>
      </c>
      <c r="CY138" s="13">
        <v>0</v>
      </c>
      <c r="CZ138" s="13">
        <v>0</v>
      </c>
      <c r="DA138" s="13">
        <v>0</v>
      </c>
      <c r="DB138" s="13">
        <v>0</v>
      </c>
      <c r="DC138" s="13">
        <f t="shared" ref="DC138:DK147" si="839">$R$3</f>
        <v>650</v>
      </c>
      <c r="DD138" s="13">
        <f t="shared" si="839"/>
        <v>650</v>
      </c>
      <c r="DE138" s="13">
        <f t="shared" si="839"/>
        <v>650</v>
      </c>
      <c r="DF138" s="13">
        <f t="shared" si="839"/>
        <v>650</v>
      </c>
      <c r="DG138" s="13">
        <f t="shared" si="839"/>
        <v>650</v>
      </c>
      <c r="DH138" s="13">
        <f t="shared" si="839"/>
        <v>650</v>
      </c>
      <c r="DI138" s="13">
        <f t="shared" si="839"/>
        <v>650</v>
      </c>
      <c r="DJ138" s="13">
        <f t="shared" si="839"/>
        <v>650</v>
      </c>
      <c r="DK138" s="13">
        <f t="shared" si="839"/>
        <v>650</v>
      </c>
      <c r="DL138" s="25">
        <v>55</v>
      </c>
      <c r="DM138" s="26">
        <f t="shared" ref="DM138:DM161" si="840">$B$6*(DL138-1)</f>
        <v>0.5</v>
      </c>
      <c r="DQ138" s="84"/>
      <c r="DR138" s="85"/>
      <c r="DS138" s="25">
        <v>55</v>
      </c>
      <c r="DT138" s="26">
        <f t="shared" ref="DT138:DT161" si="841">$B$6*(DS138-1)</f>
        <v>0.5</v>
      </c>
      <c r="DU138" s="13">
        <f t="shared" ref="DU138:EC147" si="842">$R$2</f>
        <v>600</v>
      </c>
      <c r="DV138" s="13">
        <f t="shared" si="842"/>
        <v>600</v>
      </c>
      <c r="DW138" s="13">
        <f t="shared" si="842"/>
        <v>600</v>
      </c>
      <c r="DX138" s="13">
        <f t="shared" si="842"/>
        <v>600</v>
      </c>
      <c r="DY138" s="13">
        <f t="shared" si="842"/>
        <v>600</v>
      </c>
      <c r="DZ138" s="13">
        <f t="shared" si="842"/>
        <v>600</v>
      </c>
      <c r="EA138" s="13">
        <f t="shared" si="842"/>
        <v>600</v>
      </c>
      <c r="EB138" s="13">
        <f t="shared" si="842"/>
        <v>600</v>
      </c>
      <c r="EC138" s="13">
        <f t="shared" si="842"/>
        <v>600</v>
      </c>
      <c r="ED138" s="13">
        <f t="shared" ref="ED138:EP138" si="843">$R$4</f>
        <v>950</v>
      </c>
      <c r="EE138" s="13">
        <f t="shared" si="843"/>
        <v>950</v>
      </c>
      <c r="EF138" s="13">
        <f t="shared" si="843"/>
        <v>950</v>
      </c>
      <c r="EG138" s="13">
        <f t="shared" si="843"/>
        <v>950</v>
      </c>
      <c r="EH138" s="13">
        <f t="shared" si="843"/>
        <v>950</v>
      </c>
      <c r="EI138" s="13">
        <f t="shared" si="843"/>
        <v>950</v>
      </c>
      <c r="EJ138" s="13">
        <f t="shared" si="843"/>
        <v>950</v>
      </c>
      <c r="EK138" s="13">
        <f t="shared" si="843"/>
        <v>950</v>
      </c>
      <c r="EL138" s="13">
        <f t="shared" si="843"/>
        <v>950</v>
      </c>
      <c r="EM138" s="13">
        <f t="shared" si="843"/>
        <v>950</v>
      </c>
      <c r="EN138" s="13">
        <f t="shared" si="843"/>
        <v>950</v>
      </c>
      <c r="EO138" s="13">
        <f t="shared" si="843"/>
        <v>950</v>
      </c>
      <c r="EP138" s="13">
        <f t="shared" si="843"/>
        <v>950</v>
      </c>
      <c r="EQ138" s="13">
        <f t="shared" ref="EQ138:EY147" si="844">$R$3</f>
        <v>650</v>
      </c>
      <c r="ER138" s="13">
        <f t="shared" si="844"/>
        <v>650</v>
      </c>
      <c r="ES138" s="13">
        <f t="shared" si="844"/>
        <v>650</v>
      </c>
      <c r="ET138" s="13">
        <f t="shared" si="844"/>
        <v>650</v>
      </c>
      <c r="EU138" s="13">
        <f t="shared" si="844"/>
        <v>650</v>
      </c>
      <c r="EV138" s="13">
        <f t="shared" si="844"/>
        <v>650</v>
      </c>
      <c r="EW138" s="13">
        <f t="shared" si="844"/>
        <v>650</v>
      </c>
      <c r="EX138" s="13">
        <f t="shared" si="844"/>
        <v>650</v>
      </c>
      <c r="EY138" s="13">
        <f t="shared" si="844"/>
        <v>650</v>
      </c>
      <c r="EZ138" s="25">
        <v>55</v>
      </c>
      <c r="FA138" s="26">
        <f t="shared" ref="FA138:FA161" si="845">$B$6*(EZ138-1)</f>
        <v>0.5</v>
      </c>
    </row>
    <row r="139" spans="3:157" x14ac:dyDescent="0.25">
      <c r="C139" s="84"/>
      <c r="D139" s="85"/>
      <c r="E139" s="25">
        <v>54</v>
      </c>
      <c r="F139" s="26">
        <f t="shared" si="816"/>
        <v>0.4907407407407407</v>
      </c>
      <c r="G139" s="13">
        <f t="shared" si="817"/>
        <v>600</v>
      </c>
      <c r="H139" s="13">
        <f t="shared" si="817"/>
        <v>600</v>
      </c>
      <c r="I139" s="13">
        <f t="shared" si="817"/>
        <v>600</v>
      </c>
      <c r="J139" s="13">
        <f t="shared" si="817"/>
        <v>600</v>
      </c>
      <c r="K139" s="13">
        <f t="shared" si="817"/>
        <v>600</v>
      </c>
      <c r="L139" s="13">
        <f t="shared" si="817"/>
        <v>600</v>
      </c>
      <c r="M139" s="13">
        <f t="shared" si="817"/>
        <v>600</v>
      </c>
      <c r="N139" s="13">
        <f t="shared" si="817"/>
        <v>600</v>
      </c>
      <c r="O139" s="13">
        <f t="shared" si="817"/>
        <v>600</v>
      </c>
      <c r="P139" s="13">
        <f>CP139*P140+ED139</f>
        <v>859.56078774357093</v>
      </c>
      <c r="Q139" s="13">
        <f t="shared" ref="Q139:AB139" si="846">CQ139*Q140+EE139</f>
        <v>869.17846004659634</v>
      </c>
      <c r="R139" s="13">
        <f t="shared" si="846"/>
        <v>876.20465324314068</v>
      </c>
      <c r="S139" s="13">
        <f t="shared" si="846"/>
        <v>881.2858428899716</v>
      </c>
      <c r="T139" s="13">
        <f t="shared" si="846"/>
        <v>884.87109488695558</v>
      </c>
      <c r="U139" s="13">
        <f t="shared" si="846"/>
        <v>887.25073399621101</v>
      </c>
      <c r="V139" s="13">
        <f t="shared" si="846"/>
        <v>888.5999002238292</v>
      </c>
      <c r="W139" s="13">
        <f t="shared" si="846"/>
        <v>889.00378698039583</v>
      </c>
      <c r="X139" s="13">
        <f t="shared" si="846"/>
        <v>888.46924068586986</v>
      </c>
      <c r="Y139" s="13">
        <f t="shared" si="846"/>
        <v>886.9248782146517</v>
      </c>
      <c r="Z139" s="13">
        <f t="shared" si="846"/>
        <v>884.20961996314782</v>
      </c>
      <c r="AA139" s="13">
        <f t="shared" si="846"/>
        <v>880.04746550021923</v>
      </c>
      <c r="AB139" s="13">
        <f t="shared" si="846"/>
        <v>874.03809231575065</v>
      </c>
      <c r="AC139" s="13">
        <f t="shared" si="819"/>
        <v>650</v>
      </c>
      <c r="AD139" s="13">
        <f t="shared" si="819"/>
        <v>650</v>
      </c>
      <c r="AE139" s="13">
        <f t="shared" si="819"/>
        <v>650</v>
      </c>
      <c r="AF139" s="13">
        <f t="shared" si="819"/>
        <v>650</v>
      </c>
      <c r="AG139" s="13">
        <f t="shared" si="819"/>
        <v>650</v>
      </c>
      <c r="AH139" s="13">
        <f t="shared" si="819"/>
        <v>650</v>
      </c>
      <c r="AI139" s="13">
        <f t="shared" si="819"/>
        <v>650</v>
      </c>
      <c r="AJ139" s="13">
        <f t="shared" si="819"/>
        <v>650</v>
      </c>
      <c r="AK139" s="13">
        <f t="shared" si="819"/>
        <v>650</v>
      </c>
      <c r="AL139" s="25">
        <v>54</v>
      </c>
      <c r="AM139" s="26">
        <f t="shared" si="820"/>
        <v>0.4907407407407407</v>
      </c>
      <c r="AP139" s="87"/>
      <c r="AQ139" s="86"/>
      <c r="AR139" s="25">
        <v>54</v>
      </c>
      <c r="AS139" s="26">
        <f t="shared" si="821"/>
        <v>0.4907407407407407</v>
      </c>
      <c r="AT139" s="13">
        <f t="shared" si="822"/>
        <v>600</v>
      </c>
      <c r="AU139" s="13">
        <f t="shared" si="822"/>
        <v>600</v>
      </c>
      <c r="AV139" s="13">
        <f t="shared" si="822"/>
        <v>600</v>
      </c>
      <c r="AW139" s="13">
        <f t="shared" si="822"/>
        <v>600</v>
      </c>
      <c r="AX139" s="13">
        <f t="shared" si="822"/>
        <v>600</v>
      </c>
      <c r="AY139" s="13">
        <f t="shared" si="822"/>
        <v>600</v>
      </c>
      <c r="AZ139" s="13">
        <f t="shared" si="822"/>
        <v>600</v>
      </c>
      <c r="BA139" s="13">
        <f t="shared" si="822"/>
        <v>600</v>
      </c>
      <c r="BB139" s="13">
        <f t="shared" si="822"/>
        <v>600</v>
      </c>
      <c r="BC139" s="13">
        <f>-($F$3*$F$2)/$B$8*P75</f>
        <v>-3065639626.6756153</v>
      </c>
      <c r="BD139" s="13">
        <f t="shared" ref="BD139:BO139" si="847">-($F$3*$F$2)/$B$8*Q75</f>
        <v>-3105595008.1796336</v>
      </c>
      <c r="BE139" s="13">
        <f t="shared" si="847"/>
        <v>-3134315912.9899068</v>
      </c>
      <c r="BF139" s="13">
        <f t="shared" si="847"/>
        <v>-3154847052.5365334</v>
      </c>
      <c r="BG139" s="13">
        <f t="shared" si="847"/>
        <v>-3169183184.9632554</v>
      </c>
      <c r="BH139" s="13">
        <f t="shared" si="847"/>
        <v>-3178601477.0766797</v>
      </c>
      <c r="BI139" s="13">
        <f t="shared" si="847"/>
        <v>-3183865577.9728341</v>
      </c>
      <c r="BJ139" s="13">
        <f t="shared" si="847"/>
        <v>-3185342825.6038475</v>
      </c>
      <c r="BK139" s="13">
        <f t="shared" si="847"/>
        <v>-3183057684.9316678</v>
      </c>
      <c r="BL139" s="13">
        <f t="shared" si="847"/>
        <v>-3176691660.6721931</v>
      </c>
      <c r="BM139" s="13">
        <f t="shared" si="847"/>
        <v>-3165529243.797081</v>
      </c>
      <c r="BN139" s="13">
        <f t="shared" si="847"/>
        <v>-3148338702.8564234</v>
      </c>
      <c r="BO139" s="13">
        <f t="shared" si="847"/>
        <v>-3123162843.2496343</v>
      </c>
      <c r="BP139" s="13">
        <f t="shared" si="835"/>
        <v>650</v>
      </c>
      <c r="BQ139" s="13">
        <f t="shared" si="835"/>
        <v>650</v>
      </c>
      <c r="BR139" s="13">
        <f t="shared" si="835"/>
        <v>650</v>
      </c>
      <c r="BS139" s="13">
        <f t="shared" si="835"/>
        <v>650</v>
      </c>
      <c r="BT139" s="13">
        <f t="shared" si="835"/>
        <v>650</v>
      </c>
      <c r="BU139" s="13">
        <f t="shared" si="835"/>
        <v>650</v>
      </c>
      <c r="BV139" s="13">
        <f t="shared" si="835"/>
        <v>650</v>
      </c>
      <c r="BW139" s="13">
        <f t="shared" si="835"/>
        <v>650</v>
      </c>
      <c r="BX139" s="13">
        <f t="shared" si="835"/>
        <v>650</v>
      </c>
      <c r="BY139" s="25">
        <v>54</v>
      </c>
      <c r="BZ139" s="26">
        <f t="shared" si="836"/>
        <v>0.4907407407407407</v>
      </c>
      <c r="CC139" s="84"/>
      <c r="CD139" s="85"/>
      <c r="CE139" s="25">
        <v>54</v>
      </c>
      <c r="CF139" s="26">
        <f t="shared" si="837"/>
        <v>0.4907407407407407</v>
      </c>
      <c r="CG139" s="13">
        <f t="shared" si="838"/>
        <v>600</v>
      </c>
      <c r="CH139" s="13">
        <f t="shared" si="838"/>
        <v>600</v>
      </c>
      <c r="CI139" s="13">
        <f t="shared" si="838"/>
        <v>600</v>
      </c>
      <c r="CJ139" s="13">
        <f t="shared" si="838"/>
        <v>600</v>
      </c>
      <c r="CK139" s="13">
        <f t="shared" si="838"/>
        <v>600</v>
      </c>
      <c r="CL139" s="13">
        <f t="shared" si="838"/>
        <v>600</v>
      </c>
      <c r="CM139" s="13">
        <f t="shared" si="838"/>
        <v>600</v>
      </c>
      <c r="CN139" s="13">
        <f t="shared" si="838"/>
        <v>600</v>
      </c>
      <c r="CO139" s="13">
        <f t="shared" si="838"/>
        <v>600</v>
      </c>
      <c r="CP139" s="13">
        <f>$O$2/($O$3-$O$4*CP138)</f>
        <v>0.11511132164850782</v>
      </c>
      <c r="CQ139" s="13">
        <f t="shared" ref="CQ139:DB139" si="848">$O$2/($O$3-$O$4*CQ138)</f>
        <v>0.11511132164850782</v>
      </c>
      <c r="CR139" s="13">
        <f t="shared" si="848"/>
        <v>0.11511132164850782</v>
      </c>
      <c r="CS139" s="13">
        <f t="shared" si="848"/>
        <v>0.11511132164850782</v>
      </c>
      <c r="CT139" s="13">
        <f t="shared" si="848"/>
        <v>0.11511132164850782</v>
      </c>
      <c r="CU139" s="13">
        <f t="shared" si="848"/>
        <v>0.11511132164850782</v>
      </c>
      <c r="CV139" s="13">
        <f t="shared" si="848"/>
        <v>0.11511132164850782</v>
      </c>
      <c r="CW139" s="13">
        <f t="shared" si="848"/>
        <v>0.11511132164850782</v>
      </c>
      <c r="CX139" s="13">
        <f t="shared" si="848"/>
        <v>0.11511132164850782</v>
      </c>
      <c r="CY139" s="13">
        <f t="shared" si="848"/>
        <v>0.11511132164850782</v>
      </c>
      <c r="CZ139" s="13">
        <f t="shared" si="848"/>
        <v>0.11511132164850782</v>
      </c>
      <c r="DA139" s="13">
        <f t="shared" si="848"/>
        <v>0.11511132164850782</v>
      </c>
      <c r="DB139" s="13">
        <f t="shared" si="848"/>
        <v>0.11511132164850782</v>
      </c>
      <c r="DC139" s="13">
        <f t="shared" si="839"/>
        <v>650</v>
      </c>
      <c r="DD139" s="13">
        <f t="shared" si="839"/>
        <v>650</v>
      </c>
      <c r="DE139" s="13">
        <f t="shared" si="839"/>
        <v>650</v>
      </c>
      <c r="DF139" s="13">
        <f t="shared" si="839"/>
        <v>650</v>
      </c>
      <c r="DG139" s="13">
        <f t="shared" si="839"/>
        <v>650</v>
      </c>
      <c r="DH139" s="13">
        <f t="shared" si="839"/>
        <v>650</v>
      </c>
      <c r="DI139" s="13">
        <f t="shared" si="839"/>
        <v>650</v>
      </c>
      <c r="DJ139" s="13">
        <f t="shared" si="839"/>
        <v>650</v>
      </c>
      <c r="DK139" s="13">
        <f t="shared" si="839"/>
        <v>650</v>
      </c>
      <c r="DL139" s="25">
        <v>54</v>
      </c>
      <c r="DM139" s="26">
        <f t="shared" si="840"/>
        <v>0.4907407407407407</v>
      </c>
      <c r="DQ139" s="84"/>
      <c r="DR139" s="85"/>
      <c r="DS139" s="25">
        <v>54</v>
      </c>
      <c r="DT139" s="26">
        <f t="shared" si="841"/>
        <v>0.4907407407407407</v>
      </c>
      <c r="DU139" s="13">
        <f t="shared" si="842"/>
        <v>600</v>
      </c>
      <c r="DV139" s="13">
        <f t="shared" si="842"/>
        <v>600</v>
      </c>
      <c r="DW139" s="13">
        <f t="shared" si="842"/>
        <v>600</v>
      </c>
      <c r="DX139" s="13">
        <f t="shared" si="842"/>
        <v>600</v>
      </c>
      <c r="DY139" s="13">
        <f t="shared" si="842"/>
        <v>600</v>
      </c>
      <c r="DZ139" s="13">
        <f t="shared" si="842"/>
        <v>600</v>
      </c>
      <c r="EA139" s="13">
        <f t="shared" si="842"/>
        <v>600</v>
      </c>
      <c r="EB139" s="13">
        <f t="shared" si="842"/>
        <v>600</v>
      </c>
      <c r="EC139" s="13">
        <f t="shared" si="842"/>
        <v>600</v>
      </c>
      <c r="ED139" s="13">
        <f>(ED138*$O$4-BC139)/($O$3-$O$4*CP138)</f>
        <v>767.06477686660605</v>
      </c>
      <c r="EE139" s="13">
        <f t="shared" ref="EE139:EP139" si="849">(EE138*$O$4-BD139)/($O$3-$O$4*CQ138)</f>
        <v>775.63689168272163</v>
      </c>
      <c r="EF139" s="13">
        <f t="shared" si="849"/>
        <v>781.79873733126408</v>
      </c>
      <c r="EG139" s="13">
        <f t="shared" si="849"/>
        <v>786.20353285252997</v>
      </c>
      <c r="EH139" s="13">
        <f t="shared" si="849"/>
        <v>789.2792380155139</v>
      </c>
      <c r="EI139" s="13">
        <f t="shared" si="849"/>
        <v>791.29985897641916</v>
      </c>
      <c r="EJ139" s="13">
        <f t="shared" si="849"/>
        <v>792.42923068022617</v>
      </c>
      <c r="EK139" s="13">
        <f t="shared" si="849"/>
        <v>792.74616261350297</v>
      </c>
      <c r="EL139" s="13">
        <f t="shared" si="849"/>
        <v>792.2559035426209</v>
      </c>
      <c r="EM139" s="13">
        <f t="shared" si="849"/>
        <v>790.89012279368956</v>
      </c>
      <c r="EN139" s="13">
        <f t="shared" si="849"/>
        <v>788.49531349699487</v>
      </c>
      <c r="EO139" s="13">
        <f t="shared" si="849"/>
        <v>784.80721729699667</v>
      </c>
      <c r="EP139" s="13">
        <f t="shared" si="849"/>
        <v>779.4059333892933</v>
      </c>
      <c r="EQ139" s="13">
        <f t="shared" si="844"/>
        <v>650</v>
      </c>
      <c r="ER139" s="13">
        <f t="shared" si="844"/>
        <v>650</v>
      </c>
      <c r="ES139" s="13">
        <f t="shared" si="844"/>
        <v>650</v>
      </c>
      <c r="ET139" s="13">
        <f t="shared" si="844"/>
        <v>650</v>
      </c>
      <c r="EU139" s="13">
        <f t="shared" si="844"/>
        <v>650</v>
      </c>
      <c r="EV139" s="13">
        <f t="shared" si="844"/>
        <v>650</v>
      </c>
      <c r="EW139" s="13">
        <f t="shared" si="844"/>
        <v>650</v>
      </c>
      <c r="EX139" s="13">
        <f t="shared" si="844"/>
        <v>650</v>
      </c>
      <c r="EY139" s="13">
        <f t="shared" si="844"/>
        <v>650</v>
      </c>
      <c r="EZ139" s="25">
        <v>54</v>
      </c>
      <c r="FA139" s="26">
        <f t="shared" si="845"/>
        <v>0.4907407407407407</v>
      </c>
    </row>
    <row r="140" spans="3:157" x14ac:dyDescent="0.25">
      <c r="C140" s="84"/>
      <c r="D140" s="85"/>
      <c r="E140" s="25">
        <v>53</v>
      </c>
      <c r="F140" s="26">
        <f t="shared" si="816"/>
        <v>0.48148148148148145</v>
      </c>
      <c r="G140" s="13">
        <f t="shared" si="817"/>
        <v>600</v>
      </c>
      <c r="H140" s="13">
        <f t="shared" si="817"/>
        <v>600</v>
      </c>
      <c r="I140" s="13">
        <f t="shared" si="817"/>
        <v>600</v>
      </c>
      <c r="J140" s="13">
        <f t="shared" si="817"/>
        <v>600</v>
      </c>
      <c r="K140" s="13">
        <f t="shared" si="817"/>
        <v>600</v>
      </c>
      <c r="L140" s="13">
        <f t="shared" si="817"/>
        <v>600</v>
      </c>
      <c r="M140" s="13">
        <f t="shared" si="817"/>
        <v>600</v>
      </c>
      <c r="N140" s="13">
        <f t="shared" si="817"/>
        <v>600</v>
      </c>
      <c r="O140" s="13">
        <f t="shared" si="817"/>
        <v>600</v>
      </c>
      <c r="P140" s="13">
        <f t="shared" ref="P140:P141" si="850">CP140*P141+ED140</f>
        <v>803.53530436737776</v>
      </c>
      <c r="Q140" s="13">
        <f t="shared" ref="Q140:Q141" si="851">CQ140*Q141+EE140</f>
        <v>812.61831611580055</v>
      </c>
      <c r="R140" s="13">
        <f t="shared" ref="R140:R141" si="852">CR140*R141+EF140</f>
        <v>820.12711312745432</v>
      </c>
      <c r="S140" s="13">
        <f t="shared" ref="S140:S141" si="853">CS140*S141+EG140</f>
        <v>826.00311312361862</v>
      </c>
      <c r="T140" s="13">
        <f t="shared" ref="T140:T141" si="854">CT140*T141+EH140</f>
        <v>830.42967018770912</v>
      </c>
      <c r="U140" s="13">
        <f t="shared" ref="U140:U141" si="855">CU140*U141+EI140</f>
        <v>833.5485480114429</v>
      </c>
      <c r="V140" s="13">
        <f t="shared" ref="V140:V141" si="856">CV140*V141+EJ140</f>
        <v>835.45795640553899</v>
      </c>
      <c r="W140" s="13">
        <f t="shared" ref="W140:W141" si="857">CW140*W141+EK140</f>
        <v>836.21335406794606</v>
      </c>
      <c r="X140" s="13">
        <f t="shared" ref="X140:X141" si="858">CX140*X141+EL140</f>
        <v>835.82862020328639</v>
      </c>
      <c r="Y140" s="13">
        <f t="shared" ref="Y140:Y141" si="859">CY140*Y141+EM140</f>
        <v>834.27723742243256</v>
      </c>
      <c r="Z140" s="13">
        <f t="shared" ref="Z140:Z141" si="860">CZ140*Z141+EN140</f>
        <v>831.49341954752674</v>
      </c>
      <c r="AA140" s="13">
        <f t="shared" ref="AA140:AA141" si="861">DA140*AA141+EO140</f>
        <v>827.3751603168846</v>
      </c>
      <c r="AB140" s="13">
        <f t="shared" ref="AB140:AB141" si="862">DB140*AB141+EP140</f>
        <v>822.09254112654946</v>
      </c>
      <c r="AC140" s="13">
        <f t="shared" si="819"/>
        <v>650</v>
      </c>
      <c r="AD140" s="13">
        <f t="shared" si="819"/>
        <v>650</v>
      </c>
      <c r="AE140" s="13">
        <f t="shared" si="819"/>
        <v>650</v>
      </c>
      <c r="AF140" s="13">
        <f t="shared" si="819"/>
        <v>650</v>
      </c>
      <c r="AG140" s="13">
        <f t="shared" si="819"/>
        <v>650</v>
      </c>
      <c r="AH140" s="13">
        <f t="shared" si="819"/>
        <v>650</v>
      </c>
      <c r="AI140" s="13">
        <f t="shared" si="819"/>
        <v>650</v>
      </c>
      <c r="AJ140" s="13">
        <f t="shared" si="819"/>
        <v>650</v>
      </c>
      <c r="AK140" s="13">
        <f t="shared" si="819"/>
        <v>650</v>
      </c>
      <c r="AL140" s="25">
        <v>53</v>
      </c>
      <c r="AM140" s="26">
        <f t="shared" si="820"/>
        <v>0.48148148148148145</v>
      </c>
      <c r="AP140" s="87"/>
      <c r="AQ140" s="86"/>
      <c r="AR140" s="25">
        <v>53</v>
      </c>
      <c r="AS140" s="26">
        <f t="shared" si="821"/>
        <v>0.48148148148148145</v>
      </c>
      <c r="AT140" s="13">
        <f t="shared" si="822"/>
        <v>600</v>
      </c>
      <c r="AU140" s="13">
        <f t="shared" si="822"/>
        <v>600</v>
      </c>
      <c r="AV140" s="13">
        <f t="shared" si="822"/>
        <v>600</v>
      </c>
      <c r="AW140" s="13">
        <f t="shared" si="822"/>
        <v>600</v>
      </c>
      <c r="AX140" s="13">
        <f t="shared" si="822"/>
        <v>600</v>
      </c>
      <c r="AY140" s="13">
        <f t="shared" si="822"/>
        <v>600</v>
      </c>
      <c r="AZ140" s="13">
        <f t="shared" si="822"/>
        <v>600</v>
      </c>
      <c r="BA140" s="13">
        <f t="shared" si="822"/>
        <v>600</v>
      </c>
      <c r="BB140" s="13">
        <f t="shared" si="822"/>
        <v>600</v>
      </c>
      <c r="BC140" s="13">
        <f t="shared" ref="BC140:BC141" si="863">-($F$3*$F$2)/$B$8*P76</f>
        <v>-2873774602.4689441</v>
      </c>
      <c r="BD140" s="13">
        <f t="shared" ref="BD140:BD142" si="864">-($F$3*$F$2)/$B$8*Q76</f>
        <v>-2908005855.395154</v>
      </c>
      <c r="BE140" s="13">
        <f t="shared" ref="BE140:BE142" si="865">-($F$3*$F$2)/$B$8*R76</f>
        <v>-2935681315.612596</v>
      </c>
      <c r="BF140" s="13">
        <f t="shared" ref="BF140:BF142" si="866">-($F$3*$F$2)/$B$8*S76</f>
        <v>-2957440705.3150816</v>
      </c>
      <c r="BG140" s="13">
        <f t="shared" ref="BG140:BG142" si="867">-($F$3*$F$2)/$B$8*T76</f>
        <v>-2973873178.8468018</v>
      </c>
      <c r="BH140" s="13">
        <f t="shared" ref="BH140:BH142" si="868">-($F$3*$F$2)/$B$8*U76</f>
        <v>-2985457738.9818082</v>
      </c>
      <c r="BI140" s="13">
        <f t="shared" ref="BI140:BI142" si="869">-($F$3*$F$2)/$B$8*V76</f>
        <v>-2992537522.8933182</v>
      </c>
      <c r="BJ140" s="13">
        <f t="shared" ref="BJ140:BJ142" si="870">-($F$3*$F$2)/$B$8*W76</f>
        <v>-2995311779.4914827</v>
      </c>
      <c r="BK140" s="13">
        <f t="shared" ref="BK140:BK142" si="871">-($F$3*$F$2)/$B$8*X76</f>
        <v>-2993836089.4292946</v>
      </c>
      <c r="BL140" s="13">
        <f t="shared" ref="BL140:BL142" si="872">-($F$3*$F$2)/$B$8*Y76</f>
        <v>-2988027375.2390413</v>
      </c>
      <c r="BM140" s="13">
        <f t="shared" ref="BM140:BM142" si="873">-($F$3*$F$2)/$B$8*Z76</f>
        <v>-2977674365.4450965</v>
      </c>
      <c r="BN140" s="13">
        <f t="shared" ref="BN140:BN142" si="874">-($F$3*$F$2)/$B$8*AA76</f>
        <v>-2962459074.0824285</v>
      </c>
      <c r="BO140" s="13">
        <f t="shared" ref="BO140:BO141" si="875">-($F$3*$F$2)/$B$8*AB76</f>
        <v>-2941998429.5113602</v>
      </c>
      <c r="BP140" s="13">
        <f t="shared" si="835"/>
        <v>650</v>
      </c>
      <c r="BQ140" s="13">
        <f t="shared" si="835"/>
        <v>650</v>
      </c>
      <c r="BR140" s="13">
        <f t="shared" si="835"/>
        <v>650</v>
      </c>
      <c r="BS140" s="13">
        <f t="shared" si="835"/>
        <v>650</v>
      </c>
      <c r="BT140" s="13">
        <f t="shared" si="835"/>
        <v>650</v>
      </c>
      <c r="BU140" s="13">
        <f t="shared" si="835"/>
        <v>650</v>
      </c>
      <c r="BV140" s="13">
        <f t="shared" si="835"/>
        <v>650</v>
      </c>
      <c r="BW140" s="13">
        <f t="shared" si="835"/>
        <v>650</v>
      </c>
      <c r="BX140" s="13">
        <f t="shared" si="835"/>
        <v>650</v>
      </c>
      <c r="BY140" s="25">
        <v>53</v>
      </c>
      <c r="BZ140" s="26">
        <f t="shared" si="836"/>
        <v>0.48148148148148145</v>
      </c>
      <c r="CC140" s="84"/>
      <c r="CD140" s="85"/>
      <c r="CE140" s="25">
        <v>53</v>
      </c>
      <c r="CF140" s="26">
        <f t="shared" si="837"/>
        <v>0.48148148148148145</v>
      </c>
      <c r="CG140" s="13">
        <f t="shared" si="838"/>
        <v>600</v>
      </c>
      <c r="CH140" s="13">
        <f t="shared" si="838"/>
        <v>600</v>
      </c>
      <c r="CI140" s="13">
        <f t="shared" si="838"/>
        <v>600</v>
      </c>
      <c r="CJ140" s="13">
        <f t="shared" si="838"/>
        <v>600</v>
      </c>
      <c r="CK140" s="13">
        <f t="shared" si="838"/>
        <v>600</v>
      </c>
      <c r="CL140" s="13">
        <f t="shared" si="838"/>
        <v>600</v>
      </c>
      <c r="CM140" s="13">
        <f t="shared" si="838"/>
        <v>600</v>
      </c>
      <c r="CN140" s="13">
        <f t="shared" si="838"/>
        <v>600</v>
      </c>
      <c r="CO140" s="13">
        <f t="shared" si="838"/>
        <v>600</v>
      </c>
      <c r="CP140" s="13">
        <f t="shared" ref="CP140:CP142" si="876">$O$2/($O$3-$O$4*CP139)</f>
        <v>0.11665710012935292</v>
      </c>
      <c r="CQ140" s="13">
        <f t="shared" ref="CQ140:CQ142" si="877">$O$2/($O$3-$O$4*CQ139)</f>
        <v>0.11665710012935292</v>
      </c>
      <c r="CR140" s="13">
        <f t="shared" ref="CR140:CR142" si="878">$O$2/($O$3-$O$4*CR139)</f>
        <v>0.11665710012935292</v>
      </c>
      <c r="CS140" s="13">
        <f t="shared" ref="CS140:CS142" si="879">$O$2/($O$3-$O$4*CS139)</f>
        <v>0.11665710012935292</v>
      </c>
      <c r="CT140" s="13">
        <f t="shared" ref="CT140:CT142" si="880">$O$2/($O$3-$O$4*CT139)</f>
        <v>0.11665710012935292</v>
      </c>
      <c r="CU140" s="13">
        <f t="shared" ref="CU140:CU142" si="881">$O$2/($O$3-$O$4*CU139)</f>
        <v>0.11665710012935292</v>
      </c>
      <c r="CV140" s="13">
        <f t="shared" ref="CV140:CV142" si="882">$O$2/($O$3-$O$4*CV139)</f>
        <v>0.11665710012935292</v>
      </c>
      <c r="CW140" s="13">
        <f t="shared" ref="CW140:CW142" si="883">$O$2/($O$3-$O$4*CW139)</f>
        <v>0.11665710012935292</v>
      </c>
      <c r="CX140" s="13">
        <f t="shared" ref="CX140:CX142" si="884">$O$2/($O$3-$O$4*CX139)</f>
        <v>0.11665710012935292</v>
      </c>
      <c r="CY140" s="13">
        <f t="shared" ref="CY140:CY142" si="885">$O$2/($O$3-$O$4*CY139)</f>
        <v>0.11665710012935292</v>
      </c>
      <c r="CZ140" s="13">
        <f t="shared" ref="CZ140:CZ142" si="886">$O$2/($O$3-$O$4*CZ139)</f>
        <v>0.11665710012935292</v>
      </c>
      <c r="DA140" s="13">
        <f t="shared" ref="DA140:DA142" si="887">$O$2/($O$3-$O$4*DA139)</f>
        <v>0.11665710012935292</v>
      </c>
      <c r="DB140" s="13">
        <f t="shared" ref="DB140:DB142" si="888">$O$2/($O$3-$O$4*DB139)</f>
        <v>0.11665710012935292</v>
      </c>
      <c r="DC140" s="13">
        <f t="shared" si="839"/>
        <v>650</v>
      </c>
      <c r="DD140" s="13">
        <f t="shared" si="839"/>
        <v>650</v>
      </c>
      <c r="DE140" s="13">
        <f t="shared" si="839"/>
        <v>650</v>
      </c>
      <c r="DF140" s="13">
        <f t="shared" si="839"/>
        <v>650</v>
      </c>
      <c r="DG140" s="13">
        <f t="shared" si="839"/>
        <v>650</v>
      </c>
      <c r="DH140" s="13">
        <f t="shared" si="839"/>
        <v>650</v>
      </c>
      <c r="DI140" s="13">
        <f t="shared" si="839"/>
        <v>650</v>
      </c>
      <c r="DJ140" s="13">
        <f t="shared" si="839"/>
        <v>650</v>
      </c>
      <c r="DK140" s="13">
        <f t="shared" si="839"/>
        <v>650</v>
      </c>
      <c r="DL140" s="25">
        <v>53</v>
      </c>
      <c r="DM140" s="26">
        <f t="shared" si="840"/>
        <v>0.48148148148148145</v>
      </c>
      <c r="DQ140" s="84"/>
      <c r="DR140" s="85"/>
      <c r="DS140" s="25">
        <v>53</v>
      </c>
      <c r="DT140" s="26">
        <f t="shared" si="841"/>
        <v>0.48148148148148145</v>
      </c>
      <c r="DU140" s="13">
        <f t="shared" si="842"/>
        <v>600</v>
      </c>
      <c r="DV140" s="13">
        <f t="shared" si="842"/>
        <v>600</v>
      </c>
      <c r="DW140" s="13">
        <f t="shared" si="842"/>
        <v>600</v>
      </c>
      <c r="DX140" s="13">
        <f t="shared" si="842"/>
        <v>600</v>
      </c>
      <c r="DY140" s="13">
        <f t="shared" si="842"/>
        <v>600</v>
      </c>
      <c r="DZ140" s="13">
        <f t="shared" si="842"/>
        <v>600</v>
      </c>
      <c r="EA140" s="13">
        <f t="shared" si="842"/>
        <v>600</v>
      </c>
      <c r="EB140" s="13">
        <f t="shared" si="842"/>
        <v>600</v>
      </c>
      <c r="EC140" s="13">
        <f t="shared" si="842"/>
        <v>600</v>
      </c>
      <c r="ED140" s="13">
        <f t="shared" ref="ED140:ED142" si="889">(ED139*$O$4-BC140)/($O$3-$O$4*CP139)</f>
        <v>714.30875143804928</v>
      </c>
      <c r="EE140" s="13">
        <f t="shared" ref="EE140:EE142" si="890">(EE139*$O$4-BD140)/($O$3-$O$4*CQ139)</f>
        <v>722.75141719771113</v>
      </c>
      <c r="EF140" s="13">
        <f t="shared" ref="EF140:EF142" si="891">(EF139*$O$4-BE140)/($O$3-$O$4*CR139)</f>
        <v>729.487526678878</v>
      </c>
      <c r="EG140" s="13">
        <f t="shared" ref="EG140:EG142" si="892">(EG139*$O$4-BF140)/($O$3-$O$4*CS139)</f>
        <v>734.73237295118213</v>
      </c>
      <c r="EH140" s="13">
        <f t="shared" ref="EH140:EH142" si="893">(EH139*$O$4-BG140)/($O$3-$O$4*CT139)</f>
        <v>738.66397636845988</v>
      </c>
      <c r="EI140" s="13">
        <f t="shared" ref="EI140:EI142" si="894">(EI139*$O$4-BH140)/($O$3-$O$4*CU139)</f>
        <v>741.41844799838861</v>
      </c>
      <c r="EJ140" s="13">
        <f t="shared" ref="EJ140:EJ142" si="895">(EJ139*$O$4-BI140)/($O$3-$O$4*CV139)</f>
        <v>743.08950632428923</v>
      </c>
      <c r="EK140" s="13">
        <f t="shared" ref="EK140:EK142" si="896">(EK139*$O$4-BJ140)/($O$3-$O$4*CW139)</f>
        <v>743.72966636303295</v>
      </c>
      <c r="EL140" s="13">
        <f t="shared" ref="EL140:EL142" si="897">(EL139*$O$4-BK140)/($O$3-$O$4*CX139)</f>
        <v>743.35162494253893</v>
      </c>
      <c r="EM140" s="13">
        <f t="shared" ref="EM140:EM142" si="898">(EM139*$O$4-BL140)/($O$3-$O$4*CY139)</f>
        <v>741.92934783772114</v>
      </c>
      <c r="EN140" s="13">
        <f t="shared" ref="EN140:EN142" si="899">(EN139*$O$4-BM140)/($O$3-$O$4*CZ139)</f>
        <v>739.39899206724328</v>
      </c>
      <c r="EO140" s="13">
        <f t="shared" ref="EO140:EO142" si="900">(EO139*$O$4-BN140)/($O$3-$O$4*DA139)</f>
        <v>735.66059249946807</v>
      </c>
      <c r="EP140" s="13">
        <f t="shared" ref="EP140:EP142" si="901">(EP139*$O$4-BO140)/($O$3-$O$4*DB139)</f>
        <v>730.58187607197362</v>
      </c>
      <c r="EQ140" s="13">
        <f t="shared" si="844"/>
        <v>650</v>
      </c>
      <c r="ER140" s="13">
        <f t="shared" si="844"/>
        <v>650</v>
      </c>
      <c r="ES140" s="13">
        <f t="shared" si="844"/>
        <v>650</v>
      </c>
      <c r="ET140" s="13">
        <f t="shared" si="844"/>
        <v>650</v>
      </c>
      <c r="EU140" s="13">
        <f t="shared" si="844"/>
        <v>650</v>
      </c>
      <c r="EV140" s="13">
        <f t="shared" si="844"/>
        <v>650</v>
      </c>
      <c r="EW140" s="13">
        <f t="shared" si="844"/>
        <v>650</v>
      </c>
      <c r="EX140" s="13">
        <f t="shared" si="844"/>
        <v>650</v>
      </c>
      <c r="EY140" s="13">
        <f t="shared" si="844"/>
        <v>650</v>
      </c>
      <c r="EZ140" s="25">
        <v>53</v>
      </c>
      <c r="FA140" s="26">
        <f t="shared" si="845"/>
        <v>0.48148148148148145</v>
      </c>
    </row>
    <row r="141" spans="3:157" x14ac:dyDescent="0.25">
      <c r="C141" s="84"/>
      <c r="D141" s="85"/>
      <c r="E141" s="25">
        <v>52</v>
      </c>
      <c r="F141" s="26">
        <f t="shared" si="816"/>
        <v>0.47222222222222221</v>
      </c>
      <c r="G141" s="13">
        <f t="shared" si="817"/>
        <v>600</v>
      </c>
      <c r="H141" s="13">
        <f t="shared" si="817"/>
        <v>600</v>
      </c>
      <c r="I141" s="13">
        <f t="shared" si="817"/>
        <v>600</v>
      </c>
      <c r="J141" s="13">
        <f t="shared" si="817"/>
        <v>600</v>
      </c>
      <c r="K141" s="13">
        <f t="shared" si="817"/>
        <v>600</v>
      </c>
      <c r="L141" s="13">
        <f t="shared" si="817"/>
        <v>600</v>
      </c>
      <c r="M141" s="13">
        <f t="shared" si="817"/>
        <v>600</v>
      </c>
      <c r="N141" s="13">
        <f t="shared" si="817"/>
        <v>600</v>
      </c>
      <c r="O141" s="13">
        <f t="shared" si="817"/>
        <v>600</v>
      </c>
      <c r="P141" s="13">
        <f t="shared" si="850"/>
        <v>764.8617429234173</v>
      </c>
      <c r="Q141" s="13">
        <f t="shared" si="851"/>
        <v>770.35087292965738</v>
      </c>
      <c r="R141" s="13">
        <f t="shared" si="852"/>
        <v>776.97445203140114</v>
      </c>
      <c r="S141" s="13">
        <f t="shared" si="853"/>
        <v>782.38478473434282</v>
      </c>
      <c r="T141" s="13">
        <f t="shared" si="854"/>
        <v>786.62759246969642</v>
      </c>
      <c r="U141" s="13">
        <f t="shared" si="855"/>
        <v>789.75133027391985</v>
      </c>
      <c r="V141" s="13">
        <f t="shared" si="856"/>
        <v>791.79449839597294</v>
      </c>
      <c r="W141" s="13">
        <f t="shared" si="857"/>
        <v>792.78233045707759</v>
      </c>
      <c r="X141" s="13">
        <f t="shared" si="858"/>
        <v>792.72496194578969</v>
      </c>
      <c r="Y141" s="13">
        <f t="shared" si="859"/>
        <v>791.6182511164194</v>
      </c>
      <c r="Z141" s="13">
        <f t="shared" si="860"/>
        <v>789.44554063290082</v>
      </c>
      <c r="AA141" s="13">
        <f t="shared" si="861"/>
        <v>786.18933366010867</v>
      </c>
      <c r="AB141" s="13">
        <f t="shared" si="862"/>
        <v>784.44145236857423</v>
      </c>
      <c r="AC141" s="13">
        <f t="shared" si="819"/>
        <v>650</v>
      </c>
      <c r="AD141" s="13">
        <f t="shared" si="819"/>
        <v>650</v>
      </c>
      <c r="AE141" s="13">
        <f t="shared" si="819"/>
        <v>650</v>
      </c>
      <c r="AF141" s="13">
        <f t="shared" si="819"/>
        <v>650</v>
      </c>
      <c r="AG141" s="13">
        <f t="shared" si="819"/>
        <v>650</v>
      </c>
      <c r="AH141" s="13">
        <f t="shared" si="819"/>
        <v>650</v>
      </c>
      <c r="AI141" s="13">
        <f t="shared" si="819"/>
        <v>650</v>
      </c>
      <c r="AJ141" s="13">
        <f t="shared" si="819"/>
        <v>650</v>
      </c>
      <c r="AK141" s="13">
        <f t="shared" si="819"/>
        <v>650</v>
      </c>
      <c r="AL141" s="25">
        <v>52</v>
      </c>
      <c r="AM141" s="26">
        <f t="shared" si="820"/>
        <v>0.47222222222222221</v>
      </c>
      <c r="AP141" s="87"/>
      <c r="AQ141" s="86"/>
      <c r="AR141" s="25">
        <v>52</v>
      </c>
      <c r="AS141" s="26">
        <f t="shared" si="821"/>
        <v>0.47222222222222221</v>
      </c>
      <c r="AT141" s="13">
        <f t="shared" si="822"/>
        <v>600</v>
      </c>
      <c r="AU141" s="13">
        <f t="shared" si="822"/>
        <v>600</v>
      </c>
      <c r="AV141" s="13">
        <f t="shared" si="822"/>
        <v>600</v>
      </c>
      <c r="AW141" s="13">
        <f t="shared" si="822"/>
        <v>600</v>
      </c>
      <c r="AX141" s="13">
        <f t="shared" si="822"/>
        <v>600</v>
      </c>
      <c r="AY141" s="13">
        <f t="shared" si="822"/>
        <v>600</v>
      </c>
      <c r="AZ141" s="13">
        <f t="shared" si="822"/>
        <v>600</v>
      </c>
      <c r="BA141" s="13">
        <f t="shared" si="822"/>
        <v>600</v>
      </c>
      <c r="BB141" s="13">
        <f t="shared" si="822"/>
        <v>600</v>
      </c>
      <c r="BC141" s="13">
        <f t="shared" si="863"/>
        <v>-2730390204.3187881</v>
      </c>
      <c r="BD141" s="13">
        <f t="shared" si="864"/>
        <v>-2758739520.0985012</v>
      </c>
      <c r="BE141" s="13">
        <f t="shared" si="865"/>
        <v>-2782639218.1292543</v>
      </c>
      <c r="BF141" s="13">
        <f t="shared" si="866"/>
        <v>-2802210896.0553079</v>
      </c>
      <c r="BG141" s="13">
        <f t="shared" si="867"/>
        <v>-2817596981.5324135</v>
      </c>
      <c r="BH141" s="13">
        <f t="shared" si="868"/>
        <v>-2828941965.1193938</v>
      </c>
      <c r="BI141" s="13">
        <f t="shared" si="869"/>
        <v>-2836366918.1629066</v>
      </c>
      <c r="BJ141" s="13">
        <f t="shared" si="870"/>
        <v>-2839954677.9168401</v>
      </c>
      <c r="BK141" s="13">
        <f t="shared" si="871"/>
        <v>-2839743161.4220815</v>
      </c>
      <c r="BL141" s="13">
        <f t="shared" si="872"/>
        <v>-2835726708.3356586</v>
      </c>
      <c r="BM141" s="13">
        <f t="shared" si="873"/>
        <v>-2827864064.420424</v>
      </c>
      <c r="BN141" s="13">
        <f t="shared" si="874"/>
        <v>-2816094444.1595778</v>
      </c>
      <c r="BO141" s="13">
        <f t="shared" si="875"/>
        <v>-2800339274.0468431</v>
      </c>
      <c r="BP141" s="13">
        <f t="shared" si="835"/>
        <v>650</v>
      </c>
      <c r="BQ141" s="13">
        <f t="shared" si="835"/>
        <v>650</v>
      </c>
      <c r="BR141" s="13">
        <f t="shared" si="835"/>
        <v>650</v>
      </c>
      <c r="BS141" s="13">
        <f t="shared" si="835"/>
        <v>650</v>
      </c>
      <c r="BT141" s="13">
        <f t="shared" si="835"/>
        <v>650</v>
      </c>
      <c r="BU141" s="13">
        <f t="shared" si="835"/>
        <v>650</v>
      </c>
      <c r="BV141" s="13">
        <f t="shared" si="835"/>
        <v>650</v>
      </c>
      <c r="BW141" s="13">
        <f t="shared" si="835"/>
        <v>650</v>
      </c>
      <c r="BX141" s="13">
        <f t="shared" si="835"/>
        <v>650</v>
      </c>
      <c r="BY141" s="25">
        <v>52</v>
      </c>
      <c r="BZ141" s="26">
        <f t="shared" si="836"/>
        <v>0.47222222222222221</v>
      </c>
      <c r="CC141" s="84"/>
      <c r="CD141" s="85"/>
      <c r="CE141" s="25">
        <v>52</v>
      </c>
      <c r="CF141" s="26">
        <f t="shared" si="837"/>
        <v>0.47222222222222221</v>
      </c>
      <c r="CG141" s="13">
        <f t="shared" si="838"/>
        <v>600</v>
      </c>
      <c r="CH141" s="13">
        <f t="shared" si="838"/>
        <v>600</v>
      </c>
      <c r="CI141" s="13">
        <f t="shared" si="838"/>
        <v>600</v>
      </c>
      <c r="CJ141" s="13">
        <f t="shared" si="838"/>
        <v>600</v>
      </c>
      <c r="CK141" s="13">
        <f t="shared" si="838"/>
        <v>600</v>
      </c>
      <c r="CL141" s="13">
        <f t="shared" si="838"/>
        <v>600</v>
      </c>
      <c r="CM141" s="13">
        <f t="shared" si="838"/>
        <v>600</v>
      </c>
      <c r="CN141" s="13">
        <f t="shared" si="838"/>
        <v>600</v>
      </c>
      <c r="CO141" s="13">
        <f t="shared" si="838"/>
        <v>600</v>
      </c>
      <c r="CP141" s="13">
        <f t="shared" si="876"/>
        <v>0.1166781402357549</v>
      </c>
      <c r="CQ141" s="13">
        <f t="shared" si="877"/>
        <v>0.1166781402357549</v>
      </c>
      <c r="CR141" s="13">
        <f t="shared" si="878"/>
        <v>0.1166781402357549</v>
      </c>
      <c r="CS141" s="13">
        <f t="shared" si="879"/>
        <v>0.1166781402357549</v>
      </c>
      <c r="CT141" s="13">
        <f t="shared" si="880"/>
        <v>0.1166781402357549</v>
      </c>
      <c r="CU141" s="13">
        <f t="shared" si="881"/>
        <v>0.1166781402357549</v>
      </c>
      <c r="CV141" s="13">
        <f t="shared" si="882"/>
        <v>0.1166781402357549</v>
      </c>
      <c r="CW141" s="13">
        <f t="shared" si="883"/>
        <v>0.1166781402357549</v>
      </c>
      <c r="CX141" s="13">
        <f t="shared" si="884"/>
        <v>0.1166781402357549</v>
      </c>
      <c r="CY141" s="13">
        <f t="shared" si="885"/>
        <v>0.1166781402357549</v>
      </c>
      <c r="CZ141" s="13">
        <f t="shared" si="886"/>
        <v>0.1166781402357549</v>
      </c>
      <c r="DA141" s="13">
        <f t="shared" si="887"/>
        <v>0.1166781402357549</v>
      </c>
      <c r="DB141" s="13">
        <f t="shared" si="888"/>
        <v>0.1166781402357549</v>
      </c>
      <c r="DC141" s="13">
        <f t="shared" si="839"/>
        <v>650</v>
      </c>
      <c r="DD141" s="13">
        <f t="shared" si="839"/>
        <v>650</v>
      </c>
      <c r="DE141" s="13">
        <f t="shared" si="839"/>
        <v>650</v>
      </c>
      <c r="DF141" s="13">
        <f t="shared" si="839"/>
        <v>650</v>
      </c>
      <c r="DG141" s="13">
        <f t="shared" si="839"/>
        <v>650</v>
      </c>
      <c r="DH141" s="13">
        <f t="shared" si="839"/>
        <v>650</v>
      </c>
      <c r="DI141" s="13">
        <f t="shared" si="839"/>
        <v>650</v>
      </c>
      <c r="DJ141" s="13">
        <f t="shared" si="839"/>
        <v>650</v>
      </c>
      <c r="DK141" s="13">
        <f t="shared" si="839"/>
        <v>650</v>
      </c>
      <c r="DL141" s="25">
        <v>52</v>
      </c>
      <c r="DM141" s="26">
        <f t="shared" si="840"/>
        <v>0.47222222222222221</v>
      </c>
      <c r="DQ141" s="84"/>
      <c r="DR141" s="85"/>
      <c r="DS141" s="25">
        <v>52</v>
      </c>
      <c r="DT141" s="26">
        <f t="shared" si="841"/>
        <v>0.47222222222222221</v>
      </c>
      <c r="DU141" s="13">
        <f t="shared" si="842"/>
        <v>600</v>
      </c>
      <c r="DV141" s="13">
        <f t="shared" si="842"/>
        <v>600</v>
      </c>
      <c r="DW141" s="13">
        <f t="shared" si="842"/>
        <v>600</v>
      </c>
      <c r="DX141" s="13">
        <f t="shared" si="842"/>
        <v>600</v>
      </c>
      <c r="DY141" s="13">
        <f t="shared" si="842"/>
        <v>600</v>
      </c>
      <c r="DZ141" s="13">
        <f t="shared" si="842"/>
        <v>600</v>
      </c>
      <c r="EA141" s="13">
        <f t="shared" si="842"/>
        <v>600</v>
      </c>
      <c r="EB141" s="13">
        <f t="shared" si="842"/>
        <v>600</v>
      </c>
      <c r="EC141" s="13">
        <f t="shared" si="842"/>
        <v>600</v>
      </c>
      <c r="ED141" s="13">
        <f t="shared" si="889"/>
        <v>677.10139438304293</v>
      </c>
      <c r="EE141" s="13">
        <f t="shared" si="890"/>
        <v>684.25137886863615</v>
      </c>
      <c r="EF141" s="13">
        <f t="shared" si="891"/>
        <v>690.2346210340279</v>
      </c>
      <c r="EG141" s="13">
        <f t="shared" si="892"/>
        <v>695.10268378844955</v>
      </c>
      <c r="EH141" s="13">
        <f t="shared" si="893"/>
        <v>698.90731087404151</v>
      </c>
      <c r="EI141" s="13">
        <f t="shared" si="894"/>
        <v>701.69580473920701</v>
      </c>
      <c r="EJ141" s="13">
        <f t="shared" si="895"/>
        <v>703.50542874661255</v>
      </c>
      <c r="EK141" s="13">
        <f t="shared" si="896"/>
        <v>704.3603242379196</v>
      </c>
      <c r="EL141" s="13">
        <f t="shared" si="897"/>
        <v>704.27021818570552</v>
      </c>
      <c r="EM141" s="13">
        <f t="shared" si="898"/>
        <v>703.23084205329724</v>
      </c>
      <c r="EN141" s="13">
        <f t="shared" si="899"/>
        <v>701.22577551538416</v>
      </c>
      <c r="EO141" s="13">
        <f t="shared" si="900"/>
        <v>698.23013626259683</v>
      </c>
      <c r="EP141" s="13">
        <f t="shared" si="901"/>
        <v>694.21140413759326</v>
      </c>
      <c r="EQ141" s="13">
        <f t="shared" si="844"/>
        <v>650</v>
      </c>
      <c r="ER141" s="13">
        <f t="shared" si="844"/>
        <v>650</v>
      </c>
      <c r="ES141" s="13">
        <f t="shared" si="844"/>
        <v>650</v>
      </c>
      <c r="ET141" s="13">
        <f t="shared" si="844"/>
        <v>650</v>
      </c>
      <c r="EU141" s="13">
        <f t="shared" si="844"/>
        <v>650</v>
      </c>
      <c r="EV141" s="13">
        <f t="shared" si="844"/>
        <v>650</v>
      </c>
      <c r="EW141" s="13">
        <f t="shared" si="844"/>
        <v>650</v>
      </c>
      <c r="EX141" s="13">
        <f t="shared" si="844"/>
        <v>650</v>
      </c>
      <c r="EY141" s="13">
        <f t="shared" si="844"/>
        <v>650</v>
      </c>
      <c r="EZ141" s="25">
        <v>52</v>
      </c>
      <c r="FA141" s="26">
        <f t="shared" si="845"/>
        <v>0.47222222222222221</v>
      </c>
    </row>
    <row r="142" spans="3:157" x14ac:dyDescent="0.25">
      <c r="C142" s="84"/>
      <c r="D142" s="85"/>
      <c r="E142" s="25">
        <v>51</v>
      </c>
      <c r="F142" s="26">
        <f t="shared" si="816"/>
        <v>0.46296296296296291</v>
      </c>
      <c r="G142" s="13">
        <f t="shared" si="817"/>
        <v>600</v>
      </c>
      <c r="H142" s="13">
        <f t="shared" si="817"/>
        <v>600</v>
      </c>
      <c r="I142" s="13">
        <f t="shared" si="817"/>
        <v>600</v>
      </c>
      <c r="J142" s="13">
        <f t="shared" si="817"/>
        <v>600</v>
      </c>
      <c r="K142" s="13">
        <f t="shared" si="817"/>
        <v>600</v>
      </c>
      <c r="L142" s="13">
        <f t="shared" si="817"/>
        <v>600</v>
      </c>
      <c r="M142" s="13">
        <f t="shared" si="817"/>
        <v>600</v>
      </c>
      <c r="N142" s="13">
        <f t="shared" si="817"/>
        <v>600</v>
      </c>
      <c r="O142" s="13">
        <f t="shared" si="817"/>
        <v>600</v>
      </c>
      <c r="P142" s="13">
        <f>($F$5*$B$5*P16+$F$4*P77)/($F$4+$F$5*$B$5)</f>
        <v>752.15758807133511</v>
      </c>
      <c r="Q142" s="13">
        <f t="shared" ref="Q142:Q143" si="902">CQ142*Q143+EE142</f>
        <v>737.92309242375848</v>
      </c>
      <c r="R142" s="13">
        <f t="shared" ref="R142:R143" si="903">CR142*R143+EF142</f>
        <v>743.41115501250192</v>
      </c>
      <c r="S142" s="13">
        <f t="shared" ref="S142:S143" si="904">CS142*S143+EG142</f>
        <v>748.058726077865</v>
      </c>
      <c r="T142" s="13">
        <f t="shared" ref="T142:T143" si="905">CT142*T143+EH142</f>
        <v>751.81419088795076</v>
      </c>
      <c r="U142" s="13">
        <f t="shared" ref="U142:U143" si="906">CU142*U143+EI142</f>
        <v>754.6874277974573</v>
      </c>
      <c r="V142" s="13">
        <f t="shared" ref="V142:V143" si="907">CV142*V143+EJ142</f>
        <v>756.68903764635945</v>
      </c>
      <c r="W142" s="13">
        <f t="shared" ref="W142:W143" si="908">CW142*W143+EK142</f>
        <v>757.82838191023825</v>
      </c>
      <c r="X142" s="13">
        <f t="shared" ref="X142:X143" si="909">CX142*X143+EL142</f>
        <v>758.108961810295</v>
      </c>
      <c r="Y142" s="13">
        <f t="shared" ref="Y142:Y143" si="910">CY142*Y143+EM142</f>
        <v>757.53186401951825</v>
      </c>
      <c r="Z142" s="13">
        <f t="shared" ref="Z142:Z143" si="911">CZ142*Z143+EN142</f>
        <v>756.09505721691778</v>
      </c>
      <c r="AA142" s="13">
        <f t="shared" ref="AA142:AA143" si="912">DA142*AA143+EO142</f>
        <v>753.86183924242516</v>
      </c>
      <c r="AB142" s="13">
        <f t="shared" ref="AB142" si="913">($F$5*$B$5*AB16+$F$4*AB77)/($F$4+$F$5*$B$5)</f>
        <v>773.32436091855732</v>
      </c>
      <c r="AC142" s="13">
        <f t="shared" si="819"/>
        <v>650</v>
      </c>
      <c r="AD142" s="13">
        <f t="shared" si="819"/>
        <v>650</v>
      </c>
      <c r="AE142" s="13">
        <f t="shared" si="819"/>
        <v>650</v>
      </c>
      <c r="AF142" s="13">
        <f t="shared" si="819"/>
        <v>650</v>
      </c>
      <c r="AG142" s="13">
        <f t="shared" si="819"/>
        <v>650</v>
      </c>
      <c r="AH142" s="13">
        <f t="shared" si="819"/>
        <v>650</v>
      </c>
      <c r="AI142" s="13">
        <f t="shared" si="819"/>
        <v>650</v>
      </c>
      <c r="AJ142" s="13">
        <f t="shared" si="819"/>
        <v>650</v>
      </c>
      <c r="AK142" s="13">
        <f t="shared" si="819"/>
        <v>650</v>
      </c>
      <c r="AL142" s="25">
        <v>51</v>
      </c>
      <c r="AM142" s="26">
        <f t="shared" si="820"/>
        <v>0.46296296296296291</v>
      </c>
      <c r="AP142" s="87"/>
      <c r="AQ142" s="86"/>
      <c r="AR142" s="25">
        <v>51</v>
      </c>
      <c r="AS142" s="26">
        <f t="shared" si="821"/>
        <v>0.46296296296296291</v>
      </c>
      <c r="AT142" s="13">
        <f t="shared" si="822"/>
        <v>600</v>
      </c>
      <c r="AU142" s="13">
        <f t="shared" si="822"/>
        <v>600</v>
      </c>
      <c r="AV142" s="13">
        <f t="shared" si="822"/>
        <v>600</v>
      </c>
      <c r="AW142" s="13">
        <f t="shared" si="822"/>
        <v>600</v>
      </c>
      <c r="AX142" s="13">
        <f t="shared" si="822"/>
        <v>600</v>
      </c>
      <c r="AY142" s="13">
        <f t="shared" si="822"/>
        <v>600</v>
      </c>
      <c r="AZ142" s="13">
        <f t="shared" si="822"/>
        <v>600</v>
      </c>
      <c r="BA142" s="13">
        <f t="shared" si="822"/>
        <v>600</v>
      </c>
      <c r="BB142" s="13">
        <f t="shared" si="822"/>
        <v>600</v>
      </c>
      <c r="BC142" s="52"/>
      <c r="BD142" s="13">
        <f t="shared" si="864"/>
        <v>-2643619847.7255974</v>
      </c>
      <c r="BE142" s="13">
        <f t="shared" si="865"/>
        <v>-2663493753.8665056</v>
      </c>
      <c r="BF142" s="13">
        <f t="shared" si="866"/>
        <v>-2680174620.4792619</v>
      </c>
      <c r="BG142" s="13">
        <f t="shared" si="867"/>
        <v>-2693672413.4367909</v>
      </c>
      <c r="BH142" s="13">
        <f t="shared" si="868"/>
        <v>-2704011321.1690383</v>
      </c>
      <c r="BI142" s="13">
        <f t="shared" si="869"/>
        <v>-2711219978.0116239</v>
      </c>
      <c r="BJ142" s="13">
        <f t="shared" si="870"/>
        <v>-2715323287.5323687</v>
      </c>
      <c r="BK142" s="13">
        <f t="shared" si="871"/>
        <v>-2716334881.119555</v>
      </c>
      <c r="BL142" s="13">
        <f t="shared" si="872"/>
        <v>-2714258041.4693599</v>
      </c>
      <c r="BM142" s="13">
        <f t="shared" si="873"/>
        <v>-2709085180.2728701</v>
      </c>
      <c r="BN142" s="13">
        <f t="shared" si="874"/>
        <v>-2700797582.6288042</v>
      </c>
      <c r="BO142" s="52"/>
      <c r="BP142" s="13">
        <f t="shared" si="835"/>
        <v>650</v>
      </c>
      <c r="BQ142" s="13">
        <f t="shared" si="835"/>
        <v>650</v>
      </c>
      <c r="BR142" s="13">
        <f t="shared" si="835"/>
        <v>650</v>
      </c>
      <c r="BS142" s="13">
        <f t="shared" si="835"/>
        <v>650</v>
      </c>
      <c r="BT142" s="13">
        <f t="shared" si="835"/>
        <v>650</v>
      </c>
      <c r="BU142" s="13">
        <f t="shared" si="835"/>
        <v>650</v>
      </c>
      <c r="BV142" s="13">
        <f t="shared" si="835"/>
        <v>650</v>
      </c>
      <c r="BW142" s="13">
        <f t="shared" si="835"/>
        <v>650</v>
      </c>
      <c r="BX142" s="13">
        <f t="shared" si="835"/>
        <v>650</v>
      </c>
      <c r="BY142" s="25">
        <v>51</v>
      </c>
      <c r="BZ142" s="26">
        <f t="shared" si="836"/>
        <v>0.46296296296296291</v>
      </c>
      <c r="CC142" s="84"/>
      <c r="CD142" s="85"/>
      <c r="CE142" s="25">
        <v>51</v>
      </c>
      <c r="CF142" s="26">
        <f t="shared" si="837"/>
        <v>0.46296296296296291</v>
      </c>
      <c r="CG142" s="13">
        <f t="shared" si="838"/>
        <v>600</v>
      </c>
      <c r="CH142" s="13">
        <f t="shared" si="838"/>
        <v>600</v>
      </c>
      <c r="CI142" s="13">
        <f t="shared" si="838"/>
        <v>600</v>
      </c>
      <c r="CJ142" s="13">
        <f t="shared" si="838"/>
        <v>600</v>
      </c>
      <c r="CK142" s="13">
        <f t="shared" si="838"/>
        <v>600</v>
      </c>
      <c r="CL142" s="13">
        <f t="shared" si="838"/>
        <v>600</v>
      </c>
      <c r="CM142" s="13">
        <f t="shared" si="838"/>
        <v>600</v>
      </c>
      <c r="CN142" s="13">
        <f t="shared" si="838"/>
        <v>600</v>
      </c>
      <c r="CO142" s="13">
        <f t="shared" si="838"/>
        <v>600</v>
      </c>
      <c r="CP142" s="13">
        <f t="shared" si="876"/>
        <v>0.11667842667201472</v>
      </c>
      <c r="CQ142" s="13">
        <f t="shared" si="877"/>
        <v>0.11667842667201472</v>
      </c>
      <c r="CR142" s="13">
        <f t="shared" si="878"/>
        <v>0.11667842667201472</v>
      </c>
      <c r="CS142" s="13">
        <f t="shared" si="879"/>
        <v>0.11667842667201472</v>
      </c>
      <c r="CT142" s="13">
        <f t="shared" si="880"/>
        <v>0.11667842667201472</v>
      </c>
      <c r="CU142" s="13">
        <f t="shared" si="881"/>
        <v>0.11667842667201472</v>
      </c>
      <c r="CV142" s="13">
        <f t="shared" si="882"/>
        <v>0.11667842667201472</v>
      </c>
      <c r="CW142" s="13">
        <f t="shared" si="883"/>
        <v>0.11667842667201472</v>
      </c>
      <c r="CX142" s="13">
        <f t="shared" si="884"/>
        <v>0.11667842667201472</v>
      </c>
      <c r="CY142" s="13">
        <f t="shared" si="885"/>
        <v>0.11667842667201472</v>
      </c>
      <c r="CZ142" s="13">
        <f t="shared" si="886"/>
        <v>0.11667842667201472</v>
      </c>
      <c r="DA142" s="13">
        <f t="shared" si="887"/>
        <v>0.11667842667201472</v>
      </c>
      <c r="DB142" s="13">
        <f t="shared" si="888"/>
        <v>0.11667842667201472</v>
      </c>
      <c r="DC142" s="13">
        <f t="shared" si="839"/>
        <v>650</v>
      </c>
      <c r="DD142" s="13">
        <f t="shared" si="839"/>
        <v>650</v>
      </c>
      <c r="DE142" s="13">
        <f t="shared" si="839"/>
        <v>650</v>
      </c>
      <c r="DF142" s="13">
        <f t="shared" si="839"/>
        <v>650</v>
      </c>
      <c r="DG142" s="13">
        <f t="shared" si="839"/>
        <v>650</v>
      </c>
      <c r="DH142" s="13">
        <f t="shared" si="839"/>
        <v>650</v>
      </c>
      <c r="DI142" s="13">
        <f t="shared" si="839"/>
        <v>650</v>
      </c>
      <c r="DJ142" s="13">
        <f t="shared" si="839"/>
        <v>650</v>
      </c>
      <c r="DK142" s="13">
        <f t="shared" si="839"/>
        <v>650</v>
      </c>
      <c r="DL142" s="25">
        <v>51</v>
      </c>
      <c r="DM142" s="26">
        <f t="shared" si="840"/>
        <v>0.46296296296296291</v>
      </c>
      <c r="DQ142" s="84"/>
      <c r="DR142" s="85"/>
      <c r="DS142" s="25">
        <v>51</v>
      </c>
      <c r="DT142" s="26">
        <f t="shared" si="841"/>
        <v>0.46296296296296291</v>
      </c>
      <c r="DU142" s="13">
        <f t="shared" si="842"/>
        <v>600</v>
      </c>
      <c r="DV142" s="13">
        <f t="shared" si="842"/>
        <v>600</v>
      </c>
      <c r="DW142" s="13">
        <f t="shared" si="842"/>
        <v>600</v>
      </c>
      <c r="DX142" s="13">
        <f t="shared" si="842"/>
        <v>600</v>
      </c>
      <c r="DY142" s="13">
        <f t="shared" si="842"/>
        <v>600</v>
      </c>
      <c r="DZ142" s="13">
        <f t="shared" si="842"/>
        <v>600</v>
      </c>
      <c r="EA142" s="13">
        <f t="shared" si="842"/>
        <v>600</v>
      </c>
      <c r="EB142" s="13">
        <f t="shared" si="842"/>
        <v>600</v>
      </c>
      <c r="EC142" s="13">
        <f t="shared" si="842"/>
        <v>600</v>
      </c>
      <c r="ED142" s="13">
        <f t="shared" si="889"/>
        <v>79.003125394040794</v>
      </c>
      <c r="EE142" s="13">
        <f t="shared" si="890"/>
        <v>654.72667428298541</v>
      </c>
      <c r="EF142" s="13">
        <f t="shared" si="891"/>
        <v>659.74662729028967</v>
      </c>
      <c r="EG142" s="13">
        <f t="shared" si="892"/>
        <v>663.9420952087404</v>
      </c>
      <c r="EH142" s="13">
        <f t="shared" si="893"/>
        <v>667.32128262461958</v>
      </c>
      <c r="EI142" s="13">
        <f t="shared" si="894"/>
        <v>669.89496879986837</v>
      </c>
      <c r="EJ142" s="13">
        <f t="shared" si="895"/>
        <v>671.67372847134334</v>
      </c>
      <c r="EK142" s="13">
        <f t="shared" si="896"/>
        <v>672.66579401546392</v>
      </c>
      <c r="EL142" s="13">
        <f t="shared" si="897"/>
        <v>672.87526468163037</v>
      </c>
      <c r="EM142" s="13">
        <f t="shared" si="898"/>
        <v>672.30235628840592</v>
      </c>
      <c r="EN142" s="13">
        <f t="shared" si="899"/>
        <v>670.94350276222929</v>
      </c>
      <c r="EO142" s="13">
        <f t="shared" si="900"/>
        <v>668.79173107725137</v>
      </c>
      <c r="EP142" s="13">
        <f t="shared" si="901"/>
        <v>80.999494412544564</v>
      </c>
      <c r="EQ142" s="13">
        <f t="shared" si="844"/>
        <v>650</v>
      </c>
      <c r="ER142" s="13">
        <f t="shared" si="844"/>
        <v>650</v>
      </c>
      <c r="ES142" s="13">
        <f t="shared" si="844"/>
        <v>650</v>
      </c>
      <c r="ET142" s="13">
        <f t="shared" si="844"/>
        <v>650</v>
      </c>
      <c r="EU142" s="13">
        <f t="shared" si="844"/>
        <v>650</v>
      </c>
      <c r="EV142" s="13">
        <f t="shared" si="844"/>
        <v>650</v>
      </c>
      <c r="EW142" s="13">
        <f t="shared" si="844"/>
        <v>650</v>
      </c>
      <c r="EX142" s="13">
        <f t="shared" si="844"/>
        <v>650</v>
      </c>
      <c r="EY142" s="13">
        <f t="shared" si="844"/>
        <v>650</v>
      </c>
      <c r="EZ142" s="25">
        <v>51</v>
      </c>
      <c r="FA142" s="26">
        <f t="shared" si="845"/>
        <v>0.46296296296296291</v>
      </c>
    </row>
    <row r="143" spans="3:157" x14ac:dyDescent="0.25">
      <c r="C143" s="84"/>
      <c r="D143" s="85"/>
      <c r="E143" s="25">
        <v>50</v>
      </c>
      <c r="F143" s="26">
        <f t="shared" si="816"/>
        <v>0.45370370370370366</v>
      </c>
      <c r="G143" s="13">
        <f t="shared" si="817"/>
        <v>600</v>
      </c>
      <c r="H143" s="13">
        <f t="shared" si="817"/>
        <v>600</v>
      </c>
      <c r="I143" s="13">
        <f t="shared" si="817"/>
        <v>600</v>
      </c>
      <c r="J143" s="13">
        <f t="shared" si="817"/>
        <v>600</v>
      </c>
      <c r="K143" s="13">
        <f t="shared" si="817"/>
        <v>600</v>
      </c>
      <c r="L143" s="13">
        <f t="shared" si="817"/>
        <v>600</v>
      </c>
      <c r="M143" s="13">
        <f t="shared" si="817"/>
        <v>600</v>
      </c>
      <c r="N143" s="13">
        <f t="shared" si="817"/>
        <v>600</v>
      </c>
      <c r="O143" s="13">
        <f t="shared" si="817"/>
        <v>600</v>
      </c>
      <c r="P143" s="13">
        <f t="shared" ref="P143:P184" si="914">$R$2</f>
        <v>600</v>
      </c>
      <c r="Q143" s="13">
        <f t="shared" si="902"/>
        <v>713.04028099932998</v>
      </c>
      <c r="R143" s="13">
        <f t="shared" si="903"/>
        <v>717.05224443413874</v>
      </c>
      <c r="S143" s="13">
        <f t="shared" si="904"/>
        <v>720.92702368689027</v>
      </c>
      <c r="T143" s="13">
        <f t="shared" si="905"/>
        <v>724.15193342332577</v>
      </c>
      <c r="U143" s="13">
        <f t="shared" si="906"/>
        <v>726.71925235966796</v>
      </c>
      <c r="V143" s="13">
        <f t="shared" si="907"/>
        <v>728.62920421438116</v>
      </c>
      <c r="W143" s="13">
        <f t="shared" si="908"/>
        <v>729.89146600483423</v>
      </c>
      <c r="X143" s="13">
        <f t="shared" si="909"/>
        <v>730.50091229168015</v>
      </c>
      <c r="Y143" s="13">
        <f t="shared" si="910"/>
        <v>730.46500678907978</v>
      </c>
      <c r="Z143" s="13">
        <f t="shared" si="911"/>
        <v>729.79690319317638</v>
      </c>
      <c r="AA143" s="13">
        <f t="shared" si="912"/>
        <v>729.09886250272734</v>
      </c>
      <c r="AB143" s="13">
        <f t="shared" ref="AB143:AB184" si="915">$R$3</f>
        <v>650</v>
      </c>
      <c r="AC143" s="13">
        <f t="shared" si="819"/>
        <v>650</v>
      </c>
      <c r="AD143" s="13">
        <f t="shared" si="819"/>
        <v>650</v>
      </c>
      <c r="AE143" s="13">
        <f t="shared" si="819"/>
        <v>650</v>
      </c>
      <c r="AF143" s="13">
        <f t="shared" si="819"/>
        <v>650</v>
      </c>
      <c r="AG143" s="13">
        <f t="shared" si="819"/>
        <v>650</v>
      </c>
      <c r="AH143" s="13">
        <f t="shared" si="819"/>
        <v>650</v>
      </c>
      <c r="AI143" s="13">
        <f t="shared" si="819"/>
        <v>650</v>
      </c>
      <c r="AJ143" s="13">
        <f t="shared" si="819"/>
        <v>650</v>
      </c>
      <c r="AK143" s="13">
        <f t="shared" si="819"/>
        <v>650</v>
      </c>
      <c r="AL143" s="25">
        <v>50</v>
      </c>
      <c r="AM143" s="26">
        <f t="shared" si="820"/>
        <v>0.45370370370370366</v>
      </c>
      <c r="AP143" s="87"/>
      <c r="AQ143" s="86"/>
      <c r="AR143" s="25">
        <v>50</v>
      </c>
      <c r="AS143" s="26">
        <f t="shared" si="821"/>
        <v>0.45370370370370366</v>
      </c>
      <c r="AT143" s="13">
        <f t="shared" si="822"/>
        <v>600</v>
      </c>
      <c r="AU143" s="13">
        <f t="shared" si="822"/>
        <v>600</v>
      </c>
      <c r="AV143" s="13">
        <f t="shared" si="822"/>
        <v>600</v>
      </c>
      <c r="AW143" s="13">
        <f t="shared" si="822"/>
        <v>600</v>
      </c>
      <c r="AX143" s="13">
        <f t="shared" si="822"/>
        <v>600</v>
      </c>
      <c r="AY143" s="13">
        <f t="shared" si="822"/>
        <v>600</v>
      </c>
      <c r="AZ143" s="13">
        <f t="shared" si="822"/>
        <v>600</v>
      </c>
      <c r="BA143" s="13">
        <f t="shared" si="822"/>
        <v>600</v>
      </c>
      <c r="BB143" s="13">
        <f t="shared" si="822"/>
        <v>600</v>
      </c>
      <c r="BC143" s="13">
        <f t="shared" ref="BC143:BC184" si="916">$R$2</f>
        <v>600</v>
      </c>
      <c r="BD143" s="13">
        <f t="shared" ref="BD143" si="917">-($F$3*$F$2)/$B$8*Q79</f>
        <v>-2549602946.455986</v>
      </c>
      <c r="BE143" s="13">
        <f t="shared" ref="BE143" si="918">-($F$3*$F$2)/$B$8*R79</f>
        <v>-2568252094.368916</v>
      </c>
      <c r="BF143" s="13">
        <f t="shared" ref="BF143" si="919">-($F$3*$F$2)/$B$8*S79</f>
        <v>-2583127843.6945868</v>
      </c>
      <c r="BG143" s="13">
        <f t="shared" ref="BG143" si="920">-($F$3*$F$2)/$B$8*T79</f>
        <v>-2595079058.2871366</v>
      </c>
      <c r="BH143" s="13">
        <f t="shared" ref="BH143" si="921">-($F$3*$F$2)/$B$8*U79</f>
        <v>-2604439469.4256325</v>
      </c>
      <c r="BI143" s="13">
        <f t="shared" ref="BI143" si="922">-($F$3*$F$2)/$B$8*V79</f>
        <v>-2611341026.3050385</v>
      </c>
      <c r="BJ143" s="13">
        <f t="shared" ref="BJ143" si="923">-($F$3*$F$2)/$B$8*W79</f>
        <v>-2615827519.9440303</v>
      </c>
      <c r="BK143" s="13">
        <f t="shared" ref="BK143" si="924">-($F$3*$F$2)/$B$8*X79</f>
        <v>-2617862435.1548166</v>
      </c>
      <c r="BL143" s="13">
        <f t="shared" ref="BL143" si="925">-($F$3*$F$2)/$B$8*Y79</f>
        <v>-2617313234.0958419</v>
      </c>
      <c r="BM143" s="13">
        <f t="shared" ref="BM143" si="926">-($F$3*$F$2)/$B$8*Z79</f>
        <v>-2613813301.7416286</v>
      </c>
      <c r="BN143" s="13">
        <f t="shared" ref="BN143" si="927">-($F$3*$F$2)/$B$8*AA79</f>
        <v>-2606403180.6079221</v>
      </c>
      <c r="BO143" s="13">
        <f t="shared" ref="BO143:BO184" si="928">$R$3</f>
        <v>650</v>
      </c>
      <c r="BP143" s="13">
        <f t="shared" si="835"/>
        <v>650</v>
      </c>
      <c r="BQ143" s="13">
        <f t="shared" si="835"/>
        <v>650</v>
      </c>
      <c r="BR143" s="13">
        <f t="shared" si="835"/>
        <v>650</v>
      </c>
      <c r="BS143" s="13">
        <f t="shared" si="835"/>
        <v>650</v>
      </c>
      <c r="BT143" s="13">
        <f t="shared" si="835"/>
        <v>650</v>
      </c>
      <c r="BU143" s="13">
        <f t="shared" si="835"/>
        <v>650</v>
      </c>
      <c r="BV143" s="13">
        <f t="shared" si="835"/>
        <v>650</v>
      </c>
      <c r="BW143" s="13">
        <f t="shared" si="835"/>
        <v>650</v>
      </c>
      <c r="BX143" s="13">
        <f t="shared" si="835"/>
        <v>650</v>
      </c>
      <c r="BY143" s="25">
        <v>50</v>
      </c>
      <c r="BZ143" s="26">
        <f t="shared" si="836"/>
        <v>0.45370370370370366</v>
      </c>
      <c r="CC143" s="84"/>
      <c r="CD143" s="85"/>
      <c r="CE143" s="25">
        <v>50</v>
      </c>
      <c r="CF143" s="26">
        <f t="shared" si="837"/>
        <v>0.45370370370370366</v>
      </c>
      <c r="CG143" s="13">
        <f t="shared" si="838"/>
        <v>600</v>
      </c>
      <c r="CH143" s="13">
        <f t="shared" si="838"/>
        <v>600</v>
      </c>
      <c r="CI143" s="13">
        <f t="shared" si="838"/>
        <v>600</v>
      </c>
      <c r="CJ143" s="13">
        <f t="shared" si="838"/>
        <v>600</v>
      </c>
      <c r="CK143" s="13">
        <f t="shared" si="838"/>
        <v>600</v>
      </c>
      <c r="CL143" s="13">
        <f t="shared" si="838"/>
        <v>600</v>
      </c>
      <c r="CM143" s="13">
        <f t="shared" si="838"/>
        <v>600</v>
      </c>
      <c r="CN143" s="13">
        <f t="shared" si="838"/>
        <v>600</v>
      </c>
      <c r="CO143" s="13">
        <f t="shared" si="838"/>
        <v>600</v>
      </c>
      <c r="CP143" s="13">
        <f t="shared" ref="CP143:CP184" si="929">$R$2</f>
        <v>600</v>
      </c>
      <c r="CQ143" s="13">
        <f t="shared" ref="CQ143:CQ144" si="930">$O$2/($O$3-$O$4*CQ142)</f>
        <v>0.11667843057151663</v>
      </c>
      <c r="CR143" s="13">
        <f t="shared" ref="CR143:CR144" si="931">$O$2/($O$3-$O$4*CR142)</f>
        <v>0.11667843057151663</v>
      </c>
      <c r="CS143" s="13">
        <f t="shared" ref="CS143:CS144" si="932">$O$2/($O$3-$O$4*CS142)</f>
        <v>0.11667843057151663</v>
      </c>
      <c r="CT143" s="13">
        <f t="shared" ref="CT143:CT144" si="933">$O$2/($O$3-$O$4*CT142)</f>
        <v>0.11667843057151663</v>
      </c>
      <c r="CU143" s="13">
        <f t="shared" ref="CU143:CU144" si="934">$O$2/($O$3-$O$4*CU142)</f>
        <v>0.11667843057151663</v>
      </c>
      <c r="CV143" s="13">
        <f t="shared" ref="CV143:CV144" si="935">$O$2/($O$3-$O$4*CV142)</f>
        <v>0.11667843057151663</v>
      </c>
      <c r="CW143" s="13">
        <f t="shared" ref="CW143:CW144" si="936">$O$2/($O$3-$O$4*CW142)</f>
        <v>0.11667843057151663</v>
      </c>
      <c r="CX143" s="13">
        <f t="shared" ref="CX143:CX144" si="937">$O$2/($O$3-$O$4*CX142)</f>
        <v>0.11667843057151663</v>
      </c>
      <c r="CY143" s="13">
        <f t="shared" ref="CY143:CY144" si="938">$O$2/($O$3-$O$4*CY142)</f>
        <v>0.11667843057151663</v>
      </c>
      <c r="CZ143" s="13">
        <f t="shared" ref="CZ143:CZ144" si="939">$O$2/($O$3-$O$4*CZ142)</f>
        <v>0.11667843057151663</v>
      </c>
      <c r="DA143" s="13">
        <f t="shared" ref="DA143:DA144" si="940">$O$2/($O$3-$O$4*DA142)</f>
        <v>0.11667843057151663</v>
      </c>
      <c r="DB143" s="13">
        <f t="shared" ref="DB143:DB184" si="941">$R$3</f>
        <v>650</v>
      </c>
      <c r="DC143" s="13">
        <f t="shared" si="839"/>
        <v>650</v>
      </c>
      <c r="DD143" s="13">
        <f t="shared" si="839"/>
        <v>650</v>
      </c>
      <c r="DE143" s="13">
        <f t="shared" si="839"/>
        <v>650</v>
      </c>
      <c r="DF143" s="13">
        <f t="shared" si="839"/>
        <v>650</v>
      </c>
      <c r="DG143" s="13">
        <f t="shared" si="839"/>
        <v>650</v>
      </c>
      <c r="DH143" s="13">
        <f t="shared" si="839"/>
        <v>650</v>
      </c>
      <c r="DI143" s="13">
        <f t="shared" si="839"/>
        <v>650</v>
      </c>
      <c r="DJ143" s="13">
        <f t="shared" si="839"/>
        <v>650</v>
      </c>
      <c r="DK143" s="13">
        <f t="shared" si="839"/>
        <v>650</v>
      </c>
      <c r="DL143" s="25">
        <v>50</v>
      </c>
      <c r="DM143" s="26">
        <f t="shared" si="840"/>
        <v>0.45370370370370366</v>
      </c>
      <c r="DQ143" s="84"/>
      <c r="DR143" s="85"/>
      <c r="DS143" s="25">
        <v>50</v>
      </c>
      <c r="DT143" s="26">
        <f t="shared" si="841"/>
        <v>0.45370370370370366</v>
      </c>
      <c r="DU143" s="13">
        <f t="shared" si="842"/>
        <v>600</v>
      </c>
      <c r="DV143" s="13">
        <f t="shared" si="842"/>
        <v>600</v>
      </c>
      <c r="DW143" s="13">
        <f t="shared" si="842"/>
        <v>600</v>
      </c>
      <c r="DX143" s="13">
        <f t="shared" si="842"/>
        <v>600</v>
      </c>
      <c r="DY143" s="13">
        <f t="shared" si="842"/>
        <v>600</v>
      </c>
      <c r="DZ143" s="13">
        <f t="shared" si="842"/>
        <v>600</v>
      </c>
      <c r="EA143" s="13">
        <f t="shared" si="842"/>
        <v>600</v>
      </c>
      <c r="EB143" s="13">
        <f t="shared" si="842"/>
        <v>600</v>
      </c>
      <c r="EC143" s="13">
        <f t="shared" si="842"/>
        <v>600</v>
      </c>
      <c r="ED143" s="13">
        <f t="shared" ref="ED143:ED184" si="942">$R$2</f>
        <v>600</v>
      </c>
      <c r="EE143" s="13">
        <f t="shared" ref="EE143:EE144" si="943">(EE142*$O$4-BD143)/($O$3-$O$4*CQ142)</f>
        <v>630.83660910567232</v>
      </c>
      <c r="EF143" s="13">
        <f t="shared" ref="EF143:EF144" si="944">(EF142*$O$4-BE143)/($O$3-$O$4*CR142)</f>
        <v>635.47782770021001</v>
      </c>
      <c r="EG143" s="13">
        <f t="shared" ref="EG143:EG144" si="945">(EG142*$O$4-BF143)/($O$3-$O$4*CS142)</f>
        <v>639.20227235389575</v>
      </c>
      <c r="EH143" s="13">
        <f t="shared" ref="EH143:EH144" si="946">(EH142*$O$4-BG143)/($O$3-$O$4*CT142)</f>
        <v>642.19549678628005</v>
      </c>
      <c r="EI143" s="13">
        <f t="shared" ref="EI143:EI144" si="947">(EI142*$O$4-BH143)/($O$3-$O$4*CU142)</f>
        <v>644.53133288666766</v>
      </c>
      <c r="EJ143" s="13">
        <f t="shared" ref="EJ143:EJ144" si="948">(EJ142*$O$4-BI143)/($O$3-$O$4*CV142)</f>
        <v>646.23970855736991</v>
      </c>
      <c r="EK143" s="13">
        <f t="shared" ref="EK143:EK144" si="949">(EK142*$O$4-BJ143)/($O$3-$O$4*CW142)</f>
        <v>647.3311072623975</v>
      </c>
      <c r="EL143" s="13">
        <f t="shared" ref="EL143:EL144" si="950">(EL142*$O$4-BK143)/($O$3-$O$4*CX142)</f>
        <v>647.79806659599274</v>
      </c>
      <c r="EM143" s="13">
        <f t="shared" ref="EM143:EM144" si="951">(EM142*$O$4-BL143)/($O$3-$O$4*CY142)</f>
        <v>647.61178967210265</v>
      </c>
      <c r="EN143" s="13">
        <f t="shared" ref="EN143:EN144" si="952">(EN142*$O$4-BM143)/($O$3-$O$4*CZ142)</f>
        <v>646.69213522906239</v>
      </c>
      <c r="EO143" s="13">
        <f t="shared" ref="EO143:EO144" si="953">(EO142*$O$4-BN143)/($O$3-$O$4*DA142)</f>
        <v>644.82964322896271</v>
      </c>
      <c r="EP143" s="13">
        <f t="shared" ref="EP143:EP184" si="954">$R$3</f>
        <v>650</v>
      </c>
      <c r="EQ143" s="13">
        <f t="shared" si="844"/>
        <v>650</v>
      </c>
      <c r="ER143" s="13">
        <f t="shared" si="844"/>
        <v>650</v>
      </c>
      <c r="ES143" s="13">
        <f t="shared" si="844"/>
        <v>650</v>
      </c>
      <c r="ET143" s="13">
        <f t="shared" si="844"/>
        <v>650</v>
      </c>
      <c r="EU143" s="13">
        <f t="shared" si="844"/>
        <v>650</v>
      </c>
      <c r="EV143" s="13">
        <f t="shared" si="844"/>
        <v>650</v>
      </c>
      <c r="EW143" s="13">
        <f t="shared" si="844"/>
        <v>650</v>
      </c>
      <c r="EX143" s="13">
        <f t="shared" si="844"/>
        <v>650</v>
      </c>
      <c r="EY143" s="13">
        <f t="shared" si="844"/>
        <v>650</v>
      </c>
      <c r="EZ143" s="25">
        <v>50</v>
      </c>
      <c r="FA143" s="26">
        <f t="shared" si="845"/>
        <v>0.45370370370370366</v>
      </c>
    </row>
    <row r="144" spans="3:157" x14ac:dyDescent="0.25">
      <c r="C144" s="84"/>
      <c r="D144" s="85"/>
      <c r="E144" s="25">
        <v>49</v>
      </c>
      <c r="F144" s="26">
        <f t="shared" si="816"/>
        <v>0.44444444444444442</v>
      </c>
      <c r="G144" s="13">
        <f t="shared" si="817"/>
        <v>600</v>
      </c>
      <c r="H144" s="13">
        <f t="shared" si="817"/>
        <v>600</v>
      </c>
      <c r="I144" s="13">
        <f t="shared" si="817"/>
        <v>600</v>
      </c>
      <c r="J144" s="13">
        <f t="shared" si="817"/>
        <v>600</v>
      </c>
      <c r="K144" s="13">
        <f t="shared" si="817"/>
        <v>600</v>
      </c>
      <c r="L144" s="13">
        <f t="shared" si="817"/>
        <v>600</v>
      </c>
      <c r="M144" s="13">
        <f t="shared" si="817"/>
        <v>600</v>
      </c>
      <c r="N144" s="13">
        <f t="shared" si="817"/>
        <v>600</v>
      </c>
      <c r="O144" s="13">
        <f t="shared" si="817"/>
        <v>600</v>
      </c>
      <c r="P144" s="13">
        <f t="shared" si="914"/>
        <v>600</v>
      </c>
      <c r="Q144" s="13">
        <f t="shared" ref="Q144" si="955">($F$5*$B$5*Q18+$F$4*Q79)/($F$4+$F$5*$B$5)</f>
        <v>704.53186155321032</v>
      </c>
      <c r="R144" s="13">
        <f t="shared" ref="R144" si="956">CR144*R145+EF144</f>
        <v>699.138789700541</v>
      </c>
      <c r="S144" s="13">
        <f t="shared" ref="S144" si="957">CS144*S145+EG144</f>
        <v>700.42724205912532</v>
      </c>
      <c r="T144" s="13">
        <f t="shared" ref="T144" si="958">CT144*T145+EH144</f>
        <v>702.41291587146895</v>
      </c>
      <c r="U144" s="13">
        <f t="shared" ref="U144" si="959">CU144*U145+EI144</f>
        <v>704.39685441795757</v>
      </c>
      <c r="V144" s="13">
        <f t="shared" ref="V144" si="960">CV144*V145+EJ144</f>
        <v>706.12447607882098</v>
      </c>
      <c r="W144" s="13">
        <f t="shared" ref="W144" si="961">CW144*W145+EK144</f>
        <v>707.58886915120456</v>
      </c>
      <c r="X144" s="13">
        <f t="shared" ref="X144" si="962">CX144*X145+EL144</f>
        <v>708.81006275616369</v>
      </c>
      <c r="Y144" s="13">
        <f t="shared" ref="Y144" si="963">CY144*Y145+EM144</f>
        <v>710.09883070198828</v>
      </c>
      <c r="Z144" s="13">
        <f t="shared" ref="Z144" si="964">CZ144*Z145+EN144</f>
        <v>712.25476343012679</v>
      </c>
      <c r="AA144" s="13">
        <f t="shared" ref="AA144" si="965">($F$5*$B$5*AA18+$F$4*AA79)/($F$4+$F$5*$B$5)</f>
        <v>722.23476833717666</v>
      </c>
      <c r="AB144" s="13">
        <f t="shared" si="915"/>
        <v>650</v>
      </c>
      <c r="AC144" s="13">
        <f t="shared" si="819"/>
        <v>650</v>
      </c>
      <c r="AD144" s="13">
        <f t="shared" si="819"/>
        <v>650</v>
      </c>
      <c r="AE144" s="13">
        <f t="shared" si="819"/>
        <v>650</v>
      </c>
      <c r="AF144" s="13">
        <f t="shared" si="819"/>
        <v>650</v>
      </c>
      <c r="AG144" s="13">
        <f t="shared" si="819"/>
        <v>650</v>
      </c>
      <c r="AH144" s="13">
        <f t="shared" si="819"/>
        <v>650</v>
      </c>
      <c r="AI144" s="13">
        <f t="shared" si="819"/>
        <v>650</v>
      </c>
      <c r="AJ144" s="13">
        <f t="shared" si="819"/>
        <v>650</v>
      </c>
      <c r="AK144" s="13">
        <f t="shared" si="819"/>
        <v>650</v>
      </c>
      <c r="AL144" s="25">
        <v>49</v>
      </c>
      <c r="AM144" s="26">
        <f t="shared" si="820"/>
        <v>0.44444444444444442</v>
      </c>
      <c r="AP144" s="87"/>
      <c r="AQ144" s="86"/>
      <c r="AR144" s="25">
        <v>49</v>
      </c>
      <c r="AS144" s="26">
        <f t="shared" si="821"/>
        <v>0.44444444444444442</v>
      </c>
      <c r="AT144" s="13">
        <f t="shared" si="822"/>
        <v>600</v>
      </c>
      <c r="AU144" s="13">
        <f t="shared" si="822"/>
        <v>600</v>
      </c>
      <c r="AV144" s="13">
        <f t="shared" si="822"/>
        <v>600</v>
      </c>
      <c r="AW144" s="13">
        <f t="shared" si="822"/>
        <v>600</v>
      </c>
      <c r="AX144" s="13">
        <f t="shared" si="822"/>
        <v>600</v>
      </c>
      <c r="AY144" s="13">
        <f t="shared" si="822"/>
        <v>600</v>
      </c>
      <c r="AZ144" s="13">
        <f t="shared" si="822"/>
        <v>600</v>
      </c>
      <c r="BA144" s="13">
        <f t="shared" si="822"/>
        <v>600</v>
      </c>
      <c r="BB144" s="13">
        <f t="shared" si="822"/>
        <v>600</v>
      </c>
      <c r="BC144" s="13">
        <f t="shared" si="916"/>
        <v>600</v>
      </c>
      <c r="BD144" s="52"/>
      <c r="BE144" s="13">
        <f t="shared" ref="BE144" si="966">-($F$3*$F$2)/$B$8*R80</f>
        <v>-2502642591.7409935</v>
      </c>
      <c r="BF144" s="13">
        <f t="shared" ref="BF144" si="967">-($F$3*$F$2)/$B$8*S80</f>
        <v>-2511539557.5911665</v>
      </c>
      <c r="BG144" s="13">
        <f t="shared" ref="BG144" si="968">-($F$3*$F$2)/$B$8*T80</f>
        <v>-2519233000.5200238</v>
      </c>
      <c r="BH144" s="13">
        <f t="shared" ref="BH144" si="969">-($F$3*$F$2)/$B$8*U80</f>
        <v>-2526220137.3856516</v>
      </c>
      <c r="BI144" s="13">
        <f t="shared" ref="BI144" si="970">-($F$3*$F$2)/$B$8*V80</f>
        <v>-2532390386.1025696</v>
      </c>
      <c r="BJ144" s="13">
        <f t="shared" ref="BJ144" si="971">-($F$3*$F$2)/$B$8*W80</f>
        <v>-2537720876.4463634</v>
      </c>
      <c r="BK144" s="13">
        <f t="shared" ref="BK144" si="972">-($F$3*$F$2)/$B$8*X80</f>
        <v>-2542278098.7803049</v>
      </c>
      <c r="BL144" s="13">
        <f t="shared" ref="BL144" si="973">-($F$3*$F$2)/$B$8*Y80</f>
        <v>-2546213249.6940575</v>
      </c>
      <c r="BM144" s="13">
        <f t="shared" ref="BM144" si="974">-($F$3*$F$2)/$B$8*Z80</f>
        <v>-2548927171.5666146</v>
      </c>
      <c r="BN144" s="52"/>
      <c r="BO144" s="13">
        <f t="shared" si="928"/>
        <v>650</v>
      </c>
      <c r="BP144" s="13">
        <f t="shared" si="835"/>
        <v>650</v>
      </c>
      <c r="BQ144" s="13">
        <f t="shared" si="835"/>
        <v>650</v>
      </c>
      <c r="BR144" s="13">
        <f t="shared" si="835"/>
        <v>650</v>
      </c>
      <c r="BS144" s="13">
        <f t="shared" si="835"/>
        <v>650</v>
      </c>
      <c r="BT144" s="13">
        <f t="shared" si="835"/>
        <v>650</v>
      </c>
      <c r="BU144" s="13">
        <f t="shared" si="835"/>
        <v>650</v>
      </c>
      <c r="BV144" s="13">
        <f t="shared" si="835"/>
        <v>650</v>
      </c>
      <c r="BW144" s="13">
        <f t="shared" si="835"/>
        <v>650</v>
      </c>
      <c r="BX144" s="13">
        <f t="shared" si="835"/>
        <v>650</v>
      </c>
      <c r="BY144" s="25">
        <v>49</v>
      </c>
      <c r="BZ144" s="26">
        <f t="shared" si="836"/>
        <v>0.44444444444444442</v>
      </c>
      <c r="CC144" s="84"/>
      <c r="CD144" s="85"/>
      <c r="CE144" s="25">
        <v>49</v>
      </c>
      <c r="CF144" s="26">
        <f t="shared" si="837"/>
        <v>0.44444444444444442</v>
      </c>
      <c r="CG144" s="13">
        <f t="shared" si="838"/>
        <v>600</v>
      </c>
      <c r="CH144" s="13">
        <f t="shared" si="838"/>
        <v>600</v>
      </c>
      <c r="CI144" s="13">
        <f t="shared" si="838"/>
        <v>600</v>
      </c>
      <c r="CJ144" s="13">
        <f t="shared" si="838"/>
        <v>600</v>
      </c>
      <c r="CK144" s="13">
        <f t="shared" si="838"/>
        <v>600</v>
      </c>
      <c r="CL144" s="13">
        <f t="shared" si="838"/>
        <v>600</v>
      </c>
      <c r="CM144" s="13">
        <f t="shared" si="838"/>
        <v>600</v>
      </c>
      <c r="CN144" s="13">
        <f t="shared" si="838"/>
        <v>600</v>
      </c>
      <c r="CO144" s="13">
        <f t="shared" si="838"/>
        <v>600</v>
      </c>
      <c r="CP144" s="13">
        <f t="shared" si="929"/>
        <v>600</v>
      </c>
      <c r="CQ144" s="13">
        <f t="shared" si="930"/>
        <v>0.1166784306246039</v>
      </c>
      <c r="CR144" s="13">
        <f t="shared" si="931"/>
        <v>0.1166784306246039</v>
      </c>
      <c r="CS144" s="13">
        <f t="shared" si="932"/>
        <v>0.1166784306246039</v>
      </c>
      <c r="CT144" s="13">
        <f t="shared" si="933"/>
        <v>0.1166784306246039</v>
      </c>
      <c r="CU144" s="13">
        <f t="shared" si="934"/>
        <v>0.1166784306246039</v>
      </c>
      <c r="CV144" s="13">
        <f t="shared" si="935"/>
        <v>0.1166784306246039</v>
      </c>
      <c r="CW144" s="13">
        <f t="shared" si="936"/>
        <v>0.1166784306246039</v>
      </c>
      <c r="CX144" s="13">
        <f t="shared" si="937"/>
        <v>0.1166784306246039</v>
      </c>
      <c r="CY144" s="13">
        <f t="shared" si="938"/>
        <v>0.1166784306246039</v>
      </c>
      <c r="CZ144" s="13">
        <f t="shared" si="939"/>
        <v>0.1166784306246039</v>
      </c>
      <c r="DA144" s="13">
        <f t="shared" si="940"/>
        <v>0.1166784306246039</v>
      </c>
      <c r="DB144" s="13">
        <f t="shared" si="941"/>
        <v>650</v>
      </c>
      <c r="DC144" s="13">
        <f t="shared" si="839"/>
        <v>650</v>
      </c>
      <c r="DD144" s="13">
        <f t="shared" si="839"/>
        <v>650</v>
      </c>
      <c r="DE144" s="13">
        <f t="shared" si="839"/>
        <v>650</v>
      </c>
      <c r="DF144" s="13">
        <f t="shared" si="839"/>
        <v>650</v>
      </c>
      <c r="DG144" s="13">
        <f t="shared" si="839"/>
        <v>650</v>
      </c>
      <c r="DH144" s="13">
        <f t="shared" si="839"/>
        <v>650</v>
      </c>
      <c r="DI144" s="13">
        <f t="shared" si="839"/>
        <v>650</v>
      </c>
      <c r="DJ144" s="13">
        <f t="shared" si="839"/>
        <v>650</v>
      </c>
      <c r="DK144" s="13">
        <f t="shared" si="839"/>
        <v>650</v>
      </c>
      <c r="DL144" s="25">
        <v>49</v>
      </c>
      <c r="DM144" s="26">
        <f t="shared" si="840"/>
        <v>0.44444444444444442</v>
      </c>
      <c r="DQ144" s="84"/>
      <c r="DR144" s="85"/>
      <c r="DS144" s="25">
        <v>49</v>
      </c>
      <c r="DT144" s="26">
        <f t="shared" si="841"/>
        <v>0.44444444444444442</v>
      </c>
      <c r="DU144" s="13">
        <f t="shared" si="842"/>
        <v>600</v>
      </c>
      <c r="DV144" s="13">
        <f t="shared" si="842"/>
        <v>600</v>
      </c>
      <c r="DW144" s="13">
        <f t="shared" si="842"/>
        <v>600</v>
      </c>
      <c r="DX144" s="13">
        <f t="shared" si="842"/>
        <v>600</v>
      </c>
      <c r="DY144" s="13">
        <f t="shared" si="842"/>
        <v>600</v>
      </c>
      <c r="DZ144" s="13">
        <f t="shared" si="842"/>
        <v>600</v>
      </c>
      <c r="EA144" s="13">
        <f t="shared" si="842"/>
        <v>600</v>
      </c>
      <c r="EB144" s="13">
        <f t="shared" si="842"/>
        <v>600</v>
      </c>
      <c r="EC144" s="13">
        <f t="shared" si="842"/>
        <v>600</v>
      </c>
      <c r="ED144" s="13">
        <f t="shared" si="942"/>
        <v>600</v>
      </c>
      <c r="EE144" s="13">
        <f t="shared" si="943"/>
        <v>73.605025530996556</v>
      </c>
      <c r="EF144" s="13">
        <f t="shared" si="944"/>
        <v>618.37854782472937</v>
      </c>
      <c r="EG144" s="13">
        <f t="shared" si="945"/>
        <v>620.74787044891002</v>
      </c>
      <c r="EH144" s="13">
        <f t="shared" si="946"/>
        <v>622.77015382373986</v>
      </c>
      <c r="EI144" s="13">
        <f t="shared" si="947"/>
        <v>624.56213877328571</v>
      </c>
      <c r="EJ144" s="13">
        <f t="shared" si="948"/>
        <v>626.10326973384304</v>
      </c>
      <c r="EK144" s="13">
        <f t="shared" si="949"/>
        <v>627.38979647351607</v>
      </c>
      <c r="EL144" s="13">
        <f t="shared" si="950"/>
        <v>628.43530747976467</v>
      </c>
      <c r="EM144" s="13">
        <f t="shared" si="951"/>
        <v>629.269322430599</v>
      </c>
      <c r="EN144" s="13">
        <f t="shared" si="952"/>
        <v>629.75219599723698</v>
      </c>
      <c r="EO144" s="13">
        <f t="shared" si="953"/>
        <v>75.237710792178603</v>
      </c>
      <c r="EP144" s="13">
        <f t="shared" si="954"/>
        <v>650</v>
      </c>
      <c r="EQ144" s="13">
        <f t="shared" si="844"/>
        <v>650</v>
      </c>
      <c r="ER144" s="13">
        <f t="shared" si="844"/>
        <v>650</v>
      </c>
      <c r="ES144" s="13">
        <f t="shared" si="844"/>
        <v>650</v>
      </c>
      <c r="ET144" s="13">
        <f t="shared" si="844"/>
        <v>650</v>
      </c>
      <c r="EU144" s="13">
        <f t="shared" si="844"/>
        <v>650</v>
      </c>
      <c r="EV144" s="13">
        <f t="shared" si="844"/>
        <v>650</v>
      </c>
      <c r="EW144" s="13">
        <f t="shared" si="844"/>
        <v>650</v>
      </c>
      <c r="EX144" s="13">
        <f t="shared" si="844"/>
        <v>650</v>
      </c>
      <c r="EY144" s="13">
        <f t="shared" si="844"/>
        <v>650</v>
      </c>
      <c r="EZ144" s="25">
        <v>49</v>
      </c>
      <c r="FA144" s="26">
        <f t="shared" si="845"/>
        <v>0.44444444444444442</v>
      </c>
    </row>
    <row r="145" spans="3:157" x14ac:dyDescent="0.25">
      <c r="C145" s="84"/>
      <c r="D145" s="85"/>
      <c r="E145" s="25">
        <v>48</v>
      </c>
      <c r="F145" s="26">
        <f t="shared" si="816"/>
        <v>0.43518518518518517</v>
      </c>
      <c r="G145" s="13">
        <f t="shared" si="817"/>
        <v>600</v>
      </c>
      <c r="H145" s="13">
        <f t="shared" si="817"/>
        <v>600</v>
      </c>
      <c r="I145" s="13">
        <f t="shared" si="817"/>
        <v>600</v>
      </c>
      <c r="J145" s="13">
        <f t="shared" si="817"/>
        <v>600</v>
      </c>
      <c r="K145" s="13">
        <f t="shared" si="817"/>
        <v>600</v>
      </c>
      <c r="L145" s="13">
        <f t="shared" si="817"/>
        <v>600</v>
      </c>
      <c r="M145" s="13">
        <f t="shared" si="817"/>
        <v>600</v>
      </c>
      <c r="N145" s="13">
        <f t="shared" si="817"/>
        <v>600</v>
      </c>
      <c r="O145" s="13">
        <f t="shared" si="817"/>
        <v>600</v>
      </c>
      <c r="P145" s="13">
        <f t="shared" si="914"/>
        <v>600</v>
      </c>
      <c r="Q145" s="13">
        <f t="shared" ref="Q145:Q183" si="975">$R$2</f>
        <v>600</v>
      </c>
      <c r="R145" s="13">
        <f t="shared" ref="R145" si="976">($F$5*$B$5*R19+$F$4*R80)/($F$4+$F$5*$B$5)</f>
        <v>692.16085135431865</v>
      </c>
      <c r="S145" s="13">
        <f t="shared" ref="S145" si="977">CS145*S146+EG145</f>
        <v>682.89718316980282</v>
      </c>
      <c r="T145" s="13">
        <f t="shared" ref="T145" si="978">CT145*T146+EH145</f>
        <v>682.58341855803894</v>
      </c>
      <c r="U145" s="13">
        <f t="shared" ref="U145" si="979">CU145*U146+EI145</f>
        <v>684.2285692162643</v>
      </c>
      <c r="V145" s="13">
        <f t="shared" ref="V145" si="980">CV145*V146+EJ145</f>
        <v>685.82689976723054</v>
      </c>
      <c r="W145" s="13">
        <f t="shared" ref="W145" si="981">CW145*W146+EK145</f>
        <v>687.35131462058791</v>
      </c>
      <c r="X145" s="13">
        <f t="shared" ref="X145" si="982">CX145*X146+EL145</f>
        <v>688.8570136411347</v>
      </c>
      <c r="Y145" s="13">
        <f t="shared" ref="Y145" si="983">CY145*Y146+EM145</f>
        <v>692.75450345614115</v>
      </c>
      <c r="Z145" s="13">
        <f t="shared" ref="Z145" si="984">($F$5*$B$5*Z19+$F$4*Z80)/($F$4+$F$5*$B$5)</f>
        <v>707.09356469088902</v>
      </c>
      <c r="AA145" s="13">
        <f t="shared" ref="AA145:AA183" si="985">$R$3</f>
        <v>650</v>
      </c>
      <c r="AB145" s="13">
        <f t="shared" si="915"/>
        <v>650</v>
      </c>
      <c r="AC145" s="13">
        <f t="shared" si="819"/>
        <v>650</v>
      </c>
      <c r="AD145" s="13">
        <f t="shared" si="819"/>
        <v>650</v>
      </c>
      <c r="AE145" s="13">
        <f t="shared" si="819"/>
        <v>650</v>
      </c>
      <c r="AF145" s="13">
        <f t="shared" si="819"/>
        <v>650</v>
      </c>
      <c r="AG145" s="13">
        <f t="shared" si="819"/>
        <v>650</v>
      </c>
      <c r="AH145" s="13">
        <f t="shared" si="819"/>
        <v>650</v>
      </c>
      <c r="AI145" s="13">
        <f t="shared" si="819"/>
        <v>650</v>
      </c>
      <c r="AJ145" s="13">
        <f t="shared" si="819"/>
        <v>650</v>
      </c>
      <c r="AK145" s="13">
        <f t="shared" si="819"/>
        <v>650</v>
      </c>
      <c r="AL145" s="25">
        <v>48</v>
      </c>
      <c r="AM145" s="26">
        <f t="shared" si="820"/>
        <v>0.43518518518518517</v>
      </c>
      <c r="AP145" s="87"/>
      <c r="AQ145" s="86"/>
      <c r="AR145" s="25">
        <v>48</v>
      </c>
      <c r="AS145" s="26">
        <f t="shared" si="821"/>
        <v>0.43518518518518517</v>
      </c>
      <c r="AT145" s="13">
        <f t="shared" si="822"/>
        <v>600</v>
      </c>
      <c r="AU145" s="13">
        <f t="shared" si="822"/>
        <v>600</v>
      </c>
      <c r="AV145" s="13">
        <f t="shared" si="822"/>
        <v>600</v>
      </c>
      <c r="AW145" s="13">
        <f t="shared" si="822"/>
        <v>600</v>
      </c>
      <c r="AX145" s="13">
        <f t="shared" si="822"/>
        <v>600</v>
      </c>
      <c r="AY145" s="13">
        <f t="shared" si="822"/>
        <v>600</v>
      </c>
      <c r="AZ145" s="13">
        <f t="shared" si="822"/>
        <v>600</v>
      </c>
      <c r="BA145" s="13">
        <f t="shared" si="822"/>
        <v>600</v>
      </c>
      <c r="BB145" s="13">
        <f t="shared" si="822"/>
        <v>600</v>
      </c>
      <c r="BC145" s="13">
        <f t="shared" si="916"/>
        <v>600</v>
      </c>
      <c r="BD145" s="13">
        <f t="shared" ref="BD145:BD183" si="986">$R$2</f>
        <v>600</v>
      </c>
      <c r="BE145" s="52"/>
      <c r="BF145" s="13">
        <f t="shared" ref="BF145" si="987">-($F$3*$F$2)/$B$8*S81</f>
        <v>-2444129576.8347607</v>
      </c>
      <c r="BG145" s="13">
        <f t="shared" ref="BG145" si="988">-($F$3*$F$2)/$B$8*T81</f>
        <v>-2449347624.3109579</v>
      </c>
      <c r="BH145" s="13">
        <f t="shared" ref="BH145" si="989">-($F$3*$F$2)/$B$8*U81</f>
        <v>-2454924862.9885201</v>
      </c>
      <c r="BI145" s="13">
        <f t="shared" ref="BI145" si="990">-($F$3*$F$2)/$B$8*V81</f>
        <v>-2460581690.7402153</v>
      </c>
      <c r="BJ145" s="13">
        <f t="shared" ref="BJ145" si="991">-($F$3*$F$2)/$B$8*W81</f>
        <v>-2466252043.2612433</v>
      </c>
      <c r="BK145" s="13">
        <f t="shared" ref="BK145" si="992">-($F$3*$F$2)/$B$8*X81</f>
        <v>-2472110316.0153561</v>
      </c>
      <c r="BL145" s="13">
        <f t="shared" ref="BL145" si="993">-($F$3*$F$2)/$B$8*Y81</f>
        <v>-2478550926.707232</v>
      </c>
      <c r="BM145" s="52"/>
      <c r="BN145" s="13">
        <f t="shared" ref="BN145:BN183" si="994">$R$3</f>
        <v>650</v>
      </c>
      <c r="BO145" s="13">
        <f t="shared" si="928"/>
        <v>650</v>
      </c>
      <c r="BP145" s="13">
        <f t="shared" si="835"/>
        <v>650</v>
      </c>
      <c r="BQ145" s="13">
        <f t="shared" si="835"/>
        <v>650</v>
      </c>
      <c r="BR145" s="13">
        <f t="shared" si="835"/>
        <v>650</v>
      </c>
      <c r="BS145" s="13">
        <f t="shared" si="835"/>
        <v>650</v>
      </c>
      <c r="BT145" s="13">
        <f t="shared" si="835"/>
        <v>650</v>
      </c>
      <c r="BU145" s="13">
        <f t="shared" si="835"/>
        <v>650</v>
      </c>
      <c r="BV145" s="13">
        <f t="shared" si="835"/>
        <v>650</v>
      </c>
      <c r="BW145" s="13">
        <f t="shared" si="835"/>
        <v>650</v>
      </c>
      <c r="BX145" s="13">
        <f t="shared" si="835"/>
        <v>650</v>
      </c>
      <c r="BY145" s="25">
        <v>48</v>
      </c>
      <c r="BZ145" s="26">
        <f t="shared" si="836"/>
        <v>0.43518518518518517</v>
      </c>
      <c r="CC145" s="84"/>
      <c r="CD145" s="85"/>
      <c r="CE145" s="25">
        <v>48</v>
      </c>
      <c r="CF145" s="26">
        <f t="shared" si="837"/>
        <v>0.43518518518518517</v>
      </c>
      <c r="CG145" s="13">
        <f t="shared" si="838"/>
        <v>600</v>
      </c>
      <c r="CH145" s="13">
        <f t="shared" si="838"/>
        <v>600</v>
      </c>
      <c r="CI145" s="13">
        <f t="shared" si="838"/>
        <v>600</v>
      </c>
      <c r="CJ145" s="13">
        <f t="shared" si="838"/>
        <v>600</v>
      </c>
      <c r="CK145" s="13">
        <f t="shared" si="838"/>
        <v>600</v>
      </c>
      <c r="CL145" s="13">
        <f t="shared" si="838"/>
        <v>600</v>
      </c>
      <c r="CM145" s="13">
        <f t="shared" si="838"/>
        <v>600</v>
      </c>
      <c r="CN145" s="13">
        <f t="shared" si="838"/>
        <v>600</v>
      </c>
      <c r="CO145" s="13">
        <f t="shared" si="838"/>
        <v>600</v>
      </c>
      <c r="CP145" s="13">
        <f t="shared" si="929"/>
        <v>600</v>
      </c>
      <c r="CQ145" s="13">
        <f t="shared" ref="CQ145:CQ183" si="995">$R$2</f>
        <v>600</v>
      </c>
      <c r="CR145" s="13">
        <f t="shared" ref="CR145" si="996">$O$2/($O$3-$O$4*CR144)</f>
        <v>0.11667843062532661</v>
      </c>
      <c r="CS145" s="13">
        <f t="shared" ref="CS145" si="997">$O$2/($O$3-$O$4*CS144)</f>
        <v>0.11667843062532661</v>
      </c>
      <c r="CT145" s="13">
        <f t="shared" ref="CT145" si="998">$O$2/($O$3-$O$4*CT144)</f>
        <v>0.11667843062532661</v>
      </c>
      <c r="CU145" s="13">
        <f t="shared" ref="CU145" si="999">$O$2/($O$3-$O$4*CU144)</f>
        <v>0.11667843062532661</v>
      </c>
      <c r="CV145" s="13">
        <f t="shared" ref="CV145" si="1000">$O$2/($O$3-$O$4*CV144)</f>
        <v>0.11667843062532661</v>
      </c>
      <c r="CW145" s="13">
        <f t="shared" ref="CW145" si="1001">$O$2/($O$3-$O$4*CW144)</f>
        <v>0.11667843062532661</v>
      </c>
      <c r="CX145" s="13">
        <f t="shared" ref="CX145" si="1002">$O$2/($O$3-$O$4*CX144)</f>
        <v>0.11667843062532661</v>
      </c>
      <c r="CY145" s="13">
        <f t="shared" ref="CY145" si="1003">$O$2/($O$3-$O$4*CY144)</f>
        <v>0.11667843062532661</v>
      </c>
      <c r="CZ145" s="13">
        <f t="shared" ref="CZ145" si="1004">$O$2/($O$3-$O$4*CZ144)</f>
        <v>0.11667843062532661</v>
      </c>
      <c r="DA145" s="13">
        <f t="shared" ref="DA145:DA183" si="1005">$R$3</f>
        <v>650</v>
      </c>
      <c r="DB145" s="13">
        <f t="shared" si="941"/>
        <v>650</v>
      </c>
      <c r="DC145" s="13">
        <f t="shared" si="839"/>
        <v>650</v>
      </c>
      <c r="DD145" s="13">
        <f t="shared" si="839"/>
        <v>650</v>
      </c>
      <c r="DE145" s="13">
        <f t="shared" si="839"/>
        <v>650</v>
      </c>
      <c r="DF145" s="13">
        <f t="shared" si="839"/>
        <v>650</v>
      </c>
      <c r="DG145" s="13">
        <f t="shared" si="839"/>
        <v>650</v>
      </c>
      <c r="DH145" s="13">
        <f t="shared" si="839"/>
        <v>650</v>
      </c>
      <c r="DI145" s="13">
        <f t="shared" si="839"/>
        <v>650</v>
      </c>
      <c r="DJ145" s="13">
        <f t="shared" si="839"/>
        <v>650</v>
      </c>
      <c r="DK145" s="13">
        <f t="shared" si="839"/>
        <v>650</v>
      </c>
      <c r="DL145" s="25">
        <v>48</v>
      </c>
      <c r="DM145" s="26">
        <f t="shared" si="840"/>
        <v>0.43518518518518517</v>
      </c>
      <c r="DQ145" s="84"/>
      <c r="DR145" s="85"/>
      <c r="DS145" s="25">
        <v>48</v>
      </c>
      <c r="DT145" s="26">
        <f t="shared" si="841"/>
        <v>0.43518518518518517</v>
      </c>
      <c r="DU145" s="13">
        <f t="shared" si="842"/>
        <v>600</v>
      </c>
      <c r="DV145" s="13">
        <f t="shared" si="842"/>
        <v>600</v>
      </c>
      <c r="DW145" s="13">
        <f t="shared" si="842"/>
        <v>600</v>
      </c>
      <c r="DX145" s="13">
        <f t="shared" si="842"/>
        <v>600</v>
      </c>
      <c r="DY145" s="13">
        <f t="shared" si="842"/>
        <v>600</v>
      </c>
      <c r="DZ145" s="13">
        <f t="shared" si="842"/>
        <v>600</v>
      </c>
      <c r="EA145" s="13">
        <f t="shared" si="842"/>
        <v>600</v>
      </c>
      <c r="EB145" s="13">
        <f t="shared" si="842"/>
        <v>600</v>
      </c>
      <c r="EC145" s="13">
        <f t="shared" si="842"/>
        <v>600</v>
      </c>
      <c r="ED145" s="13">
        <f t="shared" si="942"/>
        <v>600</v>
      </c>
      <c r="EE145" s="13">
        <f t="shared" ref="EE145:EE183" si="1006">$R$2</f>
        <v>600</v>
      </c>
      <c r="EF145" s="13">
        <f t="shared" ref="EF145" si="1007">(EF144*$O$4-BE145)/($O$3-$O$4*CR144)</f>
        <v>72.151438492557901</v>
      </c>
      <c r="EG145" s="13">
        <f t="shared" ref="EG145" si="1008">(EG144*$O$4-BF145)/($O$3-$O$4*CS144)</f>
        <v>603.93546783469628</v>
      </c>
      <c r="EH145" s="13">
        <f t="shared" ref="EH145" si="1009">(EH144*$O$4-BG145)/($O$3-$O$4*CT144)</f>
        <v>605.30615658123259</v>
      </c>
      <c r="EI145" s="13">
        <f t="shared" ref="EI145" si="1010">(EI144*$O$4-BH145)/($O$3-$O$4*CU144)</f>
        <v>606.72808524021877</v>
      </c>
      <c r="EJ145" s="13">
        <f t="shared" ref="EJ145" si="1011">(EJ144*$O$4-BI145)/($O$3-$O$4*CV144)</f>
        <v>608.13805232275683</v>
      </c>
      <c r="EK145" s="13">
        <f t="shared" ref="EK145" si="1012">(EK144*$O$4-BJ145)/($O$3-$O$4*CW144)</f>
        <v>609.52125372034607</v>
      </c>
      <c r="EL145" s="13">
        <f t="shared" ref="EL145" si="1013">(EL144*$O$4-BK145)/($O$3-$O$4*CX144)</f>
        <v>610.9171994650053</v>
      </c>
      <c r="EM145" s="13">
        <f t="shared" ref="EM145" si="1014">(EM144*$O$4-BL145)/($O$3-$O$4*CY144)</f>
        <v>612.41510509636953</v>
      </c>
      <c r="EN145" s="13">
        <f t="shared" ref="EN145" si="1015">(EN144*$O$4-BM145)/($O$3-$O$4*CZ144)</f>
        <v>73.478497911810706</v>
      </c>
      <c r="EO145" s="13">
        <f t="shared" ref="EO145:EO183" si="1016">$R$3</f>
        <v>650</v>
      </c>
      <c r="EP145" s="13">
        <f t="shared" si="954"/>
        <v>650</v>
      </c>
      <c r="EQ145" s="13">
        <f t="shared" si="844"/>
        <v>650</v>
      </c>
      <c r="ER145" s="13">
        <f t="shared" si="844"/>
        <v>650</v>
      </c>
      <c r="ES145" s="13">
        <f t="shared" si="844"/>
        <v>650</v>
      </c>
      <c r="ET145" s="13">
        <f t="shared" si="844"/>
        <v>650</v>
      </c>
      <c r="EU145" s="13">
        <f t="shared" si="844"/>
        <v>650</v>
      </c>
      <c r="EV145" s="13">
        <f t="shared" si="844"/>
        <v>650</v>
      </c>
      <c r="EW145" s="13">
        <f t="shared" si="844"/>
        <v>650</v>
      </c>
      <c r="EX145" s="13">
        <f t="shared" si="844"/>
        <v>650</v>
      </c>
      <c r="EY145" s="13">
        <f t="shared" si="844"/>
        <v>650</v>
      </c>
      <c r="EZ145" s="25">
        <v>48</v>
      </c>
      <c r="FA145" s="26">
        <f t="shared" si="845"/>
        <v>0.43518518518518517</v>
      </c>
    </row>
    <row r="146" spans="3:157" x14ac:dyDescent="0.25">
      <c r="C146" s="84"/>
      <c r="D146" s="85"/>
      <c r="E146" s="25">
        <v>47</v>
      </c>
      <c r="F146" s="26">
        <f t="shared" si="816"/>
        <v>0.42592592592592593</v>
      </c>
      <c r="G146" s="13">
        <f t="shared" si="817"/>
        <v>600</v>
      </c>
      <c r="H146" s="13">
        <f t="shared" si="817"/>
        <v>600</v>
      </c>
      <c r="I146" s="13">
        <f t="shared" si="817"/>
        <v>600</v>
      </c>
      <c r="J146" s="13">
        <f t="shared" si="817"/>
        <v>600</v>
      </c>
      <c r="K146" s="13">
        <f t="shared" si="817"/>
        <v>600</v>
      </c>
      <c r="L146" s="13">
        <f t="shared" si="817"/>
        <v>600</v>
      </c>
      <c r="M146" s="13">
        <f t="shared" si="817"/>
        <v>600</v>
      </c>
      <c r="N146" s="13">
        <f t="shared" si="817"/>
        <v>600</v>
      </c>
      <c r="O146" s="13">
        <f t="shared" si="817"/>
        <v>600</v>
      </c>
      <c r="P146" s="13">
        <f t="shared" si="914"/>
        <v>600</v>
      </c>
      <c r="Q146" s="13">
        <f t="shared" si="975"/>
        <v>600</v>
      </c>
      <c r="R146" s="13">
        <f t="shared" ref="R146:R181" si="1017">$R$2</f>
        <v>600</v>
      </c>
      <c r="S146" s="13">
        <f t="shared" ref="S146" si="1018">($F$5*$B$5*S20+$F$4*S81)/($F$4+$F$5*$B$5)</f>
        <v>676.74646386584845</v>
      </c>
      <c r="T146" s="13">
        <f t="shared" ref="T146:T147" si="1019">CT146*T147+EH146</f>
        <v>662.30974793409905</v>
      </c>
      <c r="U146" s="13">
        <f t="shared" ref="U146:U147" si="1020">CU146*U147+EI146</f>
        <v>664.2228864468716</v>
      </c>
      <c r="V146" s="13">
        <f t="shared" ref="V146:V147" si="1021">CV146*V147+EJ146</f>
        <v>665.83726767756457</v>
      </c>
      <c r="W146" s="13">
        <f t="shared" ref="W146:W147" si="1022">CW146*W147+EK146</f>
        <v>667.04754668981434</v>
      </c>
      <c r="X146" s="13">
        <f t="shared" ref="X146:X147" si="1023">CX146*X147+EL146</f>
        <v>667.98819420537825</v>
      </c>
      <c r="Y146" s="13">
        <f t="shared" ref="Y146" si="1024">($F$5*$B$5*Y20+$F$4*Y81)/($F$4+$F$5*$B$5)</f>
        <v>688.55398490706852</v>
      </c>
      <c r="Z146" s="13">
        <f t="shared" ref="Z146:Z181" si="1025">$R$3</f>
        <v>650</v>
      </c>
      <c r="AA146" s="13">
        <f t="shared" si="985"/>
        <v>650</v>
      </c>
      <c r="AB146" s="13">
        <f t="shared" si="915"/>
        <v>650</v>
      </c>
      <c r="AC146" s="13">
        <f t="shared" si="819"/>
        <v>650</v>
      </c>
      <c r="AD146" s="13">
        <f t="shared" si="819"/>
        <v>650</v>
      </c>
      <c r="AE146" s="13">
        <f t="shared" si="819"/>
        <v>650</v>
      </c>
      <c r="AF146" s="13">
        <f t="shared" si="819"/>
        <v>650</v>
      </c>
      <c r="AG146" s="13">
        <f t="shared" si="819"/>
        <v>650</v>
      </c>
      <c r="AH146" s="13">
        <f t="shared" si="819"/>
        <v>650</v>
      </c>
      <c r="AI146" s="13">
        <f t="shared" si="819"/>
        <v>650</v>
      </c>
      <c r="AJ146" s="13">
        <f t="shared" si="819"/>
        <v>650</v>
      </c>
      <c r="AK146" s="13">
        <f t="shared" si="819"/>
        <v>650</v>
      </c>
      <c r="AL146" s="25">
        <v>47</v>
      </c>
      <c r="AM146" s="26">
        <f t="shared" si="820"/>
        <v>0.42592592592592593</v>
      </c>
      <c r="AP146" s="87"/>
      <c r="AQ146" s="86"/>
      <c r="AR146" s="25">
        <v>47</v>
      </c>
      <c r="AS146" s="26">
        <f t="shared" si="821"/>
        <v>0.42592592592592593</v>
      </c>
      <c r="AT146" s="13">
        <f t="shared" si="822"/>
        <v>600</v>
      </c>
      <c r="AU146" s="13">
        <f t="shared" si="822"/>
        <v>600</v>
      </c>
      <c r="AV146" s="13">
        <f t="shared" si="822"/>
        <v>600</v>
      </c>
      <c r="AW146" s="13">
        <f t="shared" si="822"/>
        <v>600</v>
      </c>
      <c r="AX146" s="13">
        <f t="shared" si="822"/>
        <v>600</v>
      </c>
      <c r="AY146" s="13">
        <f t="shared" si="822"/>
        <v>600</v>
      </c>
      <c r="AZ146" s="13">
        <f t="shared" si="822"/>
        <v>600</v>
      </c>
      <c r="BA146" s="13">
        <f t="shared" si="822"/>
        <v>600</v>
      </c>
      <c r="BB146" s="13">
        <f t="shared" si="822"/>
        <v>600</v>
      </c>
      <c r="BC146" s="13">
        <f t="shared" si="916"/>
        <v>600</v>
      </c>
      <c r="BD146" s="13">
        <f t="shared" si="986"/>
        <v>600</v>
      </c>
      <c r="BE146" s="13">
        <f t="shared" ref="BE146:BE181" si="1026">$R$2</f>
        <v>600</v>
      </c>
      <c r="BF146" s="52"/>
      <c r="BG146" s="13">
        <f t="shared" ref="BG146:BG147" si="1027">-($F$3*$F$2)/$B$8*T82</f>
        <v>-2373677099.3896642</v>
      </c>
      <c r="BH146" s="13">
        <f t="shared" ref="BH146:BH147" si="1028">-($F$3*$F$2)/$B$8*U82</f>
        <v>-2381173354.329514</v>
      </c>
      <c r="BI146" s="13">
        <f t="shared" ref="BI146:BI147" si="1029">-($F$3*$F$2)/$B$8*V82</f>
        <v>-2387016923.0616097</v>
      </c>
      <c r="BJ146" s="13">
        <f t="shared" ref="BJ146:BJ147" si="1030">-($F$3*$F$2)/$B$8*W82</f>
        <v>-2391253840.5793743</v>
      </c>
      <c r="BK146" s="13">
        <f t="shared" ref="BK146:BK147" si="1031">-($F$3*$F$2)/$B$8*X82</f>
        <v>-2393792613.7343974</v>
      </c>
      <c r="BL146" s="52"/>
      <c r="BM146" s="13">
        <f t="shared" ref="BM146:BM181" si="1032">$R$3</f>
        <v>650</v>
      </c>
      <c r="BN146" s="13">
        <f t="shared" si="994"/>
        <v>650</v>
      </c>
      <c r="BO146" s="13">
        <f t="shared" si="928"/>
        <v>650</v>
      </c>
      <c r="BP146" s="13">
        <f t="shared" si="835"/>
        <v>650</v>
      </c>
      <c r="BQ146" s="13">
        <f t="shared" si="835"/>
        <v>650</v>
      </c>
      <c r="BR146" s="13">
        <f t="shared" si="835"/>
        <v>650</v>
      </c>
      <c r="BS146" s="13">
        <f t="shared" si="835"/>
        <v>650</v>
      </c>
      <c r="BT146" s="13">
        <f t="shared" si="835"/>
        <v>650</v>
      </c>
      <c r="BU146" s="13">
        <f t="shared" si="835"/>
        <v>650</v>
      </c>
      <c r="BV146" s="13">
        <f t="shared" si="835"/>
        <v>650</v>
      </c>
      <c r="BW146" s="13">
        <f t="shared" si="835"/>
        <v>650</v>
      </c>
      <c r="BX146" s="13">
        <f t="shared" si="835"/>
        <v>650</v>
      </c>
      <c r="BY146" s="25">
        <v>47</v>
      </c>
      <c r="BZ146" s="26">
        <f t="shared" si="836"/>
        <v>0.42592592592592593</v>
      </c>
      <c r="CC146" s="84"/>
      <c r="CD146" s="85"/>
      <c r="CE146" s="25">
        <v>47</v>
      </c>
      <c r="CF146" s="26">
        <f t="shared" si="837"/>
        <v>0.42592592592592593</v>
      </c>
      <c r="CG146" s="13">
        <f t="shared" si="838"/>
        <v>600</v>
      </c>
      <c r="CH146" s="13">
        <f t="shared" si="838"/>
        <v>600</v>
      </c>
      <c r="CI146" s="13">
        <f t="shared" si="838"/>
        <v>600</v>
      </c>
      <c r="CJ146" s="13">
        <f t="shared" si="838"/>
        <v>600</v>
      </c>
      <c r="CK146" s="13">
        <f t="shared" si="838"/>
        <v>600</v>
      </c>
      <c r="CL146" s="13">
        <f t="shared" si="838"/>
        <v>600</v>
      </c>
      <c r="CM146" s="13">
        <f t="shared" si="838"/>
        <v>600</v>
      </c>
      <c r="CN146" s="13">
        <f t="shared" si="838"/>
        <v>600</v>
      </c>
      <c r="CO146" s="13">
        <f t="shared" si="838"/>
        <v>600</v>
      </c>
      <c r="CP146" s="13">
        <f t="shared" si="929"/>
        <v>600</v>
      </c>
      <c r="CQ146" s="13">
        <f t="shared" si="995"/>
        <v>600</v>
      </c>
      <c r="CR146" s="13">
        <f t="shared" ref="CR146:CR181" si="1033">$R$2</f>
        <v>600</v>
      </c>
      <c r="CS146" s="13">
        <f t="shared" ref="CS146" si="1034">$O$2/($O$3-$O$4*CS145)</f>
        <v>0.11667843062533644</v>
      </c>
      <c r="CT146" s="13">
        <f t="shared" ref="CT146" si="1035">$O$2/($O$3-$O$4*CT145)</f>
        <v>0.11667843062533644</v>
      </c>
      <c r="CU146" s="13">
        <f t="shared" ref="CU146" si="1036">$O$2/($O$3-$O$4*CU145)</f>
        <v>0.11667843062533644</v>
      </c>
      <c r="CV146" s="13">
        <f t="shared" ref="CV146" si="1037">$O$2/($O$3-$O$4*CV145)</f>
        <v>0.11667843062533644</v>
      </c>
      <c r="CW146" s="13">
        <f t="shared" ref="CW146" si="1038">$O$2/($O$3-$O$4*CW145)</f>
        <v>0.11667843062533644</v>
      </c>
      <c r="CX146" s="13">
        <f t="shared" ref="CX146" si="1039">$O$2/($O$3-$O$4*CX145)</f>
        <v>0.11667843062533644</v>
      </c>
      <c r="CY146" s="13">
        <f t="shared" ref="CY146" si="1040">$O$2/($O$3-$O$4*CY145)</f>
        <v>0.11667843062533644</v>
      </c>
      <c r="CZ146" s="13">
        <f t="shared" ref="CZ146:CZ181" si="1041">$R$3</f>
        <v>650</v>
      </c>
      <c r="DA146" s="13">
        <f t="shared" si="1005"/>
        <v>650</v>
      </c>
      <c r="DB146" s="13">
        <f t="shared" si="941"/>
        <v>650</v>
      </c>
      <c r="DC146" s="13">
        <f t="shared" si="839"/>
        <v>650</v>
      </c>
      <c r="DD146" s="13">
        <f t="shared" si="839"/>
        <v>650</v>
      </c>
      <c r="DE146" s="13">
        <f t="shared" si="839"/>
        <v>650</v>
      </c>
      <c r="DF146" s="13">
        <f t="shared" si="839"/>
        <v>650</v>
      </c>
      <c r="DG146" s="13">
        <f t="shared" si="839"/>
        <v>650</v>
      </c>
      <c r="DH146" s="13">
        <f t="shared" si="839"/>
        <v>650</v>
      </c>
      <c r="DI146" s="13">
        <f t="shared" si="839"/>
        <v>650</v>
      </c>
      <c r="DJ146" s="13">
        <f t="shared" si="839"/>
        <v>650</v>
      </c>
      <c r="DK146" s="13">
        <f t="shared" si="839"/>
        <v>650</v>
      </c>
      <c r="DL146" s="25">
        <v>47</v>
      </c>
      <c r="DM146" s="26">
        <f t="shared" si="840"/>
        <v>0.42592592592592593</v>
      </c>
      <c r="DQ146" s="84"/>
      <c r="DR146" s="85"/>
      <c r="DS146" s="25">
        <v>47</v>
      </c>
      <c r="DT146" s="26">
        <f t="shared" si="841"/>
        <v>0.42592592592592593</v>
      </c>
      <c r="DU146" s="13">
        <f t="shared" si="842"/>
        <v>600</v>
      </c>
      <c r="DV146" s="13">
        <f t="shared" si="842"/>
        <v>600</v>
      </c>
      <c r="DW146" s="13">
        <f t="shared" si="842"/>
        <v>600</v>
      </c>
      <c r="DX146" s="13">
        <f t="shared" si="842"/>
        <v>600</v>
      </c>
      <c r="DY146" s="13">
        <f t="shared" si="842"/>
        <v>600</v>
      </c>
      <c r="DZ146" s="13">
        <f t="shared" si="842"/>
        <v>600</v>
      </c>
      <c r="EA146" s="13">
        <f t="shared" si="842"/>
        <v>600</v>
      </c>
      <c r="EB146" s="13">
        <f t="shared" si="842"/>
        <v>600</v>
      </c>
      <c r="EC146" s="13">
        <f t="shared" si="842"/>
        <v>600</v>
      </c>
      <c r="ED146" s="13">
        <f t="shared" si="942"/>
        <v>600</v>
      </c>
      <c r="EE146" s="13">
        <f t="shared" si="1006"/>
        <v>600</v>
      </c>
      <c r="EF146" s="13">
        <f t="shared" ref="EF146:EF181" si="1042">$R$2</f>
        <v>600</v>
      </c>
      <c r="EG146" s="13">
        <f t="shared" ref="EG146" si="1043">(EG145*$O$4-BF146)/($O$3-$O$4*CS145)</f>
        <v>70.466242585930729</v>
      </c>
      <c r="EH146" s="13">
        <f t="shared" ref="EH146" si="1044">(EH145*$O$4-BG146)/($O$3-$O$4*CT145)</f>
        <v>586.81295068264001</v>
      </c>
      <c r="EI146" s="13">
        <f t="shared" ref="EI146" si="1045">(EI145*$O$4-BH146)/($O$3-$O$4*CU145)</f>
        <v>588.60901665462939</v>
      </c>
      <c r="EJ146" s="13">
        <f t="shared" ref="EJ146" si="1046">(EJ145*$O$4-BI146)/($O$3-$O$4*CV145)</f>
        <v>590.04428898258288</v>
      </c>
      <c r="EK146" s="13">
        <f t="shared" ref="EK146" si="1047">(EK145*$O$4-BJ146)/($O$3-$O$4*CW145)</f>
        <v>591.12705125093294</v>
      </c>
      <c r="EL146" s="13">
        <f t="shared" ref="EL146" si="1048">(EL145*$O$4-BK146)/($O$3-$O$4*CX145)</f>
        <v>591.84201706002818</v>
      </c>
      <c r="EM146" s="13">
        <f t="shared" ref="EM146" si="1049">(EM145*$O$4-BL146)/($O$3-$O$4*CY145)</f>
        <v>71.455633353894868</v>
      </c>
      <c r="EN146" s="13">
        <f t="shared" ref="EN146:EN181" si="1050">$R$3</f>
        <v>650</v>
      </c>
      <c r="EO146" s="13">
        <f t="shared" si="1016"/>
        <v>650</v>
      </c>
      <c r="EP146" s="13">
        <f t="shared" si="954"/>
        <v>650</v>
      </c>
      <c r="EQ146" s="13">
        <f t="shared" si="844"/>
        <v>650</v>
      </c>
      <c r="ER146" s="13">
        <f t="shared" si="844"/>
        <v>650</v>
      </c>
      <c r="ES146" s="13">
        <f t="shared" si="844"/>
        <v>650</v>
      </c>
      <c r="ET146" s="13">
        <f t="shared" si="844"/>
        <v>650</v>
      </c>
      <c r="EU146" s="13">
        <f t="shared" si="844"/>
        <v>650</v>
      </c>
      <c r="EV146" s="13">
        <f t="shared" si="844"/>
        <v>650</v>
      </c>
      <c r="EW146" s="13">
        <f t="shared" si="844"/>
        <v>650</v>
      </c>
      <c r="EX146" s="13">
        <f t="shared" si="844"/>
        <v>650</v>
      </c>
      <c r="EY146" s="13">
        <f t="shared" si="844"/>
        <v>650</v>
      </c>
      <c r="EZ146" s="25">
        <v>47</v>
      </c>
      <c r="FA146" s="26">
        <f t="shared" si="845"/>
        <v>0.42592592592592593</v>
      </c>
    </row>
    <row r="147" spans="3:157" x14ac:dyDescent="0.25">
      <c r="C147" s="84"/>
      <c r="D147" s="85"/>
      <c r="E147" s="25">
        <v>46</v>
      </c>
      <c r="F147" s="26">
        <f t="shared" si="816"/>
        <v>0.41666666666666663</v>
      </c>
      <c r="G147" s="13">
        <f t="shared" si="817"/>
        <v>600</v>
      </c>
      <c r="H147" s="13">
        <f t="shared" si="817"/>
        <v>600</v>
      </c>
      <c r="I147" s="13">
        <f t="shared" si="817"/>
        <v>600</v>
      </c>
      <c r="J147" s="13">
        <f t="shared" si="817"/>
        <v>600</v>
      </c>
      <c r="K147" s="13">
        <f t="shared" si="817"/>
        <v>600</v>
      </c>
      <c r="L147" s="13">
        <f t="shared" si="817"/>
        <v>600</v>
      </c>
      <c r="M147" s="13">
        <f t="shared" si="817"/>
        <v>600</v>
      </c>
      <c r="N147" s="13">
        <f t="shared" si="817"/>
        <v>600</v>
      </c>
      <c r="O147" s="13">
        <f t="shared" si="817"/>
        <v>600</v>
      </c>
      <c r="P147" s="13">
        <f t="shared" si="914"/>
        <v>600</v>
      </c>
      <c r="Q147" s="13">
        <f t="shared" si="975"/>
        <v>600</v>
      </c>
      <c r="R147" s="13">
        <f t="shared" si="1017"/>
        <v>600</v>
      </c>
      <c r="S147" s="13">
        <f t="shared" ref="S147:S179" si="1051">$R$2</f>
        <v>600</v>
      </c>
      <c r="T147" s="13">
        <f t="shared" si="1019"/>
        <v>647.05016040098371</v>
      </c>
      <c r="U147" s="13">
        <f t="shared" si="1020"/>
        <v>648.05353814745968</v>
      </c>
      <c r="V147" s="13">
        <f t="shared" si="1021"/>
        <v>649.58860252722206</v>
      </c>
      <c r="W147" s="13">
        <f t="shared" si="1022"/>
        <v>650.68149298877734</v>
      </c>
      <c r="X147" s="13">
        <f t="shared" si="1023"/>
        <v>652.61571258068557</v>
      </c>
      <c r="Y147" s="13">
        <f t="shared" ref="Y147:Y179" si="1052">$R$3</f>
        <v>650</v>
      </c>
      <c r="Z147" s="13">
        <f t="shared" si="1025"/>
        <v>650</v>
      </c>
      <c r="AA147" s="13">
        <f t="shared" si="985"/>
        <v>650</v>
      </c>
      <c r="AB147" s="13">
        <f t="shared" si="915"/>
        <v>650</v>
      </c>
      <c r="AC147" s="13">
        <f t="shared" si="819"/>
        <v>650</v>
      </c>
      <c r="AD147" s="13">
        <f t="shared" si="819"/>
        <v>650</v>
      </c>
      <c r="AE147" s="13">
        <f t="shared" si="819"/>
        <v>650</v>
      </c>
      <c r="AF147" s="13">
        <f t="shared" si="819"/>
        <v>650</v>
      </c>
      <c r="AG147" s="13">
        <f t="shared" si="819"/>
        <v>650</v>
      </c>
      <c r="AH147" s="13">
        <f t="shared" si="819"/>
        <v>650</v>
      </c>
      <c r="AI147" s="13">
        <f t="shared" si="819"/>
        <v>650</v>
      </c>
      <c r="AJ147" s="13">
        <f t="shared" si="819"/>
        <v>650</v>
      </c>
      <c r="AK147" s="13">
        <f t="shared" si="819"/>
        <v>650</v>
      </c>
      <c r="AL147" s="25">
        <v>46</v>
      </c>
      <c r="AM147" s="26">
        <f t="shared" si="820"/>
        <v>0.41666666666666663</v>
      </c>
      <c r="AP147" s="87"/>
      <c r="AQ147" s="86"/>
      <c r="AR147" s="25">
        <v>46</v>
      </c>
      <c r="AS147" s="26">
        <f t="shared" si="821"/>
        <v>0.41666666666666663</v>
      </c>
      <c r="AT147" s="13">
        <f t="shared" si="822"/>
        <v>600</v>
      </c>
      <c r="AU147" s="13">
        <f t="shared" si="822"/>
        <v>600</v>
      </c>
      <c r="AV147" s="13">
        <f t="shared" si="822"/>
        <v>600</v>
      </c>
      <c r="AW147" s="13">
        <f t="shared" si="822"/>
        <v>600</v>
      </c>
      <c r="AX147" s="13">
        <f t="shared" si="822"/>
        <v>600</v>
      </c>
      <c r="AY147" s="13">
        <f t="shared" si="822"/>
        <v>600</v>
      </c>
      <c r="AZ147" s="13">
        <f t="shared" si="822"/>
        <v>600</v>
      </c>
      <c r="BA147" s="13">
        <f t="shared" si="822"/>
        <v>600</v>
      </c>
      <c r="BB147" s="13">
        <f t="shared" si="822"/>
        <v>600</v>
      </c>
      <c r="BC147" s="13">
        <f t="shared" si="916"/>
        <v>600</v>
      </c>
      <c r="BD147" s="13">
        <f t="shared" si="986"/>
        <v>600</v>
      </c>
      <c r="BE147" s="13">
        <f t="shared" si="1026"/>
        <v>600</v>
      </c>
      <c r="BF147" s="13">
        <f t="shared" ref="BF147:BF179" si="1053">$R$2</f>
        <v>600</v>
      </c>
      <c r="BG147" s="13">
        <f t="shared" si="1027"/>
        <v>-2315654427.1435189</v>
      </c>
      <c r="BH147" s="13">
        <f t="shared" si="1028"/>
        <v>-2323021600.2420359</v>
      </c>
      <c r="BI147" s="13">
        <f t="shared" si="1029"/>
        <v>-2328591598.5172739</v>
      </c>
      <c r="BJ147" s="13">
        <f t="shared" si="1030"/>
        <v>-2332419989.4590969</v>
      </c>
      <c r="BK147" s="13">
        <f t="shared" si="1031"/>
        <v>-2334425978.8228116</v>
      </c>
      <c r="BL147" s="13">
        <f t="shared" ref="BL147:BL179" si="1054">$R$3</f>
        <v>650</v>
      </c>
      <c r="BM147" s="13">
        <f t="shared" si="1032"/>
        <v>650</v>
      </c>
      <c r="BN147" s="13">
        <f t="shared" si="994"/>
        <v>650</v>
      </c>
      <c r="BO147" s="13">
        <f t="shared" si="928"/>
        <v>650</v>
      </c>
      <c r="BP147" s="13">
        <f t="shared" si="835"/>
        <v>650</v>
      </c>
      <c r="BQ147" s="13">
        <f t="shared" si="835"/>
        <v>650</v>
      </c>
      <c r="BR147" s="13">
        <f t="shared" si="835"/>
        <v>650</v>
      </c>
      <c r="BS147" s="13">
        <f t="shared" si="835"/>
        <v>650</v>
      </c>
      <c r="BT147" s="13">
        <f t="shared" si="835"/>
        <v>650</v>
      </c>
      <c r="BU147" s="13">
        <f t="shared" si="835"/>
        <v>650</v>
      </c>
      <c r="BV147" s="13">
        <f t="shared" si="835"/>
        <v>650</v>
      </c>
      <c r="BW147" s="13">
        <f t="shared" si="835"/>
        <v>650</v>
      </c>
      <c r="BX147" s="13">
        <f t="shared" si="835"/>
        <v>650</v>
      </c>
      <c r="BY147" s="25">
        <v>46</v>
      </c>
      <c r="BZ147" s="26">
        <f t="shared" si="836"/>
        <v>0.41666666666666663</v>
      </c>
      <c r="CC147" s="84"/>
      <c r="CD147" s="85"/>
      <c r="CE147" s="25">
        <v>46</v>
      </c>
      <c r="CF147" s="26">
        <f t="shared" si="837"/>
        <v>0.41666666666666663</v>
      </c>
      <c r="CG147" s="13">
        <f t="shared" si="838"/>
        <v>600</v>
      </c>
      <c r="CH147" s="13">
        <f t="shared" si="838"/>
        <v>600</v>
      </c>
      <c r="CI147" s="13">
        <f t="shared" si="838"/>
        <v>600</v>
      </c>
      <c r="CJ147" s="13">
        <f t="shared" si="838"/>
        <v>600</v>
      </c>
      <c r="CK147" s="13">
        <f t="shared" si="838"/>
        <v>600</v>
      </c>
      <c r="CL147" s="13">
        <f t="shared" si="838"/>
        <v>600</v>
      </c>
      <c r="CM147" s="13">
        <f t="shared" si="838"/>
        <v>600</v>
      </c>
      <c r="CN147" s="13">
        <f t="shared" si="838"/>
        <v>600</v>
      </c>
      <c r="CO147" s="13">
        <f t="shared" si="838"/>
        <v>600</v>
      </c>
      <c r="CP147" s="13">
        <f t="shared" si="929"/>
        <v>600</v>
      </c>
      <c r="CQ147" s="13">
        <f t="shared" si="995"/>
        <v>600</v>
      </c>
      <c r="CR147" s="13">
        <f t="shared" si="1033"/>
        <v>600</v>
      </c>
      <c r="CS147" s="13">
        <f t="shared" ref="CS147:CS179" si="1055">$R$2</f>
        <v>600</v>
      </c>
      <c r="CT147" s="13">
        <f t="shared" ref="CT147:CT148" si="1056">$O$2/($O$3-$O$4*CT146)</f>
        <v>0.11667843062533659</v>
      </c>
      <c r="CU147" s="13">
        <f t="shared" ref="CU147:CU148" si="1057">$O$2/($O$3-$O$4*CU146)</f>
        <v>0.11667843062533659</v>
      </c>
      <c r="CV147" s="13">
        <f t="shared" ref="CV147:CV148" si="1058">$O$2/($O$3-$O$4*CV146)</f>
        <v>0.11667843062533659</v>
      </c>
      <c r="CW147" s="13">
        <f t="shared" ref="CW147:CW148" si="1059">$O$2/($O$3-$O$4*CW146)</f>
        <v>0.11667843062533659</v>
      </c>
      <c r="CX147" s="13">
        <f t="shared" ref="CX147:CX148" si="1060">$O$2/($O$3-$O$4*CX146)</f>
        <v>0.11667843062533659</v>
      </c>
      <c r="CY147" s="13">
        <f t="shared" ref="CY147:CY179" si="1061">$R$3</f>
        <v>650</v>
      </c>
      <c r="CZ147" s="13">
        <f t="shared" si="1041"/>
        <v>650</v>
      </c>
      <c r="DA147" s="13">
        <f t="shared" si="1005"/>
        <v>650</v>
      </c>
      <c r="DB147" s="13">
        <f t="shared" si="941"/>
        <v>650</v>
      </c>
      <c r="DC147" s="13">
        <f t="shared" si="839"/>
        <v>650</v>
      </c>
      <c r="DD147" s="13">
        <f t="shared" si="839"/>
        <v>650</v>
      </c>
      <c r="DE147" s="13">
        <f t="shared" si="839"/>
        <v>650</v>
      </c>
      <c r="DF147" s="13">
        <f t="shared" si="839"/>
        <v>650</v>
      </c>
      <c r="DG147" s="13">
        <f t="shared" si="839"/>
        <v>650</v>
      </c>
      <c r="DH147" s="13">
        <f t="shared" si="839"/>
        <v>650</v>
      </c>
      <c r="DI147" s="13">
        <f t="shared" si="839"/>
        <v>650</v>
      </c>
      <c r="DJ147" s="13">
        <f t="shared" si="839"/>
        <v>650</v>
      </c>
      <c r="DK147" s="13">
        <f t="shared" si="839"/>
        <v>650</v>
      </c>
      <c r="DL147" s="25">
        <v>46</v>
      </c>
      <c r="DM147" s="26">
        <f t="shared" si="840"/>
        <v>0.41666666666666663</v>
      </c>
      <c r="DQ147" s="84"/>
      <c r="DR147" s="85"/>
      <c r="DS147" s="25">
        <v>46</v>
      </c>
      <c r="DT147" s="26">
        <f t="shared" si="841"/>
        <v>0.41666666666666663</v>
      </c>
      <c r="DU147" s="13">
        <f t="shared" si="842"/>
        <v>600</v>
      </c>
      <c r="DV147" s="13">
        <f t="shared" si="842"/>
        <v>600</v>
      </c>
      <c r="DW147" s="13">
        <f t="shared" si="842"/>
        <v>600</v>
      </c>
      <c r="DX147" s="13">
        <f t="shared" si="842"/>
        <v>600</v>
      </c>
      <c r="DY147" s="13">
        <f t="shared" si="842"/>
        <v>600</v>
      </c>
      <c r="DZ147" s="13">
        <f t="shared" si="842"/>
        <v>600</v>
      </c>
      <c r="EA147" s="13">
        <f t="shared" si="842"/>
        <v>600</v>
      </c>
      <c r="EB147" s="13">
        <f t="shared" si="842"/>
        <v>600</v>
      </c>
      <c r="EC147" s="13">
        <f t="shared" si="842"/>
        <v>600</v>
      </c>
      <c r="ED147" s="13">
        <f t="shared" si="942"/>
        <v>600</v>
      </c>
      <c r="EE147" s="13">
        <f t="shared" si="1006"/>
        <v>600</v>
      </c>
      <c r="EF147" s="13">
        <f t="shared" si="1042"/>
        <v>600</v>
      </c>
      <c r="EG147" s="13">
        <f t="shared" ref="EG147:EG179" si="1062">$R$2</f>
        <v>600</v>
      </c>
      <c r="EH147" s="13">
        <f t="shared" ref="EH147:EH148" si="1063">(EH146*$O$4-BG147)/($O$3-$O$4*CT146)</f>
        <v>572.03741209440818</v>
      </c>
      <c r="EI147" s="13">
        <f t="shared" ref="EI147:EI148" si="1064">(EI146*$O$4-BH147)/($O$3-$O$4*CU146)</f>
        <v>573.84906130541617</v>
      </c>
      <c r="EJ147" s="13">
        <f t="shared" ref="EJ147:EJ148" si="1065">(EJ146*$O$4-BI147)/($O$3-$O$4*CV146)</f>
        <v>575.22779477642291</v>
      </c>
      <c r="EK147" s="13">
        <f t="shared" ref="EK147:EK148" si="1066">(EK146*$O$4-BJ147)/($O$3-$O$4*CW146)</f>
        <v>576.18666289225064</v>
      </c>
      <c r="EL147" s="13">
        <f t="shared" ref="EL147:EL148" si="1067">(EL146*$O$4-BK147)/($O$3-$O$4*CX146)</f>
        <v>576.70631230655317</v>
      </c>
      <c r="EM147" s="13">
        <f t="shared" ref="EM147:EM179" si="1068">$R$3</f>
        <v>650</v>
      </c>
      <c r="EN147" s="13">
        <f t="shared" si="1050"/>
        <v>650</v>
      </c>
      <c r="EO147" s="13">
        <f t="shared" si="1016"/>
        <v>650</v>
      </c>
      <c r="EP147" s="13">
        <f t="shared" si="954"/>
        <v>650</v>
      </c>
      <c r="EQ147" s="13">
        <f t="shared" si="844"/>
        <v>650</v>
      </c>
      <c r="ER147" s="13">
        <f t="shared" si="844"/>
        <v>650</v>
      </c>
      <c r="ES147" s="13">
        <f t="shared" si="844"/>
        <v>650</v>
      </c>
      <c r="ET147" s="13">
        <f t="shared" si="844"/>
        <v>650</v>
      </c>
      <c r="EU147" s="13">
        <f t="shared" si="844"/>
        <v>650</v>
      </c>
      <c r="EV147" s="13">
        <f t="shared" si="844"/>
        <v>650</v>
      </c>
      <c r="EW147" s="13">
        <f t="shared" si="844"/>
        <v>650</v>
      </c>
      <c r="EX147" s="13">
        <f t="shared" si="844"/>
        <v>650</v>
      </c>
      <c r="EY147" s="13">
        <f t="shared" si="844"/>
        <v>650</v>
      </c>
      <c r="EZ147" s="25">
        <v>46</v>
      </c>
      <c r="FA147" s="26">
        <f t="shared" si="845"/>
        <v>0.41666666666666663</v>
      </c>
    </row>
    <row r="148" spans="3:157" x14ac:dyDescent="0.25">
      <c r="C148" s="84"/>
      <c r="D148" s="85"/>
      <c r="E148" s="25">
        <v>45</v>
      </c>
      <c r="F148" s="26">
        <f t="shared" si="816"/>
        <v>0.40740740740740738</v>
      </c>
      <c r="G148" s="13">
        <f t="shared" ref="G148:O157" si="1069">$R$2</f>
        <v>600</v>
      </c>
      <c r="H148" s="13">
        <f t="shared" si="1069"/>
        <v>600</v>
      </c>
      <c r="I148" s="13">
        <f t="shared" si="1069"/>
        <v>600</v>
      </c>
      <c r="J148" s="13">
        <f t="shared" si="1069"/>
        <v>600</v>
      </c>
      <c r="K148" s="13">
        <f t="shared" si="1069"/>
        <v>600</v>
      </c>
      <c r="L148" s="13">
        <f t="shared" si="1069"/>
        <v>600</v>
      </c>
      <c r="M148" s="13">
        <f t="shared" si="1069"/>
        <v>600</v>
      </c>
      <c r="N148" s="13">
        <f t="shared" si="1069"/>
        <v>600</v>
      </c>
      <c r="O148" s="13">
        <f t="shared" si="1069"/>
        <v>600</v>
      </c>
      <c r="P148" s="13">
        <f t="shared" si="914"/>
        <v>600</v>
      </c>
      <c r="Q148" s="13">
        <f t="shared" si="975"/>
        <v>600</v>
      </c>
      <c r="R148" s="13">
        <f t="shared" si="1017"/>
        <v>600</v>
      </c>
      <c r="S148" s="13">
        <f t="shared" si="1051"/>
        <v>600</v>
      </c>
      <c r="T148" s="13">
        <f t="shared" ref="T148" si="1070">($F$5*$B$5*T22+$F$4*T83)/($F$4+$F$5*$B$5)</f>
        <v>642.90158776172791</v>
      </c>
      <c r="U148" s="13">
        <f t="shared" ref="U148:U191" si="1071">CU148*U149+EI148</f>
        <v>635.97424514835825</v>
      </c>
      <c r="V148" s="13">
        <f t="shared" ref="V148:V191" si="1072">CV148*V149+EJ148</f>
        <v>637.31408926451354</v>
      </c>
      <c r="W148" s="13">
        <f t="shared" ref="W148:X191" si="1073">CW148*W149+EK148</f>
        <v>638.46273640528545</v>
      </c>
      <c r="X148" s="13">
        <f t="shared" ref="X148" si="1074">($F$5*$B$5*X22+$F$4*X83)/($F$4+$F$5*$B$5)</f>
        <v>650.58640116512424</v>
      </c>
      <c r="Y148" s="13">
        <f t="shared" si="1052"/>
        <v>650</v>
      </c>
      <c r="Z148" s="13">
        <f t="shared" si="1025"/>
        <v>650</v>
      </c>
      <c r="AA148" s="13">
        <f t="shared" si="985"/>
        <v>650</v>
      </c>
      <c r="AB148" s="13">
        <f t="shared" si="915"/>
        <v>650</v>
      </c>
      <c r="AC148" s="13">
        <f t="shared" ref="AC148:AK157" si="1075">$R$3</f>
        <v>650</v>
      </c>
      <c r="AD148" s="13">
        <f t="shared" si="1075"/>
        <v>650</v>
      </c>
      <c r="AE148" s="13">
        <f t="shared" si="1075"/>
        <v>650</v>
      </c>
      <c r="AF148" s="13">
        <f t="shared" si="1075"/>
        <v>650</v>
      </c>
      <c r="AG148" s="13">
        <f t="shared" si="1075"/>
        <v>650</v>
      </c>
      <c r="AH148" s="13">
        <f t="shared" si="1075"/>
        <v>650</v>
      </c>
      <c r="AI148" s="13">
        <f t="shared" si="1075"/>
        <v>650</v>
      </c>
      <c r="AJ148" s="13">
        <f t="shared" si="1075"/>
        <v>650</v>
      </c>
      <c r="AK148" s="13">
        <f t="shared" si="1075"/>
        <v>650</v>
      </c>
      <c r="AL148" s="25">
        <v>45</v>
      </c>
      <c r="AM148" s="26">
        <f t="shared" si="820"/>
        <v>0.40740740740740738</v>
      </c>
      <c r="AP148" s="87"/>
      <c r="AQ148" s="86"/>
      <c r="AR148" s="25">
        <v>45</v>
      </c>
      <c r="AS148" s="26">
        <f t="shared" si="821"/>
        <v>0.40740740740740738</v>
      </c>
      <c r="AT148" s="13">
        <f t="shared" ref="AT148:BB157" si="1076">$R$2</f>
        <v>600</v>
      </c>
      <c r="AU148" s="13">
        <f t="shared" si="1076"/>
        <v>600</v>
      </c>
      <c r="AV148" s="13">
        <f t="shared" si="1076"/>
        <v>600</v>
      </c>
      <c r="AW148" s="13">
        <f t="shared" si="1076"/>
        <v>600</v>
      </c>
      <c r="AX148" s="13">
        <f t="shared" si="1076"/>
        <v>600</v>
      </c>
      <c r="AY148" s="13">
        <f t="shared" si="1076"/>
        <v>600</v>
      </c>
      <c r="AZ148" s="13">
        <f t="shared" si="1076"/>
        <v>600</v>
      </c>
      <c r="BA148" s="13">
        <f t="shared" si="1076"/>
        <v>600</v>
      </c>
      <c r="BB148" s="13">
        <f t="shared" si="1076"/>
        <v>600</v>
      </c>
      <c r="BC148" s="13">
        <f t="shared" si="916"/>
        <v>600</v>
      </c>
      <c r="BD148" s="13">
        <f t="shared" si="986"/>
        <v>600</v>
      </c>
      <c r="BE148" s="13">
        <f t="shared" si="1026"/>
        <v>600</v>
      </c>
      <c r="BF148" s="13">
        <f t="shared" si="1053"/>
        <v>600</v>
      </c>
      <c r="BG148" s="52"/>
      <c r="BH148" s="13">
        <f t="shared" ref="BE148:BH192" si="1077">-($F$3*$F$2)/$B$8*U84</f>
        <v>-2280608973.0539465</v>
      </c>
      <c r="BI148" s="13">
        <f t="shared" ref="BI148:BI192" si="1078">-($F$3*$F$2)/$B$8*V84</f>
        <v>-2285510686.6424656</v>
      </c>
      <c r="BJ148" s="13">
        <f t="shared" ref="BJ148:BJ192" si="1079">-($F$3*$F$2)/$B$8*W84</f>
        <v>-2289490494.2953687</v>
      </c>
      <c r="BK148" s="52"/>
      <c r="BL148" s="13">
        <f t="shared" si="1054"/>
        <v>650</v>
      </c>
      <c r="BM148" s="13">
        <f t="shared" si="1032"/>
        <v>650</v>
      </c>
      <c r="BN148" s="13">
        <f t="shared" si="994"/>
        <v>650</v>
      </c>
      <c r="BO148" s="13">
        <f t="shared" si="928"/>
        <v>650</v>
      </c>
      <c r="BP148" s="13">
        <f t="shared" ref="BP148:BX157" si="1080">$R$3</f>
        <v>650</v>
      </c>
      <c r="BQ148" s="13">
        <f t="shared" si="1080"/>
        <v>650</v>
      </c>
      <c r="BR148" s="13">
        <f t="shared" si="1080"/>
        <v>650</v>
      </c>
      <c r="BS148" s="13">
        <f t="shared" si="1080"/>
        <v>650</v>
      </c>
      <c r="BT148" s="13">
        <f t="shared" si="1080"/>
        <v>650</v>
      </c>
      <c r="BU148" s="13">
        <f t="shared" si="1080"/>
        <v>650</v>
      </c>
      <c r="BV148" s="13">
        <f t="shared" si="1080"/>
        <v>650</v>
      </c>
      <c r="BW148" s="13">
        <f t="shared" si="1080"/>
        <v>650</v>
      </c>
      <c r="BX148" s="13">
        <f t="shared" si="1080"/>
        <v>650</v>
      </c>
      <c r="BY148" s="25">
        <v>45</v>
      </c>
      <c r="BZ148" s="26">
        <f t="shared" si="836"/>
        <v>0.40740740740740738</v>
      </c>
      <c r="CC148" s="84"/>
      <c r="CD148" s="85"/>
      <c r="CE148" s="25">
        <v>45</v>
      </c>
      <c r="CF148" s="26">
        <f t="shared" si="837"/>
        <v>0.40740740740740738</v>
      </c>
      <c r="CG148" s="13">
        <f t="shared" ref="CG148:CO157" si="1081">$R$2</f>
        <v>600</v>
      </c>
      <c r="CH148" s="13">
        <f t="shared" si="1081"/>
        <v>600</v>
      </c>
      <c r="CI148" s="13">
        <f t="shared" si="1081"/>
        <v>600</v>
      </c>
      <c r="CJ148" s="13">
        <f t="shared" si="1081"/>
        <v>600</v>
      </c>
      <c r="CK148" s="13">
        <f t="shared" si="1081"/>
        <v>600</v>
      </c>
      <c r="CL148" s="13">
        <f t="shared" si="1081"/>
        <v>600</v>
      </c>
      <c r="CM148" s="13">
        <f t="shared" si="1081"/>
        <v>600</v>
      </c>
      <c r="CN148" s="13">
        <f t="shared" si="1081"/>
        <v>600</v>
      </c>
      <c r="CO148" s="13">
        <f t="shared" si="1081"/>
        <v>600</v>
      </c>
      <c r="CP148" s="13">
        <f t="shared" si="929"/>
        <v>600</v>
      </c>
      <c r="CQ148" s="13">
        <f t="shared" si="995"/>
        <v>600</v>
      </c>
      <c r="CR148" s="13">
        <f t="shared" si="1033"/>
        <v>600</v>
      </c>
      <c r="CS148" s="13">
        <f t="shared" si="1055"/>
        <v>600</v>
      </c>
      <c r="CT148" s="13">
        <f t="shared" si="1056"/>
        <v>0.11667843062533659</v>
      </c>
      <c r="CU148" s="13">
        <f t="shared" si="1057"/>
        <v>0.11667843062533659</v>
      </c>
      <c r="CV148" s="13">
        <f t="shared" si="1058"/>
        <v>0.11667843062533659</v>
      </c>
      <c r="CW148" s="13">
        <f t="shared" si="1059"/>
        <v>0.11667843062533659</v>
      </c>
      <c r="CX148" s="13">
        <f t="shared" si="1060"/>
        <v>0.11667843062533659</v>
      </c>
      <c r="CY148" s="13">
        <f t="shared" si="1061"/>
        <v>650</v>
      </c>
      <c r="CZ148" s="13">
        <f t="shared" si="1041"/>
        <v>650</v>
      </c>
      <c r="DA148" s="13">
        <f t="shared" si="1005"/>
        <v>650</v>
      </c>
      <c r="DB148" s="13">
        <f t="shared" si="941"/>
        <v>650</v>
      </c>
      <c r="DC148" s="13">
        <f t="shared" ref="DC148:DK157" si="1082">$R$3</f>
        <v>650</v>
      </c>
      <c r="DD148" s="13">
        <f t="shared" si="1082"/>
        <v>650</v>
      </c>
      <c r="DE148" s="13">
        <f t="shared" si="1082"/>
        <v>650</v>
      </c>
      <c r="DF148" s="13">
        <f t="shared" si="1082"/>
        <v>650</v>
      </c>
      <c r="DG148" s="13">
        <f t="shared" si="1082"/>
        <v>650</v>
      </c>
      <c r="DH148" s="13">
        <f t="shared" si="1082"/>
        <v>650</v>
      </c>
      <c r="DI148" s="13">
        <f t="shared" si="1082"/>
        <v>650</v>
      </c>
      <c r="DJ148" s="13">
        <f t="shared" si="1082"/>
        <v>650</v>
      </c>
      <c r="DK148" s="13">
        <f t="shared" si="1082"/>
        <v>650</v>
      </c>
      <c r="DL148" s="25">
        <v>45</v>
      </c>
      <c r="DM148" s="26">
        <f t="shared" si="840"/>
        <v>0.40740740740740738</v>
      </c>
      <c r="DQ148" s="84"/>
      <c r="DR148" s="85"/>
      <c r="DS148" s="25">
        <v>45</v>
      </c>
      <c r="DT148" s="26">
        <f t="shared" si="841"/>
        <v>0.40740740740740738</v>
      </c>
      <c r="DU148" s="13">
        <f t="shared" ref="DU148:EC157" si="1083">$R$2</f>
        <v>600</v>
      </c>
      <c r="DV148" s="13">
        <f t="shared" si="1083"/>
        <v>600</v>
      </c>
      <c r="DW148" s="13">
        <f t="shared" si="1083"/>
        <v>600</v>
      </c>
      <c r="DX148" s="13">
        <f t="shared" si="1083"/>
        <v>600</v>
      </c>
      <c r="DY148" s="13">
        <f t="shared" si="1083"/>
        <v>600</v>
      </c>
      <c r="DZ148" s="13">
        <f t="shared" si="1083"/>
        <v>600</v>
      </c>
      <c r="EA148" s="13">
        <f t="shared" si="1083"/>
        <v>600</v>
      </c>
      <c r="EB148" s="13">
        <f t="shared" si="1083"/>
        <v>600</v>
      </c>
      <c r="EC148" s="13">
        <f t="shared" si="1083"/>
        <v>600</v>
      </c>
      <c r="ED148" s="13">
        <f t="shared" si="942"/>
        <v>600</v>
      </c>
      <c r="EE148" s="13">
        <f t="shared" si="1006"/>
        <v>600</v>
      </c>
      <c r="EF148" s="13">
        <f t="shared" si="1042"/>
        <v>600</v>
      </c>
      <c r="EG148" s="13">
        <f t="shared" si="1062"/>
        <v>600</v>
      </c>
      <c r="EH148" s="13">
        <f t="shared" si="1063"/>
        <v>66.74442750215448</v>
      </c>
      <c r="EI148" s="13">
        <f t="shared" si="1064"/>
        <v>562.90371867723354</v>
      </c>
      <c r="EJ148" s="13">
        <f t="shared" si="1065"/>
        <v>564.13052813670652</v>
      </c>
      <c r="EK148" s="13">
        <f t="shared" si="1066"/>
        <v>565.1078679989846</v>
      </c>
      <c r="EL148" s="13">
        <f t="shared" si="1067"/>
        <v>67.289187451653845</v>
      </c>
      <c r="EM148" s="13">
        <f t="shared" si="1068"/>
        <v>650</v>
      </c>
      <c r="EN148" s="13">
        <f t="shared" si="1050"/>
        <v>650</v>
      </c>
      <c r="EO148" s="13">
        <f t="shared" si="1016"/>
        <v>650</v>
      </c>
      <c r="EP148" s="13">
        <f t="shared" si="954"/>
        <v>650</v>
      </c>
      <c r="EQ148" s="13">
        <f t="shared" ref="EQ148:EY157" si="1084">$R$3</f>
        <v>650</v>
      </c>
      <c r="ER148" s="13">
        <f t="shared" si="1084"/>
        <v>650</v>
      </c>
      <c r="ES148" s="13">
        <f t="shared" si="1084"/>
        <v>650</v>
      </c>
      <c r="ET148" s="13">
        <f t="shared" si="1084"/>
        <v>650</v>
      </c>
      <c r="EU148" s="13">
        <f t="shared" si="1084"/>
        <v>650</v>
      </c>
      <c r="EV148" s="13">
        <f t="shared" si="1084"/>
        <v>650</v>
      </c>
      <c r="EW148" s="13">
        <f t="shared" si="1084"/>
        <v>650</v>
      </c>
      <c r="EX148" s="13">
        <f t="shared" si="1084"/>
        <v>650</v>
      </c>
      <c r="EY148" s="13">
        <f t="shared" si="1084"/>
        <v>650</v>
      </c>
      <c r="EZ148" s="25">
        <v>45</v>
      </c>
      <c r="FA148" s="26">
        <f t="shared" si="845"/>
        <v>0.40740740740740738</v>
      </c>
    </row>
    <row r="149" spans="3:157" x14ac:dyDescent="0.25">
      <c r="C149" s="84"/>
      <c r="D149" s="85"/>
      <c r="E149" s="25">
        <v>44</v>
      </c>
      <c r="F149" s="26">
        <f t="shared" si="816"/>
        <v>0.39814814814814814</v>
      </c>
      <c r="G149" s="13">
        <f t="shared" si="1069"/>
        <v>600</v>
      </c>
      <c r="H149" s="13">
        <f t="shared" si="1069"/>
        <v>600</v>
      </c>
      <c r="I149" s="13">
        <f t="shared" si="1069"/>
        <v>600</v>
      </c>
      <c r="J149" s="13">
        <f t="shared" si="1069"/>
        <v>600</v>
      </c>
      <c r="K149" s="13">
        <f t="shared" si="1069"/>
        <v>600</v>
      </c>
      <c r="L149" s="13">
        <f t="shared" si="1069"/>
        <v>600</v>
      </c>
      <c r="M149" s="13">
        <f t="shared" si="1069"/>
        <v>600</v>
      </c>
      <c r="N149" s="13">
        <f t="shared" si="1069"/>
        <v>600</v>
      </c>
      <c r="O149" s="13">
        <f t="shared" si="1069"/>
        <v>600</v>
      </c>
      <c r="P149" s="13">
        <f t="shared" si="914"/>
        <v>600</v>
      </c>
      <c r="Q149" s="13">
        <f t="shared" si="975"/>
        <v>600</v>
      </c>
      <c r="R149" s="13">
        <f t="shared" si="1017"/>
        <v>600</v>
      </c>
      <c r="S149" s="13">
        <f t="shared" si="1051"/>
        <v>600</v>
      </c>
      <c r="T149" s="13">
        <f t="shared" ref="T149:T176" si="1085">$R$2</f>
        <v>600</v>
      </c>
      <c r="U149" s="13">
        <f t="shared" si="1071"/>
        <v>626.25565050458931</v>
      </c>
      <c r="V149" s="13">
        <f t="shared" si="1072"/>
        <v>627.22442130546915</v>
      </c>
      <c r="W149" s="13">
        <f t="shared" si="1073"/>
        <v>628.69262136246061</v>
      </c>
      <c r="X149" s="13">
        <f t="shared" ref="X149:X176" si="1086">$R$3</f>
        <v>650</v>
      </c>
      <c r="Y149" s="13">
        <f t="shared" si="1052"/>
        <v>650</v>
      </c>
      <c r="Z149" s="13">
        <f t="shared" si="1025"/>
        <v>650</v>
      </c>
      <c r="AA149" s="13">
        <f t="shared" si="985"/>
        <v>650</v>
      </c>
      <c r="AB149" s="13">
        <f t="shared" si="915"/>
        <v>650</v>
      </c>
      <c r="AC149" s="13">
        <f t="shared" si="1075"/>
        <v>650</v>
      </c>
      <c r="AD149" s="13">
        <f t="shared" si="1075"/>
        <v>650</v>
      </c>
      <c r="AE149" s="13">
        <f t="shared" si="1075"/>
        <v>650</v>
      </c>
      <c r="AF149" s="13">
        <f t="shared" si="1075"/>
        <v>650</v>
      </c>
      <c r="AG149" s="13">
        <f t="shared" si="1075"/>
        <v>650</v>
      </c>
      <c r="AH149" s="13">
        <f t="shared" si="1075"/>
        <v>650</v>
      </c>
      <c r="AI149" s="13">
        <f t="shared" si="1075"/>
        <v>650</v>
      </c>
      <c r="AJ149" s="13">
        <f t="shared" si="1075"/>
        <v>650</v>
      </c>
      <c r="AK149" s="13">
        <f t="shared" si="1075"/>
        <v>650</v>
      </c>
      <c r="AL149" s="25">
        <v>44</v>
      </c>
      <c r="AM149" s="26">
        <f t="shared" si="820"/>
        <v>0.39814814814814814</v>
      </c>
      <c r="AP149" s="87"/>
      <c r="AQ149" s="86"/>
      <c r="AR149" s="25">
        <v>44</v>
      </c>
      <c r="AS149" s="26">
        <f t="shared" si="821"/>
        <v>0.39814814814814814</v>
      </c>
      <c r="AT149" s="13">
        <f t="shared" si="1076"/>
        <v>600</v>
      </c>
      <c r="AU149" s="13">
        <f t="shared" si="1076"/>
        <v>600</v>
      </c>
      <c r="AV149" s="13">
        <f t="shared" si="1076"/>
        <v>600</v>
      </c>
      <c r="AW149" s="13">
        <f t="shared" si="1076"/>
        <v>600</v>
      </c>
      <c r="AX149" s="13">
        <f t="shared" si="1076"/>
        <v>600</v>
      </c>
      <c r="AY149" s="13">
        <f t="shared" si="1076"/>
        <v>600</v>
      </c>
      <c r="AZ149" s="13">
        <f t="shared" si="1076"/>
        <v>600</v>
      </c>
      <c r="BA149" s="13">
        <f t="shared" si="1076"/>
        <v>600</v>
      </c>
      <c r="BB149" s="13">
        <f t="shared" si="1076"/>
        <v>600</v>
      </c>
      <c r="BC149" s="13">
        <f t="shared" si="916"/>
        <v>600</v>
      </c>
      <c r="BD149" s="13">
        <f t="shared" si="986"/>
        <v>600</v>
      </c>
      <c r="BE149" s="13">
        <f t="shared" si="1026"/>
        <v>600</v>
      </c>
      <c r="BF149" s="13">
        <f t="shared" si="1053"/>
        <v>600</v>
      </c>
      <c r="BG149" s="13">
        <f t="shared" ref="BG149:BG176" si="1087">$R$2</f>
        <v>600</v>
      </c>
      <c r="BH149" s="13">
        <f t="shared" si="1077"/>
        <v>-2245063863.7030659</v>
      </c>
      <c r="BI149" s="13">
        <f t="shared" si="1078"/>
        <v>-2248421966.6203842</v>
      </c>
      <c r="BJ149" s="13">
        <f t="shared" si="1079"/>
        <v>-2253820306.2544975</v>
      </c>
      <c r="BK149" s="13">
        <f t="shared" ref="BK149:BK176" si="1088">$R$3</f>
        <v>650</v>
      </c>
      <c r="BL149" s="13">
        <f t="shared" si="1054"/>
        <v>650</v>
      </c>
      <c r="BM149" s="13">
        <f t="shared" si="1032"/>
        <v>650</v>
      </c>
      <c r="BN149" s="13">
        <f t="shared" si="994"/>
        <v>650</v>
      </c>
      <c r="BO149" s="13">
        <f t="shared" si="928"/>
        <v>650</v>
      </c>
      <c r="BP149" s="13">
        <f t="shared" si="1080"/>
        <v>650</v>
      </c>
      <c r="BQ149" s="13">
        <f t="shared" si="1080"/>
        <v>650</v>
      </c>
      <c r="BR149" s="13">
        <f t="shared" si="1080"/>
        <v>650</v>
      </c>
      <c r="BS149" s="13">
        <f t="shared" si="1080"/>
        <v>650</v>
      </c>
      <c r="BT149" s="13">
        <f t="shared" si="1080"/>
        <v>650</v>
      </c>
      <c r="BU149" s="13">
        <f t="shared" si="1080"/>
        <v>650</v>
      </c>
      <c r="BV149" s="13">
        <f t="shared" si="1080"/>
        <v>650</v>
      </c>
      <c r="BW149" s="13">
        <f t="shared" si="1080"/>
        <v>650</v>
      </c>
      <c r="BX149" s="13">
        <f t="shared" si="1080"/>
        <v>650</v>
      </c>
      <c r="BY149" s="25">
        <v>44</v>
      </c>
      <c r="BZ149" s="26">
        <f t="shared" si="836"/>
        <v>0.39814814814814814</v>
      </c>
      <c r="CC149" s="84"/>
      <c r="CD149" s="85"/>
      <c r="CE149" s="25">
        <v>44</v>
      </c>
      <c r="CF149" s="26">
        <f t="shared" si="837"/>
        <v>0.39814814814814814</v>
      </c>
      <c r="CG149" s="13">
        <f t="shared" si="1081"/>
        <v>600</v>
      </c>
      <c r="CH149" s="13">
        <f t="shared" si="1081"/>
        <v>600</v>
      </c>
      <c r="CI149" s="13">
        <f t="shared" si="1081"/>
        <v>600</v>
      </c>
      <c r="CJ149" s="13">
        <f t="shared" si="1081"/>
        <v>600</v>
      </c>
      <c r="CK149" s="13">
        <f t="shared" si="1081"/>
        <v>600</v>
      </c>
      <c r="CL149" s="13">
        <f t="shared" si="1081"/>
        <v>600</v>
      </c>
      <c r="CM149" s="13">
        <f t="shared" si="1081"/>
        <v>600</v>
      </c>
      <c r="CN149" s="13">
        <f t="shared" si="1081"/>
        <v>600</v>
      </c>
      <c r="CO149" s="13">
        <f t="shared" si="1081"/>
        <v>600</v>
      </c>
      <c r="CP149" s="13">
        <f t="shared" si="929"/>
        <v>600</v>
      </c>
      <c r="CQ149" s="13">
        <f t="shared" si="995"/>
        <v>600</v>
      </c>
      <c r="CR149" s="13">
        <f t="shared" si="1033"/>
        <v>600</v>
      </c>
      <c r="CS149" s="13">
        <f t="shared" si="1055"/>
        <v>600</v>
      </c>
      <c r="CT149" s="13">
        <f t="shared" ref="CT149:CT176" si="1089">$R$2</f>
        <v>600</v>
      </c>
      <c r="CU149" s="13">
        <f t="shared" ref="CU149:CU192" si="1090">$O$2/($O$3-$O$4*CU148)</f>
        <v>0.11667843062533659</v>
      </c>
      <c r="CV149" s="13">
        <f t="shared" ref="CV149:CV192" si="1091">$O$2/($O$3-$O$4*CV148)</f>
        <v>0.11667843062533659</v>
      </c>
      <c r="CW149" s="13">
        <f t="shared" ref="CW149:CW192" si="1092">$O$2/($O$3-$O$4*CW148)</f>
        <v>0.11667843062533659</v>
      </c>
      <c r="CX149" s="13">
        <f t="shared" ref="CX149:CX176" si="1093">$R$3</f>
        <v>650</v>
      </c>
      <c r="CY149" s="13">
        <f t="shared" si="1061"/>
        <v>650</v>
      </c>
      <c r="CZ149" s="13">
        <f t="shared" si="1041"/>
        <v>650</v>
      </c>
      <c r="DA149" s="13">
        <f t="shared" si="1005"/>
        <v>650</v>
      </c>
      <c r="DB149" s="13">
        <f t="shared" si="941"/>
        <v>650</v>
      </c>
      <c r="DC149" s="13">
        <f t="shared" si="1082"/>
        <v>650</v>
      </c>
      <c r="DD149" s="13">
        <f t="shared" si="1082"/>
        <v>650</v>
      </c>
      <c r="DE149" s="13">
        <f t="shared" si="1082"/>
        <v>650</v>
      </c>
      <c r="DF149" s="13">
        <f t="shared" si="1082"/>
        <v>650</v>
      </c>
      <c r="DG149" s="13">
        <f t="shared" si="1082"/>
        <v>650</v>
      </c>
      <c r="DH149" s="13">
        <f t="shared" si="1082"/>
        <v>650</v>
      </c>
      <c r="DI149" s="13">
        <f t="shared" si="1082"/>
        <v>650</v>
      </c>
      <c r="DJ149" s="13">
        <f t="shared" si="1082"/>
        <v>650</v>
      </c>
      <c r="DK149" s="13">
        <f t="shared" si="1082"/>
        <v>650</v>
      </c>
      <c r="DL149" s="25">
        <v>44</v>
      </c>
      <c r="DM149" s="26">
        <f t="shared" si="840"/>
        <v>0.39814814814814814</v>
      </c>
      <c r="DQ149" s="84"/>
      <c r="DR149" s="85"/>
      <c r="DS149" s="25">
        <v>44</v>
      </c>
      <c r="DT149" s="26">
        <f t="shared" si="841"/>
        <v>0.39814814814814814</v>
      </c>
      <c r="DU149" s="13">
        <f t="shared" si="1083"/>
        <v>600</v>
      </c>
      <c r="DV149" s="13">
        <f t="shared" si="1083"/>
        <v>600</v>
      </c>
      <c r="DW149" s="13">
        <f t="shared" si="1083"/>
        <v>600</v>
      </c>
      <c r="DX149" s="13">
        <f t="shared" si="1083"/>
        <v>600</v>
      </c>
      <c r="DY149" s="13">
        <f t="shared" si="1083"/>
        <v>600</v>
      </c>
      <c r="DZ149" s="13">
        <f t="shared" si="1083"/>
        <v>600</v>
      </c>
      <c r="EA149" s="13">
        <f t="shared" si="1083"/>
        <v>600</v>
      </c>
      <c r="EB149" s="13">
        <f t="shared" si="1083"/>
        <v>600</v>
      </c>
      <c r="EC149" s="13">
        <f t="shared" si="1083"/>
        <v>600</v>
      </c>
      <c r="ED149" s="13">
        <f t="shared" si="942"/>
        <v>600</v>
      </c>
      <c r="EE149" s="13">
        <f t="shared" si="1006"/>
        <v>600</v>
      </c>
      <c r="EF149" s="13">
        <f t="shared" si="1042"/>
        <v>600</v>
      </c>
      <c r="EG149" s="13">
        <f t="shared" si="1062"/>
        <v>600</v>
      </c>
      <c r="EH149" s="13">
        <f t="shared" ref="EH149:EH176" si="1094">$R$2</f>
        <v>600</v>
      </c>
      <c r="EI149" s="13">
        <f t="shared" ref="EI149:EI176" si="1095">(EI148*$O$4-BH149)/($O$3-$O$4*CU148)</f>
        <v>553.89688962947696</v>
      </c>
      <c r="EJ149" s="13">
        <f t="shared" ref="EJ149:EJ176" si="1096">(EJ148*$O$4-BI149)/($O$3-$O$4*CV148)</f>
        <v>554.77029473347523</v>
      </c>
      <c r="EK149" s="13">
        <f t="shared" ref="EK149:EK176" si="1097">(EK148*$O$4-BJ149)/($O$3-$O$4*CW148)</f>
        <v>556.05826797189616</v>
      </c>
      <c r="EL149" s="13">
        <f t="shared" ref="EL149:EL176" si="1098">$R$3</f>
        <v>650</v>
      </c>
      <c r="EM149" s="13">
        <f t="shared" si="1068"/>
        <v>650</v>
      </c>
      <c r="EN149" s="13">
        <f t="shared" si="1050"/>
        <v>650</v>
      </c>
      <c r="EO149" s="13">
        <f t="shared" si="1016"/>
        <v>650</v>
      </c>
      <c r="EP149" s="13">
        <f t="shared" si="954"/>
        <v>650</v>
      </c>
      <c r="EQ149" s="13">
        <f t="shared" si="1084"/>
        <v>650</v>
      </c>
      <c r="ER149" s="13">
        <f t="shared" si="1084"/>
        <v>650</v>
      </c>
      <c r="ES149" s="13">
        <f t="shared" si="1084"/>
        <v>650</v>
      </c>
      <c r="ET149" s="13">
        <f t="shared" si="1084"/>
        <v>650</v>
      </c>
      <c r="EU149" s="13">
        <f t="shared" si="1084"/>
        <v>650</v>
      </c>
      <c r="EV149" s="13">
        <f t="shared" si="1084"/>
        <v>650</v>
      </c>
      <c r="EW149" s="13">
        <f t="shared" si="1084"/>
        <v>650</v>
      </c>
      <c r="EX149" s="13">
        <f t="shared" si="1084"/>
        <v>650</v>
      </c>
      <c r="EY149" s="13">
        <f t="shared" si="1084"/>
        <v>650</v>
      </c>
      <c r="EZ149" s="25">
        <v>44</v>
      </c>
      <c r="FA149" s="26">
        <f t="shared" si="845"/>
        <v>0.39814814814814814</v>
      </c>
    </row>
    <row r="150" spans="3:157" x14ac:dyDescent="0.25">
      <c r="C150" s="84"/>
      <c r="D150" s="85"/>
      <c r="E150" s="25">
        <v>43</v>
      </c>
      <c r="F150" s="26">
        <f t="shared" si="816"/>
        <v>0.38888888888888884</v>
      </c>
      <c r="G150" s="13">
        <f t="shared" si="1069"/>
        <v>600</v>
      </c>
      <c r="H150" s="13">
        <f t="shared" si="1069"/>
        <v>600</v>
      </c>
      <c r="I150" s="13">
        <f t="shared" si="1069"/>
        <v>600</v>
      </c>
      <c r="J150" s="13">
        <f t="shared" si="1069"/>
        <v>600</v>
      </c>
      <c r="K150" s="13">
        <f t="shared" si="1069"/>
        <v>600</v>
      </c>
      <c r="L150" s="13">
        <f t="shared" si="1069"/>
        <v>600</v>
      </c>
      <c r="M150" s="13">
        <f t="shared" si="1069"/>
        <v>600</v>
      </c>
      <c r="N150" s="13">
        <f t="shared" si="1069"/>
        <v>600</v>
      </c>
      <c r="O150" s="13">
        <f t="shared" si="1069"/>
        <v>600</v>
      </c>
      <c r="P150" s="13">
        <f t="shared" si="914"/>
        <v>600</v>
      </c>
      <c r="Q150" s="13">
        <f t="shared" si="975"/>
        <v>600</v>
      </c>
      <c r="R150" s="13">
        <f t="shared" si="1017"/>
        <v>600</v>
      </c>
      <c r="S150" s="13">
        <f t="shared" si="1051"/>
        <v>600</v>
      </c>
      <c r="T150" s="13">
        <f t="shared" si="1085"/>
        <v>600</v>
      </c>
      <c r="U150" s="13">
        <f t="shared" si="1071"/>
        <v>620.15541764922978</v>
      </c>
      <c r="V150" s="13">
        <f t="shared" si="1072"/>
        <v>620.97275549282676</v>
      </c>
      <c r="W150" s="13">
        <f t="shared" si="1073"/>
        <v>622.51740104217674</v>
      </c>
      <c r="X150" s="13">
        <f t="shared" si="1086"/>
        <v>650</v>
      </c>
      <c r="Y150" s="13">
        <f t="shared" si="1052"/>
        <v>650</v>
      </c>
      <c r="Z150" s="13">
        <f t="shared" si="1025"/>
        <v>650</v>
      </c>
      <c r="AA150" s="13">
        <f t="shared" si="985"/>
        <v>650</v>
      </c>
      <c r="AB150" s="13">
        <f t="shared" si="915"/>
        <v>650</v>
      </c>
      <c r="AC150" s="13">
        <f t="shared" si="1075"/>
        <v>650</v>
      </c>
      <c r="AD150" s="13">
        <f t="shared" si="1075"/>
        <v>650</v>
      </c>
      <c r="AE150" s="13">
        <f t="shared" si="1075"/>
        <v>650</v>
      </c>
      <c r="AF150" s="13">
        <f t="shared" si="1075"/>
        <v>650</v>
      </c>
      <c r="AG150" s="13">
        <f t="shared" si="1075"/>
        <v>650</v>
      </c>
      <c r="AH150" s="13">
        <f t="shared" si="1075"/>
        <v>650</v>
      </c>
      <c r="AI150" s="13">
        <f t="shared" si="1075"/>
        <v>650</v>
      </c>
      <c r="AJ150" s="13">
        <f t="shared" si="1075"/>
        <v>650</v>
      </c>
      <c r="AK150" s="13">
        <f t="shared" si="1075"/>
        <v>650</v>
      </c>
      <c r="AL150" s="25">
        <v>43</v>
      </c>
      <c r="AM150" s="26">
        <f t="shared" si="820"/>
        <v>0.38888888888888884</v>
      </c>
      <c r="AP150" s="87"/>
      <c r="AQ150" s="86"/>
      <c r="AR150" s="25">
        <v>43</v>
      </c>
      <c r="AS150" s="26">
        <f t="shared" si="821"/>
        <v>0.38888888888888884</v>
      </c>
      <c r="AT150" s="13">
        <f t="shared" si="1076"/>
        <v>600</v>
      </c>
      <c r="AU150" s="13">
        <f t="shared" si="1076"/>
        <v>600</v>
      </c>
      <c r="AV150" s="13">
        <f t="shared" si="1076"/>
        <v>600</v>
      </c>
      <c r="AW150" s="13">
        <f t="shared" si="1076"/>
        <v>600</v>
      </c>
      <c r="AX150" s="13">
        <f t="shared" si="1076"/>
        <v>600</v>
      </c>
      <c r="AY150" s="13">
        <f t="shared" si="1076"/>
        <v>600</v>
      </c>
      <c r="AZ150" s="13">
        <f t="shared" si="1076"/>
        <v>600</v>
      </c>
      <c r="BA150" s="13">
        <f t="shared" si="1076"/>
        <v>600</v>
      </c>
      <c r="BB150" s="13">
        <f t="shared" si="1076"/>
        <v>600</v>
      </c>
      <c r="BC150" s="13">
        <f t="shared" si="916"/>
        <v>600</v>
      </c>
      <c r="BD150" s="13">
        <f t="shared" si="986"/>
        <v>600</v>
      </c>
      <c r="BE150" s="13">
        <f t="shared" si="1026"/>
        <v>600</v>
      </c>
      <c r="BF150" s="13">
        <f t="shared" si="1053"/>
        <v>600</v>
      </c>
      <c r="BG150" s="13">
        <f t="shared" si="1087"/>
        <v>600</v>
      </c>
      <c r="BH150" s="13">
        <f t="shared" si="1077"/>
        <v>-2223871702.5400362</v>
      </c>
      <c r="BI150" s="13">
        <f t="shared" si="1078"/>
        <v>-2226768363.6260405</v>
      </c>
      <c r="BJ150" s="13">
        <f t="shared" si="1079"/>
        <v>-2232333809.5197587</v>
      </c>
      <c r="BK150" s="13">
        <f t="shared" si="1088"/>
        <v>650</v>
      </c>
      <c r="BL150" s="13">
        <f t="shared" si="1054"/>
        <v>650</v>
      </c>
      <c r="BM150" s="13">
        <f t="shared" si="1032"/>
        <v>650</v>
      </c>
      <c r="BN150" s="13">
        <f t="shared" si="994"/>
        <v>650</v>
      </c>
      <c r="BO150" s="13">
        <f t="shared" si="928"/>
        <v>650</v>
      </c>
      <c r="BP150" s="13">
        <f t="shared" si="1080"/>
        <v>650</v>
      </c>
      <c r="BQ150" s="13">
        <f t="shared" si="1080"/>
        <v>650</v>
      </c>
      <c r="BR150" s="13">
        <f t="shared" si="1080"/>
        <v>650</v>
      </c>
      <c r="BS150" s="13">
        <f t="shared" si="1080"/>
        <v>650</v>
      </c>
      <c r="BT150" s="13">
        <f t="shared" si="1080"/>
        <v>650</v>
      </c>
      <c r="BU150" s="13">
        <f t="shared" si="1080"/>
        <v>650</v>
      </c>
      <c r="BV150" s="13">
        <f t="shared" si="1080"/>
        <v>650</v>
      </c>
      <c r="BW150" s="13">
        <f t="shared" si="1080"/>
        <v>650</v>
      </c>
      <c r="BX150" s="13">
        <f t="shared" si="1080"/>
        <v>650</v>
      </c>
      <c r="BY150" s="25">
        <v>43</v>
      </c>
      <c r="BZ150" s="26">
        <f t="shared" si="836"/>
        <v>0.38888888888888884</v>
      </c>
      <c r="CC150" s="84"/>
      <c r="CD150" s="85"/>
      <c r="CE150" s="25">
        <v>43</v>
      </c>
      <c r="CF150" s="26">
        <f t="shared" si="837"/>
        <v>0.38888888888888884</v>
      </c>
      <c r="CG150" s="13">
        <f t="shared" si="1081"/>
        <v>600</v>
      </c>
      <c r="CH150" s="13">
        <f t="shared" si="1081"/>
        <v>600</v>
      </c>
      <c r="CI150" s="13">
        <f t="shared" si="1081"/>
        <v>600</v>
      </c>
      <c r="CJ150" s="13">
        <f t="shared" si="1081"/>
        <v>600</v>
      </c>
      <c r="CK150" s="13">
        <f t="shared" si="1081"/>
        <v>600</v>
      </c>
      <c r="CL150" s="13">
        <f t="shared" si="1081"/>
        <v>600</v>
      </c>
      <c r="CM150" s="13">
        <f t="shared" si="1081"/>
        <v>600</v>
      </c>
      <c r="CN150" s="13">
        <f t="shared" si="1081"/>
        <v>600</v>
      </c>
      <c r="CO150" s="13">
        <f t="shared" si="1081"/>
        <v>600</v>
      </c>
      <c r="CP150" s="13">
        <f t="shared" si="929"/>
        <v>600</v>
      </c>
      <c r="CQ150" s="13">
        <f t="shared" si="995"/>
        <v>600</v>
      </c>
      <c r="CR150" s="13">
        <f t="shared" si="1033"/>
        <v>600</v>
      </c>
      <c r="CS150" s="13">
        <f t="shared" si="1055"/>
        <v>600</v>
      </c>
      <c r="CT150" s="13">
        <f t="shared" si="1089"/>
        <v>600</v>
      </c>
      <c r="CU150" s="13">
        <f t="shared" si="1090"/>
        <v>0.11667843062533659</v>
      </c>
      <c r="CV150" s="13">
        <f t="shared" si="1091"/>
        <v>0.11667843062533659</v>
      </c>
      <c r="CW150" s="13">
        <f t="shared" si="1092"/>
        <v>0.11667843062533659</v>
      </c>
      <c r="CX150" s="13">
        <f t="shared" si="1093"/>
        <v>650</v>
      </c>
      <c r="CY150" s="13">
        <f t="shared" si="1061"/>
        <v>650</v>
      </c>
      <c r="CZ150" s="13">
        <f t="shared" si="1041"/>
        <v>650</v>
      </c>
      <c r="DA150" s="13">
        <f t="shared" si="1005"/>
        <v>650</v>
      </c>
      <c r="DB150" s="13">
        <f t="shared" si="941"/>
        <v>650</v>
      </c>
      <c r="DC150" s="13">
        <f t="shared" si="1082"/>
        <v>650</v>
      </c>
      <c r="DD150" s="13">
        <f t="shared" si="1082"/>
        <v>650</v>
      </c>
      <c r="DE150" s="13">
        <f t="shared" si="1082"/>
        <v>650</v>
      </c>
      <c r="DF150" s="13">
        <f t="shared" si="1082"/>
        <v>650</v>
      </c>
      <c r="DG150" s="13">
        <f t="shared" si="1082"/>
        <v>650</v>
      </c>
      <c r="DH150" s="13">
        <f t="shared" si="1082"/>
        <v>650</v>
      </c>
      <c r="DI150" s="13">
        <f t="shared" si="1082"/>
        <v>650</v>
      </c>
      <c r="DJ150" s="13">
        <f t="shared" si="1082"/>
        <v>650</v>
      </c>
      <c r="DK150" s="13">
        <f t="shared" si="1082"/>
        <v>650</v>
      </c>
      <c r="DL150" s="25">
        <v>43</v>
      </c>
      <c r="DM150" s="26">
        <f t="shared" si="840"/>
        <v>0.38888888888888884</v>
      </c>
      <c r="DQ150" s="84"/>
      <c r="DR150" s="85"/>
      <c r="DS150" s="25">
        <v>43</v>
      </c>
      <c r="DT150" s="26">
        <f t="shared" si="841"/>
        <v>0.38888888888888884</v>
      </c>
      <c r="DU150" s="13">
        <f t="shared" si="1083"/>
        <v>600</v>
      </c>
      <c r="DV150" s="13">
        <f t="shared" si="1083"/>
        <v>600</v>
      </c>
      <c r="DW150" s="13">
        <f t="shared" si="1083"/>
        <v>600</v>
      </c>
      <c r="DX150" s="13">
        <f t="shared" si="1083"/>
        <v>600</v>
      </c>
      <c r="DY150" s="13">
        <f t="shared" si="1083"/>
        <v>600</v>
      </c>
      <c r="DZ150" s="13">
        <f t="shared" si="1083"/>
        <v>600</v>
      </c>
      <c r="EA150" s="13">
        <f t="shared" si="1083"/>
        <v>600</v>
      </c>
      <c r="EB150" s="13">
        <f t="shared" si="1083"/>
        <v>600</v>
      </c>
      <c r="EC150" s="13">
        <f t="shared" si="1083"/>
        <v>600</v>
      </c>
      <c r="ED150" s="13">
        <f t="shared" si="942"/>
        <v>600</v>
      </c>
      <c r="EE150" s="13">
        <f t="shared" si="1006"/>
        <v>600</v>
      </c>
      <c r="EF150" s="13">
        <f t="shared" si="1042"/>
        <v>600</v>
      </c>
      <c r="EG150" s="13">
        <f t="shared" si="1062"/>
        <v>600</v>
      </c>
      <c r="EH150" s="13">
        <f t="shared" si="1094"/>
        <v>600</v>
      </c>
      <c r="EI150" s="13">
        <f t="shared" si="1095"/>
        <v>548.23747747942923</v>
      </c>
      <c r="EJ150" s="13">
        <f t="shared" si="1096"/>
        <v>548.96930142492465</v>
      </c>
      <c r="EK150" s="13">
        <f t="shared" si="1097"/>
        <v>550.32985829510562</v>
      </c>
      <c r="EL150" s="13">
        <f t="shared" si="1098"/>
        <v>650</v>
      </c>
      <c r="EM150" s="13">
        <f t="shared" si="1068"/>
        <v>650</v>
      </c>
      <c r="EN150" s="13">
        <f t="shared" si="1050"/>
        <v>650</v>
      </c>
      <c r="EO150" s="13">
        <f t="shared" si="1016"/>
        <v>650</v>
      </c>
      <c r="EP150" s="13">
        <f t="shared" si="954"/>
        <v>650</v>
      </c>
      <c r="EQ150" s="13">
        <f t="shared" si="1084"/>
        <v>650</v>
      </c>
      <c r="ER150" s="13">
        <f t="shared" si="1084"/>
        <v>650</v>
      </c>
      <c r="ES150" s="13">
        <f t="shared" si="1084"/>
        <v>650</v>
      </c>
      <c r="ET150" s="13">
        <f t="shared" si="1084"/>
        <v>650</v>
      </c>
      <c r="EU150" s="13">
        <f t="shared" si="1084"/>
        <v>650</v>
      </c>
      <c r="EV150" s="13">
        <f t="shared" si="1084"/>
        <v>650</v>
      </c>
      <c r="EW150" s="13">
        <f t="shared" si="1084"/>
        <v>650</v>
      </c>
      <c r="EX150" s="13">
        <f t="shared" si="1084"/>
        <v>650</v>
      </c>
      <c r="EY150" s="13">
        <f t="shared" si="1084"/>
        <v>650</v>
      </c>
      <c r="EZ150" s="25">
        <v>43</v>
      </c>
      <c r="FA150" s="26">
        <f t="shared" si="845"/>
        <v>0.38888888888888884</v>
      </c>
    </row>
    <row r="151" spans="3:157" x14ac:dyDescent="0.25">
      <c r="C151" s="84"/>
      <c r="D151" s="85"/>
      <c r="E151" s="25">
        <v>42</v>
      </c>
      <c r="F151" s="26">
        <f t="shared" si="816"/>
        <v>0.37962962962962959</v>
      </c>
      <c r="G151" s="13">
        <f t="shared" si="1069"/>
        <v>600</v>
      </c>
      <c r="H151" s="13">
        <f t="shared" si="1069"/>
        <v>600</v>
      </c>
      <c r="I151" s="13">
        <f t="shared" si="1069"/>
        <v>600</v>
      </c>
      <c r="J151" s="13">
        <f t="shared" si="1069"/>
        <v>600</v>
      </c>
      <c r="K151" s="13">
        <f t="shared" si="1069"/>
        <v>600</v>
      </c>
      <c r="L151" s="13">
        <f t="shared" si="1069"/>
        <v>600</v>
      </c>
      <c r="M151" s="13">
        <f t="shared" si="1069"/>
        <v>600</v>
      </c>
      <c r="N151" s="13">
        <f t="shared" si="1069"/>
        <v>600</v>
      </c>
      <c r="O151" s="13">
        <f t="shared" si="1069"/>
        <v>600</v>
      </c>
      <c r="P151" s="13">
        <f t="shared" si="914"/>
        <v>600</v>
      </c>
      <c r="Q151" s="13">
        <f t="shared" si="975"/>
        <v>600</v>
      </c>
      <c r="R151" s="13">
        <f t="shared" si="1017"/>
        <v>600</v>
      </c>
      <c r="S151" s="13">
        <f t="shared" si="1051"/>
        <v>600</v>
      </c>
      <c r="T151" s="13">
        <f t="shared" si="1085"/>
        <v>600</v>
      </c>
      <c r="U151" s="13">
        <f t="shared" si="1071"/>
        <v>616.3773354197283</v>
      </c>
      <c r="V151" s="13">
        <f t="shared" si="1072"/>
        <v>617.11023778774245</v>
      </c>
      <c r="W151" s="13">
        <f t="shared" si="1073"/>
        <v>618.68798166193073</v>
      </c>
      <c r="X151" s="13">
        <f t="shared" si="1086"/>
        <v>650</v>
      </c>
      <c r="Y151" s="13">
        <f t="shared" si="1052"/>
        <v>650</v>
      </c>
      <c r="Z151" s="13">
        <f t="shared" si="1025"/>
        <v>650</v>
      </c>
      <c r="AA151" s="13">
        <f t="shared" si="985"/>
        <v>650</v>
      </c>
      <c r="AB151" s="13">
        <f t="shared" si="915"/>
        <v>650</v>
      </c>
      <c r="AC151" s="13">
        <f t="shared" si="1075"/>
        <v>650</v>
      </c>
      <c r="AD151" s="13">
        <f t="shared" si="1075"/>
        <v>650</v>
      </c>
      <c r="AE151" s="13">
        <f t="shared" si="1075"/>
        <v>650</v>
      </c>
      <c r="AF151" s="13">
        <f t="shared" si="1075"/>
        <v>650</v>
      </c>
      <c r="AG151" s="13">
        <f t="shared" si="1075"/>
        <v>650</v>
      </c>
      <c r="AH151" s="13">
        <f t="shared" si="1075"/>
        <v>650</v>
      </c>
      <c r="AI151" s="13">
        <f t="shared" si="1075"/>
        <v>650</v>
      </c>
      <c r="AJ151" s="13">
        <f t="shared" si="1075"/>
        <v>650</v>
      </c>
      <c r="AK151" s="13">
        <f t="shared" si="1075"/>
        <v>650</v>
      </c>
      <c r="AL151" s="25">
        <v>42</v>
      </c>
      <c r="AM151" s="26">
        <f t="shared" si="820"/>
        <v>0.37962962962962959</v>
      </c>
      <c r="AP151" s="87"/>
      <c r="AQ151" s="86"/>
      <c r="AR151" s="25">
        <v>42</v>
      </c>
      <c r="AS151" s="26">
        <f t="shared" si="821"/>
        <v>0.37962962962962959</v>
      </c>
      <c r="AT151" s="13">
        <f t="shared" si="1076"/>
        <v>600</v>
      </c>
      <c r="AU151" s="13">
        <f t="shared" si="1076"/>
        <v>600</v>
      </c>
      <c r="AV151" s="13">
        <f t="shared" si="1076"/>
        <v>600</v>
      </c>
      <c r="AW151" s="13">
        <f t="shared" si="1076"/>
        <v>600</v>
      </c>
      <c r="AX151" s="13">
        <f t="shared" si="1076"/>
        <v>600</v>
      </c>
      <c r="AY151" s="13">
        <f t="shared" si="1076"/>
        <v>600</v>
      </c>
      <c r="AZ151" s="13">
        <f t="shared" si="1076"/>
        <v>600</v>
      </c>
      <c r="BA151" s="13">
        <f t="shared" si="1076"/>
        <v>600</v>
      </c>
      <c r="BB151" s="13">
        <f t="shared" si="1076"/>
        <v>600</v>
      </c>
      <c r="BC151" s="13">
        <f t="shared" si="916"/>
        <v>600</v>
      </c>
      <c r="BD151" s="13">
        <f t="shared" si="986"/>
        <v>600</v>
      </c>
      <c r="BE151" s="13">
        <f t="shared" si="1026"/>
        <v>600</v>
      </c>
      <c r="BF151" s="13">
        <f t="shared" si="1053"/>
        <v>600</v>
      </c>
      <c r="BG151" s="13">
        <f t="shared" si="1087"/>
        <v>600</v>
      </c>
      <c r="BH151" s="13">
        <f t="shared" si="1077"/>
        <v>-2210785537.7871003</v>
      </c>
      <c r="BI151" s="13">
        <f t="shared" si="1078"/>
        <v>-2213397258.4282856</v>
      </c>
      <c r="BJ151" s="13">
        <f t="shared" si="1079"/>
        <v>-2219065892.4785881</v>
      </c>
      <c r="BK151" s="13">
        <f t="shared" si="1088"/>
        <v>650</v>
      </c>
      <c r="BL151" s="13">
        <f t="shared" si="1054"/>
        <v>650</v>
      </c>
      <c r="BM151" s="13">
        <f t="shared" si="1032"/>
        <v>650</v>
      </c>
      <c r="BN151" s="13">
        <f t="shared" si="994"/>
        <v>650</v>
      </c>
      <c r="BO151" s="13">
        <f t="shared" si="928"/>
        <v>650</v>
      </c>
      <c r="BP151" s="13">
        <f t="shared" si="1080"/>
        <v>650</v>
      </c>
      <c r="BQ151" s="13">
        <f t="shared" si="1080"/>
        <v>650</v>
      </c>
      <c r="BR151" s="13">
        <f t="shared" si="1080"/>
        <v>650</v>
      </c>
      <c r="BS151" s="13">
        <f t="shared" si="1080"/>
        <v>650</v>
      </c>
      <c r="BT151" s="13">
        <f t="shared" si="1080"/>
        <v>650</v>
      </c>
      <c r="BU151" s="13">
        <f t="shared" si="1080"/>
        <v>650</v>
      </c>
      <c r="BV151" s="13">
        <f t="shared" si="1080"/>
        <v>650</v>
      </c>
      <c r="BW151" s="13">
        <f t="shared" si="1080"/>
        <v>650</v>
      </c>
      <c r="BX151" s="13">
        <f t="shared" si="1080"/>
        <v>650</v>
      </c>
      <c r="BY151" s="25">
        <v>42</v>
      </c>
      <c r="BZ151" s="26">
        <f t="shared" si="836"/>
        <v>0.37962962962962959</v>
      </c>
      <c r="CC151" s="84"/>
      <c r="CD151" s="85"/>
      <c r="CE151" s="25">
        <v>42</v>
      </c>
      <c r="CF151" s="26">
        <f t="shared" si="837"/>
        <v>0.37962962962962959</v>
      </c>
      <c r="CG151" s="13">
        <f t="shared" si="1081"/>
        <v>600</v>
      </c>
      <c r="CH151" s="13">
        <f t="shared" si="1081"/>
        <v>600</v>
      </c>
      <c r="CI151" s="13">
        <f t="shared" si="1081"/>
        <v>600</v>
      </c>
      <c r="CJ151" s="13">
        <f t="shared" si="1081"/>
        <v>600</v>
      </c>
      <c r="CK151" s="13">
        <f t="shared" si="1081"/>
        <v>600</v>
      </c>
      <c r="CL151" s="13">
        <f t="shared" si="1081"/>
        <v>600</v>
      </c>
      <c r="CM151" s="13">
        <f t="shared" si="1081"/>
        <v>600</v>
      </c>
      <c r="CN151" s="13">
        <f t="shared" si="1081"/>
        <v>600</v>
      </c>
      <c r="CO151" s="13">
        <f t="shared" si="1081"/>
        <v>600</v>
      </c>
      <c r="CP151" s="13">
        <f t="shared" si="929"/>
        <v>600</v>
      </c>
      <c r="CQ151" s="13">
        <f t="shared" si="995"/>
        <v>600</v>
      </c>
      <c r="CR151" s="13">
        <f t="shared" si="1033"/>
        <v>600</v>
      </c>
      <c r="CS151" s="13">
        <f t="shared" si="1055"/>
        <v>600</v>
      </c>
      <c r="CT151" s="13">
        <f t="shared" si="1089"/>
        <v>600</v>
      </c>
      <c r="CU151" s="13">
        <f t="shared" si="1090"/>
        <v>0.11667843062533659</v>
      </c>
      <c r="CV151" s="13">
        <f t="shared" si="1091"/>
        <v>0.11667843062533659</v>
      </c>
      <c r="CW151" s="13">
        <f t="shared" si="1092"/>
        <v>0.11667843062533659</v>
      </c>
      <c r="CX151" s="13">
        <f t="shared" si="1093"/>
        <v>650</v>
      </c>
      <c r="CY151" s="13">
        <f t="shared" si="1061"/>
        <v>650</v>
      </c>
      <c r="CZ151" s="13">
        <f t="shared" si="1041"/>
        <v>650</v>
      </c>
      <c r="DA151" s="13">
        <f t="shared" si="1005"/>
        <v>650</v>
      </c>
      <c r="DB151" s="13">
        <f t="shared" si="941"/>
        <v>650</v>
      </c>
      <c r="DC151" s="13">
        <f t="shared" si="1082"/>
        <v>650</v>
      </c>
      <c r="DD151" s="13">
        <f t="shared" si="1082"/>
        <v>650</v>
      </c>
      <c r="DE151" s="13">
        <f t="shared" si="1082"/>
        <v>650</v>
      </c>
      <c r="DF151" s="13">
        <f t="shared" si="1082"/>
        <v>650</v>
      </c>
      <c r="DG151" s="13">
        <f t="shared" si="1082"/>
        <v>650</v>
      </c>
      <c r="DH151" s="13">
        <f t="shared" si="1082"/>
        <v>650</v>
      </c>
      <c r="DI151" s="13">
        <f t="shared" si="1082"/>
        <v>650</v>
      </c>
      <c r="DJ151" s="13">
        <f t="shared" si="1082"/>
        <v>650</v>
      </c>
      <c r="DK151" s="13">
        <f t="shared" si="1082"/>
        <v>650</v>
      </c>
      <c r="DL151" s="25">
        <v>42</v>
      </c>
      <c r="DM151" s="26">
        <f t="shared" si="840"/>
        <v>0.37962962962962959</v>
      </c>
      <c r="DQ151" s="84"/>
      <c r="DR151" s="85"/>
      <c r="DS151" s="25">
        <v>42</v>
      </c>
      <c r="DT151" s="26">
        <f t="shared" si="841"/>
        <v>0.37962962962962959</v>
      </c>
      <c r="DU151" s="13">
        <f t="shared" si="1083"/>
        <v>600</v>
      </c>
      <c r="DV151" s="13">
        <f t="shared" si="1083"/>
        <v>600</v>
      </c>
      <c r="DW151" s="13">
        <f t="shared" si="1083"/>
        <v>600</v>
      </c>
      <c r="DX151" s="13">
        <f t="shared" si="1083"/>
        <v>600</v>
      </c>
      <c r="DY151" s="13">
        <f t="shared" si="1083"/>
        <v>600</v>
      </c>
      <c r="DZ151" s="13">
        <f t="shared" si="1083"/>
        <v>600</v>
      </c>
      <c r="EA151" s="13">
        <f t="shared" si="1083"/>
        <v>600</v>
      </c>
      <c r="EB151" s="13">
        <f t="shared" si="1083"/>
        <v>600</v>
      </c>
      <c r="EC151" s="13">
        <f t="shared" si="1083"/>
        <v>600</v>
      </c>
      <c r="ED151" s="13">
        <f t="shared" si="942"/>
        <v>600</v>
      </c>
      <c r="EE151" s="13">
        <f t="shared" si="1006"/>
        <v>600</v>
      </c>
      <c r="EF151" s="13">
        <f t="shared" si="1042"/>
        <v>600</v>
      </c>
      <c r="EG151" s="13">
        <f t="shared" si="1062"/>
        <v>600</v>
      </c>
      <c r="EH151" s="13">
        <f t="shared" si="1094"/>
        <v>600</v>
      </c>
      <c r="EI151" s="13">
        <f t="shared" si="1095"/>
        <v>544.73139041426816</v>
      </c>
      <c r="EJ151" s="13">
        <f t="shared" si="1096"/>
        <v>545.38473090821208</v>
      </c>
      <c r="EK151" s="13">
        <f t="shared" si="1097"/>
        <v>546.77619632156802</v>
      </c>
      <c r="EL151" s="13">
        <f t="shared" si="1098"/>
        <v>650</v>
      </c>
      <c r="EM151" s="13">
        <f t="shared" si="1068"/>
        <v>650</v>
      </c>
      <c r="EN151" s="13">
        <f t="shared" si="1050"/>
        <v>650</v>
      </c>
      <c r="EO151" s="13">
        <f t="shared" si="1016"/>
        <v>650</v>
      </c>
      <c r="EP151" s="13">
        <f t="shared" si="954"/>
        <v>650</v>
      </c>
      <c r="EQ151" s="13">
        <f t="shared" si="1084"/>
        <v>650</v>
      </c>
      <c r="ER151" s="13">
        <f t="shared" si="1084"/>
        <v>650</v>
      </c>
      <c r="ES151" s="13">
        <f t="shared" si="1084"/>
        <v>650</v>
      </c>
      <c r="ET151" s="13">
        <f t="shared" si="1084"/>
        <v>650</v>
      </c>
      <c r="EU151" s="13">
        <f t="shared" si="1084"/>
        <v>650</v>
      </c>
      <c r="EV151" s="13">
        <f t="shared" si="1084"/>
        <v>650</v>
      </c>
      <c r="EW151" s="13">
        <f t="shared" si="1084"/>
        <v>650</v>
      </c>
      <c r="EX151" s="13">
        <f t="shared" si="1084"/>
        <v>650</v>
      </c>
      <c r="EY151" s="13">
        <f t="shared" si="1084"/>
        <v>650</v>
      </c>
      <c r="EZ151" s="25">
        <v>42</v>
      </c>
      <c r="FA151" s="26">
        <f t="shared" si="845"/>
        <v>0.37962962962962959</v>
      </c>
    </row>
    <row r="152" spans="3:157" x14ac:dyDescent="0.25">
      <c r="C152" s="84"/>
      <c r="D152" s="85"/>
      <c r="E152" s="25">
        <v>41</v>
      </c>
      <c r="F152" s="26">
        <f t="shared" si="816"/>
        <v>0.37037037037037035</v>
      </c>
      <c r="G152" s="13">
        <f t="shared" si="1069"/>
        <v>600</v>
      </c>
      <c r="H152" s="13">
        <f t="shared" si="1069"/>
        <v>600</v>
      </c>
      <c r="I152" s="13">
        <f t="shared" si="1069"/>
        <v>600</v>
      </c>
      <c r="J152" s="13">
        <f t="shared" si="1069"/>
        <v>600</v>
      </c>
      <c r="K152" s="13">
        <f t="shared" si="1069"/>
        <v>600</v>
      </c>
      <c r="L152" s="13">
        <f t="shared" si="1069"/>
        <v>600</v>
      </c>
      <c r="M152" s="13">
        <f t="shared" si="1069"/>
        <v>600</v>
      </c>
      <c r="N152" s="13">
        <f t="shared" si="1069"/>
        <v>600</v>
      </c>
      <c r="O152" s="13">
        <f t="shared" si="1069"/>
        <v>600</v>
      </c>
      <c r="P152" s="13">
        <f t="shared" si="914"/>
        <v>600</v>
      </c>
      <c r="Q152" s="13">
        <f t="shared" si="975"/>
        <v>600</v>
      </c>
      <c r="R152" s="13">
        <f t="shared" si="1017"/>
        <v>600</v>
      </c>
      <c r="S152" s="13">
        <f t="shared" si="1051"/>
        <v>600</v>
      </c>
      <c r="T152" s="13">
        <f t="shared" si="1085"/>
        <v>600</v>
      </c>
      <c r="U152" s="13">
        <f t="shared" si="1071"/>
        <v>614.04618335603743</v>
      </c>
      <c r="V152" s="13">
        <f t="shared" si="1072"/>
        <v>614.7280735189737</v>
      </c>
      <c r="W152" s="13">
        <f t="shared" si="1073"/>
        <v>616.32458505785871</v>
      </c>
      <c r="X152" s="13">
        <f t="shared" si="1086"/>
        <v>650</v>
      </c>
      <c r="Y152" s="13">
        <f t="shared" si="1052"/>
        <v>650</v>
      </c>
      <c r="Z152" s="13">
        <f t="shared" si="1025"/>
        <v>650</v>
      </c>
      <c r="AA152" s="13">
        <f t="shared" si="985"/>
        <v>650</v>
      </c>
      <c r="AB152" s="13">
        <f t="shared" si="915"/>
        <v>650</v>
      </c>
      <c r="AC152" s="13">
        <f t="shared" si="1075"/>
        <v>650</v>
      </c>
      <c r="AD152" s="13">
        <f t="shared" si="1075"/>
        <v>650</v>
      </c>
      <c r="AE152" s="13">
        <f t="shared" si="1075"/>
        <v>650</v>
      </c>
      <c r="AF152" s="13">
        <f t="shared" si="1075"/>
        <v>650</v>
      </c>
      <c r="AG152" s="13">
        <f t="shared" si="1075"/>
        <v>650</v>
      </c>
      <c r="AH152" s="13">
        <f t="shared" si="1075"/>
        <v>650</v>
      </c>
      <c r="AI152" s="13">
        <f t="shared" si="1075"/>
        <v>650</v>
      </c>
      <c r="AJ152" s="13">
        <f t="shared" si="1075"/>
        <v>650</v>
      </c>
      <c r="AK152" s="13">
        <f t="shared" si="1075"/>
        <v>650</v>
      </c>
      <c r="AL152" s="25">
        <v>41</v>
      </c>
      <c r="AM152" s="26">
        <f t="shared" si="820"/>
        <v>0.37037037037037035</v>
      </c>
      <c r="AP152" s="87"/>
      <c r="AQ152" s="86"/>
      <c r="AR152" s="25">
        <v>41</v>
      </c>
      <c r="AS152" s="26">
        <f t="shared" si="821"/>
        <v>0.37037037037037035</v>
      </c>
      <c r="AT152" s="13">
        <f t="shared" si="1076"/>
        <v>600</v>
      </c>
      <c r="AU152" s="13">
        <f t="shared" si="1076"/>
        <v>600</v>
      </c>
      <c r="AV152" s="13">
        <f t="shared" si="1076"/>
        <v>600</v>
      </c>
      <c r="AW152" s="13">
        <f t="shared" si="1076"/>
        <v>600</v>
      </c>
      <c r="AX152" s="13">
        <f t="shared" si="1076"/>
        <v>600</v>
      </c>
      <c r="AY152" s="13">
        <f t="shared" si="1076"/>
        <v>600</v>
      </c>
      <c r="AZ152" s="13">
        <f t="shared" si="1076"/>
        <v>600</v>
      </c>
      <c r="BA152" s="13">
        <f t="shared" si="1076"/>
        <v>600</v>
      </c>
      <c r="BB152" s="13">
        <f t="shared" si="1076"/>
        <v>600</v>
      </c>
      <c r="BC152" s="13">
        <f t="shared" si="916"/>
        <v>600</v>
      </c>
      <c r="BD152" s="13">
        <f t="shared" si="986"/>
        <v>600</v>
      </c>
      <c r="BE152" s="13">
        <f t="shared" si="1026"/>
        <v>600</v>
      </c>
      <c r="BF152" s="13">
        <f t="shared" si="1053"/>
        <v>600</v>
      </c>
      <c r="BG152" s="13">
        <f t="shared" si="1087"/>
        <v>600</v>
      </c>
      <c r="BH152" s="13">
        <f t="shared" si="1077"/>
        <v>-2202717018.3076811</v>
      </c>
      <c r="BI152" s="13">
        <f t="shared" si="1078"/>
        <v>-2205153053.5916281</v>
      </c>
      <c r="BJ152" s="13">
        <f t="shared" si="1079"/>
        <v>-2210885310.2286215</v>
      </c>
      <c r="BK152" s="13">
        <f t="shared" si="1088"/>
        <v>650</v>
      </c>
      <c r="BL152" s="13">
        <f t="shared" si="1054"/>
        <v>650</v>
      </c>
      <c r="BM152" s="13">
        <f t="shared" si="1032"/>
        <v>650</v>
      </c>
      <c r="BN152" s="13">
        <f t="shared" si="994"/>
        <v>650</v>
      </c>
      <c r="BO152" s="13">
        <f t="shared" si="928"/>
        <v>650</v>
      </c>
      <c r="BP152" s="13">
        <f t="shared" si="1080"/>
        <v>650</v>
      </c>
      <c r="BQ152" s="13">
        <f t="shared" si="1080"/>
        <v>650</v>
      </c>
      <c r="BR152" s="13">
        <f t="shared" si="1080"/>
        <v>650</v>
      </c>
      <c r="BS152" s="13">
        <f t="shared" si="1080"/>
        <v>650</v>
      </c>
      <c r="BT152" s="13">
        <f t="shared" si="1080"/>
        <v>650</v>
      </c>
      <c r="BU152" s="13">
        <f t="shared" si="1080"/>
        <v>650</v>
      </c>
      <c r="BV152" s="13">
        <f t="shared" si="1080"/>
        <v>650</v>
      </c>
      <c r="BW152" s="13">
        <f t="shared" si="1080"/>
        <v>650</v>
      </c>
      <c r="BX152" s="13">
        <f t="shared" si="1080"/>
        <v>650</v>
      </c>
      <c r="BY152" s="25">
        <v>41</v>
      </c>
      <c r="BZ152" s="26">
        <f t="shared" si="836"/>
        <v>0.37037037037037035</v>
      </c>
      <c r="CC152" s="84"/>
      <c r="CD152" s="85"/>
      <c r="CE152" s="25">
        <v>41</v>
      </c>
      <c r="CF152" s="26">
        <f t="shared" si="837"/>
        <v>0.37037037037037035</v>
      </c>
      <c r="CG152" s="13">
        <f t="shared" si="1081"/>
        <v>600</v>
      </c>
      <c r="CH152" s="13">
        <f t="shared" si="1081"/>
        <v>600</v>
      </c>
      <c r="CI152" s="13">
        <f t="shared" si="1081"/>
        <v>600</v>
      </c>
      <c r="CJ152" s="13">
        <f t="shared" si="1081"/>
        <v>600</v>
      </c>
      <c r="CK152" s="13">
        <f t="shared" si="1081"/>
        <v>600</v>
      </c>
      <c r="CL152" s="13">
        <f t="shared" si="1081"/>
        <v>600</v>
      </c>
      <c r="CM152" s="13">
        <f t="shared" si="1081"/>
        <v>600</v>
      </c>
      <c r="CN152" s="13">
        <f t="shared" si="1081"/>
        <v>600</v>
      </c>
      <c r="CO152" s="13">
        <f t="shared" si="1081"/>
        <v>600</v>
      </c>
      <c r="CP152" s="13">
        <f t="shared" si="929"/>
        <v>600</v>
      </c>
      <c r="CQ152" s="13">
        <f t="shared" si="995"/>
        <v>600</v>
      </c>
      <c r="CR152" s="13">
        <f t="shared" si="1033"/>
        <v>600</v>
      </c>
      <c r="CS152" s="13">
        <f t="shared" si="1055"/>
        <v>600</v>
      </c>
      <c r="CT152" s="13">
        <f t="shared" si="1089"/>
        <v>600</v>
      </c>
      <c r="CU152" s="13">
        <f t="shared" si="1090"/>
        <v>0.11667843062533659</v>
      </c>
      <c r="CV152" s="13">
        <f t="shared" si="1091"/>
        <v>0.11667843062533659</v>
      </c>
      <c r="CW152" s="13">
        <f t="shared" si="1092"/>
        <v>0.11667843062533659</v>
      </c>
      <c r="CX152" s="13">
        <f t="shared" si="1093"/>
        <v>650</v>
      </c>
      <c r="CY152" s="13">
        <f t="shared" si="1061"/>
        <v>650</v>
      </c>
      <c r="CZ152" s="13">
        <f t="shared" si="1041"/>
        <v>650</v>
      </c>
      <c r="DA152" s="13">
        <f t="shared" si="1005"/>
        <v>650</v>
      </c>
      <c r="DB152" s="13">
        <f t="shared" si="941"/>
        <v>650</v>
      </c>
      <c r="DC152" s="13">
        <f t="shared" si="1082"/>
        <v>650</v>
      </c>
      <c r="DD152" s="13">
        <f t="shared" si="1082"/>
        <v>650</v>
      </c>
      <c r="DE152" s="13">
        <f t="shared" si="1082"/>
        <v>650</v>
      </c>
      <c r="DF152" s="13">
        <f t="shared" si="1082"/>
        <v>650</v>
      </c>
      <c r="DG152" s="13">
        <f t="shared" si="1082"/>
        <v>650</v>
      </c>
      <c r="DH152" s="13">
        <f t="shared" si="1082"/>
        <v>650</v>
      </c>
      <c r="DI152" s="13">
        <f t="shared" si="1082"/>
        <v>650</v>
      </c>
      <c r="DJ152" s="13">
        <f t="shared" si="1082"/>
        <v>650</v>
      </c>
      <c r="DK152" s="13">
        <f t="shared" si="1082"/>
        <v>650</v>
      </c>
      <c r="DL152" s="25">
        <v>41</v>
      </c>
      <c r="DM152" s="26">
        <f t="shared" si="840"/>
        <v>0.37037037037037035</v>
      </c>
      <c r="DQ152" s="84"/>
      <c r="DR152" s="85"/>
      <c r="DS152" s="25">
        <v>41</v>
      </c>
      <c r="DT152" s="26">
        <f t="shared" si="841"/>
        <v>0.37037037037037035</v>
      </c>
      <c r="DU152" s="13">
        <f t="shared" si="1083"/>
        <v>600</v>
      </c>
      <c r="DV152" s="13">
        <f t="shared" si="1083"/>
        <v>600</v>
      </c>
      <c r="DW152" s="13">
        <f t="shared" si="1083"/>
        <v>600</v>
      </c>
      <c r="DX152" s="13">
        <f t="shared" si="1083"/>
        <v>600</v>
      </c>
      <c r="DY152" s="13">
        <f t="shared" si="1083"/>
        <v>600</v>
      </c>
      <c r="DZ152" s="13">
        <f t="shared" si="1083"/>
        <v>600</v>
      </c>
      <c r="EA152" s="13">
        <f t="shared" si="1083"/>
        <v>600</v>
      </c>
      <c r="EB152" s="13">
        <f t="shared" si="1083"/>
        <v>600</v>
      </c>
      <c r="EC152" s="13">
        <f t="shared" si="1083"/>
        <v>600</v>
      </c>
      <c r="ED152" s="13">
        <f t="shared" si="942"/>
        <v>600</v>
      </c>
      <c r="EE152" s="13">
        <f t="shared" si="1006"/>
        <v>600</v>
      </c>
      <c r="EF152" s="13">
        <f t="shared" si="1042"/>
        <v>600</v>
      </c>
      <c r="EG152" s="13">
        <f t="shared" si="1062"/>
        <v>600</v>
      </c>
      <c r="EH152" s="13">
        <f t="shared" si="1094"/>
        <v>600</v>
      </c>
      <c r="EI152" s="13">
        <f t="shared" si="1095"/>
        <v>542.56770178642967</v>
      </c>
      <c r="EJ152" s="13">
        <f t="shared" si="1096"/>
        <v>543.17367990177149</v>
      </c>
      <c r="EK152" s="13">
        <f t="shared" si="1097"/>
        <v>544.5825872295909</v>
      </c>
      <c r="EL152" s="13">
        <f t="shared" si="1098"/>
        <v>650</v>
      </c>
      <c r="EM152" s="13">
        <f t="shared" si="1068"/>
        <v>650</v>
      </c>
      <c r="EN152" s="13">
        <f t="shared" si="1050"/>
        <v>650</v>
      </c>
      <c r="EO152" s="13">
        <f t="shared" si="1016"/>
        <v>650</v>
      </c>
      <c r="EP152" s="13">
        <f t="shared" si="954"/>
        <v>650</v>
      </c>
      <c r="EQ152" s="13">
        <f t="shared" si="1084"/>
        <v>650</v>
      </c>
      <c r="ER152" s="13">
        <f t="shared" si="1084"/>
        <v>650</v>
      </c>
      <c r="ES152" s="13">
        <f t="shared" si="1084"/>
        <v>650</v>
      </c>
      <c r="ET152" s="13">
        <f t="shared" si="1084"/>
        <v>650</v>
      </c>
      <c r="EU152" s="13">
        <f t="shared" si="1084"/>
        <v>650</v>
      </c>
      <c r="EV152" s="13">
        <f t="shared" si="1084"/>
        <v>650</v>
      </c>
      <c r="EW152" s="13">
        <f t="shared" si="1084"/>
        <v>650</v>
      </c>
      <c r="EX152" s="13">
        <f t="shared" si="1084"/>
        <v>650</v>
      </c>
      <c r="EY152" s="13">
        <f t="shared" si="1084"/>
        <v>650</v>
      </c>
      <c r="EZ152" s="25">
        <v>41</v>
      </c>
      <c r="FA152" s="26">
        <f t="shared" si="845"/>
        <v>0.37037037037037035</v>
      </c>
    </row>
    <row r="153" spans="3:157" x14ac:dyDescent="0.25">
      <c r="C153" s="84"/>
      <c r="D153" s="85"/>
      <c r="E153" s="25">
        <v>40</v>
      </c>
      <c r="F153" s="26">
        <f t="shared" si="816"/>
        <v>0.3611111111111111</v>
      </c>
      <c r="G153" s="13">
        <f t="shared" si="1069"/>
        <v>600</v>
      </c>
      <c r="H153" s="13">
        <f t="shared" si="1069"/>
        <v>600</v>
      </c>
      <c r="I153" s="13">
        <f t="shared" si="1069"/>
        <v>600</v>
      </c>
      <c r="J153" s="13">
        <f t="shared" si="1069"/>
        <v>600</v>
      </c>
      <c r="K153" s="13">
        <f t="shared" si="1069"/>
        <v>600</v>
      </c>
      <c r="L153" s="13">
        <f t="shared" si="1069"/>
        <v>600</v>
      </c>
      <c r="M153" s="13">
        <f t="shared" si="1069"/>
        <v>600</v>
      </c>
      <c r="N153" s="13">
        <f t="shared" si="1069"/>
        <v>600</v>
      </c>
      <c r="O153" s="13">
        <f t="shared" si="1069"/>
        <v>600</v>
      </c>
      <c r="P153" s="13">
        <f t="shared" si="914"/>
        <v>600</v>
      </c>
      <c r="Q153" s="13">
        <f t="shared" si="975"/>
        <v>600</v>
      </c>
      <c r="R153" s="13">
        <f t="shared" si="1017"/>
        <v>600</v>
      </c>
      <c r="S153" s="13">
        <f t="shared" si="1051"/>
        <v>600</v>
      </c>
      <c r="T153" s="13">
        <f t="shared" si="1085"/>
        <v>600</v>
      </c>
      <c r="U153" s="13">
        <f t="shared" si="1071"/>
        <v>612.61092719982412</v>
      </c>
      <c r="V153" s="13">
        <f t="shared" si="1072"/>
        <v>613.26153629001806</v>
      </c>
      <c r="W153" s="13">
        <f t="shared" si="1073"/>
        <v>614.86941025661235</v>
      </c>
      <c r="X153" s="13">
        <f t="shared" si="1086"/>
        <v>650</v>
      </c>
      <c r="Y153" s="13">
        <f t="shared" si="1052"/>
        <v>650</v>
      </c>
      <c r="Z153" s="13">
        <f t="shared" si="1025"/>
        <v>650</v>
      </c>
      <c r="AA153" s="13">
        <f t="shared" si="985"/>
        <v>650</v>
      </c>
      <c r="AB153" s="13">
        <f t="shared" si="915"/>
        <v>650</v>
      </c>
      <c r="AC153" s="13">
        <f t="shared" si="1075"/>
        <v>650</v>
      </c>
      <c r="AD153" s="13">
        <f t="shared" si="1075"/>
        <v>650</v>
      </c>
      <c r="AE153" s="13">
        <f t="shared" si="1075"/>
        <v>650</v>
      </c>
      <c r="AF153" s="13">
        <f t="shared" si="1075"/>
        <v>650</v>
      </c>
      <c r="AG153" s="13">
        <f t="shared" si="1075"/>
        <v>650</v>
      </c>
      <c r="AH153" s="13">
        <f t="shared" si="1075"/>
        <v>650</v>
      </c>
      <c r="AI153" s="13">
        <f t="shared" si="1075"/>
        <v>650</v>
      </c>
      <c r="AJ153" s="13">
        <f t="shared" si="1075"/>
        <v>650</v>
      </c>
      <c r="AK153" s="13">
        <f t="shared" si="1075"/>
        <v>650</v>
      </c>
      <c r="AL153" s="25">
        <v>40</v>
      </c>
      <c r="AM153" s="26">
        <f t="shared" si="820"/>
        <v>0.3611111111111111</v>
      </c>
      <c r="AP153" s="87"/>
      <c r="AQ153" s="86"/>
      <c r="AR153" s="25">
        <v>40</v>
      </c>
      <c r="AS153" s="26">
        <f t="shared" si="821"/>
        <v>0.3611111111111111</v>
      </c>
      <c r="AT153" s="13">
        <f t="shared" si="1076"/>
        <v>600</v>
      </c>
      <c r="AU153" s="13">
        <f t="shared" si="1076"/>
        <v>600</v>
      </c>
      <c r="AV153" s="13">
        <f t="shared" si="1076"/>
        <v>600</v>
      </c>
      <c r="AW153" s="13">
        <f t="shared" si="1076"/>
        <v>600</v>
      </c>
      <c r="AX153" s="13">
        <f t="shared" si="1076"/>
        <v>600</v>
      </c>
      <c r="AY153" s="13">
        <f t="shared" si="1076"/>
        <v>600</v>
      </c>
      <c r="AZ153" s="13">
        <f t="shared" si="1076"/>
        <v>600</v>
      </c>
      <c r="BA153" s="13">
        <f t="shared" si="1076"/>
        <v>600</v>
      </c>
      <c r="BB153" s="13">
        <f t="shared" si="1076"/>
        <v>600</v>
      </c>
      <c r="BC153" s="13">
        <f t="shared" si="916"/>
        <v>600</v>
      </c>
      <c r="BD153" s="13">
        <f t="shared" si="986"/>
        <v>600</v>
      </c>
      <c r="BE153" s="13">
        <f t="shared" si="1026"/>
        <v>600</v>
      </c>
      <c r="BF153" s="13">
        <f t="shared" si="1053"/>
        <v>600</v>
      </c>
      <c r="BG153" s="13">
        <f t="shared" si="1087"/>
        <v>600</v>
      </c>
      <c r="BH153" s="13">
        <f t="shared" si="1077"/>
        <v>-2197751055.0885482</v>
      </c>
      <c r="BI153" s="13">
        <f t="shared" si="1078"/>
        <v>-2200078960.6190233</v>
      </c>
      <c r="BJ153" s="13">
        <f t="shared" si="1079"/>
        <v>-2205850375.298111</v>
      </c>
      <c r="BK153" s="13">
        <f t="shared" si="1088"/>
        <v>650</v>
      </c>
      <c r="BL153" s="13">
        <f t="shared" si="1054"/>
        <v>650</v>
      </c>
      <c r="BM153" s="13">
        <f t="shared" si="1032"/>
        <v>650</v>
      </c>
      <c r="BN153" s="13">
        <f t="shared" si="994"/>
        <v>650</v>
      </c>
      <c r="BO153" s="13">
        <f t="shared" si="928"/>
        <v>650</v>
      </c>
      <c r="BP153" s="13">
        <f t="shared" si="1080"/>
        <v>650</v>
      </c>
      <c r="BQ153" s="13">
        <f t="shared" si="1080"/>
        <v>650</v>
      </c>
      <c r="BR153" s="13">
        <f t="shared" si="1080"/>
        <v>650</v>
      </c>
      <c r="BS153" s="13">
        <f t="shared" si="1080"/>
        <v>650</v>
      </c>
      <c r="BT153" s="13">
        <f t="shared" si="1080"/>
        <v>650</v>
      </c>
      <c r="BU153" s="13">
        <f t="shared" si="1080"/>
        <v>650</v>
      </c>
      <c r="BV153" s="13">
        <f t="shared" si="1080"/>
        <v>650</v>
      </c>
      <c r="BW153" s="13">
        <f t="shared" si="1080"/>
        <v>650</v>
      </c>
      <c r="BX153" s="13">
        <f t="shared" si="1080"/>
        <v>650</v>
      </c>
      <c r="BY153" s="25">
        <v>40</v>
      </c>
      <c r="BZ153" s="26">
        <f t="shared" si="836"/>
        <v>0.3611111111111111</v>
      </c>
      <c r="CC153" s="84"/>
      <c r="CD153" s="85"/>
      <c r="CE153" s="25">
        <v>40</v>
      </c>
      <c r="CF153" s="26">
        <f t="shared" si="837"/>
        <v>0.3611111111111111</v>
      </c>
      <c r="CG153" s="13">
        <f t="shared" si="1081"/>
        <v>600</v>
      </c>
      <c r="CH153" s="13">
        <f t="shared" si="1081"/>
        <v>600</v>
      </c>
      <c r="CI153" s="13">
        <f t="shared" si="1081"/>
        <v>600</v>
      </c>
      <c r="CJ153" s="13">
        <f t="shared" si="1081"/>
        <v>600</v>
      </c>
      <c r="CK153" s="13">
        <f t="shared" si="1081"/>
        <v>600</v>
      </c>
      <c r="CL153" s="13">
        <f t="shared" si="1081"/>
        <v>600</v>
      </c>
      <c r="CM153" s="13">
        <f t="shared" si="1081"/>
        <v>600</v>
      </c>
      <c r="CN153" s="13">
        <f t="shared" si="1081"/>
        <v>600</v>
      </c>
      <c r="CO153" s="13">
        <f t="shared" si="1081"/>
        <v>600</v>
      </c>
      <c r="CP153" s="13">
        <f t="shared" si="929"/>
        <v>600</v>
      </c>
      <c r="CQ153" s="13">
        <f t="shared" si="995"/>
        <v>600</v>
      </c>
      <c r="CR153" s="13">
        <f t="shared" si="1033"/>
        <v>600</v>
      </c>
      <c r="CS153" s="13">
        <f t="shared" si="1055"/>
        <v>600</v>
      </c>
      <c r="CT153" s="13">
        <f t="shared" si="1089"/>
        <v>600</v>
      </c>
      <c r="CU153" s="13">
        <f t="shared" si="1090"/>
        <v>0.11667843062533659</v>
      </c>
      <c r="CV153" s="13">
        <f t="shared" si="1091"/>
        <v>0.11667843062533659</v>
      </c>
      <c r="CW153" s="13">
        <f t="shared" si="1092"/>
        <v>0.11667843062533659</v>
      </c>
      <c r="CX153" s="13">
        <f t="shared" si="1093"/>
        <v>650</v>
      </c>
      <c r="CY153" s="13">
        <f t="shared" si="1061"/>
        <v>650</v>
      </c>
      <c r="CZ153" s="13">
        <f t="shared" si="1041"/>
        <v>650</v>
      </c>
      <c r="DA153" s="13">
        <f t="shared" si="1005"/>
        <v>650</v>
      </c>
      <c r="DB153" s="13">
        <f t="shared" si="941"/>
        <v>650</v>
      </c>
      <c r="DC153" s="13">
        <f t="shared" si="1082"/>
        <v>650</v>
      </c>
      <c r="DD153" s="13">
        <f t="shared" si="1082"/>
        <v>650</v>
      </c>
      <c r="DE153" s="13">
        <f t="shared" si="1082"/>
        <v>650</v>
      </c>
      <c r="DF153" s="13">
        <f t="shared" si="1082"/>
        <v>650</v>
      </c>
      <c r="DG153" s="13">
        <f t="shared" si="1082"/>
        <v>650</v>
      </c>
      <c r="DH153" s="13">
        <f t="shared" si="1082"/>
        <v>650</v>
      </c>
      <c r="DI153" s="13">
        <f t="shared" si="1082"/>
        <v>650</v>
      </c>
      <c r="DJ153" s="13">
        <f t="shared" si="1082"/>
        <v>650</v>
      </c>
      <c r="DK153" s="13">
        <f t="shared" si="1082"/>
        <v>650</v>
      </c>
      <c r="DL153" s="25">
        <v>40</v>
      </c>
      <c r="DM153" s="26">
        <f t="shared" si="840"/>
        <v>0.3611111111111111</v>
      </c>
      <c r="DQ153" s="84"/>
      <c r="DR153" s="85"/>
      <c r="DS153" s="25">
        <v>40</v>
      </c>
      <c r="DT153" s="26">
        <f t="shared" si="841"/>
        <v>0.3611111111111111</v>
      </c>
      <c r="DU153" s="13">
        <f t="shared" si="1083"/>
        <v>600</v>
      </c>
      <c r="DV153" s="13">
        <f t="shared" si="1083"/>
        <v>600</v>
      </c>
      <c r="DW153" s="13">
        <f t="shared" si="1083"/>
        <v>600</v>
      </c>
      <c r="DX153" s="13">
        <f t="shared" si="1083"/>
        <v>600</v>
      </c>
      <c r="DY153" s="13">
        <f t="shared" si="1083"/>
        <v>600</v>
      </c>
      <c r="DZ153" s="13">
        <f t="shared" si="1083"/>
        <v>600</v>
      </c>
      <c r="EA153" s="13">
        <f t="shared" si="1083"/>
        <v>600</v>
      </c>
      <c r="EB153" s="13">
        <f t="shared" si="1083"/>
        <v>600</v>
      </c>
      <c r="EC153" s="13">
        <f t="shared" si="1083"/>
        <v>600</v>
      </c>
      <c r="ED153" s="13">
        <f t="shared" si="942"/>
        <v>600</v>
      </c>
      <c r="EE153" s="13">
        <f t="shared" si="1006"/>
        <v>600</v>
      </c>
      <c r="EF153" s="13">
        <f t="shared" si="1042"/>
        <v>600</v>
      </c>
      <c r="EG153" s="13">
        <f t="shared" si="1062"/>
        <v>600</v>
      </c>
      <c r="EH153" s="13">
        <f t="shared" si="1094"/>
        <v>600</v>
      </c>
      <c r="EI153" s="13">
        <f t="shared" si="1095"/>
        <v>541.23533307818445</v>
      </c>
      <c r="EJ153" s="13">
        <f t="shared" si="1096"/>
        <v>541.81227081244731</v>
      </c>
      <c r="EK153" s="13">
        <f t="shared" si="1097"/>
        <v>543.23172865806305</v>
      </c>
      <c r="EL153" s="13">
        <f t="shared" si="1098"/>
        <v>650</v>
      </c>
      <c r="EM153" s="13">
        <f t="shared" si="1068"/>
        <v>650</v>
      </c>
      <c r="EN153" s="13">
        <f t="shared" si="1050"/>
        <v>650</v>
      </c>
      <c r="EO153" s="13">
        <f t="shared" si="1016"/>
        <v>650</v>
      </c>
      <c r="EP153" s="13">
        <f t="shared" si="954"/>
        <v>650</v>
      </c>
      <c r="EQ153" s="13">
        <f t="shared" si="1084"/>
        <v>650</v>
      </c>
      <c r="ER153" s="13">
        <f t="shared" si="1084"/>
        <v>650</v>
      </c>
      <c r="ES153" s="13">
        <f t="shared" si="1084"/>
        <v>650</v>
      </c>
      <c r="ET153" s="13">
        <f t="shared" si="1084"/>
        <v>650</v>
      </c>
      <c r="EU153" s="13">
        <f t="shared" si="1084"/>
        <v>650</v>
      </c>
      <c r="EV153" s="13">
        <f t="shared" si="1084"/>
        <v>650</v>
      </c>
      <c r="EW153" s="13">
        <f t="shared" si="1084"/>
        <v>650</v>
      </c>
      <c r="EX153" s="13">
        <f t="shared" si="1084"/>
        <v>650</v>
      </c>
      <c r="EY153" s="13">
        <f t="shared" si="1084"/>
        <v>650</v>
      </c>
      <c r="EZ153" s="25">
        <v>40</v>
      </c>
      <c r="FA153" s="26">
        <f t="shared" si="845"/>
        <v>0.3611111111111111</v>
      </c>
    </row>
    <row r="154" spans="3:157" x14ac:dyDescent="0.25">
      <c r="C154" s="84"/>
      <c r="D154" s="85"/>
      <c r="E154" s="25">
        <v>39</v>
      </c>
      <c r="F154" s="26">
        <f t="shared" si="816"/>
        <v>0.35185185185185186</v>
      </c>
      <c r="G154" s="13">
        <f t="shared" si="1069"/>
        <v>600</v>
      </c>
      <c r="H154" s="13">
        <f t="shared" si="1069"/>
        <v>600</v>
      </c>
      <c r="I154" s="13">
        <f t="shared" si="1069"/>
        <v>600</v>
      </c>
      <c r="J154" s="13">
        <f t="shared" si="1069"/>
        <v>600</v>
      </c>
      <c r="K154" s="13">
        <f t="shared" si="1069"/>
        <v>600</v>
      </c>
      <c r="L154" s="13">
        <f t="shared" si="1069"/>
        <v>600</v>
      </c>
      <c r="M154" s="13">
        <f t="shared" si="1069"/>
        <v>600</v>
      </c>
      <c r="N154" s="13">
        <f t="shared" si="1069"/>
        <v>600</v>
      </c>
      <c r="O154" s="13">
        <f t="shared" si="1069"/>
        <v>600</v>
      </c>
      <c r="P154" s="13">
        <f t="shared" si="914"/>
        <v>600</v>
      </c>
      <c r="Q154" s="13">
        <f t="shared" si="975"/>
        <v>600</v>
      </c>
      <c r="R154" s="13">
        <f t="shared" si="1017"/>
        <v>600</v>
      </c>
      <c r="S154" s="13">
        <f t="shared" si="1051"/>
        <v>600</v>
      </c>
      <c r="T154" s="13">
        <f t="shared" si="1085"/>
        <v>600</v>
      </c>
      <c r="U154" s="13">
        <f t="shared" si="1071"/>
        <v>611.72912370438189</v>
      </c>
      <c r="V154" s="13">
        <f t="shared" si="1072"/>
        <v>612.36052880244688</v>
      </c>
      <c r="W154" s="13">
        <f t="shared" si="1073"/>
        <v>613.97536129521109</v>
      </c>
      <c r="X154" s="13">
        <f t="shared" si="1086"/>
        <v>650</v>
      </c>
      <c r="Y154" s="13">
        <f t="shared" si="1052"/>
        <v>650</v>
      </c>
      <c r="Z154" s="13">
        <f t="shared" si="1025"/>
        <v>650</v>
      </c>
      <c r="AA154" s="13">
        <f t="shared" si="985"/>
        <v>650</v>
      </c>
      <c r="AB154" s="13">
        <f t="shared" si="915"/>
        <v>650</v>
      </c>
      <c r="AC154" s="13">
        <f t="shared" si="1075"/>
        <v>650</v>
      </c>
      <c r="AD154" s="13">
        <f t="shared" si="1075"/>
        <v>650</v>
      </c>
      <c r="AE154" s="13">
        <f t="shared" si="1075"/>
        <v>650</v>
      </c>
      <c r="AF154" s="13">
        <f t="shared" si="1075"/>
        <v>650</v>
      </c>
      <c r="AG154" s="13">
        <f t="shared" si="1075"/>
        <v>650</v>
      </c>
      <c r="AH154" s="13">
        <f t="shared" si="1075"/>
        <v>650</v>
      </c>
      <c r="AI154" s="13">
        <f t="shared" si="1075"/>
        <v>650</v>
      </c>
      <c r="AJ154" s="13">
        <f t="shared" si="1075"/>
        <v>650</v>
      </c>
      <c r="AK154" s="13">
        <f t="shared" si="1075"/>
        <v>650</v>
      </c>
      <c r="AL154" s="25">
        <v>39</v>
      </c>
      <c r="AM154" s="26">
        <f t="shared" si="820"/>
        <v>0.35185185185185186</v>
      </c>
      <c r="AP154" s="87"/>
      <c r="AQ154" s="86"/>
      <c r="AR154" s="25">
        <v>39</v>
      </c>
      <c r="AS154" s="26">
        <f t="shared" si="821"/>
        <v>0.35185185185185186</v>
      </c>
      <c r="AT154" s="13">
        <f t="shared" si="1076"/>
        <v>600</v>
      </c>
      <c r="AU154" s="13">
        <f t="shared" si="1076"/>
        <v>600</v>
      </c>
      <c r="AV154" s="13">
        <f t="shared" si="1076"/>
        <v>600</v>
      </c>
      <c r="AW154" s="13">
        <f t="shared" si="1076"/>
        <v>600</v>
      </c>
      <c r="AX154" s="13">
        <f t="shared" si="1076"/>
        <v>600</v>
      </c>
      <c r="AY154" s="13">
        <f t="shared" si="1076"/>
        <v>600</v>
      </c>
      <c r="AZ154" s="13">
        <f t="shared" si="1076"/>
        <v>600</v>
      </c>
      <c r="BA154" s="13">
        <f t="shared" si="1076"/>
        <v>600</v>
      </c>
      <c r="BB154" s="13">
        <f t="shared" si="1076"/>
        <v>600</v>
      </c>
      <c r="BC154" s="13">
        <f t="shared" si="916"/>
        <v>600</v>
      </c>
      <c r="BD154" s="13">
        <f t="shared" si="986"/>
        <v>600</v>
      </c>
      <c r="BE154" s="13">
        <f t="shared" si="1026"/>
        <v>600</v>
      </c>
      <c r="BF154" s="13">
        <f t="shared" si="1053"/>
        <v>600</v>
      </c>
      <c r="BG154" s="13">
        <f t="shared" si="1087"/>
        <v>600</v>
      </c>
      <c r="BH154" s="13">
        <f t="shared" si="1077"/>
        <v>-2194700971.5208664</v>
      </c>
      <c r="BI154" s="13">
        <f t="shared" si="1078"/>
        <v>-2196962463.99718</v>
      </c>
      <c r="BJ154" s="13">
        <f t="shared" si="1079"/>
        <v>-2202757929.4586563</v>
      </c>
      <c r="BK154" s="13">
        <f t="shared" si="1088"/>
        <v>650</v>
      </c>
      <c r="BL154" s="13">
        <f t="shared" si="1054"/>
        <v>650</v>
      </c>
      <c r="BM154" s="13">
        <f t="shared" si="1032"/>
        <v>650</v>
      </c>
      <c r="BN154" s="13">
        <f t="shared" si="994"/>
        <v>650</v>
      </c>
      <c r="BO154" s="13">
        <f t="shared" si="928"/>
        <v>650</v>
      </c>
      <c r="BP154" s="13">
        <f t="shared" si="1080"/>
        <v>650</v>
      </c>
      <c r="BQ154" s="13">
        <f t="shared" si="1080"/>
        <v>650</v>
      </c>
      <c r="BR154" s="13">
        <f t="shared" si="1080"/>
        <v>650</v>
      </c>
      <c r="BS154" s="13">
        <f t="shared" si="1080"/>
        <v>650</v>
      </c>
      <c r="BT154" s="13">
        <f t="shared" si="1080"/>
        <v>650</v>
      </c>
      <c r="BU154" s="13">
        <f t="shared" si="1080"/>
        <v>650</v>
      </c>
      <c r="BV154" s="13">
        <f t="shared" si="1080"/>
        <v>650</v>
      </c>
      <c r="BW154" s="13">
        <f t="shared" si="1080"/>
        <v>650</v>
      </c>
      <c r="BX154" s="13">
        <f t="shared" si="1080"/>
        <v>650</v>
      </c>
      <c r="BY154" s="25">
        <v>39</v>
      </c>
      <c r="BZ154" s="26">
        <f t="shared" si="836"/>
        <v>0.35185185185185186</v>
      </c>
      <c r="CC154" s="84"/>
      <c r="CD154" s="85"/>
      <c r="CE154" s="25">
        <v>39</v>
      </c>
      <c r="CF154" s="26">
        <f t="shared" si="837"/>
        <v>0.35185185185185186</v>
      </c>
      <c r="CG154" s="13">
        <f t="shared" si="1081"/>
        <v>600</v>
      </c>
      <c r="CH154" s="13">
        <f t="shared" si="1081"/>
        <v>600</v>
      </c>
      <c r="CI154" s="13">
        <f t="shared" si="1081"/>
        <v>600</v>
      </c>
      <c r="CJ154" s="13">
        <f t="shared" si="1081"/>
        <v>600</v>
      </c>
      <c r="CK154" s="13">
        <f t="shared" si="1081"/>
        <v>600</v>
      </c>
      <c r="CL154" s="13">
        <f t="shared" si="1081"/>
        <v>600</v>
      </c>
      <c r="CM154" s="13">
        <f t="shared" si="1081"/>
        <v>600</v>
      </c>
      <c r="CN154" s="13">
        <f t="shared" si="1081"/>
        <v>600</v>
      </c>
      <c r="CO154" s="13">
        <f t="shared" si="1081"/>
        <v>600</v>
      </c>
      <c r="CP154" s="13">
        <f t="shared" si="929"/>
        <v>600</v>
      </c>
      <c r="CQ154" s="13">
        <f t="shared" si="995"/>
        <v>600</v>
      </c>
      <c r="CR154" s="13">
        <f t="shared" si="1033"/>
        <v>600</v>
      </c>
      <c r="CS154" s="13">
        <f t="shared" si="1055"/>
        <v>600</v>
      </c>
      <c r="CT154" s="13">
        <f t="shared" si="1089"/>
        <v>600</v>
      </c>
      <c r="CU154" s="13">
        <f t="shared" si="1090"/>
        <v>0.11667843062533659</v>
      </c>
      <c r="CV154" s="13">
        <f t="shared" si="1091"/>
        <v>0.11667843062533659</v>
      </c>
      <c r="CW154" s="13">
        <f t="shared" si="1092"/>
        <v>0.11667843062533659</v>
      </c>
      <c r="CX154" s="13">
        <f t="shared" si="1093"/>
        <v>650</v>
      </c>
      <c r="CY154" s="13">
        <f t="shared" si="1061"/>
        <v>650</v>
      </c>
      <c r="CZ154" s="13">
        <f t="shared" si="1041"/>
        <v>650</v>
      </c>
      <c r="DA154" s="13">
        <f t="shared" si="1005"/>
        <v>650</v>
      </c>
      <c r="DB154" s="13">
        <f t="shared" si="941"/>
        <v>650</v>
      </c>
      <c r="DC154" s="13">
        <f t="shared" si="1082"/>
        <v>650</v>
      </c>
      <c r="DD154" s="13">
        <f t="shared" si="1082"/>
        <v>650</v>
      </c>
      <c r="DE154" s="13">
        <f t="shared" si="1082"/>
        <v>650</v>
      </c>
      <c r="DF154" s="13">
        <f t="shared" si="1082"/>
        <v>650</v>
      </c>
      <c r="DG154" s="13">
        <f t="shared" si="1082"/>
        <v>650</v>
      </c>
      <c r="DH154" s="13">
        <f t="shared" si="1082"/>
        <v>650</v>
      </c>
      <c r="DI154" s="13">
        <f t="shared" si="1082"/>
        <v>650</v>
      </c>
      <c r="DJ154" s="13">
        <f t="shared" si="1082"/>
        <v>650</v>
      </c>
      <c r="DK154" s="13">
        <f t="shared" si="1082"/>
        <v>650</v>
      </c>
      <c r="DL154" s="25">
        <v>39</v>
      </c>
      <c r="DM154" s="26">
        <f t="shared" si="840"/>
        <v>0.35185185185185186</v>
      </c>
      <c r="DQ154" s="84"/>
      <c r="DR154" s="85"/>
      <c r="DS154" s="25">
        <v>39</v>
      </c>
      <c r="DT154" s="26">
        <f t="shared" si="841"/>
        <v>0.35185185185185186</v>
      </c>
      <c r="DU154" s="13">
        <f t="shared" si="1083"/>
        <v>600</v>
      </c>
      <c r="DV154" s="13">
        <f t="shared" si="1083"/>
        <v>600</v>
      </c>
      <c r="DW154" s="13">
        <f t="shared" si="1083"/>
        <v>600</v>
      </c>
      <c r="DX154" s="13">
        <f t="shared" si="1083"/>
        <v>600</v>
      </c>
      <c r="DY154" s="13">
        <f t="shared" si="1083"/>
        <v>600</v>
      </c>
      <c r="DZ154" s="13">
        <f t="shared" si="1083"/>
        <v>600</v>
      </c>
      <c r="EA154" s="13">
        <f t="shared" si="1083"/>
        <v>600</v>
      </c>
      <c r="EB154" s="13">
        <f t="shared" si="1083"/>
        <v>600</v>
      </c>
      <c r="EC154" s="13">
        <f t="shared" si="1083"/>
        <v>600</v>
      </c>
      <c r="ED154" s="13">
        <f t="shared" si="942"/>
        <v>600</v>
      </c>
      <c r="EE154" s="13">
        <f t="shared" si="1006"/>
        <v>600</v>
      </c>
      <c r="EF154" s="13">
        <f t="shared" si="1042"/>
        <v>600</v>
      </c>
      <c r="EG154" s="13">
        <f t="shared" si="1062"/>
        <v>600</v>
      </c>
      <c r="EH154" s="13">
        <f t="shared" si="1094"/>
        <v>600</v>
      </c>
      <c r="EI154" s="13">
        <f t="shared" si="1095"/>
        <v>540.41659427714876</v>
      </c>
      <c r="EJ154" s="13">
        <f t="shared" si="1096"/>
        <v>540.97570124793583</v>
      </c>
      <c r="EK154" s="13">
        <f t="shared" si="1097"/>
        <v>542.4016202650314</v>
      </c>
      <c r="EL154" s="13">
        <f t="shared" si="1098"/>
        <v>650</v>
      </c>
      <c r="EM154" s="13">
        <f t="shared" si="1068"/>
        <v>650</v>
      </c>
      <c r="EN154" s="13">
        <f t="shared" si="1050"/>
        <v>650</v>
      </c>
      <c r="EO154" s="13">
        <f t="shared" si="1016"/>
        <v>650</v>
      </c>
      <c r="EP154" s="13">
        <f t="shared" si="954"/>
        <v>650</v>
      </c>
      <c r="EQ154" s="13">
        <f t="shared" si="1084"/>
        <v>650</v>
      </c>
      <c r="ER154" s="13">
        <f t="shared" si="1084"/>
        <v>650</v>
      </c>
      <c r="ES154" s="13">
        <f t="shared" si="1084"/>
        <v>650</v>
      </c>
      <c r="ET154" s="13">
        <f t="shared" si="1084"/>
        <v>650</v>
      </c>
      <c r="EU154" s="13">
        <f t="shared" si="1084"/>
        <v>650</v>
      </c>
      <c r="EV154" s="13">
        <f t="shared" si="1084"/>
        <v>650</v>
      </c>
      <c r="EW154" s="13">
        <f t="shared" si="1084"/>
        <v>650</v>
      </c>
      <c r="EX154" s="13">
        <f t="shared" si="1084"/>
        <v>650</v>
      </c>
      <c r="EY154" s="13">
        <f t="shared" si="1084"/>
        <v>650</v>
      </c>
      <c r="EZ154" s="25">
        <v>39</v>
      </c>
      <c r="FA154" s="26">
        <f t="shared" si="845"/>
        <v>0.35185185185185186</v>
      </c>
    </row>
    <row r="155" spans="3:157" x14ac:dyDescent="0.25">
      <c r="C155" s="84"/>
      <c r="D155" s="85"/>
      <c r="E155" s="25">
        <v>38</v>
      </c>
      <c r="F155" s="26">
        <f t="shared" si="816"/>
        <v>0.34259259259259256</v>
      </c>
      <c r="G155" s="13">
        <f t="shared" si="1069"/>
        <v>600</v>
      </c>
      <c r="H155" s="13">
        <f t="shared" si="1069"/>
        <v>600</v>
      </c>
      <c r="I155" s="13">
        <f t="shared" si="1069"/>
        <v>600</v>
      </c>
      <c r="J155" s="13">
        <f t="shared" si="1069"/>
        <v>600</v>
      </c>
      <c r="K155" s="13">
        <f t="shared" si="1069"/>
        <v>600</v>
      </c>
      <c r="L155" s="13">
        <f t="shared" si="1069"/>
        <v>600</v>
      </c>
      <c r="M155" s="13">
        <f t="shared" si="1069"/>
        <v>600</v>
      </c>
      <c r="N155" s="13">
        <f t="shared" si="1069"/>
        <v>600</v>
      </c>
      <c r="O155" s="13">
        <f t="shared" si="1069"/>
        <v>600</v>
      </c>
      <c r="P155" s="13">
        <f t="shared" si="914"/>
        <v>600</v>
      </c>
      <c r="Q155" s="13">
        <f t="shared" si="975"/>
        <v>600</v>
      </c>
      <c r="R155" s="13">
        <f t="shared" si="1017"/>
        <v>600</v>
      </c>
      <c r="S155" s="13">
        <f t="shared" si="1051"/>
        <v>600</v>
      </c>
      <c r="T155" s="13">
        <f t="shared" si="1085"/>
        <v>600</v>
      </c>
      <c r="U155" s="13">
        <f t="shared" si="1071"/>
        <v>611.188623681639</v>
      </c>
      <c r="V155" s="13">
        <f t="shared" si="1072"/>
        <v>611.80825943514139</v>
      </c>
      <c r="W155" s="13">
        <f t="shared" si="1073"/>
        <v>613.42735453829027</v>
      </c>
      <c r="X155" s="13">
        <f t="shared" si="1086"/>
        <v>650</v>
      </c>
      <c r="Y155" s="13">
        <f t="shared" si="1052"/>
        <v>650</v>
      </c>
      <c r="Z155" s="13">
        <f t="shared" si="1025"/>
        <v>650</v>
      </c>
      <c r="AA155" s="13">
        <f t="shared" si="985"/>
        <v>650</v>
      </c>
      <c r="AB155" s="13">
        <f t="shared" si="915"/>
        <v>650</v>
      </c>
      <c r="AC155" s="13">
        <f t="shared" si="1075"/>
        <v>650</v>
      </c>
      <c r="AD155" s="13">
        <f t="shared" si="1075"/>
        <v>650</v>
      </c>
      <c r="AE155" s="13">
        <f t="shared" si="1075"/>
        <v>650</v>
      </c>
      <c r="AF155" s="13">
        <f t="shared" si="1075"/>
        <v>650</v>
      </c>
      <c r="AG155" s="13">
        <f t="shared" si="1075"/>
        <v>650</v>
      </c>
      <c r="AH155" s="13">
        <f t="shared" si="1075"/>
        <v>650</v>
      </c>
      <c r="AI155" s="13">
        <f t="shared" si="1075"/>
        <v>650</v>
      </c>
      <c r="AJ155" s="13">
        <f t="shared" si="1075"/>
        <v>650</v>
      </c>
      <c r="AK155" s="13">
        <f t="shared" si="1075"/>
        <v>650</v>
      </c>
      <c r="AL155" s="25">
        <v>38</v>
      </c>
      <c r="AM155" s="26">
        <f t="shared" si="820"/>
        <v>0.34259259259259256</v>
      </c>
      <c r="AP155" s="87"/>
      <c r="AQ155" s="86"/>
      <c r="AR155" s="25">
        <v>38</v>
      </c>
      <c r="AS155" s="26">
        <f t="shared" si="821"/>
        <v>0.34259259259259256</v>
      </c>
      <c r="AT155" s="13">
        <f t="shared" si="1076"/>
        <v>600</v>
      </c>
      <c r="AU155" s="13">
        <f t="shared" si="1076"/>
        <v>600</v>
      </c>
      <c r="AV155" s="13">
        <f t="shared" si="1076"/>
        <v>600</v>
      </c>
      <c r="AW155" s="13">
        <f t="shared" si="1076"/>
        <v>600</v>
      </c>
      <c r="AX155" s="13">
        <f t="shared" si="1076"/>
        <v>600</v>
      </c>
      <c r="AY155" s="13">
        <f t="shared" si="1076"/>
        <v>600</v>
      </c>
      <c r="AZ155" s="13">
        <f t="shared" si="1076"/>
        <v>600</v>
      </c>
      <c r="BA155" s="13">
        <f t="shared" si="1076"/>
        <v>600</v>
      </c>
      <c r="BB155" s="13">
        <f t="shared" si="1076"/>
        <v>600</v>
      </c>
      <c r="BC155" s="13">
        <f t="shared" si="916"/>
        <v>600</v>
      </c>
      <c r="BD155" s="13">
        <f t="shared" si="986"/>
        <v>600</v>
      </c>
      <c r="BE155" s="13">
        <f t="shared" si="1026"/>
        <v>600</v>
      </c>
      <c r="BF155" s="13">
        <f t="shared" si="1053"/>
        <v>600</v>
      </c>
      <c r="BG155" s="13">
        <f t="shared" si="1087"/>
        <v>600</v>
      </c>
      <c r="BH155" s="13">
        <f t="shared" si="1077"/>
        <v>-2192832077.836751</v>
      </c>
      <c r="BI155" s="13">
        <f t="shared" si="1078"/>
        <v>-2195052876.6944432</v>
      </c>
      <c r="BJ155" s="13">
        <f t="shared" si="1079"/>
        <v>-2200863078.9178166</v>
      </c>
      <c r="BK155" s="13">
        <f t="shared" si="1088"/>
        <v>650</v>
      </c>
      <c r="BL155" s="13">
        <f t="shared" si="1054"/>
        <v>650</v>
      </c>
      <c r="BM155" s="13">
        <f t="shared" si="1032"/>
        <v>650</v>
      </c>
      <c r="BN155" s="13">
        <f t="shared" si="994"/>
        <v>650</v>
      </c>
      <c r="BO155" s="13">
        <f t="shared" si="928"/>
        <v>650</v>
      </c>
      <c r="BP155" s="13">
        <f t="shared" si="1080"/>
        <v>650</v>
      </c>
      <c r="BQ155" s="13">
        <f t="shared" si="1080"/>
        <v>650</v>
      </c>
      <c r="BR155" s="13">
        <f t="shared" si="1080"/>
        <v>650</v>
      </c>
      <c r="BS155" s="13">
        <f t="shared" si="1080"/>
        <v>650</v>
      </c>
      <c r="BT155" s="13">
        <f t="shared" si="1080"/>
        <v>650</v>
      </c>
      <c r="BU155" s="13">
        <f t="shared" si="1080"/>
        <v>650</v>
      </c>
      <c r="BV155" s="13">
        <f t="shared" si="1080"/>
        <v>650</v>
      </c>
      <c r="BW155" s="13">
        <f t="shared" si="1080"/>
        <v>650</v>
      </c>
      <c r="BX155" s="13">
        <f t="shared" si="1080"/>
        <v>650</v>
      </c>
      <c r="BY155" s="25">
        <v>38</v>
      </c>
      <c r="BZ155" s="26">
        <f t="shared" si="836"/>
        <v>0.34259259259259256</v>
      </c>
      <c r="CC155" s="84"/>
      <c r="CD155" s="85"/>
      <c r="CE155" s="25">
        <v>38</v>
      </c>
      <c r="CF155" s="26">
        <f t="shared" si="837"/>
        <v>0.34259259259259256</v>
      </c>
      <c r="CG155" s="13">
        <f t="shared" si="1081"/>
        <v>600</v>
      </c>
      <c r="CH155" s="13">
        <f t="shared" si="1081"/>
        <v>600</v>
      </c>
      <c r="CI155" s="13">
        <f t="shared" si="1081"/>
        <v>600</v>
      </c>
      <c r="CJ155" s="13">
        <f t="shared" si="1081"/>
        <v>600</v>
      </c>
      <c r="CK155" s="13">
        <f t="shared" si="1081"/>
        <v>600</v>
      </c>
      <c r="CL155" s="13">
        <f t="shared" si="1081"/>
        <v>600</v>
      </c>
      <c r="CM155" s="13">
        <f t="shared" si="1081"/>
        <v>600</v>
      </c>
      <c r="CN155" s="13">
        <f t="shared" si="1081"/>
        <v>600</v>
      </c>
      <c r="CO155" s="13">
        <f t="shared" si="1081"/>
        <v>600</v>
      </c>
      <c r="CP155" s="13">
        <f t="shared" si="929"/>
        <v>600</v>
      </c>
      <c r="CQ155" s="13">
        <f t="shared" si="995"/>
        <v>600</v>
      </c>
      <c r="CR155" s="13">
        <f t="shared" si="1033"/>
        <v>600</v>
      </c>
      <c r="CS155" s="13">
        <f t="shared" si="1055"/>
        <v>600</v>
      </c>
      <c r="CT155" s="13">
        <f t="shared" si="1089"/>
        <v>600</v>
      </c>
      <c r="CU155" s="13">
        <f t="shared" si="1090"/>
        <v>0.11667843062533659</v>
      </c>
      <c r="CV155" s="13">
        <f t="shared" si="1091"/>
        <v>0.11667843062533659</v>
      </c>
      <c r="CW155" s="13">
        <f t="shared" si="1092"/>
        <v>0.11667843062533659</v>
      </c>
      <c r="CX155" s="13">
        <f t="shared" si="1093"/>
        <v>650</v>
      </c>
      <c r="CY155" s="13">
        <f t="shared" si="1061"/>
        <v>650</v>
      </c>
      <c r="CZ155" s="13">
        <f t="shared" si="1041"/>
        <v>650</v>
      </c>
      <c r="DA155" s="13">
        <f t="shared" si="1005"/>
        <v>650</v>
      </c>
      <c r="DB155" s="13">
        <f t="shared" si="941"/>
        <v>650</v>
      </c>
      <c r="DC155" s="13">
        <f t="shared" si="1082"/>
        <v>650</v>
      </c>
      <c r="DD155" s="13">
        <f t="shared" si="1082"/>
        <v>650</v>
      </c>
      <c r="DE155" s="13">
        <f t="shared" si="1082"/>
        <v>650</v>
      </c>
      <c r="DF155" s="13">
        <f t="shared" si="1082"/>
        <v>650</v>
      </c>
      <c r="DG155" s="13">
        <f t="shared" si="1082"/>
        <v>650</v>
      </c>
      <c r="DH155" s="13">
        <f t="shared" si="1082"/>
        <v>650</v>
      </c>
      <c r="DI155" s="13">
        <f t="shared" si="1082"/>
        <v>650</v>
      </c>
      <c r="DJ155" s="13">
        <f t="shared" si="1082"/>
        <v>650</v>
      </c>
      <c r="DK155" s="13">
        <f t="shared" si="1082"/>
        <v>650</v>
      </c>
      <c r="DL155" s="25">
        <v>38</v>
      </c>
      <c r="DM155" s="26">
        <f t="shared" si="840"/>
        <v>0.34259259259259256</v>
      </c>
      <c r="DQ155" s="84"/>
      <c r="DR155" s="85"/>
      <c r="DS155" s="25">
        <v>38</v>
      </c>
      <c r="DT155" s="26">
        <f t="shared" si="841"/>
        <v>0.34259259259259256</v>
      </c>
      <c r="DU155" s="13">
        <f t="shared" si="1083"/>
        <v>600</v>
      </c>
      <c r="DV155" s="13">
        <f t="shared" si="1083"/>
        <v>600</v>
      </c>
      <c r="DW155" s="13">
        <f t="shared" si="1083"/>
        <v>600</v>
      </c>
      <c r="DX155" s="13">
        <f t="shared" si="1083"/>
        <v>600</v>
      </c>
      <c r="DY155" s="13">
        <f t="shared" si="1083"/>
        <v>600</v>
      </c>
      <c r="DZ155" s="13">
        <f t="shared" si="1083"/>
        <v>600</v>
      </c>
      <c r="EA155" s="13">
        <f t="shared" si="1083"/>
        <v>600</v>
      </c>
      <c r="EB155" s="13">
        <f t="shared" si="1083"/>
        <v>600</v>
      </c>
      <c r="EC155" s="13">
        <f t="shared" si="1083"/>
        <v>600</v>
      </c>
      <c r="ED155" s="13">
        <f t="shared" si="942"/>
        <v>600</v>
      </c>
      <c r="EE155" s="13">
        <f t="shared" si="1006"/>
        <v>600</v>
      </c>
      <c r="EF155" s="13">
        <f t="shared" si="1042"/>
        <v>600</v>
      </c>
      <c r="EG155" s="13">
        <f t="shared" si="1062"/>
        <v>600</v>
      </c>
      <c r="EH155" s="13">
        <f t="shared" si="1094"/>
        <v>600</v>
      </c>
      <c r="EI155" s="13">
        <f t="shared" si="1095"/>
        <v>539.91465002126097</v>
      </c>
      <c r="EJ155" s="13">
        <f t="shared" si="1096"/>
        <v>540.46282717298755</v>
      </c>
      <c r="EK155" s="13">
        <f t="shared" si="1097"/>
        <v>541.89270476886065</v>
      </c>
      <c r="EL155" s="13">
        <f t="shared" si="1098"/>
        <v>650</v>
      </c>
      <c r="EM155" s="13">
        <f t="shared" si="1068"/>
        <v>650</v>
      </c>
      <c r="EN155" s="13">
        <f t="shared" si="1050"/>
        <v>650</v>
      </c>
      <c r="EO155" s="13">
        <f t="shared" si="1016"/>
        <v>650</v>
      </c>
      <c r="EP155" s="13">
        <f t="shared" si="954"/>
        <v>650</v>
      </c>
      <c r="EQ155" s="13">
        <f t="shared" si="1084"/>
        <v>650</v>
      </c>
      <c r="ER155" s="13">
        <f t="shared" si="1084"/>
        <v>650</v>
      </c>
      <c r="ES155" s="13">
        <f t="shared" si="1084"/>
        <v>650</v>
      </c>
      <c r="ET155" s="13">
        <f t="shared" si="1084"/>
        <v>650</v>
      </c>
      <c r="EU155" s="13">
        <f t="shared" si="1084"/>
        <v>650</v>
      </c>
      <c r="EV155" s="13">
        <f t="shared" si="1084"/>
        <v>650</v>
      </c>
      <c r="EW155" s="13">
        <f t="shared" si="1084"/>
        <v>650</v>
      </c>
      <c r="EX155" s="13">
        <f t="shared" si="1084"/>
        <v>650</v>
      </c>
      <c r="EY155" s="13">
        <f t="shared" si="1084"/>
        <v>650</v>
      </c>
      <c r="EZ155" s="25">
        <v>38</v>
      </c>
      <c r="FA155" s="26">
        <f t="shared" si="845"/>
        <v>0.34259259259259256</v>
      </c>
    </row>
    <row r="156" spans="3:157" x14ac:dyDescent="0.25">
      <c r="C156" s="84"/>
      <c r="D156" s="85"/>
      <c r="E156" s="25">
        <v>37</v>
      </c>
      <c r="F156" s="26">
        <f t="shared" si="816"/>
        <v>0.33333333333333331</v>
      </c>
      <c r="G156" s="13">
        <f t="shared" si="1069"/>
        <v>600</v>
      </c>
      <c r="H156" s="13">
        <f t="shared" si="1069"/>
        <v>600</v>
      </c>
      <c r="I156" s="13">
        <f t="shared" si="1069"/>
        <v>600</v>
      </c>
      <c r="J156" s="13">
        <f t="shared" si="1069"/>
        <v>600</v>
      </c>
      <c r="K156" s="13">
        <f t="shared" si="1069"/>
        <v>600</v>
      </c>
      <c r="L156" s="13">
        <f t="shared" si="1069"/>
        <v>600</v>
      </c>
      <c r="M156" s="13">
        <f t="shared" si="1069"/>
        <v>600</v>
      </c>
      <c r="N156" s="13">
        <f t="shared" si="1069"/>
        <v>600</v>
      </c>
      <c r="O156" s="13">
        <f t="shared" si="1069"/>
        <v>600</v>
      </c>
      <c r="P156" s="13">
        <f t="shared" si="914"/>
        <v>600</v>
      </c>
      <c r="Q156" s="13">
        <f t="shared" si="975"/>
        <v>600</v>
      </c>
      <c r="R156" s="13">
        <f t="shared" si="1017"/>
        <v>600</v>
      </c>
      <c r="S156" s="13">
        <f t="shared" si="1051"/>
        <v>600</v>
      </c>
      <c r="T156" s="13">
        <f t="shared" si="1085"/>
        <v>600</v>
      </c>
      <c r="U156" s="13">
        <f t="shared" si="1071"/>
        <v>610.858179000061</v>
      </c>
      <c r="V156" s="13">
        <f t="shared" si="1072"/>
        <v>611.47061954620835</v>
      </c>
      <c r="W156" s="13">
        <f t="shared" si="1073"/>
        <v>613.09232037181619</v>
      </c>
      <c r="X156" s="13">
        <f t="shared" si="1086"/>
        <v>650</v>
      </c>
      <c r="Y156" s="13">
        <f t="shared" si="1052"/>
        <v>650</v>
      </c>
      <c r="Z156" s="13">
        <f t="shared" si="1025"/>
        <v>650</v>
      </c>
      <c r="AA156" s="13">
        <f t="shared" si="985"/>
        <v>650</v>
      </c>
      <c r="AB156" s="13">
        <f t="shared" si="915"/>
        <v>650</v>
      </c>
      <c r="AC156" s="13">
        <f t="shared" si="1075"/>
        <v>650</v>
      </c>
      <c r="AD156" s="13">
        <f t="shared" si="1075"/>
        <v>650</v>
      </c>
      <c r="AE156" s="13">
        <f t="shared" si="1075"/>
        <v>650</v>
      </c>
      <c r="AF156" s="13">
        <f t="shared" si="1075"/>
        <v>650</v>
      </c>
      <c r="AG156" s="13">
        <f t="shared" si="1075"/>
        <v>650</v>
      </c>
      <c r="AH156" s="13">
        <f t="shared" si="1075"/>
        <v>650</v>
      </c>
      <c r="AI156" s="13">
        <f t="shared" si="1075"/>
        <v>650</v>
      </c>
      <c r="AJ156" s="13">
        <f t="shared" si="1075"/>
        <v>650</v>
      </c>
      <c r="AK156" s="13">
        <f t="shared" si="1075"/>
        <v>650</v>
      </c>
      <c r="AL156" s="25">
        <v>37</v>
      </c>
      <c r="AM156" s="26">
        <f t="shared" si="820"/>
        <v>0.33333333333333331</v>
      </c>
      <c r="AP156" s="87"/>
      <c r="AQ156" s="86"/>
      <c r="AR156" s="25">
        <v>37</v>
      </c>
      <c r="AS156" s="26">
        <f t="shared" si="821"/>
        <v>0.33333333333333331</v>
      </c>
      <c r="AT156" s="13">
        <f t="shared" si="1076"/>
        <v>600</v>
      </c>
      <c r="AU156" s="13">
        <f t="shared" si="1076"/>
        <v>600</v>
      </c>
      <c r="AV156" s="13">
        <f t="shared" si="1076"/>
        <v>600</v>
      </c>
      <c r="AW156" s="13">
        <f t="shared" si="1076"/>
        <v>600</v>
      </c>
      <c r="AX156" s="13">
        <f t="shared" si="1076"/>
        <v>600</v>
      </c>
      <c r="AY156" s="13">
        <f t="shared" si="1076"/>
        <v>600</v>
      </c>
      <c r="AZ156" s="13">
        <f t="shared" si="1076"/>
        <v>600</v>
      </c>
      <c r="BA156" s="13">
        <f t="shared" si="1076"/>
        <v>600</v>
      </c>
      <c r="BB156" s="13">
        <f t="shared" si="1076"/>
        <v>600</v>
      </c>
      <c r="BC156" s="13">
        <f t="shared" si="916"/>
        <v>600</v>
      </c>
      <c r="BD156" s="13">
        <f t="shared" si="986"/>
        <v>600</v>
      </c>
      <c r="BE156" s="13">
        <f t="shared" si="1026"/>
        <v>600</v>
      </c>
      <c r="BF156" s="13">
        <f t="shared" si="1053"/>
        <v>600</v>
      </c>
      <c r="BG156" s="13">
        <f t="shared" si="1087"/>
        <v>600</v>
      </c>
      <c r="BH156" s="13">
        <f t="shared" si="1077"/>
        <v>-2191689960.037848</v>
      </c>
      <c r="BI156" s="13">
        <f t="shared" si="1078"/>
        <v>-2193885890.2224188</v>
      </c>
      <c r="BJ156" s="13">
        <f t="shared" si="1079"/>
        <v>-2199705098.3717065</v>
      </c>
      <c r="BK156" s="13">
        <f t="shared" si="1088"/>
        <v>650</v>
      </c>
      <c r="BL156" s="13">
        <f t="shared" si="1054"/>
        <v>650</v>
      </c>
      <c r="BM156" s="13">
        <f t="shared" si="1032"/>
        <v>650</v>
      </c>
      <c r="BN156" s="13">
        <f t="shared" si="994"/>
        <v>650</v>
      </c>
      <c r="BO156" s="13">
        <f t="shared" si="928"/>
        <v>650</v>
      </c>
      <c r="BP156" s="13">
        <f t="shared" si="1080"/>
        <v>650</v>
      </c>
      <c r="BQ156" s="13">
        <f t="shared" si="1080"/>
        <v>650</v>
      </c>
      <c r="BR156" s="13">
        <f t="shared" si="1080"/>
        <v>650</v>
      </c>
      <c r="BS156" s="13">
        <f t="shared" si="1080"/>
        <v>650</v>
      </c>
      <c r="BT156" s="13">
        <f t="shared" si="1080"/>
        <v>650</v>
      </c>
      <c r="BU156" s="13">
        <f t="shared" si="1080"/>
        <v>650</v>
      </c>
      <c r="BV156" s="13">
        <f t="shared" si="1080"/>
        <v>650</v>
      </c>
      <c r="BW156" s="13">
        <f t="shared" si="1080"/>
        <v>650</v>
      </c>
      <c r="BX156" s="13">
        <f t="shared" si="1080"/>
        <v>650</v>
      </c>
      <c r="BY156" s="25">
        <v>37</v>
      </c>
      <c r="BZ156" s="26">
        <f t="shared" si="836"/>
        <v>0.33333333333333331</v>
      </c>
      <c r="CC156" s="84"/>
      <c r="CD156" s="85"/>
      <c r="CE156" s="25">
        <v>37</v>
      </c>
      <c r="CF156" s="26">
        <f t="shared" si="837"/>
        <v>0.33333333333333331</v>
      </c>
      <c r="CG156" s="13">
        <f t="shared" si="1081"/>
        <v>600</v>
      </c>
      <c r="CH156" s="13">
        <f t="shared" si="1081"/>
        <v>600</v>
      </c>
      <c r="CI156" s="13">
        <f t="shared" si="1081"/>
        <v>600</v>
      </c>
      <c r="CJ156" s="13">
        <f t="shared" si="1081"/>
        <v>600</v>
      </c>
      <c r="CK156" s="13">
        <f t="shared" si="1081"/>
        <v>600</v>
      </c>
      <c r="CL156" s="13">
        <f t="shared" si="1081"/>
        <v>600</v>
      </c>
      <c r="CM156" s="13">
        <f t="shared" si="1081"/>
        <v>600</v>
      </c>
      <c r="CN156" s="13">
        <f t="shared" si="1081"/>
        <v>600</v>
      </c>
      <c r="CO156" s="13">
        <f t="shared" si="1081"/>
        <v>600</v>
      </c>
      <c r="CP156" s="13">
        <f t="shared" si="929"/>
        <v>600</v>
      </c>
      <c r="CQ156" s="13">
        <f t="shared" si="995"/>
        <v>600</v>
      </c>
      <c r="CR156" s="13">
        <f t="shared" si="1033"/>
        <v>600</v>
      </c>
      <c r="CS156" s="13">
        <f t="shared" si="1055"/>
        <v>600</v>
      </c>
      <c r="CT156" s="13">
        <f t="shared" si="1089"/>
        <v>600</v>
      </c>
      <c r="CU156" s="13">
        <f t="shared" si="1090"/>
        <v>0.11667843062533659</v>
      </c>
      <c r="CV156" s="13">
        <f t="shared" si="1091"/>
        <v>0.11667843062533659</v>
      </c>
      <c r="CW156" s="13">
        <f t="shared" si="1092"/>
        <v>0.11667843062533659</v>
      </c>
      <c r="CX156" s="13">
        <f t="shared" si="1093"/>
        <v>650</v>
      </c>
      <c r="CY156" s="13">
        <f t="shared" si="1061"/>
        <v>650</v>
      </c>
      <c r="CZ156" s="13">
        <f t="shared" si="1041"/>
        <v>650</v>
      </c>
      <c r="DA156" s="13">
        <f t="shared" si="1005"/>
        <v>650</v>
      </c>
      <c r="DB156" s="13">
        <f t="shared" si="941"/>
        <v>650</v>
      </c>
      <c r="DC156" s="13">
        <f t="shared" si="1082"/>
        <v>650</v>
      </c>
      <c r="DD156" s="13">
        <f t="shared" si="1082"/>
        <v>650</v>
      </c>
      <c r="DE156" s="13">
        <f t="shared" si="1082"/>
        <v>650</v>
      </c>
      <c r="DF156" s="13">
        <f t="shared" si="1082"/>
        <v>650</v>
      </c>
      <c r="DG156" s="13">
        <f t="shared" si="1082"/>
        <v>650</v>
      </c>
      <c r="DH156" s="13">
        <f t="shared" si="1082"/>
        <v>650</v>
      </c>
      <c r="DI156" s="13">
        <f t="shared" si="1082"/>
        <v>650</v>
      </c>
      <c r="DJ156" s="13">
        <f t="shared" si="1082"/>
        <v>650</v>
      </c>
      <c r="DK156" s="13">
        <f t="shared" si="1082"/>
        <v>650</v>
      </c>
      <c r="DL156" s="25">
        <v>37</v>
      </c>
      <c r="DM156" s="26">
        <f t="shared" si="840"/>
        <v>0.33333333333333331</v>
      </c>
      <c r="DQ156" s="84"/>
      <c r="DR156" s="85"/>
      <c r="DS156" s="25">
        <v>37</v>
      </c>
      <c r="DT156" s="26">
        <f t="shared" si="841"/>
        <v>0.33333333333333331</v>
      </c>
      <c r="DU156" s="13">
        <f t="shared" si="1083"/>
        <v>600</v>
      </c>
      <c r="DV156" s="13">
        <f t="shared" si="1083"/>
        <v>600</v>
      </c>
      <c r="DW156" s="13">
        <f t="shared" si="1083"/>
        <v>600</v>
      </c>
      <c r="DX156" s="13">
        <f t="shared" si="1083"/>
        <v>600</v>
      </c>
      <c r="DY156" s="13">
        <f t="shared" si="1083"/>
        <v>600</v>
      </c>
      <c r="DZ156" s="13">
        <f t="shared" si="1083"/>
        <v>600</v>
      </c>
      <c r="EA156" s="13">
        <f t="shared" si="1083"/>
        <v>600</v>
      </c>
      <c r="EB156" s="13">
        <f t="shared" si="1083"/>
        <v>600</v>
      </c>
      <c r="EC156" s="13">
        <f t="shared" si="1083"/>
        <v>600</v>
      </c>
      <c r="ED156" s="13">
        <f t="shared" si="942"/>
        <v>600</v>
      </c>
      <c r="EE156" s="13">
        <f t="shared" si="1006"/>
        <v>600</v>
      </c>
      <c r="EF156" s="13">
        <f t="shared" si="1042"/>
        <v>600</v>
      </c>
      <c r="EG156" s="13">
        <f t="shared" si="1062"/>
        <v>600</v>
      </c>
      <c r="EH156" s="13">
        <f t="shared" si="1094"/>
        <v>600</v>
      </c>
      <c r="EI156" s="13">
        <f t="shared" si="1095"/>
        <v>539.60771566960511</v>
      </c>
      <c r="EJ156" s="13">
        <f t="shared" si="1096"/>
        <v>540.14920953265994</v>
      </c>
      <c r="EK156" s="13">
        <f t="shared" si="1097"/>
        <v>541.58150746433432</v>
      </c>
      <c r="EL156" s="13">
        <f t="shared" si="1098"/>
        <v>650</v>
      </c>
      <c r="EM156" s="13">
        <f t="shared" si="1068"/>
        <v>650</v>
      </c>
      <c r="EN156" s="13">
        <f t="shared" si="1050"/>
        <v>650</v>
      </c>
      <c r="EO156" s="13">
        <f t="shared" si="1016"/>
        <v>650</v>
      </c>
      <c r="EP156" s="13">
        <f t="shared" si="954"/>
        <v>650</v>
      </c>
      <c r="EQ156" s="13">
        <f t="shared" si="1084"/>
        <v>650</v>
      </c>
      <c r="ER156" s="13">
        <f t="shared" si="1084"/>
        <v>650</v>
      </c>
      <c r="ES156" s="13">
        <f t="shared" si="1084"/>
        <v>650</v>
      </c>
      <c r="ET156" s="13">
        <f t="shared" si="1084"/>
        <v>650</v>
      </c>
      <c r="EU156" s="13">
        <f t="shared" si="1084"/>
        <v>650</v>
      </c>
      <c r="EV156" s="13">
        <f t="shared" si="1084"/>
        <v>650</v>
      </c>
      <c r="EW156" s="13">
        <f t="shared" si="1084"/>
        <v>650</v>
      </c>
      <c r="EX156" s="13">
        <f t="shared" si="1084"/>
        <v>650</v>
      </c>
      <c r="EY156" s="13">
        <f t="shared" si="1084"/>
        <v>650</v>
      </c>
      <c r="EZ156" s="25">
        <v>37</v>
      </c>
      <c r="FA156" s="26">
        <f t="shared" si="845"/>
        <v>0.33333333333333331</v>
      </c>
    </row>
    <row r="157" spans="3:157" x14ac:dyDescent="0.25">
      <c r="C157" s="84"/>
      <c r="D157" s="85"/>
      <c r="E157" s="25">
        <v>36</v>
      </c>
      <c r="F157" s="26">
        <f t="shared" si="816"/>
        <v>0.32407407407407407</v>
      </c>
      <c r="G157" s="13">
        <f t="shared" si="1069"/>
        <v>600</v>
      </c>
      <c r="H157" s="13">
        <f t="shared" si="1069"/>
        <v>600</v>
      </c>
      <c r="I157" s="13">
        <f t="shared" si="1069"/>
        <v>600</v>
      </c>
      <c r="J157" s="13">
        <f t="shared" si="1069"/>
        <v>600</v>
      </c>
      <c r="K157" s="13">
        <f t="shared" si="1069"/>
        <v>600</v>
      </c>
      <c r="L157" s="13">
        <f t="shared" si="1069"/>
        <v>600</v>
      </c>
      <c r="M157" s="13">
        <f t="shared" si="1069"/>
        <v>600</v>
      </c>
      <c r="N157" s="13">
        <f t="shared" si="1069"/>
        <v>600</v>
      </c>
      <c r="O157" s="13">
        <f t="shared" si="1069"/>
        <v>600</v>
      </c>
      <c r="P157" s="13">
        <f t="shared" si="914"/>
        <v>600</v>
      </c>
      <c r="Q157" s="13">
        <f t="shared" si="975"/>
        <v>600</v>
      </c>
      <c r="R157" s="13">
        <f t="shared" si="1017"/>
        <v>600</v>
      </c>
      <c r="S157" s="13">
        <f t="shared" si="1051"/>
        <v>600</v>
      </c>
      <c r="T157" s="13">
        <f t="shared" si="1085"/>
        <v>600</v>
      </c>
      <c r="U157" s="13">
        <f t="shared" si="1071"/>
        <v>610.65668220415648</v>
      </c>
      <c r="V157" s="13">
        <f t="shared" si="1072"/>
        <v>611.26473531827799</v>
      </c>
      <c r="W157" s="13">
        <f t="shared" si="1073"/>
        <v>612.88802501216855</v>
      </c>
      <c r="X157" s="13">
        <f t="shared" si="1086"/>
        <v>650</v>
      </c>
      <c r="Y157" s="13">
        <f t="shared" si="1052"/>
        <v>650</v>
      </c>
      <c r="Z157" s="13">
        <f t="shared" si="1025"/>
        <v>650</v>
      </c>
      <c r="AA157" s="13">
        <f t="shared" si="985"/>
        <v>650</v>
      </c>
      <c r="AB157" s="13">
        <f t="shared" si="915"/>
        <v>650</v>
      </c>
      <c r="AC157" s="13">
        <f t="shared" si="1075"/>
        <v>650</v>
      </c>
      <c r="AD157" s="13">
        <f t="shared" si="1075"/>
        <v>650</v>
      </c>
      <c r="AE157" s="13">
        <f t="shared" si="1075"/>
        <v>650</v>
      </c>
      <c r="AF157" s="13">
        <f t="shared" si="1075"/>
        <v>650</v>
      </c>
      <c r="AG157" s="13">
        <f t="shared" si="1075"/>
        <v>650</v>
      </c>
      <c r="AH157" s="13">
        <f t="shared" si="1075"/>
        <v>650</v>
      </c>
      <c r="AI157" s="13">
        <f t="shared" si="1075"/>
        <v>650</v>
      </c>
      <c r="AJ157" s="13">
        <f t="shared" si="1075"/>
        <v>650</v>
      </c>
      <c r="AK157" s="13">
        <f t="shared" si="1075"/>
        <v>650</v>
      </c>
      <c r="AL157" s="25">
        <v>36</v>
      </c>
      <c r="AM157" s="26">
        <f t="shared" si="820"/>
        <v>0.32407407407407407</v>
      </c>
      <c r="AP157" s="87"/>
      <c r="AQ157" s="86"/>
      <c r="AR157" s="25">
        <v>36</v>
      </c>
      <c r="AS157" s="26">
        <f t="shared" si="821"/>
        <v>0.32407407407407407</v>
      </c>
      <c r="AT157" s="13">
        <f t="shared" si="1076"/>
        <v>600</v>
      </c>
      <c r="AU157" s="13">
        <f t="shared" si="1076"/>
        <v>600</v>
      </c>
      <c r="AV157" s="13">
        <f t="shared" si="1076"/>
        <v>600</v>
      </c>
      <c r="AW157" s="13">
        <f t="shared" si="1076"/>
        <v>600</v>
      </c>
      <c r="AX157" s="13">
        <f t="shared" si="1076"/>
        <v>600</v>
      </c>
      <c r="AY157" s="13">
        <f t="shared" si="1076"/>
        <v>600</v>
      </c>
      <c r="AZ157" s="13">
        <f t="shared" si="1076"/>
        <v>600</v>
      </c>
      <c r="BA157" s="13">
        <f t="shared" si="1076"/>
        <v>600</v>
      </c>
      <c r="BB157" s="13">
        <f t="shared" si="1076"/>
        <v>600</v>
      </c>
      <c r="BC157" s="13">
        <f t="shared" si="916"/>
        <v>600</v>
      </c>
      <c r="BD157" s="13">
        <f t="shared" si="986"/>
        <v>600</v>
      </c>
      <c r="BE157" s="13">
        <f t="shared" si="1026"/>
        <v>600</v>
      </c>
      <c r="BF157" s="13">
        <f t="shared" si="1053"/>
        <v>600</v>
      </c>
      <c r="BG157" s="13">
        <f t="shared" si="1087"/>
        <v>600</v>
      </c>
      <c r="BH157" s="13">
        <f t="shared" si="1077"/>
        <v>-2190993855.2333608</v>
      </c>
      <c r="BI157" s="13">
        <f t="shared" si="1078"/>
        <v>-2193174628.3099189</v>
      </c>
      <c r="BJ157" s="13">
        <f t="shared" si="1079"/>
        <v>-2198999325.4449348</v>
      </c>
      <c r="BK157" s="13">
        <f t="shared" si="1088"/>
        <v>650</v>
      </c>
      <c r="BL157" s="13">
        <f t="shared" si="1054"/>
        <v>650</v>
      </c>
      <c r="BM157" s="13">
        <f t="shared" si="1032"/>
        <v>650</v>
      </c>
      <c r="BN157" s="13">
        <f t="shared" si="994"/>
        <v>650</v>
      </c>
      <c r="BO157" s="13">
        <f t="shared" si="928"/>
        <v>650</v>
      </c>
      <c r="BP157" s="13">
        <f t="shared" si="1080"/>
        <v>650</v>
      </c>
      <c r="BQ157" s="13">
        <f t="shared" si="1080"/>
        <v>650</v>
      </c>
      <c r="BR157" s="13">
        <f t="shared" si="1080"/>
        <v>650</v>
      </c>
      <c r="BS157" s="13">
        <f t="shared" si="1080"/>
        <v>650</v>
      </c>
      <c r="BT157" s="13">
        <f t="shared" si="1080"/>
        <v>650</v>
      </c>
      <c r="BU157" s="13">
        <f t="shared" si="1080"/>
        <v>650</v>
      </c>
      <c r="BV157" s="13">
        <f t="shared" si="1080"/>
        <v>650</v>
      </c>
      <c r="BW157" s="13">
        <f t="shared" si="1080"/>
        <v>650</v>
      </c>
      <c r="BX157" s="13">
        <f t="shared" si="1080"/>
        <v>650</v>
      </c>
      <c r="BY157" s="25">
        <v>36</v>
      </c>
      <c r="BZ157" s="26">
        <f t="shared" si="836"/>
        <v>0.32407407407407407</v>
      </c>
      <c r="CC157" s="84"/>
      <c r="CD157" s="85"/>
      <c r="CE157" s="25">
        <v>36</v>
      </c>
      <c r="CF157" s="26">
        <f t="shared" si="837"/>
        <v>0.32407407407407407</v>
      </c>
      <c r="CG157" s="13">
        <f t="shared" si="1081"/>
        <v>600</v>
      </c>
      <c r="CH157" s="13">
        <f t="shared" si="1081"/>
        <v>600</v>
      </c>
      <c r="CI157" s="13">
        <f t="shared" si="1081"/>
        <v>600</v>
      </c>
      <c r="CJ157" s="13">
        <f t="shared" si="1081"/>
        <v>600</v>
      </c>
      <c r="CK157" s="13">
        <f t="shared" si="1081"/>
        <v>600</v>
      </c>
      <c r="CL157" s="13">
        <f t="shared" si="1081"/>
        <v>600</v>
      </c>
      <c r="CM157" s="13">
        <f t="shared" si="1081"/>
        <v>600</v>
      </c>
      <c r="CN157" s="13">
        <f t="shared" si="1081"/>
        <v>600</v>
      </c>
      <c r="CO157" s="13">
        <f t="shared" si="1081"/>
        <v>600</v>
      </c>
      <c r="CP157" s="13">
        <f t="shared" si="929"/>
        <v>600</v>
      </c>
      <c r="CQ157" s="13">
        <f t="shared" si="995"/>
        <v>600</v>
      </c>
      <c r="CR157" s="13">
        <f t="shared" si="1033"/>
        <v>600</v>
      </c>
      <c r="CS157" s="13">
        <f t="shared" si="1055"/>
        <v>600</v>
      </c>
      <c r="CT157" s="13">
        <f t="shared" si="1089"/>
        <v>600</v>
      </c>
      <c r="CU157" s="13">
        <f t="shared" si="1090"/>
        <v>0.11667843062533659</v>
      </c>
      <c r="CV157" s="13">
        <f t="shared" si="1091"/>
        <v>0.11667843062533659</v>
      </c>
      <c r="CW157" s="13">
        <f t="shared" si="1092"/>
        <v>0.11667843062533659</v>
      </c>
      <c r="CX157" s="13">
        <f t="shared" si="1093"/>
        <v>650</v>
      </c>
      <c r="CY157" s="13">
        <f t="shared" si="1061"/>
        <v>650</v>
      </c>
      <c r="CZ157" s="13">
        <f t="shared" si="1041"/>
        <v>650</v>
      </c>
      <c r="DA157" s="13">
        <f t="shared" si="1005"/>
        <v>650</v>
      </c>
      <c r="DB157" s="13">
        <f t="shared" si="941"/>
        <v>650</v>
      </c>
      <c r="DC157" s="13">
        <f t="shared" si="1082"/>
        <v>650</v>
      </c>
      <c r="DD157" s="13">
        <f t="shared" si="1082"/>
        <v>650</v>
      </c>
      <c r="DE157" s="13">
        <f t="shared" si="1082"/>
        <v>650</v>
      </c>
      <c r="DF157" s="13">
        <f t="shared" si="1082"/>
        <v>650</v>
      </c>
      <c r="DG157" s="13">
        <f t="shared" si="1082"/>
        <v>650</v>
      </c>
      <c r="DH157" s="13">
        <f t="shared" si="1082"/>
        <v>650</v>
      </c>
      <c r="DI157" s="13">
        <f t="shared" si="1082"/>
        <v>650</v>
      </c>
      <c r="DJ157" s="13">
        <f t="shared" si="1082"/>
        <v>650</v>
      </c>
      <c r="DK157" s="13">
        <f t="shared" si="1082"/>
        <v>650</v>
      </c>
      <c r="DL157" s="25">
        <v>36</v>
      </c>
      <c r="DM157" s="26">
        <f t="shared" si="840"/>
        <v>0.32407407407407407</v>
      </c>
      <c r="DQ157" s="84"/>
      <c r="DR157" s="85"/>
      <c r="DS157" s="25">
        <v>36</v>
      </c>
      <c r="DT157" s="26">
        <f t="shared" si="841"/>
        <v>0.32407407407407407</v>
      </c>
      <c r="DU157" s="13">
        <f t="shared" si="1083"/>
        <v>600</v>
      </c>
      <c r="DV157" s="13">
        <f t="shared" si="1083"/>
        <v>600</v>
      </c>
      <c r="DW157" s="13">
        <f t="shared" si="1083"/>
        <v>600</v>
      </c>
      <c r="DX157" s="13">
        <f t="shared" si="1083"/>
        <v>600</v>
      </c>
      <c r="DY157" s="13">
        <f t="shared" si="1083"/>
        <v>600</v>
      </c>
      <c r="DZ157" s="13">
        <f t="shared" si="1083"/>
        <v>600</v>
      </c>
      <c r="EA157" s="13">
        <f t="shared" si="1083"/>
        <v>600</v>
      </c>
      <c r="EB157" s="13">
        <f t="shared" si="1083"/>
        <v>600</v>
      </c>
      <c r="EC157" s="13">
        <f t="shared" si="1083"/>
        <v>600</v>
      </c>
      <c r="ED157" s="13">
        <f t="shared" si="942"/>
        <v>600</v>
      </c>
      <c r="EE157" s="13">
        <f t="shared" si="1006"/>
        <v>600</v>
      </c>
      <c r="EF157" s="13">
        <f t="shared" si="1042"/>
        <v>600</v>
      </c>
      <c r="EG157" s="13">
        <f t="shared" si="1062"/>
        <v>600</v>
      </c>
      <c r="EH157" s="13">
        <f t="shared" si="1094"/>
        <v>600</v>
      </c>
      <c r="EI157" s="13">
        <f t="shared" si="1095"/>
        <v>539.42052606037407</v>
      </c>
      <c r="EJ157" s="13">
        <f t="shared" si="1096"/>
        <v>539.95794401866772</v>
      </c>
      <c r="EK157" s="13">
        <f t="shared" si="1097"/>
        <v>541.39171800224722</v>
      </c>
      <c r="EL157" s="13">
        <f t="shared" si="1098"/>
        <v>650</v>
      </c>
      <c r="EM157" s="13">
        <f t="shared" si="1068"/>
        <v>650</v>
      </c>
      <c r="EN157" s="13">
        <f t="shared" si="1050"/>
        <v>650</v>
      </c>
      <c r="EO157" s="13">
        <f t="shared" si="1016"/>
        <v>650</v>
      </c>
      <c r="EP157" s="13">
        <f t="shared" si="954"/>
        <v>650</v>
      </c>
      <c r="EQ157" s="13">
        <f t="shared" si="1084"/>
        <v>650</v>
      </c>
      <c r="ER157" s="13">
        <f t="shared" si="1084"/>
        <v>650</v>
      </c>
      <c r="ES157" s="13">
        <f t="shared" si="1084"/>
        <v>650</v>
      </c>
      <c r="ET157" s="13">
        <f t="shared" si="1084"/>
        <v>650</v>
      </c>
      <c r="EU157" s="13">
        <f t="shared" si="1084"/>
        <v>650</v>
      </c>
      <c r="EV157" s="13">
        <f t="shared" si="1084"/>
        <v>650</v>
      </c>
      <c r="EW157" s="13">
        <f t="shared" si="1084"/>
        <v>650</v>
      </c>
      <c r="EX157" s="13">
        <f t="shared" si="1084"/>
        <v>650</v>
      </c>
      <c r="EY157" s="13">
        <f t="shared" si="1084"/>
        <v>650</v>
      </c>
      <c r="EZ157" s="25">
        <v>36</v>
      </c>
      <c r="FA157" s="26">
        <f t="shared" si="845"/>
        <v>0.32407407407407407</v>
      </c>
    </row>
    <row r="158" spans="3:157" x14ac:dyDescent="0.25">
      <c r="C158" s="84"/>
      <c r="D158" s="85"/>
      <c r="E158" s="25">
        <v>35</v>
      </c>
      <c r="F158" s="26">
        <f t="shared" si="816"/>
        <v>0.31481481481481477</v>
      </c>
      <c r="G158" s="13">
        <f t="shared" ref="G158:O167" si="1099">$R$2</f>
        <v>600</v>
      </c>
      <c r="H158" s="13">
        <f t="shared" si="1099"/>
        <v>600</v>
      </c>
      <c r="I158" s="13">
        <f t="shared" si="1099"/>
        <v>600</v>
      </c>
      <c r="J158" s="13">
        <f t="shared" si="1099"/>
        <v>600</v>
      </c>
      <c r="K158" s="13">
        <f t="shared" si="1099"/>
        <v>600</v>
      </c>
      <c r="L158" s="13">
        <f t="shared" si="1099"/>
        <v>600</v>
      </c>
      <c r="M158" s="13">
        <f t="shared" si="1099"/>
        <v>600</v>
      </c>
      <c r="N158" s="13">
        <f t="shared" si="1099"/>
        <v>600</v>
      </c>
      <c r="O158" s="13">
        <f t="shared" si="1099"/>
        <v>600</v>
      </c>
      <c r="P158" s="13">
        <f t="shared" si="914"/>
        <v>600</v>
      </c>
      <c r="Q158" s="13">
        <f t="shared" si="975"/>
        <v>600</v>
      </c>
      <c r="R158" s="13">
        <f t="shared" si="1017"/>
        <v>600</v>
      </c>
      <c r="S158" s="13">
        <f t="shared" si="1051"/>
        <v>600</v>
      </c>
      <c r="T158" s="13">
        <f t="shared" si="1085"/>
        <v>600</v>
      </c>
      <c r="U158" s="13">
        <f t="shared" si="1071"/>
        <v>610.53406153984997</v>
      </c>
      <c r="V158" s="13">
        <f t="shared" si="1072"/>
        <v>611.13944468949728</v>
      </c>
      <c r="W158" s="13">
        <f t="shared" si="1073"/>
        <v>612.76370128341455</v>
      </c>
      <c r="X158" s="13">
        <f t="shared" si="1086"/>
        <v>650</v>
      </c>
      <c r="Y158" s="13">
        <f t="shared" si="1052"/>
        <v>650</v>
      </c>
      <c r="Z158" s="13">
        <f t="shared" si="1025"/>
        <v>650</v>
      </c>
      <c r="AA158" s="13">
        <f t="shared" si="985"/>
        <v>650</v>
      </c>
      <c r="AB158" s="13">
        <f t="shared" si="915"/>
        <v>650</v>
      </c>
      <c r="AC158" s="13">
        <f t="shared" ref="AC158:AK167" si="1100">$R$3</f>
        <v>650</v>
      </c>
      <c r="AD158" s="13">
        <f t="shared" si="1100"/>
        <v>650</v>
      </c>
      <c r="AE158" s="13">
        <f t="shared" si="1100"/>
        <v>650</v>
      </c>
      <c r="AF158" s="13">
        <f t="shared" si="1100"/>
        <v>650</v>
      </c>
      <c r="AG158" s="13">
        <f t="shared" si="1100"/>
        <v>650</v>
      </c>
      <c r="AH158" s="13">
        <f t="shared" si="1100"/>
        <v>650</v>
      </c>
      <c r="AI158" s="13">
        <f t="shared" si="1100"/>
        <v>650</v>
      </c>
      <c r="AJ158" s="13">
        <f t="shared" si="1100"/>
        <v>650</v>
      </c>
      <c r="AK158" s="13">
        <f t="shared" si="1100"/>
        <v>650</v>
      </c>
      <c r="AL158" s="25">
        <v>35</v>
      </c>
      <c r="AM158" s="26">
        <f t="shared" si="820"/>
        <v>0.31481481481481477</v>
      </c>
      <c r="AP158" s="87"/>
      <c r="AQ158" s="86"/>
      <c r="AR158" s="25">
        <v>35</v>
      </c>
      <c r="AS158" s="26">
        <f t="shared" si="821"/>
        <v>0.31481481481481477</v>
      </c>
      <c r="AT158" s="13">
        <f t="shared" ref="AT158:BB167" si="1101">$R$2</f>
        <v>600</v>
      </c>
      <c r="AU158" s="13">
        <f t="shared" si="1101"/>
        <v>600</v>
      </c>
      <c r="AV158" s="13">
        <f t="shared" si="1101"/>
        <v>600</v>
      </c>
      <c r="AW158" s="13">
        <f t="shared" si="1101"/>
        <v>600</v>
      </c>
      <c r="AX158" s="13">
        <f t="shared" si="1101"/>
        <v>600</v>
      </c>
      <c r="AY158" s="13">
        <f t="shared" si="1101"/>
        <v>600</v>
      </c>
      <c r="AZ158" s="13">
        <f t="shared" si="1101"/>
        <v>600</v>
      </c>
      <c r="BA158" s="13">
        <f t="shared" si="1101"/>
        <v>600</v>
      </c>
      <c r="BB158" s="13">
        <f t="shared" si="1101"/>
        <v>600</v>
      </c>
      <c r="BC158" s="13">
        <f t="shared" si="916"/>
        <v>600</v>
      </c>
      <c r="BD158" s="13">
        <f t="shared" si="986"/>
        <v>600</v>
      </c>
      <c r="BE158" s="13">
        <f t="shared" si="1026"/>
        <v>600</v>
      </c>
      <c r="BF158" s="13">
        <f t="shared" si="1053"/>
        <v>600</v>
      </c>
      <c r="BG158" s="13">
        <f t="shared" si="1087"/>
        <v>600</v>
      </c>
      <c r="BH158" s="13">
        <f t="shared" si="1077"/>
        <v>-2190570467.8201017</v>
      </c>
      <c r="BI158" s="13">
        <f t="shared" si="1078"/>
        <v>-2192742021.9849205</v>
      </c>
      <c r="BJ158" s="13">
        <f t="shared" si="1079"/>
        <v>-2198570057.6509361</v>
      </c>
      <c r="BK158" s="13">
        <f t="shared" si="1088"/>
        <v>650</v>
      </c>
      <c r="BL158" s="13">
        <f t="shared" si="1054"/>
        <v>650</v>
      </c>
      <c r="BM158" s="13">
        <f t="shared" si="1032"/>
        <v>650</v>
      </c>
      <c r="BN158" s="13">
        <f t="shared" si="994"/>
        <v>650</v>
      </c>
      <c r="BO158" s="13">
        <f t="shared" si="928"/>
        <v>650</v>
      </c>
      <c r="BP158" s="13">
        <f t="shared" ref="BP158:BX167" si="1102">$R$3</f>
        <v>650</v>
      </c>
      <c r="BQ158" s="13">
        <f t="shared" si="1102"/>
        <v>650</v>
      </c>
      <c r="BR158" s="13">
        <f t="shared" si="1102"/>
        <v>650</v>
      </c>
      <c r="BS158" s="13">
        <f t="shared" si="1102"/>
        <v>650</v>
      </c>
      <c r="BT158" s="13">
        <f t="shared" si="1102"/>
        <v>650</v>
      </c>
      <c r="BU158" s="13">
        <f t="shared" si="1102"/>
        <v>650</v>
      </c>
      <c r="BV158" s="13">
        <f t="shared" si="1102"/>
        <v>650</v>
      </c>
      <c r="BW158" s="13">
        <f t="shared" si="1102"/>
        <v>650</v>
      </c>
      <c r="BX158" s="13">
        <f t="shared" si="1102"/>
        <v>650</v>
      </c>
      <c r="BY158" s="25">
        <v>35</v>
      </c>
      <c r="BZ158" s="26">
        <f t="shared" si="836"/>
        <v>0.31481481481481477</v>
      </c>
      <c r="CC158" s="84"/>
      <c r="CD158" s="85"/>
      <c r="CE158" s="25">
        <v>35</v>
      </c>
      <c r="CF158" s="26">
        <f t="shared" si="837"/>
        <v>0.31481481481481477</v>
      </c>
      <c r="CG158" s="13">
        <f t="shared" ref="CG158:CO167" si="1103">$R$2</f>
        <v>600</v>
      </c>
      <c r="CH158" s="13">
        <f t="shared" si="1103"/>
        <v>600</v>
      </c>
      <c r="CI158" s="13">
        <f t="shared" si="1103"/>
        <v>600</v>
      </c>
      <c r="CJ158" s="13">
        <f t="shared" si="1103"/>
        <v>600</v>
      </c>
      <c r="CK158" s="13">
        <f t="shared" si="1103"/>
        <v>600</v>
      </c>
      <c r="CL158" s="13">
        <f t="shared" si="1103"/>
        <v>600</v>
      </c>
      <c r="CM158" s="13">
        <f t="shared" si="1103"/>
        <v>600</v>
      </c>
      <c r="CN158" s="13">
        <f t="shared" si="1103"/>
        <v>600</v>
      </c>
      <c r="CO158" s="13">
        <f t="shared" si="1103"/>
        <v>600</v>
      </c>
      <c r="CP158" s="13">
        <f t="shared" si="929"/>
        <v>600</v>
      </c>
      <c r="CQ158" s="13">
        <f t="shared" si="995"/>
        <v>600</v>
      </c>
      <c r="CR158" s="13">
        <f t="shared" si="1033"/>
        <v>600</v>
      </c>
      <c r="CS158" s="13">
        <f t="shared" si="1055"/>
        <v>600</v>
      </c>
      <c r="CT158" s="13">
        <f t="shared" si="1089"/>
        <v>600</v>
      </c>
      <c r="CU158" s="13">
        <f t="shared" si="1090"/>
        <v>0.11667843062533659</v>
      </c>
      <c r="CV158" s="13">
        <f t="shared" si="1091"/>
        <v>0.11667843062533659</v>
      </c>
      <c r="CW158" s="13">
        <f t="shared" si="1092"/>
        <v>0.11667843062533659</v>
      </c>
      <c r="CX158" s="13">
        <f t="shared" si="1093"/>
        <v>650</v>
      </c>
      <c r="CY158" s="13">
        <f t="shared" si="1061"/>
        <v>650</v>
      </c>
      <c r="CZ158" s="13">
        <f t="shared" si="1041"/>
        <v>650</v>
      </c>
      <c r="DA158" s="13">
        <f t="shared" si="1005"/>
        <v>650</v>
      </c>
      <c r="DB158" s="13">
        <f t="shared" si="941"/>
        <v>650</v>
      </c>
      <c r="DC158" s="13">
        <f t="shared" ref="DC158:DK167" si="1104">$R$3</f>
        <v>650</v>
      </c>
      <c r="DD158" s="13">
        <f t="shared" si="1104"/>
        <v>650</v>
      </c>
      <c r="DE158" s="13">
        <f t="shared" si="1104"/>
        <v>650</v>
      </c>
      <c r="DF158" s="13">
        <f t="shared" si="1104"/>
        <v>650</v>
      </c>
      <c r="DG158" s="13">
        <f t="shared" si="1104"/>
        <v>650</v>
      </c>
      <c r="DH158" s="13">
        <f t="shared" si="1104"/>
        <v>650</v>
      </c>
      <c r="DI158" s="13">
        <f t="shared" si="1104"/>
        <v>650</v>
      </c>
      <c r="DJ158" s="13">
        <f t="shared" si="1104"/>
        <v>650</v>
      </c>
      <c r="DK158" s="13">
        <f t="shared" si="1104"/>
        <v>650</v>
      </c>
      <c r="DL158" s="25">
        <v>35</v>
      </c>
      <c r="DM158" s="26">
        <f t="shared" si="840"/>
        <v>0.31481481481481477</v>
      </c>
      <c r="DQ158" s="84"/>
      <c r="DR158" s="85"/>
      <c r="DS158" s="25">
        <v>35</v>
      </c>
      <c r="DT158" s="26">
        <f t="shared" si="841"/>
        <v>0.31481481481481477</v>
      </c>
      <c r="DU158" s="13">
        <f t="shared" ref="DU158:EC167" si="1105">$R$2</f>
        <v>600</v>
      </c>
      <c r="DV158" s="13">
        <f t="shared" si="1105"/>
        <v>600</v>
      </c>
      <c r="DW158" s="13">
        <f t="shared" si="1105"/>
        <v>600</v>
      </c>
      <c r="DX158" s="13">
        <f t="shared" si="1105"/>
        <v>600</v>
      </c>
      <c r="DY158" s="13">
        <f t="shared" si="1105"/>
        <v>600</v>
      </c>
      <c r="DZ158" s="13">
        <f t="shared" si="1105"/>
        <v>600</v>
      </c>
      <c r="EA158" s="13">
        <f t="shared" si="1105"/>
        <v>600</v>
      </c>
      <c r="EB158" s="13">
        <f t="shared" si="1105"/>
        <v>600</v>
      </c>
      <c r="EC158" s="13">
        <f t="shared" si="1105"/>
        <v>600</v>
      </c>
      <c r="ED158" s="13">
        <f t="shared" si="942"/>
        <v>600</v>
      </c>
      <c r="EE158" s="13">
        <f t="shared" si="1006"/>
        <v>600</v>
      </c>
      <c r="EF158" s="13">
        <f t="shared" si="1042"/>
        <v>600</v>
      </c>
      <c r="EG158" s="13">
        <f t="shared" si="1062"/>
        <v>600</v>
      </c>
      <c r="EH158" s="13">
        <f t="shared" si="1094"/>
        <v>600</v>
      </c>
      <c r="EI158" s="13">
        <f t="shared" si="1095"/>
        <v>539.30661400288136</v>
      </c>
      <c r="EJ158" s="13">
        <f t="shared" si="1096"/>
        <v>539.84155161944057</v>
      </c>
      <c r="EK158" s="13">
        <f t="shared" si="1097"/>
        <v>541.27622383317487</v>
      </c>
      <c r="EL158" s="13">
        <f t="shared" si="1098"/>
        <v>650</v>
      </c>
      <c r="EM158" s="13">
        <f t="shared" si="1068"/>
        <v>650</v>
      </c>
      <c r="EN158" s="13">
        <f t="shared" si="1050"/>
        <v>650</v>
      </c>
      <c r="EO158" s="13">
        <f t="shared" si="1016"/>
        <v>650</v>
      </c>
      <c r="EP158" s="13">
        <f t="shared" si="954"/>
        <v>650</v>
      </c>
      <c r="EQ158" s="13">
        <f t="shared" ref="EQ158:EY167" si="1106">$R$3</f>
        <v>650</v>
      </c>
      <c r="ER158" s="13">
        <f t="shared" si="1106"/>
        <v>650</v>
      </c>
      <c r="ES158" s="13">
        <f t="shared" si="1106"/>
        <v>650</v>
      </c>
      <c r="ET158" s="13">
        <f t="shared" si="1106"/>
        <v>650</v>
      </c>
      <c r="EU158" s="13">
        <f t="shared" si="1106"/>
        <v>650</v>
      </c>
      <c r="EV158" s="13">
        <f t="shared" si="1106"/>
        <v>650</v>
      </c>
      <c r="EW158" s="13">
        <f t="shared" si="1106"/>
        <v>650</v>
      </c>
      <c r="EX158" s="13">
        <f t="shared" si="1106"/>
        <v>650</v>
      </c>
      <c r="EY158" s="13">
        <f t="shared" si="1106"/>
        <v>650</v>
      </c>
      <c r="EZ158" s="25">
        <v>35</v>
      </c>
      <c r="FA158" s="26">
        <f t="shared" si="845"/>
        <v>0.31481481481481477</v>
      </c>
    </row>
    <row r="159" spans="3:157" x14ac:dyDescent="0.25">
      <c r="C159" s="84"/>
      <c r="D159" s="85"/>
      <c r="E159" s="25">
        <v>34</v>
      </c>
      <c r="F159" s="26">
        <f t="shared" si="816"/>
        <v>0.30555555555555552</v>
      </c>
      <c r="G159" s="13">
        <f t="shared" si="1099"/>
        <v>600</v>
      </c>
      <c r="H159" s="13">
        <f t="shared" si="1099"/>
        <v>600</v>
      </c>
      <c r="I159" s="13">
        <f t="shared" si="1099"/>
        <v>600</v>
      </c>
      <c r="J159" s="13">
        <f t="shared" si="1099"/>
        <v>600</v>
      </c>
      <c r="K159" s="13">
        <f t="shared" si="1099"/>
        <v>600</v>
      </c>
      <c r="L159" s="13">
        <f t="shared" si="1099"/>
        <v>600</v>
      </c>
      <c r="M159" s="13">
        <f t="shared" si="1099"/>
        <v>600</v>
      </c>
      <c r="N159" s="13">
        <f t="shared" si="1099"/>
        <v>600</v>
      </c>
      <c r="O159" s="13">
        <f t="shared" si="1099"/>
        <v>600</v>
      </c>
      <c r="P159" s="13">
        <f t="shared" si="914"/>
        <v>600</v>
      </c>
      <c r="Q159" s="13">
        <f t="shared" si="975"/>
        <v>600</v>
      </c>
      <c r="R159" s="13">
        <f t="shared" si="1017"/>
        <v>600</v>
      </c>
      <c r="S159" s="13">
        <f t="shared" si="1051"/>
        <v>600</v>
      </c>
      <c r="T159" s="13">
        <f t="shared" si="1085"/>
        <v>600</v>
      </c>
      <c r="U159" s="13">
        <f t="shared" si="1071"/>
        <v>610.4594238645991</v>
      </c>
      <c r="V159" s="13">
        <f t="shared" si="1072"/>
        <v>611.06318184034978</v>
      </c>
      <c r="W159" s="13">
        <f t="shared" si="1073"/>
        <v>612.68802697382432</v>
      </c>
      <c r="X159" s="13">
        <f t="shared" si="1086"/>
        <v>650</v>
      </c>
      <c r="Y159" s="13">
        <f t="shared" si="1052"/>
        <v>650</v>
      </c>
      <c r="Z159" s="13">
        <f t="shared" si="1025"/>
        <v>650</v>
      </c>
      <c r="AA159" s="13">
        <f t="shared" si="985"/>
        <v>650</v>
      </c>
      <c r="AB159" s="13">
        <f t="shared" si="915"/>
        <v>650</v>
      </c>
      <c r="AC159" s="13">
        <f t="shared" si="1100"/>
        <v>650</v>
      </c>
      <c r="AD159" s="13">
        <f t="shared" si="1100"/>
        <v>650</v>
      </c>
      <c r="AE159" s="13">
        <f t="shared" si="1100"/>
        <v>650</v>
      </c>
      <c r="AF159" s="13">
        <f t="shared" si="1100"/>
        <v>650</v>
      </c>
      <c r="AG159" s="13">
        <f t="shared" si="1100"/>
        <v>650</v>
      </c>
      <c r="AH159" s="13">
        <f t="shared" si="1100"/>
        <v>650</v>
      </c>
      <c r="AI159" s="13">
        <f t="shared" si="1100"/>
        <v>650</v>
      </c>
      <c r="AJ159" s="13">
        <f t="shared" si="1100"/>
        <v>650</v>
      </c>
      <c r="AK159" s="13">
        <f t="shared" si="1100"/>
        <v>650</v>
      </c>
      <c r="AL159" s="25">
        <v>34</v>
      </c>
      <c r="AM159" s="26">
        <f t="shared" si="820"/>
        <v>0.30555555555555552</v>
      </c>
      <c r="AP159" s="87"/>
      <c r="AQ159" s="86"/>
      <c r="AR159" s="25">
        <v>34</v>
      </c>
      <c r="AS159" s="26">
        <f t="shared" si="821"/>
        <v>0.30555555555555552</v>
      </c>
      <c r="AT159" s="13">
        <f t="shared" si="1101"/>
        <v>600</v>
      </c>
      <c r="AU159" s="13">
        <f t="shared" si="1101"/>
        <v>600</v>
      </c>
      <c r="AV159" s="13">
        <f t="shared" si="1101"/>
        <v>600</v>
      </c>
      <c r="AW159" s="13">
        <f t="shared" si="1101"/>
        <v>600</v>
      </c>
      <c r="AX159" s="13">
        <f t="shared" si="1101"/>
        <v>600</v>
      </c>
      <c r="AY159" s="13">
        <f t="shared" si="1101"/>
        <v>600</v>
      </c>
      <c r="AZ159" s="13">
        <f t="shared" si="1101"/>
        <v>600</v>
      </c>
      <c r="BA159" s="13">
        <f t="shared" si="1101"/>
        <v>600</v>
      </c>
      <c r="BB159" s="13">
        <f t="shared" si="1101"/>
        <v>600</v>
      </c>
      <c r="BC159" s="13">
        <f t="shared" si="916"/>
        <v>600</v>
      </c>
      <c r="BD159" s="13">
        <f t="shared" si="986"/>
        <v>600</v>
      </c>
      <c r="BE159" s="13">
        <f t="shared" si="1026"/>
        <v>600</v>
      </c>
      <c r="BF159" s="13">
        <f t="shared" si="1053"/>
        <v>600</v>
      </c>
      <c r="BG159" s="13">
        <f t="shared" si="1087"/>
        <v>600</v>
      </c>
      <c r="BH159" s="13">
        <f t="shared" si="1077"/>
        <v>-2190312900.9876232</v>
      </c>
      <c r="BI159" s="13">
        <f t="shared" si="1078"/>
        <v>-2192478846.8470898</v>
      </c>
      <c r="BJ159" s="13">
        <f t="shared" si="1079"/>
        <v>-2198308913.5013399</v>
      </c>
      <c r="BK159" s="13">
        <f t="shared" si="1088"/>
        <v>650</v>
      </c>
      <c r="BL159" s="13">
        <f t="shared" si="1054"/>
        <v>650</v>
      </c>
      <c r="BM159" s="13">
        <f t="shared" si="1032"/>
        <v>650</v>
      </c>
      <c r="BN159" s="13">
        <f t="shared" si="994"/>
        <v>650</v>
      </c>
      <c r="BO159" s="13">
        <f t="shared" si="928"/>
        <v>650</v>
      </c>
      <c r="BP159" s="13">
        <f t="shared" si="1102"/>
        <v>650</v>
      </c>
      <c r="BQ159" s="13">
        <f t="shared" si="1102"/>
        <v>650</v>
      </c>
      <c r="BR159" s="13">
        <f t="shared" si="1102"/>
        <v>650</v>
      </c>
      <c r="BS159" s="13">
        <f t="shared" si="1102"/>
        <v>650</v>
      </c>
      <c r="BT159" s="13">
        <f t="shared" si="1102"/>
        <v>650</v>
      </c>
      <c r="BU159" s="13">
        <f t="shared" si="1102"/>
        <v>650</v>
      </c>
      <c r="BV159" s="13">
        <f t="shared" si="1102"/>
        <v>650</v>
      </c>
      <c r="BW159" s="13">
        <f t="shared" si="1102"/>
        <v>650</v>
      </c>
      <c r="BX159" s="13">
        <f t="shared" si="1102"/>
        <v>650</v>
      </c>
      <c r="BY159" s="25">
        <v>34</v>
      </c>
      <c r="BZ159" s="26">
        <f t="shared" si="836"/>
        <v>0.30555555555555552</v>
      </c>
      <c r="CC159" s="84"/>
      <c r="CD159" s="85"/>
      <c r="CE159" s="25">
        <v>34</v>
      </c>
      <c r="CF159" s="26">
        <f t="shared" si="837"/>
        <v>0.30555555555555552</v>
      </c>
      <c r="CG159" s="13">
        <f t="shared" si="1103"/>
        <v>600</v>
      </c>
      <c r="CH159" s="13">
        <f t="shared" si="1103"/>
        <v>600</v>
      </c>
      <c r="CI159" s="13">
        <f t="shared" si="1103"/>
        <v>600</v>
      </c>
      <c r="CJ159" s="13">
        <f t="shared" si="1103"/>
        <v>600</v>
      </c>
      <c r="CK159" s="13">
        <f t="shared" si="1103"/>
        <v>600</v>
      </c>
      <c r="CL159" s="13">
        <f t="shared" si="1103"/>
        <v>600</v>
      </c>
      <c r="CM159" s="13">
        <f t="shared" si="1103"/>
        <v>600</v>
      </c>
      <c r="CN159" s="13">
        <f t="shared" si="1103"/>
        <v>600</v>
      </c>
      <c r="CO159" s="13">
        <f t="shared" si="1103"/>
        <v>600</v>
      </c>
      <c r="CP159" s="13">
        <f t="shared" si="929"/>
        <v>600</v>
      </c>
      <c r="CQ159" s="13">
        <f t="shared" si="995"/>
        <v>600</v>
      </c>
      <c r="CR159" s="13">
        <f t="shared" si="1033"/>
        <v>600</v>
      </c>
      <c r="CS159" s="13">
        <f t="shared" si="1055"/>
        <v>600</v>
      </c>
      <c r="CT159" s="13">
        <f t="shared" si="1089"/>
        <v>600</v>
      </c>
      <c r="CU159" s="13">
        <f t="shared" si="1090"/>
        <v>0.11667843062533659</v>
      </c>
      <c r="CV159" s="13">
        <f t="shared" si="1091"/>
        <v>0.11667843062533659</v>
      </c>
      <c r="CW159" s="13">
        <f t="shared" si="1092"/>
        <v>0.11667843062533659</v>
      </c>
      <c r="CX159" s="13">
        <f t="shared" si="1093"/>
        <v>650</v>
      </c>
      <c r="CY159" s="13">
        <f t="shared" si="1061"/>
        <v>650</v>
      </c>
      <c r="CZ159" s="13">
        <f t="shared" si="1041"/>
        <v>650</v>
      </c>
      <c r="DA159" s="13">
        <f t="shared" si="1005"/>
        <v>650</v>
      </c>
      <c r="DB159" s="13">
        <f t="shared" si="941"/>
        <v>650</v>
      </c>
      <c r="DC159" s="13">
        <f t="shared" si="1104"/>
        <v>650</v>
      </c>
      <c r="DD159" s="13">
        <f t="shared" si="1104"/>
        <v>650</v>
      </c>
      <c r="DE159" s="13">
        <f t="shared" si="1104"/>
        <v>650</v>
      </c>
      <c r="DF159" s="13">
        <f t="shared" si="1104"/>
        <v>650</v>
      </c>
      <c r="DG159" s="13">
        <f t="shared" si="1104"/>
        <v>650</v>
      </c>
      <c r="DH159" s="13">
        <f t="shared" si="1104"/>
        <v>650</v>
      </c>
      <c r="DI159" s="13">
        <f t="shared" si="1104"/>
        <v>650</v>
      </c>
      <c r="DJ159" s="13">
        <f t="shared" si="1104"/>
        <v>650</v>
      </c>
      <c r="DK159" s="13">
        <f t="shared" si="1104"/>
        <v>650</v>
      </c>
      <c r="DL159" s="25">
        <v>34</v>
      </c>
      <c r="DM159" s="26">
        <f t="shared" si="840"/>
        <v>0.30555555555555552</v>
      </c>
      <c r="DQ159" s="84"/>
      <c r="DR159" s="85"/>
      <c r="DS159" s="25">
        <v>34</v>
      </c>
      <c r="DT159" s="26">
        <f t="shared" si="841"/>
        <v>0.30555555555555552</v>
      </c>
      <c r="DU159" s="13">
        <f t="shared" si="1105"/>
        <v>600</v>
      </c>
      <c r="DV159" s="13">
        <f t="shared" si="1105"/>
        <v>600</v>
      </c>
      <c r="DW159" s="13">
        <f t="shared" si="1105"/>
        <v>600</v>
      </c>
      <c r="DX159" s="13">
        <f t="shared" si="1105"/>
        <v>600</v>
      </c>
      <c r="DY159" s="13">
        <f t="shared" si="1105"/>
        <v>600</v>
      </c>
      <c r="DZ159" s="13">
        <f t="shared" si="1105"/>
        <v>600</v>
      </c>
      <c r="EA159" s="13">
        <f t="shared" si="1105"/>
        <v>600</v>
      </c>
      <c r="EB159" s="13">
        <f t="shared" si="1105"/>
        <v>600</v>
      </c>
      <c r="EC159" s="13">
        <f t="shared" si="1105"/>
        <v>600</v>
      </c>
      <c r="ED159" s="13">
        <f t="shared" si="942"/>
        <v>600</v>
      </c>
      <c r="EE159" s="13">
        <f t="shared" si="1006"/>
        <v>600</v>
      </c>
      <c r="EF159" s="13">
        <f t="shared" si="1042"/>
        <v>600</v>
      </c>
      <c r="EG159" s="13">
        <f t="shared" si="1062"/>
        <v>600</v>
      </c>
      <c r="EH159" s="13">
        <f t="shared" si="1094"/>
        <v>600</v>
      </c>
      <c r="EI159" s="13">
        <f t="shared" si="1095"/>
        <v>539.23731168457277</v>
      </c>
      <c r="EJ159" s="13">
        <f t="shared" si="1096"/>
        <v>539.77074030023346</v>
      </c>
      <c r="EK159" s="13">
        <f t="shared" si="1097"/>
        <v>541.20595898270608</v>
      </c>
      <c r="EL159" s="13">
        <f t="shared" si="1098"/>
        <v>650</v>
      </c>
      <c r="EM159" s="13">
        <f t="shared" si="1068"/>
        <v>650</v>
      </c>
      <c r="EN159" s="13">
        <f t="shared" si="1050"/>
        <v>650</v>
      </c>
      <c r="EO159" s="13">
        <f t="shared" si="1016"/>
        <v>650</v>
      </c>
      <c r="EP159" s="13">
        <f t="shared" si="954"/>
        <v>650</v>
      </c>
      <c r="EQ159" s="13">
        <f t="shared" si="1106"/>
        <v>650</v>
      </c>
      <c r="ER159" s="13">
        <f t="shared" si="1106"/>
        <v>650</v>
      </c>
      <c r="ES159" s="13">
        <f t="shared" si="1106"/>
        <v>650</v>
      </c>
      <c r="ET159" s="13">
        <f t="shared" si="1106"/>
        <v>650</v>
      </c>
      <c r="EU159" s="13">
        <f t="shared" si="1106"/>
        <v>650</v>
      </c>
      <c r="EV159" s="13">
        <f t="shared" si="1106"/>
        <v>650</v>
      </c>
      <c r="EW159" s="13">
        <f t="shared" si="1106"/>
        <v>650</v>
      </c>
      <c r="EX159" s="13">
        <f t="shared" si="1106"/>
        <v>650</v>
      </c>
      <c r="EY159" s="13">
        <f t="shared" si="1106"/>
        <v>650</v>
      </c>
      <c r="EZ159" s="25">
        <v>34</v>
      </c>
      <c r="FA159" s="26">
        <f t="shared" si="845"/>
        <v>0.30555555555555552</v>
      </c>
    </row>
    <row r="160" spans="3:157" x14ac:dyDescent="0.25">
      <c r="C160" s="84"/>
      <c r="D160" s="85"/>
      <c r="E160" s="25">
        <v>33</v>
      </c>
      <c r="F160" s="26">
        <f t="shared" si="816"/>
        <v>0.29629629629629628</v>
      </c>
      <c r="G160" s="13">
        <f t="shared" si="1099"/>
        <v>600</v>
      </c>
      <c r="H160" s="13">
        <f t="shared" si="1099"/>
        <v>600</v>
      </c>
      <c r="I160" s="13">
        <f t="shared" si="1099"/>
        <v>600</v>
      </c>
      <c r="J160" s="13">
        <f t="shared" si="1099"/>
        <v>600</v>
      </c>
      <c r="K160" s="13">
        <f t="shared" si="1099"/>
        <v>600</v>
      </c>
      <c r="L160" s="13">
        <f t="shared" si="1099"/>
        <v>600</v>
      </c>
      <c r="M160" s="13">
        <f t="shared" si="1099"/>
        <v>600</v>
      </c>
      <c r="N160" s="13">
        <f t="shared" si="1099"/>
        <v>600</v>
      </c>
      <c r="O160" s="13">
        <f t="shared" si="1099"/>
        <v>600</v>
      </c>
      <c r="P160" s="13">
        <f t="shared" si="914"/>
        <v>600</v>
      </c>
      <c r="Q160" s="13">
        <f t="shared" si="975"/>
        <v>600</v>
      </c>
      <c r="R160" s="13">
        <f t="shared" si="1017"/>
        <v>600</v>
      </c>
      <c r="S160" s="13">
        <f t="shared" si="1051"/>
        <v>600</v>
      </c>
      <c r="T160" s="13">
        <f t="shared" si="1085"/>
        <v>600</v>
      </c>
      <c r="U160" s="13">
        <f t="shared" si="1071"/>
        <v>610.41369684450058</v>
      </c>
      <c r="V160" s="13">
        <f t="shared" si="1072"/>
        <v>611.01645915209292</v>
      </c>
      <c r="W160" s="13">
        <f t="shared" si="1073"/>
        <v>612.64166485622911</v>
      </c>
      <c r="X160" s="13">
        <f t="shared" si="1086"/>
        <v>650</v>
      </c>
      <c r="Y160" s="13">
        <f t="shared" si="1052"/>
        <v>650</v>
      </c>
      <c r="Z160" s="13">
        <f t="shared" si="1025"/>
        <v>650</v>
      </c>
      <c r="AA160" s="13">
        <f t="shared" si="985"/>
        <v>650</v>
      </c>
      <c r="AB160" s="13">
        <f t="shared" si="915"/>
        <v>650</v>
      </c>
      <c r="AC160" s="13">
        <f t="shared" si="1100"/>
        <v>650</v>
      </c>
      <c r="AD160" s="13">
        <f t="shared" si="1100"/>
        <v>650</v>
      </c>
      <c r="AE160" s="13">
        <f t="shared" si="1100"/>
        <v>650</v>
      </c>
      <c r="AF160" s="13">
        <f t="shared" si="1100"/>
        <v>650</v>
      </c>
      <c r="AG160" s="13">
        <f t="shared" si="1100"/>
        <v>650</v>
      </c>
      <c r="AH160" s="13">
        <f t="shared" si="1100"/>
        <v>650</v>
      </c>
      <c r="AI160" s="13">
        <f t="shared" si="1100"/>
        <v>650</v>
      </c>
      <c r="AJ160" s="13">
        <f t="shared" si="1100"/>
        <v>650</v>
      </c>
      <c r="AK160" s="13">
        <f t="shared" si="1100"/>
        <v>650</v>
      </c>
      <c r="AL160" s="25">
        <v>33</v>
      </c>
      <c r="AM160" s="26">
        <f t="shared" si="820"/>
        <v>0.29629629629629628</v>
      </c>
      <c r="AP160" s="87"/>
      <c r="AQ160" s="86"/>
      <c r="AR160" s="25">
        <v>33</v>
      </c>
      <c r="AS160" s="26">
        <f t="shared" si="821"/>
        <v>0.29629629629629628</v>
      </c>
      <c r="AT160" s="13">
        <f t="shared" si="1101"/>
        <v>600</v>
      </c>
      <c r="AU160" s="13">
        <f t="shared" si="1101"/>
        <v>600</v>
      </c>
      <c r="AV160" s="13">
        <f t="shared" si="1101"/>
        <v>600</v>
      </c>
      <c r="AW160" s="13">
        <f t="shared" si="1101"/>
        <v>600</v>
      </c>
      <c r="AX160" s="13">
        <f t="shared" si="1101"/>
        <v>600</v>
      </c>
      <c r="AY160" s="13">
        <f t="shared" si="1101"/>
        <v>600</v>
      </c>
      <c r="AZ160" s="13">
        <f t="shared" si="1101"/>
        <v>600</v>
      </c>
      <c r="BA160" s="13">
        <f t="shared" si="1101"/>
        <v>600</v>
      </c>
      <c r="BB160" s="13">
        <f t="shared" si="1101"/>
        <v>600</v>
      </c>
      <c r="BC160" s="13">
        <f t="shared" si="916"/>
        <v>600</v>
      </c>
      <c r="BD160" s="13">
        <f t="shared" si="986"/>
        <v>600</v>
      </c>
      <c r="BE160" s="13">
        <f t="shared" si="1026"/>
        <v>600</v>
      </c>
      <c r="BF160" s="13">
        <f t="shared" si="1053"/>
        <v>600</v>
      </c>
      <c r="BG160" s="13">
        <f t="shared" si="1087"/>
        <v>600</v>
      </c>
      <c r="BH160" s="13">
        <f t="shared" si="1077"/>
        <v>-2190155174.4524794</v>
      </c>
      <c r="BI160" s="13">
        <f t="shared" si="1078"/>
        <v>-2192317685.9467273</v>
      </c>
      <c r="BJ160" s="13">
        <f t="shared" si="1079"/>
        <v>-2198148996.3198748</v>
      </c>
      <c r="BK160" s="13">
        <f t="shared" si="1088"/>
        <v>650</v>
      </c>
      <c r="BL160" s="13">
        <f t="shared" si="1054"/>
        <v>650</v>
      </c>
      <c r="BM160" s="13">
        <f t="shared" si="1032"/>
        <v>650</v>
      </c>
      <c r="BN160" s="13">
        <f t="shared" si="994"/>
        <v>650</v>
      </c>
      <c r="BO160" s="13">
        <f t="shared" si="928"/>
        <v>650</v>
      </c>
      <c r="BP160" s="13">
        <f t="shared" si="1102"/>
        <v>650</v>
      </c>
      <c r="BQ160" s="13">
        <f t="shared" si="1102"/>
        <v>650</v>
      </c>
      <c r="BR160" s="13">
        <f t="shared" si="1102"/>
        <v>650</v>
      </c>
      <c r="BS160" s="13">
        <f t="shared" si="1102"/>
        <v>650</v>
      </c>
      <c r="BT160" s="13">
        <f t="shared" si="1102"/>
        <v>650</v>
      </c>
      <c r="BU160" s="13">
        <f t="shared" si="1102"/>
        <v>650</v>
      </c>
      <c r="BV160" s="13">
        <f t="shared" si="1102"/>
        <v>650</v>
      </c>
      <c r="BW160" s="13">
        <f t="shared" si="1102"/>
        <v>650</v>
      </c>
      <c r="BX160" s="13">
        <f t="shared" si="1102"/>
        <v>650</v>
      </c>
      <c r="BY160" s="25">
        <v>33</v>
      </c>
      <c r="BZ160" s="26">
        <f t="shared" si="836"/>
        <v>0.29629629629629628</v>
      </c>
      <c r="CC160" s="84"/>
      <c r="CD160" s="85"/>
      <c r="CE160" s="25">
        <v>33</v>
      </c>
      <c r="CF160" s="26">
        <f t="shared" si="837"/>
        <v>0.29629629629629628</v>
      </c>
      <c r="CG160" s="13">
        <f t="shared" si="1103"/>
        <v>600</v>
      </c>
      <c r="CH160" s="13">
        <f t="shared" si="1103"/>
        <v>600</v>
      </c>
      <c r="CI160" s="13">
        <f t="shared" si="1103"/>
        <v>600</v>
      </c>
      <c r="CJ160" s="13">
        <f t="shared" si="1103"/>
        <v>600</v>
      </c>
      <c r="CK160" s="13">
        <f t="shared" si="1103"/>
        <v>600</v>
      </c>
      <c r="CL160" s="13">
        <f t="shared" si="1103"/>
        <v>600</v>
      </c>
      <c r="CM160" s="13">
        <f t="shared" si="1103"/>
        <v>600</v>
      </c>
      <c r="CN160" s="13">
        <f t="shared" si="1103"/>
        <v>600</v>
      </c>
      <c r="CO160" s="13">
        <f t="shared" si="1103"/>
        <v>600</v>
      </c>
      <c r="CP160" s="13">
        <f t="shared" si="929"/>
        <v>600</v>
      </c>
      <c r="CQ160" s="13">
        <f t="shared" si="995"/>
        <v>600</v>
      </c>
      <c r="CR160" s="13">
        <f t="shared" si="1033"/>
        <v>600</v>
      </c>
      <c r="CS160" s="13">
        <f t="shared" si="1055"/>
        <v>600</v>
      </c>
      <c r="CT160" s="13">
        <f t="shared" si="1089"/>
        <v>600</v>
      </c>
      <c r="CU160" s="13">
        <f t="shared" si="1090"/>
        <v>0.11667843062533659</v>
      </c>
      <c r="CV160" s="13">
        <f t="shared" si="1091"/>
        <v>0.11667843062533659</v>
      </c>
      <c r="CW160" s="13">
        <f t="shared" si="1092"/>
        <v>0.11667843062533659</v>
      </c>
      <c r="CX160" s="13">
        <f t="shared" si="1093"/>
        <v>650</v>
      </c>
      <c r="CY160" s="13">
        <f t="shared" si="1061"/>
        <v>650</v>
      </c>
      <c r="CZ160" s="13">
        <f t="shared" si="1041"/>
        <v>650</v>
      </c>
      <c r="DA160" s="13">
        <f t="shared" si="1005"/>
        <v>650</v>
      </c>
      <c r="DB160" s="13">
        <f t="shared" si="941"/>
        <v>650</v>
      </c>
      <c r="DC160" s="13">
        <f t="shared" si="1104"/>
        <v>650</v>
      </c>
      <c r="DD160" s="13">
        <f t="shared" si="1104"/>
        <v>650</v>
      </c>
      <c r="DE160" s="13">
        <f t="shared" si="1104"/>
        <v>650</v>
      </c>
      <c r="DF160" s="13">
        <f t="shared" si="1104"/>
        <v>650</v>
      </c>
      <c r="DG160" s="13">
        <f t="shared" si="1104"/>
        <v>650</v>
      </c>
      <c r="DH160" s="13">
        <f t="shared" si="1104"/>
        <v>650</v>
      </c>
      <c r="DI160" s="13">
        <f t="shared" si="1104"/>
        <v>650</v>
      </c>
      <c r="DJ160" s="13">
        <f t="shared" si="1104"/>
        <v>650</v>
      </c>
      <c r="DK160" s="13">
        <f t="shared" si="1104"/>
        <v>650</v>
      </c>
      <c r="DL160" s="25">
        <v>33</v>
      </c>
      <c r="DM160" s="26">
        <f t="shared" si="840"/>
        <v>0.29629629629629628</v>
      </c>
      <c r="DQ160" s="84"/>
      <c r="DR160" s="85"/>
      <c r="DS160" s="25">
        <v>33</v>
      </c>
      <c r="DT160" s="26">
        <f t="shared" si="841"/>
        <v>0.29629629629629628</v>
      </c>
      <c r="DU160" s="13">
        <f t="shared" si="1105"/>
        <v>600</v>
      </c>
      <c r="DV160" s="13">
        <f t="shared" si="1105"/>
        <v>600</v>
      </c>
      <c r="DW160" s="13">
        <f t="shared" si="1105"/>
        <v>600</v>
      </c>
      <c r="DX160" s="13">
        <f t="shared" si="1105"/>
        <v>600</v>
      </c>
      <c r="DY160" s="13">
        <f t="shared" si="1105"/>
        <v>600</v>
      </c>
      <c r="DZ160" s="13">
        <f t="shared" si="1105"/>
        <v>600</v>
      </c>
      <c r="EA160" s="13">
        <f t="shared" si="1105"/>
        <v>600</v>
      </c>
      <c r="EB160" s="13">
        <f t="shared" si="1105"/>
        <v>600</v>
      </c>
      <c r="EC160" s="13">
        <f t="shared" si="1105"/>
        <v>600</v>
      </c>
      <c r="ED160" s="13">
        <f t="shared" si="942"/>
        <v>600</v>
      </c>
      <c r="EE160" s="13">
        <f t="shared" si="1006"/>
        <v>600</v>
      </c>
      <c r="EF160" s="13">
        <f t="shared" si="1042"/>
        <v>600</v>
      </c>
      <c r="EG160" s="13">
        <f t="shared" si="1062"/>
        <v>600</v>
      </c>
      <c r="EH160" s="13">
        <f t="shared" si="1094"/>
        <v>600</v>
      </c>
      <c r="EI160" s="13">
        <f t="shared" si="1095"/>
        <v>539.19492592427105</v>
      </c>
      <c r="EJ160" s="13">
        <f t="shared" si="1096"/>
        <v>539.72743162494999</v>
      </c>
      <c r="EK160" s="13">
        <f t="shared" si="1097"/>
        <v>541.16298453129366</v>
      </c>
      <c r="EL160" s="13">
        <f t="shared" si="1098"/>
        <v>650</v>
      </c>
      <c r="EM160" s="13">
        <f t="shared" si="1068"/>
        <v>650</v>
      </c>
      <c r="EN160" s="13">
        <f t="shared" si="1050"/>
        <v>650</v>
      </c>
      <c r="EO160" s="13">
        <f t="shared" si="1016"/>
        <v>650</v>
      </c>
      <c r="EP160" s="13">
        <f t="shared" si="954"/>
        <v>650</v>
      </c>
      <c r="EQ160" s="13">
        <f t="shared" si="1106"/>
        <v>650</v>
      </c>
      <c r="ER160" s="13">
        <f t="shared" si="1106"/>
        <v>650</v>
      </c>
      <c r="ES160" s="13">
        <f t="shared" si="1106"/>
        <v>650</v>
      </c>
      <c r="ET160" s="13">
        <f t="shared" si="1106"/>
        <v>650</v>
      </c>
      <c r="EU160" s="13">
        <f t="shared" si="1106"/>
        <v>650</v>
      </c>
      <c r="EV160" s="13">
        <f t="shared" si="1106"/>
        <v>650</v>
      </c>
      <c r="EW160" s="13">
        <f t="shared" si="1106"/>
        <v>650</v>
      </c>
      <c r="EX160" s="13">
        <f t="shared" si="1106"/>
        <v>650</v>
      </c>
      <c r="EY160" s="13">
        <f t="shared" si="1106"/>
        <v>650</v>
      </c>
      <c r="EZ160" s="25">
        <v>33</v>
      </c>
      <c r="FA160" s="26">
        <f t="shared" si="845"/>
        <v>0.29629629629629628</v>
      </c>
    </row>
    <row r="161" spans="3:157" x14ac:dyDescent="0.25">
      <c r="C161" s="84"/>
      <c r="D161" s="85"/>
      <c r="E161" s="25">
        <v>32</v>
      </c>
      <c r="F161" s="26">
        <f t="shared" si="816"/>
        <v>0.28703703703703703</v>
      </c>
      <c r="G161" s="13">
        <f t="shared" si="1099"/>
        <v>600</v>
      </c>
      <c r="H161" s="13">
        <f t="shared" si="1099"/>
        <v>600</v>
      </c>
      <c r="I161" s="13">
        <f t="shared" si="1099"/>
        <v>600</v>
      </c>
      <c r="J161" s="13">
        <f t="shared" si="1099"/>
        <v>600</v>
      </c>
      <c r="K161" s="13">
        <f t="shared" si="1099"/>
        <v>600</v>
      </c>
      <c r="L161" s="13">
        <f t="shared" si="1099"/>
        <v>600</v>
      </c>
      <c r="M161" s="13">
        <f t="shared" si="1099"/>
        <v>600</v>
      </c>
      <c r="N161" s="13">
        <f t="shared" si="1099"/>
        <v>600</v>
      </c>
      <c r="O161" s="13">
        <f t="shared" si="1099"/>
        <v>600</v>
      </c>
      <c r="P161" s="13">
        <f t="shared" si="914"/>
        <v>600</v>
      </c>
      <c r="Q161" s="13">
        <f t="shared" si="975"/>
        <v>600</v>
      </c>
      <c r="R161" s="13">
        <f t="shared" si="1017"/>
        <v>600</v>
      </c>
      <c r="S161" s="13">
        <f t="shared" si="1051"/>
        <v>600</v>
      </c>
      <c r="T161" s="13">
        <f t="shared" si="1085"/>
        <v>600</v>
      </c>
      <c r="U161" s="13">
        <f t="shared" si="1071"/>
        <v>610.38506036234298</v>
      </c>
      <c r="V161" s="13">
        <f t="shared" si="1072"/>
        <v>610.98719913415289</v>
      </c>
      <c r="W161" s="13">
        <f t="shared" si="1073"/>
        <v>612.61263064515322</v>
      </c>
      <c r="X161" s="13">
        <f t="shared" si="1086"/>
        <v>650</v>
      </c>
      <c r="Y161" s="13">
        <f t="shared" si="1052"/>
        <v>650</v>
      </c>
      <c r="Z161" s="13">
        <f t="shared" si="1025"/>
        <v>650</v>
      </c>
      <c r="AA161" s="13">
        <f t="shared" si="985"/>
        <v>650</v>
      </c>
      <c r="AB161" s="13">
        <f t="shared" si="915"/>
        <v>650</v>
      </c>
      <c r="AC161" s="13">
        <f t="shared" si="1100"/>
        <v>650</v>
      </c>
      <c r="AD161" s="13">
        <f t="shared" si="1100"/>
        <v>650</v>
      </c>
      <c r="AE161" s="13">
        <f t="shared" si="1100"/>
        <v>650</v>
      </c>
      <c r="AF161" s="13">
        <f t="shared" si="1100"/>
        <v>650</v>
      </c>
      <c r="AG161" s="13">
        <f t="shared" si="1100"/>
        <v>650</v>
      </c>
      <c r="AH161" s="13">
        <f t="shared" si="1100"/>
        <v>650</v>
      </c>
      <c r="AI161" s="13">
        <f t="shared" si="1100"/>
        <v>650</v>
      </c>
      <c r="AJ161" s="13">
        <f t="shared" si="1100"/>
        <v>650</v>
      </c>
      <c r="AK161" s="13">
        <f t="shared" si="1100"/>
        <v>650</v>
      </c>
      <c r="AL161" s="25">
        <v>32</v>
      </c>
      <c r="AM161" s="26">
        <f t="shared" si="820"/>
        <v>0.28703703703703703</v>
      </c>
      <c r="AP161" s="87"/>
      <c r="AQ161" s="86"/>
      <c r="AR161" s="25">
        <v>32</v>
      </c>
      <c r="AS161" s="26">
        <f t="shared" si="821"/>
        <v>0.28703703703703703</v>
      </c>
      <c r="AT161" s="13">
        <f t="shared" si="1101"/>
        <v>600</v>
      </c>
      <c r="AU161" s="13">
        <f t="shared" si="1101"/>
        <v>600</v>
      </c>
      <c r="AV161" s="13">
        <f t="shared" si="1101"/>
        <v>600</v>
      </c>
      <c r="AW161" s="13">
        <f t="shared" si="1101"/>
        <v>600</v>
      </c>
      <c r="AX161" s="13">
        <f t="shared" si="1101"/>
        <v>600</v>
      </c>
      <c r="AY161" s="13">
        <f t="shared" si="1101"/>
        <v>600</v>
      </c>
      <c r="AZ161" s="13">
        <f t="shared" si="1101"/>
        <v>600</v>
      </c>
      <c r="BA161" s="13">
        <f t="shared" si="1101"/>
        <v>600</v>
      </c>
      <c r="BB161" s="13">
        <f t="shared" si="1101"/>
        <v>600</v>
      </c>
      <c r="BC161" s="13">
        <f t="shared" si="916"/>
        <v>600</v>
      </c>
      <c r="BD161" s="13">
        <f t="shared" si="986"/>
        <v>600</v>
      </c>
      <c r="BE161" s="13">
        <f t="shared" si="1026"/>
        <v>600</v>
      </c>
      <c r="BF161" s="13">
        <f t="shared" si="1053"/>
        <v>600</v>
      </c>
      <c r="BG161" s="13">
        <f t="shared" si="1087"/>
        <v>600</v>
      </c>
      <c r="BH161" s="13">
        <f t="shared" si="1077"/>
        <v>-2190056403.1588101</v>
      </c>
      <c r="BI161" s="13">
        <f t="shared" si="1078"/>
        <v>-2192216763.9895988</v>
      </c>
      <c r="BJ161" s="13">
        <f t="shared" si="1079"/>
        <v>-2198048853.2026825</v>
      </c>
      <c r="BK161" s="13">
        <f t="shared" si="1088"/>
        <v>650</v>
      </c>
      <c r="BL161" s="13">
        <f t="shared" si="1054"/>
        <v>650</v>
      </c>
      <c r="BM161" s="13">
        <f t="shared" si="1032"/>
        <v>650</v>
      </c>
      <c r="BN161" s="13">
        <f t="shared" si="994"/>
        <v>650</v>
      </c>
      <c r="BO161" s="13">
        <f t="shared" si="928"/>
        <v>650</v>
      </c>
      <c r="BP161" s="13">
        <f t="shared" si="1102"/>
        <v>650</v>
      </c>
      <c r="BQ161" s="13">
        <f t="shared" si="1102"/>
        <v>650</v>
      </c>
      <c r="BR161" s="13">
        <f t="shared" si="1102"/>
        <v>650</v>
      </c>
      <c r="BS161" s="13">
        <f t="shared" si="1102"/>
        <v>650</v>
      </c>
      <c r="BT161" s="13">
        <f t="shared" si="1102"/>
        <v>650</v>
      </c>
      <c r="BU161" s="13">
        <f t="shared" si="1102"/>
        <v>650</v>
      </c>
      <c r="BV161" s="13">
        <f t="shared" si="1102"/>
        <v>650</v>
      </c>
      <c r="BW161" s="13">
        <f t="shared" si="1102"/>
        <v>650</v>
      </c>
      <c r="BX161" s="13">
        <f t="shared" si="1102"/>
        <v>650</v>
      </c>
      <c r="BY161" s="25">
        <v>32</v>
      </c>
      <c r="BZ161" s="26">
        <f t="shared" si="836"/>
        <v>0.28703703703703703</v>
      </c>
      <c r="CC161" s="84"/>
      <c r="CD161" s="85"/>
      <c r="CE161" s="25">
        <v>32</v>
      </c>
      <c r="CF161" s="26">
        <f t="shared" si="837"/>
        <v>0.28703703703703703</v>
      </c>
      <c r="CG161" s="13">
        <f t="shared" si="1103"/>
        <v>600</v>
      </c>
      <c r="CH161" s="13">
        <f t="shared" si="1103"/>
        <v>600</v>
      </c>
      <c r="CI161" s="13">
        <f t="shared" si="1103"/>
        <v>600</v>
      </c>
      <c r="CJ161" s="13">
        <f t="shared" si="1103"/>
        <v>600</v>
      </c>
      <c r="CK161" s="13">
        <f t="shared" si="1103"/>
        <v>600</v>
      </c>
      <c r="CL161" s="13">
        <f t="shared" si="1103"/>
        <v>600</v>
      </c>
      <c r="CM161" s="13">
        <f t="shared" si="1103"/>
        <v>600</v>
      </c>
      <c r="CN161" s="13">
        <f t="shared" si="1103"/>
        <v>600</v>
      </c>
      <c r="CO161" s="13">
        <f t="shared" si="1103"/>
        <v>600</v>
      </c>
      <c r="CP161" s="13">
        <f t="shared" si="929"/>
        <v>600</v>
      </c>
      <c r="CQ161" s="13">
        <f t="shared" si="995"/>
        <v>600</v>
      </c>
      <c r="CR161" s="13">
        <f t="shared" si="1033"/>
        <v>600</v>
      </c>
      <c r="CS161" s="13">
        <f t="shared" si="1055"/>
        <v>600</v>
      </c>
      <c r="CT161" s="13">
        <f t="shared" si="1089"/>
        <v>600</v>
      </c>
      <c r="CU161" s="13">
        <f t="shared" si="1090"/>
        <v>0.11667843062533659</v>
      </c>
      <c r="CV161" s="13">
        <f t="shared" si="1091"/>
        <v>0.11667843062533659</v>
      </c>
      <c r="CW161" s="13">
        <f t="shared" si="1092"/>
        <v>0.11667843062533659</v>
      </c>
      <c r="CX161" s="13">
        <f t="shared" si="1093"/>
        <v>650</v>
      </c>
      <c r="CY161" s="13">
        <f t="shared" si="1061"/>
        <v>650</v>
      </c>
      <c r="CZ161" s="13">
        <f t="shared" si="1041"/>
        <v>650</v>
      </c>
      <c r="DA161" s="13">
        <f t="shared" si="1005"/>
        <v>650</v>
      </c>
      <c r="DB161" s="13">
        <f t="shared" si="941"/>
        <v>650</v>
      </c>
      <c r="DC161" s="13">
        <f t="shared" si="1104"/>
        <v>650</v>
      </c>
      <c r="DD161" s="13">
        <f t="shared" si="1104"/>
        <v>650</v>
      </c>
      <c r="DE161" s="13">
        <f t="shared" si="1104"/>
        <v>650</v>
      </c>
      <c r="DF161" s="13">
        <f t="shared" si="1104"/>
        <v>650</v>
      </c>
      <c r="DG161" s="13">
        <f t="shared" si="1104"/>
        <v>650</v>
      </c>
      <c r="DH161" s="13">
        <f t="shared" si="1104"/>
        <v>650</v>
      </c>
      <c r="DI161" s="13">
        <f t="shared" si="1104"/>
        <v>650</v>
      </c>
      <c r="DJ161" s="13">
        <f t="shared" si="1104"/>
        <v>650</v>
      </c>
      <c r="DK161" s="13">
        <f t="shared" si="1104"/>
        <v>650</v>
      </c>
      <c r="DL161" s="25">
        <v>32</v>
      </c>
      <c r="DM161" s="26">
        <f t="shared" si="840"/>
        <v>0.28703703703703703</v>
      </c>
      <c r="DQ161" s="84"/>
      <c r="DR161" s="85"/>
      <c r="DS161" s="25">
        <v>32</v>
      </c>
      <c r="DT161" s="26">
        <f t="shared" si="841"/>
        <v>0.28703703703703703</v>
      </c>
      <c r="DU161" s="13">
        <f t="shared" si="1105"/>
        <v>600</v>
      </c>
      <c r="DV161" s="13">
        <f t="shared" si="1105"/>
        <v>600</v>
      </c>
      <c r="DW161" s="13">
        <f t="shared" si="1105"/>
        <v>600</v>
      </c>
      <c r="DX161" s="13">
        <f t="shared" si="1105"/>
        <v>600</v>
      </c>
      <c r="DY161" s="13">
        <f t="shared" si="1105"/>
        <v>600</v>
      </c>
      <c r="DZ161" s="13">
        <f t="shared" si="1105"/>
        <v>600</v>
      </c>
      <c r="EA161" s="13">
        <f t="shared" si="1105"/>
        <v>600</v>
      </c>
      <c r="EB161" s="13">
        <f t="shared" si="1105"/>
        <v>600</v>
      </c>
      <c r="EC161" s="13">
        <f t="shared" si="1105"/>
        <v>600</v>
      </c>
      <c r="ED161" s="13">
        <f t="shared" si="942"/>
        <v>600</v>
      </c>
      <c r="EE161" s="13">
        <f t="shared" si="1006"/>
        <v>600</v>
      </c>
      <c r="EF161" s="13">
        <f t="shared" si="1042"/>
        <v>600</v>
      </c>
      <c r="EG161" s="13">
        <f t="shared" si="1062"/>
        <v>600</v>
      </c>
      <c r="EH161" s="13">
        <f t="shared" si="1094"/>
        <v>600</v>
      </c>
      <c r="EI161" s="13">
        <f t="shared" si="1095"/>
        <v>539.16850132529976</v>
      </c>
      <c r="EJ161" s="13">
        <f t="shared" si="1096"/>
        <v>539.70043165212837</v>
      </c>
      <c r="EK161" s="13">
        <f t="shared" si="1097"/>
        <v>541.13619292400381</v>
      </c>
      <c r="EL161" s="13">
        <f t="shared" si="1098"/>
        <v>650</v>
      </c>
      <c r="EM161" s="13">
        <f t="shared" si="1068"/>
        <v>650</v>
      </c>
      <c r="EN161" s="13">
        <f t="shared" si="1050"/>
        <v>650</v>
      </c>
      <c r="EO161" s="13">
        <f t="shared" si="1016"/>
        <v>650</v>
      </c>
      <c r="EP161" s="13">
        <f t="shared" si="954"/>
        <v>650</v>
      </c>
      <c r="EQ161" s="13">
        <f t="shared" si="1106"/>
        <v>650</v>
      </c>
      <c r="ER161" s="13">
        <f t="shared" si="1106"/>
        <v>650</v>
      </c>
      <c r="ES161" s="13">
        <f t="shared" si="1106"/>
        <v>650</v>
      </c>
      <c r="ET161" s="13">
        <f t="shared" si="1106"/>
        <v>650</v>
      </c>
      <c r="EU161" s="13">
        <f t="shared" si="1106"/>
        <v>650</v>
      </c>
      <c r="EV161" s="13">
        <f t="shared" si="1106"/>
        <v>650</v>
      </c>
      <c r="EW161" s="13">
        <f t="shared" si="1106"/>
        <v>650</v>
      </c>
      <c r="EX161" s="13">
        <f t="shared" si="1106"/>
        <v>650</v>
      </c>
      <c r="EY161" s="13">
        <f t="shared" si="1106"/>
        <v>650</v>
      </c>
      <c r="EZ161" s="25">
        <v>32</v>
      </c>
      <c r="FA161" s="26">
        <f t="shared" si="845"/>
        <v>0.28703703703703703</v>
      </c>
    </row>
    <row r="162" spans="3:157" x14ac:dyDescent="0.25">
      <c r="C162" s="84"/>
      <c r="D162" s="85"/>
      <c r="E162" s="25">
        <v>31</v>
      </c>
      <c r="F162" s="26">
        <f t="shared" ref="F162:F191" si="1107">$B$6*(E162-1)</f>
        <v>0.27777777777777779</v>
      </c>
      <c r="G162" s="13">
        <f t="shared" si="1099"/>
        <v>600</v>
      </c>
      <c r="H162" s="13">
        <f t="shared" si="1099"/>
        <v>600</v>
      </c>
      <c r="I162" s="13">
        <f t="shared" si="1099"/>
        <v>600</v>
      </c>
      <c r="J162" s="13">
        <f t="shared" si="1099"/>
        <v>600</v>
      </c>
      <c r="K162" s="13">
        <f t="shared" si="1099"/>
        <v>600</v>
      </c>
      <c r="L162" s="13">
        <f t="shared" si="1099"/>
        <v>600</v>
      </c>
      <c r="M162" s="13">
        <f t="shared" si="1099"/>
        <v>600</v>
      </c>
      <c r="N162" s="13">
        <f t="shared" si="1099"/>
        <v>600</v>
      </c>
      <c r="O162" s="13">
        <f t="shared" si="1099"/>
        <v>600</v>
      </c>
      <c r="P162" s="13">
        <f t="shared" si="914"/>
        <v>600</v>
      </c>
      <c r="Q162" s="13">
        <f t="shared" si="975"/>
        <v>600</v>
      </c>
      <c r="R162" s="13">
        <f t="shared" si="1017"/>
        <v>600</v>
      </c>
      <c r="S162" s="13">
        <f t="shared" si="1051"/>
        <v>600</v>
      </c>
      <c r="T162" s="13">
        <f t="shared" si="1085"/>
        <v>600</v>
      </c>
      <c r="U162" s="13">
        <f t="shared" si="1071"/>
        <v>610.3661032751213</v>
      </c>
      <c r="V162" s="13">
        <f t="shared" si="1072"/>
        <v>610.96782927199138</v>
      </c>
      <c r="W162" s="13">
        <f t="shared" si="1073"/>
        <v>612.59341026505342</v>
      </c>
      <c r="X162" s="13">
        <f t="shared" si="1086"/>
        <v>650</v>
      </c>
      <c r="Y162" s="13">
        <f t="shared" si="1052"/>
        <v>650</v>
      </c>
      <c r="Z162" s="13">
        <f t="shared" si="1025"/>
        <v>650</v>
      </c>
      <c r="AA162" s="13">
        <f t="shared" si="985"/>
        <v>650</v>
      </c>
      <c r="AB162" s="13">
        <f t="shared" si="915"/>
        <v>650</v>
      </c>
      <c r="AC162" s="13">
        <f t="shared" si="1100"/>
        <v>650</v>
      </c>
      <c r="AD162" s="13">
        <f t="shared" si="1100"/>
        <v>650</v>
      </c>
      <c r="AE162" s="13">
        <f t="shared" si="1100"/>
        <v>650</v>
      </c>
      <c r="AF162" s="13">
        <f t="shared" si="1100"/>
        <v>650</v>
      </c>
      <c r="AG162" s="13">
        <f t="shared" si="1100"/>
        <v>650</v>
      </c>
      <c r="AH162" s="13">
        <f t="shared" si="1100"/>
        <v>650</v>
      </c>
      <c r="AI162" s="13">
        <f t="shared" si="1100"/>
        <v>650</v>
      </c>
      <c r="AJ162" s="13">
        <f t="shared" si="1100"/>
        <v>650</v>
      </c>
      <c r="AK162" s="13">
        <f t="shared" si="1100"/>
        <v>650</v>
      </c>
      <c r="AL162" s="25">
        <v>31</v>
      </c>
      <c r="AM162" s="26">
        <f t="shared" ref="AM162:AM191" si="1108">$B$6*(AL162-1)</f>
        <v>0.27777777777777779</v>
      </c>
      <c r="AP162" s="87"/>
      <c r="AQ162" s="86"/>
      <c r="AR162" s="25">
        <v>31</v>
      </c>
      <c r="AS162" s="26">
        <f t="shared" ref="AS162:AS191" si="1109">$B$6*(AR162-1)</f>
        <v>0.27777777777777779</v>
      </c>
      <c r="AT162" s="13">
        <f t="shared" si="1101"/>
        <v>600</v>
      </c>
      <c r="AU162" s="13">
        <f t="shared" si="1101"/>
        <v>600</v>
      </c>
      <c r="AV162" s="13">
        <f t="shared" si="1101"/>
        <v>600</v>
      </c>
      <c r="AW162" s="13">
        <f t="shared" si="1101"/>
        <v>600</v>
      </c>
      <c r="AX162" s="13">
        <f t="shared" si="1101"/>
        <v>600</v>
      </c>
      <c r="AY162" s="13">
        <f t="shared" si="1101"/>
        <v>600</v>
      </c>
      <c r="AZ162" s="13">
        <f t="shared" si="1101"/>
        <v>600</v>
      </c>
      <c r="BA162" s="13">
        <f t="shared" si="1101"/>
        <v>600</v>
      </c>
      <c r="BB162" s="13">
        <f t="shared" si="1101"/>
        <v>600</v>
      </c>
      <c r="BC162" s="13">
        <f t="shared" si="916"/>
        <v>600</v>
      </c>
      <c r="BD162" s="13">
        <f t="shared" si="986"/>
        <v>600</v>
      </c>
      <c r="BE162" s="13">
        <f t="shared" si="1026"/>
        <v>600</v>
      </c>
      <c r="BF162" s="13">
        <f t="shared" si="1053"/>
        <v>600</v>
      </c>
      <c r="BG162" s="13">
        <f t="shared" si="1087"/>
        <v>600</v>
      </c>
      <c r="BH162" s="13">
        <f t="shared" si="1077"/>
        <v>-2189990951.1838098</v>
      </c>
      <c r="BI162" s="13">
        <f t="shared" si="1078"/>
        <v>-2192149886.8518229</v>
      </c>
      <c r="BJ162" s="13">
        <f t="shared" si="1079"/>
        <v>-2197982492.1724734</v>
      </c>
      <c r="BK162" s="13">
        <f t="shared" si="1088"/>
        <v>650</v>
      </c>
      <c r="BL162" s="13">
        <f t="shared" si="1054"/>
        <v>650</v>
      </c>
      <c r="BM162" s="13">
        <f t="shared" si="1032"/>
        <v>650</v>
      </c>
      <c r="BN162" s="13">
        <f t="shared" si="994"/>
        <v>650</v>
      </c>
      <c r="BO162" s="13">
        <f t="shared" si="928"/>
        <v>650</v>
      </c>
      <c r="BP162" s="13">
        <f t="shared" si="1102"/>
        <v>650</v>
      </c>
      <c r="BQ162" s="13">
        <f t="shared" si="1102"/>
        <v>650</v>
      </c>
      <c r="BR162" s="13">
        <f t="shared" si="1102"/>
        <v>650</v>
      </c>
      <c r="BS162" s="13">
        <f t="shared" si="1102"/>
        <v>650</v>
      </c>
      <c r="BT162" s="13">
        <f t="shared" si="1102"/>
        <v>650</v>
      </c>
      <c r="BU162" s="13">
        <f t="shared" si="1102"/>
        <v>650</v>
      </c>
      <c r="BV162" s="13">
        <f t="shared" si="1102"/>
        <v>650</v>
      </c>
      <c r="BW162" s="13">
        <f t="shared" si="1102"/>
        <v>650</v>
      </c>
      <c r="BX162" s="13">
        <f t="shared" si="1102"/>
        <v>650</v>
      </c>
      <c r="BY162" s="25">
        <v>31</v>
      </c>
      <c r="BZ162" s="26">
        <f t="shared" ref="BZ162:BZ191" si="1110">$B$6*(BY162-1)</f>
        <v>0.27777777777777779</v>
      </c>
      <c r="CC162" s="84"/>
      <c r="CD162" s="85"/>
      <c r="CE162" s="25">
        <v>31</v>
      </c>
      <c r="CF162" s="26">
        <f t="shared" ref="CF162:CF191" si="1111">$B$6*(CE162-1)</f>
        <v>0.27777777777777779</v>
      </c>
      <c r="CG162" s="13">
        <f t="shared" si="1103"/>
        <v>600</v>
      </c>
      <c r="CH162" s="13">
        <f t="shared" si="1103"/>
        <v>600</v>
      </c>
      <c r="CI162" s="13">
        <f t="shared" si="1103"/>
        <v>600</v>
      </c>
      <c r="CJ162" s="13">
        <f t="shared" si="1103"/>
        <v>600</v>
      </c>
      <c r="CK162" s="13">
        <f t="shared" si="1103"/>
        <v>600</v>
      </c>
      <c r="CL162" s="13">
        <f t="shared" si="1103"/>
        <v>600</v>
      </c>
      <c r="CM162" s="13">
        <f t="shared" si="1103"/>
        <v>600</v>
      </c>
      <c r="CN162" s="13">
        <f t="shared" si="1103"/>
        <v>600</v>
      </c>
      <c r="CO162" s="13">
        <f t="shared" si="1103"/>
        <v>600</v>
      </c>
      <c r="CP162" s="13">
        <f t="shared" si="929"/>
        <v>600</v>
      </c>
      <c r="CQ162" s="13">
        <f t="shared" si="995"/>
        <v>600</v>
      </c>
      <c r="CR162" s="13">
        <f t="shared" si="1033"/>
        <v>600</v>
      </c>
      <c r="CS162" s="13">
        <f t="shared" si="1055"/>
        <v>600</v>
      </c>
      <c r="CT162" s="13">
        <f t="shared" si="1089"/>
        <v>600</v>
      </c>
      <c r="CU162" s="13">
        <f t="shared" si="1090"/>
        <v>0.11667843062533659</v>
      </c>
      <c r="CV162" s="13">
        <f t="shared" si="1091"/>
        <v>0.11667843062533659</v>
      </c>
      <c r="CW162" s="13">
        <f t="shared" si="1092"/>
        <v>0.11667843062533659</v>
      </c>
      <c r="CX162" s="13">
        <f t="shared" si="1093"/>
        <v>650</v>
      </c>
      <c r="CY162" s="13">
        <f t="shared" si="1061"/>
        <v>650</v>
      </c>
      <c r="CZ162" s="13">
        <f t="shared" si="1041"/>
        <v>650</v>
      </c>
      <c r="DA162" s="13">
        <f t="shared" si="1005"/>
        <v>650</v>
      </c>
      <c r="DB162" s="13">
        <f t="shared" si="941"/>
        <v>650</v>
      </c>
      <c r="DC162" s="13">
        <f t="shared" si="1104"/>
        <v>650</v>
      </c>
      <c r="DD162" s="13">
        <f t="shared" si="1104"/>
        <v>650</v>
      </c>
      <c r="DE162" s="13">
        <f t="shared" si="1104"/>
        <v>650</v>
      </c>
      <c r="DF162" s="13">
        <f t="shared" si="1104"/>
        <v>650</v>
      </c>
      <c r="DG162" s="13">
        <f t="shared" si="1104"/>
        <v>650</v>
      </c>
      <c r="DH162" s="13">
        <f t="shared" si="1104"/>
        <v>650</v>
      </c>
      <c r="DI162" s="13">
        <f t="shared" si="1104"/>
        <v>650</v>
      </c>
      <c r="DJ162" s="13">
        <f t="shared" si="1104"/>
        <v>650</v>
      </c>
      <c r="DK162" s="13">
        <f t="shared" si="1104"/>
        <v>650</v>
      </c>
      <c r="DL162" s="25">
        <v>31</v>
      </c>
      <c r="DM162" s="26">
        <f t="shared" ref="DM162:DM191" si="1112">$B$6*(DL162-1)</f>
        <v>0.27777777777777779</v>
      </c>
      <c r="DQ162" s="84"/>
      <c r="DR162" s="85"/>
      <c r="DS162" s="25">
        <v>31</v>
      </c>
      <c r="DT162" s="26">
        <f t="shared" ref="DT162:DT191" si="1113">$B$6*(DS162-1)</f>
        <v>0.27777777777777779</v>
      </c>
      <c r="DU162" s="13">
        <f t="shared" si="1105"/>
        <v>600</v>
      </c>
      <c r="DV162" s="13">
        <f t="shared" si="1105"/>
        <v>600</v>
      </c>
      <c r="DW162" s="13">
        <f t="shared" si="1105"/>
        <v>600</v>
      </c>
      <c r="DX162" s="13">
        <f t="shared" si="1105"/>
        <v>600</v>
      </c>
      <c r="DY162" s="13">
        <f t="shared" si="1105"/>
        <v>600</v>
      </c>
      <c r="DZ162" s="13">
        <f t="shared" si="1105"/>
        <v>600</v>
      </c>
      <c r="EA162" s="13">
        <f t="shared" si="1105"/>
        <v>600</v>
      </c>
      <c r="EB162" s="13">
        <f t="shared" si="1105"/>
        <v>600</v>
      </c>
      <c r="EC162" s="13">
        <f t="shared" si="1105"/>
        <v>600</v>
      </c>
      <c r="ED162" s="13">
        <f t="shared" si="942"/>
        <v>600</v>
      </c>
      <c r="EE162" s="13">
        <f t="shared" si="1006"/>
        <v>600</v>
      </c>
      <c r="EF162" s="13">
        <f t="shared" si="1042"/>
        <v>600</v>
      </c>
      <c r="EG162" s="13">
        <f t="shared" si="1062"/>
        <v>600</v>
      </c>
      <c r="EH162" s="13">
        <f t="shared" si="1094"/>
        <v>600</v>
      </c>
      <c r="EI162" s="13">
        <f t="shared" si="1095"/>
        <v>539.15118476626594</v>
      </c>
      <c r="EJ162" s="13">
        <f t="shared" si="1096"/>
        <v>539.6827380393031</v>
      </c>
      <c r="EK162" s="13">
        <f t="shared" si="1097"/>
        <v>541.11863585720573</v>
      </c>
      <c r="EL162" s="13">
        <f t="shared" si="1098"/>
        <v>650</v>
      </c>
      <c r="EM162" s="13">
        <f t="shared" si="1068"/>
        <v>650</v>
      </c>
      <c r="EN162" s="13">
        <f t="shared" si="1050"/>
        <v>650</v>
      </c>
      <c r="EO162" s="13">
        <f t="shared" si="1016"/>
        <v>650</v>
      </c>
      <c r="EP162" s="13">
        <f t="shared" si="954"/>
        <v>650</v>
      </c>
      <c r="EQ162" s="13">
        <f t="shared" si="1106"/>
        <v>650</v>
      </c>
      <c r="ER162" s="13">
        <f t="shared" si="1106"/>
        <v>650</v>
      </c>
      <c r="ES162" s="13">
        <f t="shared" si="1106"/>
        <v>650</v>
      </c>
      <c r="ET162" s="13">
        <f t="shared" si="1106"/>
        <v>650</v>
      </c>
      <c r="EU162" s="13">
        <f t="shared" si="1106"/>
        <v>650</v>
      </c>
      <c r="EV162" s="13">
        <f t="shared" si="1106"/>
        <v>650</v>
      </c>
      <c r="EW162" s="13">
        <f t="shared" si="1106"/>
        <v>650</v>
      </c>
      <c r="EX162" s="13">
        <f t="shared" si="1106"/>
        <v>650</v>
      </c>
      <c r="EY162" s="13">
        <f t="shared" si="1106"/>
        <v>650</v>
      </c>
      <c r="EZ162" s="25">
        <v>31</v>
      </c>
      <c r="FA162" s="26">
        <f t="shared" ref="FA162:FA191" si="1114">$B$6*(EZ162-1)</f>
        <v>0.27777777777777779</v>
      </c>
    </row>
    <row r="163" spans="3:157" x14ac:dyDescent="0.25">
      <c r="C163" s="84"/>
      <c r="D163" s="85"/>
      <c r="E163" s="25">
        <v>30</v>
      </c>
      <c r="F163" s="26">
        <f t="shared" si="1107"/>
        <v>0.26851851851851849</v>
      </c>
      <c r="G163" s="13">
        <f t="shared" si="1099"/>
        <v>600</v>
      </c>
      <c r="H163" s="13">
        <f t="shared" si="1099"/>
        <v>600</v>
      </c>
      <c r="I163" s="13">
        <f t="shared" si="1099"/>
        <v>600</v>
      </c>
      <c r="J163" s="13">
        <f t="shared" si="1099"/>
        <v>600</v>
      </c>
      <c r="K163" s="13">
        <f t="shared" si="1099"/>
        <v>600</v>
      </c>
      <c r="L163" s="13">
        <f t="shared" si="1099"/>
        <v>600</v>
      </c>
      <c r="M163" s="13">
        <f t="shared" si="1099"/>
        <v>600</v>
      </c>
      <c r="N163" s="13">
        <f t="shared" si="1099"/>
        <v>600</v>
      </c>
      <c r="O163" s="13">
        <f t="shared" si="1099"/>
        <v>600</v>
      </c>
      <c r="P163" s="13">
        <f t="shared" si="914"/>
        <v>600</v>
      </c>
      <c r="Q163" s="13">
        <f t="shared" si="975"/>
        <v>600</v>
      </c>
      <c r="R163" s="13">
        <f t="shared" si="1017"/>
        <v>600</v>
      </c>
      <c r="S163" s="13">
        <f t="shared" si="1051"/>
        <v>600</v>
      </c>
      <c r="T163" s="13">
        <f t="shared" si="1085"/>
        <v>600</v>
      </c>
      <c r="U163" s="13">
        <f t="shared" si="1071"/>
        <v>610.35204302268937</v>
      </c>
      <c r="V163" s="13">
        <f t="shared" si="1072"/>
        <v>610.95346286915901</v>
      </c>
      <c r="W163" s="13">
        <f t="shared" si="1073"/>
        <v>612.57915473133778</v>
      </c>
      <c r="X163" s="13">
        <f t="shared" si="1086"/>
        <v>650</v>
      </c>
      <c r="Y163" s="13">
        <f t="shared" si="1052"/>
        <v>650</v>
      </c>
      <c r="Z163" s="13">
        <f t="shared" si="1025"/>
        <v>650</v>
      </c>
      <c r="AA163" s="13">
        <f t="shared" si="985"/>
        <v>650</v>
      </c>
      <c r="AB163" s="13">
        <f t="shared" si="915"/>
        <v>650</v>
      </c>
      <c r="AC163" s="13">
        <f t="shared" si="1100"/>
        <v>650</v>
      </c>
      <c r="AD163" s="13">
        <f t="shared" si="1100"/>
        <v>650</v>
      </c>
      <c r="AE163" s="13">
        <f t="shared" si="1100"/>
        <v>650</v>
      </c>
      <c r="AF163" s="13">
        <f t="shared" si="1100"/>
        <v>650</v>
      </c>
      <c r="AG163" s="13">
        <f t="shared" si="1100"/>
        <v>650</v>
      </c>
      <c r="AH163" s="13">
        <f t="shared" si="1100"/>
        <v>650</v>
      </c>
      <c r="AI163" s="13">
        <f t="shared" si="1100"/>
        <v>650</v>
      </c>
      <c r="AJ163" s="13">
        <f t="shared" si="1100"/>
        <v>650</v>
      </c>
      <c r="AK163" s="13">
        <f t="shared" si="1100"/>
        <v>650</v>
      </c>
      <c r="AL163" s="25">
        <v>30</v>
      </c>
      <c r="AM163" s="26">
        <f t="shared" si="1108"/>
        <v>0.26851851851851849</v>
      </c>
      <c r="AP163" s="87"/>
      <c r="AQ163" s="86"/>
      <c r="AR163" s="25">
        <v>30</v>
      </c>
      <c r="AS163" s="26">
        <f t="shared" si="1109"/>
        <v>0.26851851851851849</v>
      </c>
      <c r="AT163" s="13">
        <f t="shared" si="1101"/>
        <v>600</v>
      </c>
      <c r="AU163" s="13">
        <f t="shared" si="1101"/>
        <v>600</v>
      </c>
      <c r="AV163" s="13">
        <f t="shared" si="1101"/>
        <v>600</v>
      </c>
      <c r="AW163" s="13">
        <f t="shared" si="1101"/>
        <v>600</v>
      </c>
      <c r="AX163" s="13">
        <f t="shared" si="1101"/>
        <v>600</v>
      </c>
      <c r="AY163" s="13">
        <f t="shared" si="1101"/>
        <v>600</v>
      </c>
      <c r="AZ163" s="13">
        <f t="shared" si="1101"/>
        <v>600</v>
      </c>
      <c r="BA163" s="13">
        <f t="shared" si="1101"/>
        <v>600</v>
      </c>
      <c r="BB163" s="13">
        <f t="shared" si="1101"/>
        <v>600</v>
      </c>
      <c r="BC163" s="13">
        <f t="shared" si="916"/>
        <v>600</v>
      </c>
      <c r="BD163" s="13">
        <f t="shared" si="986"/>
        <v>600</v>
      </c>
      <c r="BE163" s="13">
        <f t="shared" si="1026"/>
        <v>600</v>
      </c>
      <c r="BF163" s="13">
        <f t="shared" si="1053"/>
        <v>600</v>
      </c>
      <c r="BG163" s="13">
        <f t="shared" si="1087"/>
        <v>600</v>
      </c>
      <c r="BH163" s="13">
        <f t="shared" si="1077"/>
        <v>-2189942265.6012607</v>
      </c>
      <c r="BI163" s="13">
        <f t="shared" si="1078"/>
        <v>-2192100141.1808672</v>
      </c>
      <c r="BJ163" s="13">
        <f t="shared" si="1079"/>
        <v>-2197933130.401278</v>
      </c>
      <c r="BK163" s="13">
        <f t="shared" si="1088"/>
        <v>650</v>
      </c>
      <c r="BL163" s="13">
        <f t="shared" si="1054"/>
        <v>650</v>
      </c>
      <c r="BM163" s="13">
        <f t="shared" si="1032"/>
        <v>650</v>
      </c>
      <c r="BN163" s="13">
        <f t="shared" si="994"/>
        <v>650</v>
      </c>
      <c r="BO163" s="13">
        <f t="shared" si="928"/>
        <v>650</v>
      </c>
      <c r="BP163" s="13">
        <f t="shared" si="1102"/>
        <v>650</v>
      </c>
      <c r="BQ163" s="13">
        <f t="shared" si="1102"/>
        <v>650</v>
      </c>
      <c r="BR163" s="13">
        <f t="shared" si="1102"/>
        <v>650</v>
      </c>
      <c r="BS163" s="13">
        <f t="shared" si="1102"/>
        <v>650</v>
      </c>
      <c r="BT163" s="13">
        <f t="shared" si="1102"/>
        <v>650</v>
      </c>
      <c r="BU163" s="13">
        <f t="shared" si="1102"/>
        <v>650</v>
      </c>
      <c r="BV163" s="13">
        <f t="shared" si="1102"/>
        <v>650</v>
      </c>
      <c r="BW163" s="13">
        <f t="shared" si="1102"/>
        <v>650</v>
      </c>
      <c r="BX163" s="13">
        <f t="shared" si="1102"/>
        <v>650</v>
      </c>
      <c r="BY163" s="25">
        <v>30</v>
      </c>
      <c r="BZ163" s="26">
        <f t="shared" si="1110"/>
        <v>0.26851851851851849</v>
      </c>
      <c r="CC163" s="84"/>
      <c r="CD163" s="85"/>
      <c r="CE163" s="25">
        <v>30</v>
      </c>
      <c r="CF163" s="26">
        <f t="shared" si="1111"/>
        <v>0.26851851851851849</v>
      </c>
      <c r="CG163" s="13">
        <f t="shared" si="1103"/>
        <v>600</v>
      </c>
      <c r="CH163" s="13">
        <f t="shared" si="1103"/>
        <v>600</v>
      </c>
      <c r="CI163" s="13">
        <f t="shared" si="1103"/>
        <v>600</v>
      </c>
      <c r="CJ163" s="13">
        <f t="shared" si="1103"/>
        <v>600</v>
      </c>
      <c r="CK163" s="13">
        <f t="shared" si="1103"/>
        <v>600</v>
      </c>
      <c r="CL163" s="13">
        <f t="shared" si="1103"/>
        <v>600</v>
      </c>
      <c r="CM163" s="13">
        <f t="shared" si="1103"/>
        <v>600</v>
      </c>
      <c r="CN163" s="13">
        <f t="shared" si="1103"/>
        <v>600</v>
      </c>
      <c r="CO163" s="13">
        <f t="shared" si="1103"/>
        <v>600</v>
      </c>
      <c r="CP163" s="13">
        <f t="shared" si="929"/>
        <v>600</v>
      </c>
      <c r="CQ163" s="13">
        <f t="shared" si="995"/>
        <v>600</v>
      </c>
      <c r="CR163" s="13">
        <f t="shared" si="1033"/>
        <v>600</v>
      </c>
      <c r="CS163" s="13">
        <f t="shared" si="1055"/>
        <v>600</v>
      </c>
      <c r="CT163" s="13">
        <f t="shared" si="1089"/>
        <v>600</v>
      </c>
      <c r="CU163" s="13">
        <f t="shared" si="1090"/>
        <v>0.11667843062533659</v>
      </c>
      <c r="CV163" s="13">
        <f t="shared" si="1091"/>
        <v>0.11667843062533659</v>
      </c>
      <c r="CW163" s="13">
        <f t="shared" si="1092"/>
        <v>0.11667843062533659</v>
      </c>
      <c r="CX163" s="13">
        <f t="shared" si="1093"/>
        <v>650</v>
      </c>
      <c r="CY163" s="13">
        <f t="shared" si="1061"/>
        <v>650</v>
      </c>
      <c r="CZ163" s="13">
        <f t="shared" si="1041"/>
        <v>650</v>
      </c>
      <c r="DA163" s="13">
        <f t="shared" si="1005"/>
        <v>650</v>
      </c>
      <c r="DB163" s="13">
        <f t="shared" si="941"/>
        <v>650</v>
      </c>
      <c r="DC163" s="13">
        <f t="shared" si="1104"/>
        <v>650</v>
      </c>
      <c r="DD163" s="13">
        <f t="shared" si="1104"/>
        <v>650</v>
      </c>
      <c r="DE163" s="13">
        <f t="shared" si="1104"/>
        <v>650</v>
      </c>
      <c r="DF163" s="13">
        <f t="shared" si="1104"/>
        <v>650</v>
      </c>
      <c r="DG163" s="13">
        <f t="shared" si="1104"/>
        <v>650</v>
      </c>
      <c r="DH163" s="13">
        <f t="shared" si="1104"/>
        <v>650</v>
      </c>
      <c r="DI163" s="13">
        <f t="shared" si="1104"/>
        <v>650</v>
      </c>
      <c r="DJ163" s="13">
        <f t="shared" si="1104"/>
        <v>650</v>
      </c>
      <c r="DK163" s="13">
        <f t="shared" si="1104"/>
        <v>650</v>
      </c>
      <c r="DL163" s="25">
        <v>30</v>
      </c>
      <c r="DM163" s="26">
        <f t="shared" si="1112"/>
        <v>0.26851851851851849</v>
      </c>
      <c r="DQ163" s="84"/>
      <c r="DR163" s="85"/>
      <c r="DS163" s="25">
        <v>30</v>
      </c>
      <c r="DT163" s="26">
        <f t="shared" si="1113"/>
        <v>0.26851851851851849</v>
      </c>
      <c r="DU163" s="13">
        <f t="shared" si="1105"/>
        <v>600</v>
      </c>
      <c r="DV163" s="13">
        <f t="shared" si="1105"/>
        <v>600</v>
      </c>
      <c r="DW163" s="13">
        <f t="shared" si="1105"/>
        <v>600</v>
      </c>
      <c r="DX163" s="13">
        <f t="shared" si="1105"/>
        <v>600</v>
      </c>
      <c r="DY163" s="13">
        <f t="shared" si="1105"/>
        <v>600</v>
      </c>
      <c r="DZ163" s="13">
        <f t="shared" si="1105"/>
        <v>600</v>
      </c>
      <c r="EA163" s="13">
        <f t="shared" si="1105"/>
        <v>600</v>
      </c>
      <c r="EB163" s="13">
        <f t="shared" si="1105"/>
        <v>600</v>
      </c>
      <c r="EC163" s="13">
        <f t="shared" si="1105"/>
        <v>600</v>
      </c>
      <c r="ED163" s="13">
        <f t="shared" si="942"/>
        <v>600</v>
      </c>
      <c r="EE163" s="13">
        <f t="shared" si="1006"/>
        <v>600</v>
      </c>
      <c r="EF163" s="13">
        <f t="shared" si="1042"/>
        <v>600</v>
      </c>
      <c r="EG163" s="13">
        <f t="shared" si="1062"/>
        <v>600</v>
      </c>
      <c r="EH163" s="13">
        <f t="shared" si="1094"/>
        <v>600</v>
      </c>
      <c r="EI163" s="13">
        <f t="shared" si="1095"/>
        <v>539.13857698787592</v>
      </c>
      <c r="EJ163" s="13">
        <f t="shared" si="1096"/>
        <v>539.66985573693682</v>
      </c>
      <c r="EK163" s="13">
        <f t="shared" si="1097"/>
        <v>541.10585297078251</v>
      </c>
      <c r="EL163" s="13">
        <f t="shared" si="1098"/>
        <v>650</v>
      </c>
      <c r="EM163" s="13">
        <f t="shared" si="1068"/>
        <v>650</v>
      </c>
      <c r="EN163" s="13">
        <f t="shared" si="1050"/>
        <v>650</v>
      </c>
      <c r="EO163" s="13">
        <f t="shared" si="1016"/>
        <v>650</v>
      </c>
      <c r="EP163" s="13">
        <f t="shared" si="954"/>
        <v>650</v>
      </c>
      <c r="EQ163" s="13">
        <f t="shared" si="1106"/>
        <v>650</v>
      </c>
      <c r="ER163" s="13">
        <f t="shared" si="1106"/>
        <v>650</v>
      </c>
      <c r="ES163" s="13">
        <f t="shared" si="1106"/>
        <v>650</v>
      </c>
      <c r="ET163" s="13">
        <f t="shared" si="1106"/>
        <v>650</v>
      </c>
      <c r="EU163" s="13">
        <f t="shared" si="1106"/>
        <v>650</v>
      </c>
      <c r="EV163" s="13">
        <f t="shared" si="1106"/>
        <v>650</v>
      </c>
      <c r="EW163" s="13">
        <f t="shared" si="1106"/>
        <v>650</v>
      </c>
      <c r="EX163" s="13">
        <f t="shared" si="1106"/>
        <v>650</v>
      </c>
      <c r="EY163" s="13">
        <f t="shared" si="1106"/>
        <v>650</v>
      </c>
      <c r="EZ163" s="25">
        <v>30</v>
      </c>
      <c r="FA163" s="26">
        <f t="shared" si="1114"/>
        <v>0.26851851851851849</v>
      </c>
    </row>
    <row r="164" spans="3:157" x14ac:dyDescent="0.25">
      <c r="C164" s="84"/>
      <c r="D164" s="85"/>
      <c r="E164" s="25">
        <v>29</v>
      </c>
      <c r="F164" s="26">
        <f t="shared" si="1107"/>
        <v>0.25925925925925924</v>
      </c>
      <c r="G164" s="13">
        <f t="shared" si="1099"/>
        <v>600</v>
      </c>
      <c r="H164" s="13">
        <f t="shared" si="1099"/>
        <v>600</v>
      </c>
      <c r="I164" s="13">
        <f t="shared" si="1099"/>
        <v>600</v>
      </c>
      <c r="J164" s="13">
        <f t="shared" si="1099"/>
        <v>600</v>
      </c>
      <c r="K164" s="13">
        <f t="shared" si="1099"/>
        <v>600</v>
      </c>
      <c r="L164" s="13">
        <f t="shared" si="1099"/>
        <v>600</v>
      </c>
      <c r="M164" s="13">
        <f t="shared" si="1099"/>
        <v>600</v>
      </c>
      <c r="N164" s="13">
        <f t="shared" si="1099"/>
        <v>600</v>
      </c>
      <c r="O164" s="13">
        <f t="shared" si="1099"/>
        <v>600</v>
      </c>
      <c r="P164" s="13">
        <f t="shared" si="914"/>
        <v>600</v>
      </c>
      <c r="Q164" s="13">
        <f t="shared" si="975"/>
        <v>600</v>
      </c>
      <c r="R164" s="13">
        <f t="shared" si="1017"/>
        <v>600</v>
      </c>
      <c r="S164" s="13">
        <f t="shared" si="1051"/>
        <v>600</v>
      </c>
      <c r="T164" s="13">
        <f t="shared" si="1085"/>
        <v>600</v>
      </c>
      <c r="U164" s="13">
        <f t="shared" si="1071"/>
        <v>610.33959450042153</v>
      </c>
      <c r="V164" s="13">
        <f t="shared" si="1072"/>
        <v>610.94074329058583</v>
      </c>
      <c r="W164" s="13">
        <f t="shared" si="1073"/>
        <v>612.56653331292716</v>
      </c>
      <c r="X164" s="13">
        <f t="shared" si="1086"/>
        <v>650</v>
      </c>
      <c r="Y164" s="13">
        <f t="shared" si="1052"/>
        <v>650</v>
      </c>
      <c r="Z164" s="13">
        <f t="shared" si="1025"/>
        <v>650</v>
      </c>
      <c r="AA164" s="13">
        <f t="shared" si="985"/>
        <v>650</v>
      </c>
      <c r="AB164" s="13">
        <f t="shared" si="915"/>
        <v>650</v>
      </c>
      <c r="AC164" s="13">
        <f t="shared" si="1100"/>
        <v>650</v>
      </c>
      <c r="AD164" s="13">
        <f t="shared" si="1100"/>
        <v>650</v>
      </c>
      <c r="AE164" s="13">
        <f t="shared" si="1100"/>
        <v>650</v>
      </c>
      <c r="AF164" s="13">
        <f t="shared" si="1100"/>
        <v>650</v>
      </c>
      <c r="AG164" s="13">
        <f t="shared" si="1100"/>
        <v>650</v>
      </c>
      <c r="AH164" s="13">
        <f t="shared" si="1100"/>
        <v>650</v>
      </c>
      <c r="AI164" s="13">
        <f t="shared" si="1100"/>
        <v>650</v>
      </c>
      <c r="AJ164" s="13">
        <f t="shared" si="1100"/>
        <v>650</v>
      </c>
      <c r="AK164" s="13">
        <f t="shared" si="1100"/>
        <v>650</v>
      </c>
      <c r="AL164" s="25">
        <v>29</v>
      </c>
      <c r="AM164" s="26">
        <f t="shared" si="1108"/>
        <v>0.25925925925925924</v>
      </c>
      <c r="AP164" s="87"/>
      <c r="AQ164" s="86"/>
      <c r="AR164" s="25">
        <v>29</v>
      </c>
      <c r="AS164" s="26">
        <f t="shared" si="1109"/>
        <v>0.25925925925925924</v>
      </c>
      <c r="AT164" s="13">
        <f t="shared" si="1101"/>
        <v>600</v>
      </c>
      <c r="AU164" s="13">
        <f t="shared" si="1101"/>
        <v>600</v>
      </c>
      <c r="AV164" s="13">
        <f t="shared" si="1101"/>
        <v>600</v>
      </c>
      <c r="AW164" s="13">
        <f t="shared" si="1101"/>
        <v>600</v>
      </c>
      <c r="AX164" s="13">
        <f t="shared" si="1101"/>
        <v>600</v>
      </c>
      <c r="AY164" s="13">
        <f t="shared" si="1101"/>
        <v>600</v>
      </c>
      <c r="AZ164" s="13">
        <f t="shared" si="1101"/>
        <v>600</v>
      </c>
      <c r="BA164" s="13">
        <f t="shared" si="1101"/>
        <v>600</v>
      </c>
      <c r="BB164" s="13">
        <f t="shared" si="1101"/>
        <v>600</v>
      </c>
      <c r="BC164" s="13">
        <f t="shared" si="916"/>
        <v>600</v>
      </c>
      <c r="BD164" s="13">
        <f t="shared" si="986"/>
        <v>600</v>
      </c>
      <c r="BE164" s="13">
        <f t="shared" si="1026"/>
        <v>600</v>
      </c>
      <c r="BF164" s="13">
        <f t="shared" si="1053"/>
        <v>600</v>
      </c>
      <c r="BG164" s="13">
        <f t="shared" si="1087"/>
        <v>600</v>
      </c>
      <c r="BH164" s="13">
        <f t="shared" si="1077"/>
        <v>-2189898957.2419729</v>
      </c>
      <c r="BI164" s="13">
        <f t="shared" si="1078"/>
        <v>-2192055889.8177743</v>
      </c>
      <c r="BJ164" s="13">
        <f t="shared" si="1079"/>
        <v>-2197889220.5370002</v>
      </c>
      <c r="BK164" s="13">
        <f t="shared" si="1088"/>
        <v>650</v>
      </c>
      <c r="BL164" s="13">
        <f t="shared" si="1054"/>
        <v>650</v>
      </c>
      <c r="BM164" s="13">
        <f t="shared" si="1032"/>
        <v>650</v>
      </c>
      <c r="BN164" s="13">
        <f t="shared" si="994"/>
        <v>650</v>
      </c>
      <c r="BO164" s="13">
        <f t="shared" si="928"/>
        <v>650</v>
      </c>
      <c r="BP164" s="13">
        <f t="shared" si="1102"/>
        <v>650</v>
      </c>
      <c r="BQ164" s="13">
        <f t="shared" si="1102"/>
        <v>650</v>
      </c>
      <c r="BR164" s="13">
        <f t="shared" si="1102"/>
        <v>650</v>
      </c>
      <c r="BS164" s="13">
        <f t="shared" si="1102"/>
        <v>650</v>
      </c>
      <c r="BT164" s="13">
        <f t="shared" si="1102"/>
        <v>650</v>
      </c>
      <c r="BU164" s="13">
        <f t="shared" si="1102"/>
        <v>650</v>
      </c>
      <c r="BV164" s="13">
        <f t="shared" si="1102"/>
        <v>650</v>
      </c>
      <c r="BW164" s="13">
        <f t="shared" si="1102"/>
        <v>650</v>
      </c>
      <c r="BX164" s="13">
        <f t="shared" si="1102"/>
        <v>650</v>
      </c>
      <c r="BY164" s="25">
        <v>29</v>
      </c>
      <c r="BZ164" s="26">
        <f t="shared" si="1110"/>
        <v>0.25925925925925924</v>
      </c>
      <c r="CC164" s="84"/>
      <c r="CD164" s="85"/>
      <c r="CE164" s="25">
        <v>29</v>
      </c>
      <c r="CF164" s="26">
        <f t="shared" si="1111"/>
        <v>0.25925925925925924</v>
      </c>
      <c r="CG164" s="13">
        <f t="shared" si="1103"/>
        <v>600</v>
      </c>
      <c r="CH164" s="13">
        <f t="shared" si="1103"/>
        <v>600</v>
      </c>
      <c r="CI164" s="13">
        <f t="shared" si="1103"/>
        <v>600</v>
      </c>
      <c r="CJ164" s="13">
        <f t="shared" si="1103"/>
        <v>600</v>
      </c>
      <c r="CK164" s="13">
        <f t="shared" si="1103"/>
        <v>600</v>
      </c>
      <c r="CL164" s="13">
        <f t="shared" si="1103"/>
        <v>600</v>
      </c>
      <c r="CM164" s="13">
        <f t="shared" si="1103"/>
        <v>600</v>
      </c>
      <c r="CN164" s="13">
        <f t="shared" si="1103"/>
        <v>600</v>
      </c>
      <c r="CO164" s="13">
        <f t="shared" si="1103"/>
        <v>600</v>
      </c>
      <c r="CP164" s="13">
        <f t="shared" si="929"/>
        <v>600</v>
      </c>
      <c r="CQ164" s="13">
        <f t="shared" si="995"/>
        <v>600</v>
      </c>
      <c r="CR164" s="13">
        <f t="shared" si="1033"/>
        <v>600</v>
      </c>
      <c r="CS164" s="13">
        <f t="shared" si="1055"/>
        <v>600</v>
      </c>
      <c r="CT164" s="13">
        <f t="shared" si="1089"/>
        <v>600</v>
      </c>
      <c r="CU164" s="13">
        <f t="shared" si="1090"/>
        <v>0.11667843062533659</v>
      </c>
      <c r="CV164" s="13">
        <f t="shared" si="1091"/>
        <v>0.11667843062533659</v>
      </c>
      <c r="CW164" s="13">
        <f t="shared" si="1092"/>
        <v>0.11667843062533659</v>
      </c>
      <c r="CX164" s="13">
        <f t="shared" si="1093"/>
        <v>650</v>
      </c>
      <c r="CY164" s="13">
        <f t="shared" si="1061"/>
        <v>650</v>
      </c>
      <c r="CZ164" s="13">
        <f t="shared" si="1041"/>
        <v>650</v>
      </c>
      <c r="DA164" s="13">
        <f t="shared" si="1005"/>
        <v>650</v>
      </c>
      <c r="DB164" s="13">
        <f t="shared" si="941"/>
        <v>650</v>
      </c>
      <c r="DC164" s="13">
        <f t="shared" si="1104"/>
        <v>650</v>
      </c>
      <c r="DD164" s="13">
        <f t="shared" si="1104"/>
        <v>650</v>
      </c>
      <c r="DE164" s="13">
        <f t="shared" si="1104"/>
        <v>650</v>
      </c>
      <c r="DF164" s="13">
        <f t="shared" si="1104"/>
        <v>650</v>
      </c>
      <c r="DG164" s="13">
        <f t="shared" si="1104"/>
        <v>650</v>
      </c>
      <c r="DH164" s="13">
        <f t="shared" si="1104"/>
        <v>650</v>
      </c>
      <c r="DI164" s="13">
        <f t="shared" si="1104"/>
        <v>650</v>
      </c>
      <c r="DJ164" s="13">
        <f t="shared" si="1104"/>
        <v>650</v>
      </c>
      <c r="DK164" s="13">
        <f t="shared" si="1104"/>
        <v>650</v>
      </c>
      <c r="DL164" s="25">
        <v>29</v>
      </c>
      <c r="DM164" s="26">
        <f t="shared" si="1112"/>
        <v>0.25925925925925924</v>
      </c>
      <c r="DQ164" s="84"/>
      <c r="DR164" s="85"/>
      <c r="DS164" s="25">
        <v>29</v>
      </c>
      <c r="DT164" s="26">
        <f t="shared" si="1113"/>
        <v>0.25925925925925924</v>
      </c>
      <c r="DU164" s="13">
        <f t="shared" si="1105"/>
        <v>600</v>
      </c>
      <c r="DV164" s="13">
        <f t="shared" si="1105"/>
        <v>600</v>
      </c>
      <c r="DW164" s="13">
        <f t="shared" si="1105"/>
        <v>600</v>
      </c>
      <c r="DX164" s="13">
        <f t="shared" si="1105"/>
        <v>600</v>
      </c>
      <c r="DY164" s="13">
        <f t="shared" si="1105"/>
        <v>600</v>
      </c>
      <c r="DZ164" s="13">
        <f t="shared" si="1105"/>
        <v>600</v>
      </c>
      <c r="EA164" s="13">
        <f t="shared" si="1105"/>
        <v>600</v>
      </c>
      <c r="EB164" s="13">
        <f t="shared" si="1105"/>
        <v>600</v>
      </c>
      <c r="EC164" s="13">
        <f t="shared" si="1105"/>
        <v>600</v>
      </c>
      <c r="ED164" s="13">
        <f t="shared" si="942"/>
        <v>600</v>
      </c>
      <c r="EE164" s="13">
        <f t="shared" si="1006"/>
        <v>600</v>
      </c>
      <c r="EF164" s="13">
        <f t="shared" si="1042"/>
        <v>600</v>
      </c>
      <c r="EG164" s="13">
        <f t="shared" si="1062"/>
        <v>600</v>
      </c>
      <c r="EH164" s="13">
        <f t="shared" si="1094"/>
        <v>600</v>
      </c>
      <c r="EI164" s="13">
        <f t="shared" si="1095"/>
        <v>539.1276879693504</v>
      </c>
      <c r="EJ164" s="13">
        <f t="shared" si="1096"/>
        <v>539.65872961901357</v>
      </c>
      <c r="EK164" s="13">
        <f t="shared" si="1097"/>
        <v>541.09481271588845</v>
      </c>
      <c r="EL164" s="13">
        <f t="shared" si="1098"/>
        <v>650</v>
      </c>
      <c r="EM164" s="13">
        <f t="shared" si="1068"/>
        <v>650</v>
      </c>
      <c r="EN164" s="13">
        <f t="shared" si="1050"/>
        <v>650</v>
      </c>
      <c r="EO164" s="13">
        <f t="shared" si="1016"/>
        <v>650</v>
      </c>
      <c r="EP164" s="13">
        <f t="shared" si="954"/>
        <v>650</v>
      </c>
      <c r="EQ164" s="13">
        <f t="shared" si="1106"/>
        <v>650</v>
      </c>
      <c r="ER164" s="13">
        <f t="shared" si="1106"/>
        <v>650</v>
      </c>
      <c r="ES164" s="13">
        <f t="shared" si="1106"/>
        <v>650</v>
      </c>
      <c r="ET164" s="13">
        <f t="shared" si="1106"/>
        <v>650</v>
      </c>
      <c r="EU164" s="13">
        <f t="shared" si="1106"/>
        <v>650</v>
      </c>
      <c r="EV164" s="13">
        <f t="shared" si="1106"/>
        <v>650</v>
      </c>
      <c r="EW164" s="13">
        <f t="shared" si="1106"/>
        <v>650</v>
      </c>
      <c r="EX164" s="13">
        <f t="shared" si="1106"/>
        <v>650</v>
      </c>
      <c r="EY164" s="13">
        <f t="shared" si="1106"/>
        <v>650</v>
      </c>
      <c r="EZ164" s="25">
        <v>29</v>
      </c>
      <c r="FA164" s="26">
        <f t="shared" si="1114"/>
        <v>0.25925925925925924</v>
      </c>
    </row>
    <row r="165" spans="3:157" x14ac:dyDescent="0.25">
      <c r="C165" s="84"/>
      <c r="D165" s="85"/>
      <c r="E165" s="25">
        <v>28</v>
      </c>
      <c r="F165" s="26">
        <f t="shared" si="1107"/>
        <v>0.25</v>
      </c>
      <c r="G165" s="13">
        <f t="shared" si="1099"/>
        <v>600</v>
      </c>
      <c r="H165" s="13">
        <f t="shared" si="1099"/>
        <v>600</v>
      </c>
      <c r="I165" s="13">
        <f t="shared" si="1099"/>
        <v>600</v>
      </c>
      <c r="J165" s="13">
        <f t="shared" si="1099"/>
        <v>600</v>
      </c>
      <c r="K165" s="13">
        <f t="shared" si="1099"/>
        <v>600</v>
      </c>
      <c r="L165" s="13">
        <f t="shared" si="1099"/>
        <v>600</v>
      </c>
      <c r="M165" s="13">
        <f t="shared" si="1099"/>
        <v>600</v>
      </c>
      <c r="N165" s="13">
        <f t="shared" si="1099"/>
        <v>600</v>
      </c>
      <c r="O165" s="13">
        <f t="shared" si="1099"/>
        <v>600</v>
      </c>
      <c r="P165" s="13">
        <f t="shared" si="914"/>
        <v>600</v>
      </c>
      <c r="Q165" s="13">
        <f t="shared" si="975"/>
        <v>600</v>
      </c>
      <c r="R165" s="13">
        <f t="shared" si="1017"/>
        <v>600</v>
      </c>
      <c r="S165" s="13">
        <f t="shared" si="1051"/>
        <v>600</v>
      </c>
      <c r="T165" s="13">
        <f t="shared" si="1085"/>
        <v>600</v>
      </c>
      <c r="U165" s="13">
        <f t="shared" si="1071"/>
        <v>610.32622867321584</v>
      </c>
      <c r="V165" s="13">
        <f t="shared" si="1072"/>
        <v>610.92708643351784</v>
      </c>
      <c r="W165" s="13">
        <f t="shared" si="1073"/>
        <v>612.55298184923208</v>
      </c>
      <c r="X165" s="13">
        <f t="shared" si="1086"/>
        <v>650</v>
      </c>
      <c r="Y165" s="13">
        <f t="shared" si="1052"/>
        <v>650</v>
      </c>
      <c r="Z165" s="13">
        <f t="shared" si="1025"/>
        <v>650</v>
      </c>
      <c r="AA165" s="13">
        <f t="shared" si="985"/>
        <v>650</v>
      </c>
      <c r="AB165" s="13">
        <f t="shared" si="915"/>
        <v>650</v>
      </c>
      <c r="AC165" s="13">
        <f t="shared" si="1100"/>
        <v>650</v>
      </c>
      <c r="AD165" s="13">
        <f t="shared" si="1100"/>
        <v>650</v>
      </c>
      <c r="AE165" s="13">
        <f t="shared" si="1100"/>
        <v>650</v>
      </c>
      <c r="AF165" s="13">
        <f t="shared" si="1100"/>
        <v>650</v>
      </c>
      <c r="AG165" s="13">
        <f t="shared" si="1100"/>
        <v>650</v>
      </c>
      <c r="AH165" s="13">
        <f t="shared" si="1100"/>
        <v>650</v>
      </c>
      <c r="AI165" s="13">
        <f t="shared" si="1100"/>
        <v>650</v>
      </c>
      <c r="AJ165" s="13">
        <f t="shared" si="1100"/>
        <v>650</v>
      </c>
      <c r="AK165" s="13">
        <f t="shared" si="1100"/>
        <v>650</v>
      </c>
      <c r="AL165" s="25">
        <v>28</v>
      </c>
      <c r="AM165" s="26">
        <f t="shared" si="1108"/>
        <v>0.25</v>
      </c>
      <c r="AP165" s="87"/>
      <c r="AQ165" s="86"/>
      <c r="AR165" s="25">
        <v>28</v>
      </c>
      <c r="AS165" s="26">
        <f t="shared" si="1109"/>
        <v>0.25</v>
      </c>
      <c r="AT165" s="13">
        <f t="shared" si="1101"/>
        <v>600</v>
      </c>
      <c r="AU165" s="13">
        <f t="shared" si="1101"/>
        <v>600</v>
      </c>
      <c r="AV165" s="13">
        <f t="shared" si="1101"/>
        <v>600</v>
      </c>
      <c r="AW165" s="13">
        <f t="shared" si="1101"/>
        <v>600</v>
      </c>
      <c r="AX165" s="13">
        <f t="shared" si="1101"/>
        <v>600</v>
      </c>
      <c r="AY165" s="13">
        <f t="shared" si="1101"/>
        <v>600</v>
      </c>
      <c r="AZ165" s="13">
        <f t="shared" si="1101"/>
        <v>600</v>
      </c>
      <c r="BA165" s="13">
        <f t="shared" si="1101"/>
        <v>600</v>
      </c>
      <c r="BB165" s="13">
        <f t="shared" si="1101"/>
        <v>600</v>
      </c>
      <c r="BC165" s="13">
        <f t="shared" si="916"/>
        <v>600</v>
      </c>
      <c r="BD165" s="13">
        <f t="shared" si="986"/>
        <v>600</v>
      </c>
      <c r="BE165" s="13">
        <f t="shared" si="1026"/>
        <v>600</v>
      </c>
      <c r="BF165" s="13">
        <f t="shared" si="1053"/>
        <v>600</v>
      </c>
      <c r="BG165" s="13">
        <f t="shared" si="1087"/>
        <v>600</v>
      </c>
      <c r="BH165" s="13">
        <f t="shared" si="1077"/>
        <v>-2189852228.7754903</v>
      </c>
      <c r="BI165" s="13">
        <f t="shared" si="1078"/>
        <v>-2192008143.8774729</v>
      </c>
      <c r="BJ165" s="13">
        <f t="shared" si="1079"/>
        <v>-2197841843.0640388</v>
      </c>
      <c r="BK165" s="13">
        <f t="shared" si="1088"/>
        <v>650</v>
      </c>
      <c r="BL165" s="13">
        <f t="shared" si="1054"/>
        <v>650</v>
      </c>
      <c r="BM165" s="13">
        <f t="shared" si="1032"/>
        <v>650</v>
      </c>
      <c r="BN165" s="13">
        <f t="shared" si="994"/>
        <v>650</v>
      </c>
      <c r="BO165" s="13">
        <f t="shared" si="928"/>
        <v>650</v>
      </c>
      <c r="BP165" s="13">
        <f t="shared" si="1102"/>
        <v>650</v>
      </c>
      <c r="BQ165" s="13">
        <f t="shared" si="1102"/>
        <v>650</v>
      </c>
      <c r="BR165" s="13">
        <f t="shared" si="1102"/>
        <v>650</v>
      </c>
      <c r="BS165" s="13">
        <f t="shared" si="1102"/>
        <v>650</v>
      </c>
      <c r="BT165" s="13">
        <f t="shared" si="1102"/>
        <v>650</v>
      </c>
      <c r="BU165" s="13">
        <f t="shared" si="1102"/>
        <v>650</v>
      </c>
      <c r="BV165" s="13">
        <f t="shared" si="1102"/>
        <v>650</v>
      </c>
      <c r="BW165" s="13">
        <f t="shared" si="1102"/>
        <v>650</v>
      </c>
      <c r="BX165" s="13">
        <f t="shared" si="1102"/>
        <v>650</v>
      </c>
      <c r="BY165" s="25">
        <v>28</v>
      </c>
      <c r="BZ165" s="26">
        <f t="shared" si="1110"/>
        <v>0.25</v>
      </c>
      <c r="CC165" s="84"/>
      <c r="CD165" s="85"/>
      <c r="CE165" s="25">
        <v>28</v>
      </c>
      <c r="CF165" s="26">
        <f t="shared" si="1111"/>
        <v>0.25</v>
      </c>
      <c r="CG165" s="13">
        <f t="shared" si="1103"/>
        <v>600</v>
      </c>
      <c r="CH165" s="13">
        <f t="shared" si="1103"/>
        <v>600</v>
      </c>
      <c r="CI165" s="13">
        <f t="shared" si="1103"/>
        <v>600</v>
      </c>
      <c r="CJ165" s="13">
        <f t="shared" si="1103"/>
        <v>600</v>
      </c>
      <c r="CK165" s="13">
        <f t="shared" si="1103"/>
        <v>600</v>
      </c>
      <c r="CL165" s="13">
        <f t="shared" si="1103"/>
        <v>600</v>
      </c>
      <c r="CM165" s="13">
        <f t="shared" si="1103"/>
        <v>600</v>
      </c>
      <c r="CN165" s="13">
        <f t="shared" si="1103"/>
        <v>600</v>
      </c>
      <c r="CO165" s="13">
        <f t="shared" si="1103"/>
        <v>600</v>
      </c>
      <c r="CP165" s="13">
        <f t="shared" si="929"/>
        <v>600</v>
      </c>
      <c r="CQ165" s="13">
        <f t="shared" si="995"/>
        <v>600</v>
      </c>
      <c r="CR165" s="13">
        <f t="shared" si="1033"/>
        <v>600</v>
      </c>
      <c r="CS165" s="13">
        <f t="shared" si="1055"/>
        <v>600</v>
      </c>
      <c r="CT165" s="13">
        <f t="shared" si="1089"/>
        <v>600</v>
      </c>
      <c r="CU165" s="13">
        <f t="shared" si="1090"/>
        <v>0.11667843062533659</v>
      </c>
      <c r="CV165" s="13">
        <f t="shared" si="1091"/>
        <v>0.11667843062533659</v>
      </c>
      <c r="CW165" s="13">
        <f t="shared" si="1092"/>
        <v>0.11667843062533659</v>
      </c>
      <c r="CX165" s="13">
        <f t="shared" si="1093"/>
        <v>650</v>
      </c>
      <c r="CY165" s="13">
        <f t="shared" si="1061"/>
        <v>650</v>
      </c>
      <c r="CZ165" s="13">
        <f t="shared" si="1041"/>
        <v>650</v>
      </c>
      <c r="DA165" s="13">
        <f t="shared" si="1005"/>
        <v>650</v>
      </c>
      <c r="DB165" s="13">
        <f t="shared" si="941"/>
        <v>650</v>
      </c>
      <c r="DC165" s="13">
        <f t="shared" si="1104"/>
        <v>650</v>
      </c>
      <c r="DD165" s="13">
        <f t="shared" si="1104"/>
        <v>650</v>
      </c>
      <c r="DE165" s="13">
        <f t="shared" si="1104"/>
        <v>650</v>
      </c>
      <c r="DF165" s="13">
        <f t="shared" si="1104"/>
        <v>650</v>
      </c>
      <c r="DG165" s="13">
        <f t="shared" si="1104"/>
        <v>650</v>
      </c>
      <c r="DH165" s="13">
        <f t="shared" si="1104"/>
        <v>650</v>
      </c>
      <c r="DI165" s="13">
        <f t="shared" si="1104"/>
        <v>650</v>
      </c>
      <c r="DJ165" s="13">
        <f t="shared" si="1104"/>
        <v>650</v>
      </c>
      <c r="DK165" s="13">
        <f t="shared" si="1104"/>
        <v>650</v>
      </c>
      <c r="DL165" s="25">
        <v>28</v>
      </c>
      <c r="DM165" s="26">
        <f t="shared" si="1112"/>
        <v>0.25</v>
      </c>
      <c r="DQ165" s="84"/>
      <c r="DR165" s="85"/>
      <c r="DS165" s="25">
        <v>28</v>
      </c>
      <c r="DT165" s="26">
        <f t="shared" si="1113"/>
        <v>0.25</v>
      </c>
      <c r="DU165" s="13">
        <f t="shared" si="1105"/>
        <v>600</v>
      </c>
      <c r="DV165" s="13">
        <f t="shared" si="1105"/>
        <v>600</v>
      </c>
      <c r="DW165" s="13">
        <f t="shared" si="1105"/>
        <v>600</v>
      </c>
      <c r="DX165" s="13">
        <f t="shared" si="1105"/>
        <v>600</v>
      </c>
      <c r="DY165" s="13">
        <f t="shared" si="1105"/>
        <v>600</v>
      </c>
      <c r="DZ165" s="13">
        <f t="shared" si="1105"/>
        <v>600</v>
      </c>
      <c r="EA165" s="13">
        <f t="shared" si="1105"/>
        <v>600</v>
      </c>
      <c r="EB165" s="13">
        <f t="shared" si="1105"/>
        <v>600</v>
      </c>
      <c r="EC165" s="13">
        <f t="shared" si="1105"/>
        <v>600</v>
      </c>
      <c r="ED165" s="13">
        <f t="shared" si="942"/>
        <v>600</v>
      </c>
      <c r="EE165" s="13">
        <f t="shared" si="1006"/>
        <v>600</v>
      </c>
      <c r="EF165" s="13">
        <f t="shared" si="1042"/>
        <v>600</v>
      </c>
      <c r="EG165" s="13">
        <f t="shared" si="1062"/>
        <v>600</v>
      </c>
      <c r="EH165" s="13">
        <f t="shared" si="1094"/>
        <v>600</v>
      </c>
      <c r="EI165" s="13">
        <f t="shared" si="1095"/>
        <v>539.11625574649497</v>
      </c>
      <c r="EJ165" s="13">
        <f t="shared" si="1096"/>
        <v>539.64704846893403</v>
      </c>
      <c r="EK165" s="13">
        <f t="shared" si="1097"/>
        <v>541.08322171216014</v>
      </c>
      <c r="EL165" s="13">
        <f t="shared" si="1098"/>
        <v>650</v>
      </c>
      <c r="EM165" s="13">
        <f t="shared" si="1068"/>
        <v>650</v>
      </c>
      <c r="EN165" s="13">
        <f t="shared" si="1050"/>
        <v>650</v>
      </c>
      <c r="EO165" s="13">
        <f t="shared" si="1016"/>
        <v>650</v>
      </c>
      <c r="EP165" s="13">
        <f t="shared" si="954"/>
        <v>650</v>
      </c>
      <c r="EQ165" s="13">
        <f t="shared" si="1106"/>
        <v>650</v>
      </c>
      <c r="ER165" s="13">
        <f t="shared" si="1106"/>
        <v>650</v>
      </c>
      <c r="ES165" s="13">
        <f t="shared" si="1106"/>
        <v>650</v>
      </c>
      <c r="ET165" s="13">
        <f t="shared" si="1106"/>
        <v>650</v>
      </c>
      <c r="EU165" s="13">
        <f t="shared" si="1106"/>
        <v>650</v>
      </c>
      <c r="EV165" s="13">
        <f t="shared" si="1106"/>
        <v>650</v>
      </c>
      <c r="EW165" s="13">
        <f t="shared" si="1106"/>
        <v>650</v>
      </c>
      <c r="EX165" s="13">
        <f t="shared" si="1106"/>
        <v>650</v>
      </c>
      <c r="EY165" s="13">
        <f t="shared" si="1106"/>
        <v>650</v>
      </c>
      <c r="EZ165" s="25">
        <v>28</v>
      </c>
      <c r="FA165" s="26">
        <f t="shared" si="1114"/>
        <v>0.25</v>
      </c>
    </row>
    <row r="166" spans="3:157" x14ac:dyDescent="0.25">
      <c r="C166" s="84"/>
      <c r="D166" s="85"/>
      <c r="E166" s="25">
        <v>27</v>
      </c>
      <c r="F166" s="26">
        <f t="shared" si="1107"/>
        <v>0.24074074074074073</v>
      </c>
      <c r="G166" s="13">
        <f t="shared" si="1099"/>
        <v>600</v>
      </c>
      <c r="H166" s="13">
        <f t="shared" si="1099"/>
        <v>600</v>
      </c>
      <c r="I166" s="13">
        <f t="shared" si="1099"/>
        <v>600</v>
      </c>
      <c r="J166" s="13">
        <f t="shared" si="1099"/>
        <v>600</v>
      </c>
      <c r="K166" s="13">
        <f t="shared" si="1099"/>
        <v>600</v>
      </c>
      <c r="L166" s="13">
        <f t="shared" si="1099"/>
        <v>600</v>
      </c>
      <c r="M166" s="13">
        <f t="shared" si="1099"/>
        <v>600</v>
      </c>
      <c r="N166" s="13">
        <f t="shared" si="1099"/>
        <v>600</v>
      </c>
      <c r="O166" s="13">
        <f t="shared" si="1099"/>
        <v>600</v>
      </c>
      <c r="P166" s="13">
        <f t="shared" si="914"/>
        <v>600</v>
      </c>
      <c r="Q166" s="13">
        <f t="shared" si="975"/>
        <v>600</v>
      </c>
      <c r="R166" s="13">
        <f t="shared" si="1017"/>
        <v>600</v>
      </c>
      <c r="S166" s="13">
        <f t="shared" si="1051"/>
        <v>600</v>
      </c>
      <c r="T166" s="13">
        <f t="shared" si="1085"/>
        <v>600</v>
      </c>
      <c r="U166" s="13">
        <f t="shared" si="1071"/>
        <v>610.30965659266997</v>
      </c>
      <c r="V166" s="13">
        <f t="shared" si="1072"/>
        <v>610.91015350960163</v>
      </c>
      <c r="W166" s="13">
        <f t="shared" si="1073"/>
        <v>612.53617960089696</v>
      </c>
      <c r="X166" s="13">
        <f t="shared" si="1086"/>
        <v>650</v>
      </c>
      <c r="Y166" s="13">
        <f t="shared" si="1052"/>
        <v>650</v>
      </c>
      <c r="Z166" s="13">
        <f t="shared" si="1025"/>
        <v>650</v>
      </c>
      <c r="AA166" s="13">
        <f t="shared" si="985"/>
        <v>650</v>
      </c>
      <c r="AB166" s="13">
        <f t="shared" si="915"/>
        <v>650</v>
      </c>
      <c r="AC166" s="13">
        <f t="shared" si="1100"/>
        <v>650</v>
      </c>
      <c r="AD166" s="13">
        <f t="shared" si="1100"/>
        <v>650</v>
      </c>
      <c r="AE166" s="13">
        <f t="shared" si="1100"/>
        <v>650</v>
      </c>
      <c r="AF166" s="13">
        <f t="shared" si="1100"/>
        <v>650</v>
      </c>
      <c r="AG166" s="13">
        <f t="shared" si="1100"/>
        <v>650</v>
      </c>
      <c r="AH166" s="13">
        <f t="shared" si="1100"/>
        <v>650</v>
      </c>
      <c r="AI166" s="13">
        <f t="shared" si="1100"/>
        <v>650</v>
      </c>
      <c r="AJ166" s="13">
        <f t="shared" si="1100"/>
        <v>650</v>
      </c>
      <c r="AK166" s="13">
        <f t="shared" si="1100"/>
        <v>650</v>
      </c>
      <c r="AL166" s="25">
        <v>27</v>
      </c>
      <c r="AM166" s="26">
        <f t="shared" si="1108"/>
        <v>0.24074074074074073</v>
      </c>
      <c r="AP166" s="87"/>
      <c r="AQ166" s="86"/>
      <c r="AR166" s="25">
        <v>27</v>
      </c>
      <c r="AS166" s="26">
        <f t="shared" si="1109"/>
        <v>0.24074074074074073</v>
      </c>
      <c r="AT166" s="13">
        <f t="shared" si="1101"/>
        <v>600</v>
      </c>
      <c r="AU166" s="13">
        <f t="shared" si="1101"/>
        <v>600</v>
      </c>
      <c r="AV166" s="13">
        <f t="shared" si="1101"/>
        <v>600</v>
      </c>
      <c r="AW166" s="13">
        <f t="shared" si="1101"/>
        <v>600</v>
      </c>
      <c r="AX166" s="13">
        <f t="shared" si="1101"/>
        <v>600</v>
      </c>
      <c r="AY166" s="13">
        <f t="shared" si="1101"/>
        <v>600</v>
      </c>
      <c r="AZ166" s="13">
        <f t="shared" si="1101"/>
        <v>600</v>
      </c>
      <c r="BA166" s="13">
        <f t="shared" si="1101"/>
        <v>600</v>
      </c>
      <c r="BB166" s="13">
        <f t="shared" si="1101"/>
        <v>600</v>
      </c>
      <c r="BC166" s="13">
        <f t="shared" si="916"/>
        <v>600</v>
      </c>
      <c r="BD166" s="13">
        <f t="shared" si="986"/>
        <v>600</v>
      </c>
      <c r="BE166" s="13">
        <f t="shared" si="1026"/>
        <v>600</v>
      </c>
      <c r="BF166" s="13">
        <f t="shared" si="1053"/>
        <v>600</v>
      </c>
      <c r="BG166" s="13">
        <f t="shared" si="1087"/>
        <v>600</v>
      </c>
      <c r="BH166" s="13">
        <f t="shared" si="1077"/>
        <v>-2189794079.9066296</v>
      </c>
      <c r="BI166" s="13">
        <f t="shared" si="1078"/>
        <v>-2191948728.8649507</v>
      </c>
      <c r="BJ166" s="13">
        <f t="shared" si="1079"/>
        <v>-2197782886.5719995</v>
      </c>
      <c r="BK166" s="13">
        <f t="shared" si="1088"/>
        <v>650</v>
      </c>
      <c r="BL166" s="13">
        <f t="shared" si="1054"/>
        <v>650</v>
      </c>
      <c r="BM166" s="13">
        <f t="shared" si="1032"/>
        <v>650</v>
      </c>
      <c r="BN166" s="13">
        <f t="shared" si="994"/>
        <v>650</v>
      </c>
      <c r="BO166" s="13">
        <f t="shared" si="928"/>
        <v>650</v>
      </c>
      <c r="BP166" s="13">
        <f t="shared" si="1102"/>
        <v>650</v>
      </c>
      <c r="BQ166" s="13">
        <f t="shared" si="1102"/>
        <v>650</v>
      </c>
      <c r="BR166" s="13">
        <f t="shared" si="1102"/>
        <v>650</v>
      </c>
      <c r="BS166" s="13">
        <f t="shared" si="1102"/>
        <v>650</v>
      </c>
      <c r="BT166" s="13">
        <f t="shared" si="1102"/>
        <v>650</v>
      </c>
      <c r="BU166" s="13">
        <f t="shared" si="1102"/>
        <v>650</v>
      </c>
      <c r="BV166" s="13">
        <f t="shared" si="1102"/>
        <v>650</v>
      </c>
      <c r="BW166" s="13">
        <f t="shared" si="1102"/>
        <v>650</v>
      </c>
      <c r="BX166" s="13">
        <f t="shared" si="1102"/>
        <v>650</v>
      </c>
      <c r="BY166" s="25">
        <v>27</v>
      </c>
      <c r="BZ166" s="26">
        <f t="shared" si="1110"/>
        <v>0.24074074074074073</v>
      </c>
      <c r="CC166" s="84"/>
      <c r="CD166" s="85"/>
      <c r="CE166" s="25">
        <v>27</v>
      </c>
      <c r="CF166" s="26">
        <f t="shared" si="1111"/>
        <v>0.24074074074074073</v>
      </c>
      <c r="CG166" s="13">
        <f t="shared" si="1103"/>
        <v>600</v>
      </c>
      <c r="CH166" s="13">
        <f t="shared" si="1103"/>
        <v>600</v>
      </c>
      <c r="CI166" s="13">
        <f t="shared" si="1103"/>
        <v>600</v>
      </c>
      <c r="CJ166" s="13">
        <f t="shared" si="1103"/>
        <v>600</v>
      </c>
      <c r="CK166" s="13">
        <f t="shared" si="1103"/>
        <v>600</v>
      </c>
      <c r="CL166" s="13">
        <f t="shared" si="1103"/>
        <v>600</v>
      </c>
      <c r="CM166" s="13">
        <f t="shared" si="1103"/>
        <v>600</v>
      </c>
      <c r="CN166" s="13">
        <f t="shared" si="1103"/>
        <v>600</v>
      </c>
      <c r="CO166" s="13">
        <f t="shared" si="1103"/>
        <v>600</v>
      </c>
      <c r="CP166" s="13">
        <f t="shared" si="929"/>
        <v>600</v>
      </c>
      <c r="CQ166" s="13">
        <f t="shared" si="995"/>
        <v>600</v>
      </c>
      <c r="CR166" s="13">
        <f t="shared" si="1033"/>
        <v>600</v>
      </c>
      <c r="CS166" s="13">
        <f t="shared" si="1055"/>
        <v>600</v>
      </c>
      <c r="CT166" s="13">
        <f t="shared" si="1089"/>
        <v>600</v>
      </c>
      <c r="CU166" s="13">
        <f t="shared" si="1090"/>
        <v>0.11667843062533659</v>
      </c>
      <c r="CV166" s="13">
        <f t="shared" si="1091"/>
        <v>0.11667843062533659</v>
      </c>
      <c r="CW166" s="13">
        <f t="shared" si="1092"/>
        <v>0.11667843062533659</v>
      </c>
      <c r="CX166" s="13">
        <f t="shared" si="1093"/>
        <v>650</v>
      </c>
      <c r="CY166" s="13">
        <f t="shared" si="1061"/>
        <v>650</v>
      </c>
      <c r="CZ166" s="13">
        <f t="shared" si="1041"/>
        <v>650</v>
      </c>
      <c r="DA166" s="13">
        <f t="shared" si="1005"/>
        <v>650</v>
      </c>
      <c r="DB166" s="13">
        <f t="shared" si="941"/>
        <v>650</v>
      </c>
      <c r="DC166" s="13">
        <f t="shared" si="1104"/>
        <v>650</v>
      </c>
      <c r="DD166" s="13">
        <f t="shared" si="1104"/>
        <v>650</v>
      </c>
      <c r="DE166" s="13">
        <f t="shared" si="1104"/>
        <v>650</v>
      </c>
      <c r="DF166" s="13">
        <f t="shared" si="1104"/>
        <v>650</v>
      </c>
      <c r="DG166" s="13">
        <f t="shared" si="1104"/>
        <v>650</v>
      </c>
      <c r="DH166" s="13">
        <f t="shared" si="1104"/>
        <v>650</v>
      </c>
      <c r="DI166" s="13">
        <f t="shared" si="1104"/>
        <v>650</v>
      </c>
      <c r="DJ166" s="13">
        <f t="shared" si="1104"/>
        <v>650</v>
      </c>
      <c r="DK166" s="13">
        <f t="shared" si="1104"/>
        <v>650</v>
      </c>
      <c r="DL166" s="25">
        <v>27</v>
      </c>
      <c r="DM166" s="26">
        <f t="shared" si="1112"/>
        <v>0.24074074074074073</v>
      </c>
      <c r="DQ166" s="84"/>
      <c r="DR166" s="85"/>
      <c r="DS166" s="25">
        <v>27</v>
      </c>
      <c r="DT166" s="26">
        <f t="shared" si="1113"/>
        <v>0.24074074074074073</v>
      </c>
      <c r="DU166" s="13">
        <f t="shared" si="1105"/>
        <v>600</v>
      </c>
      <c r="DV166" s="13">
        <f t="shared" si="1105"/>
        <v>600</v>
      </c>
      <c r="DW166" s="13">
        <f t="shared" si="1105"/>
        <v>600</v>
      </c>
      <c r="DX166" s="13">
        <f t="shared" si="1105"/>
        <v>600</v>
      </c>
      <c r="DY166" s="13">
        <f t="shared" si="1105"/>
        <v>600</v>
      </c>
      <c r="DZ166" s="13">
        <f t="shared" si="1105"/>
        <v>600</v>
      </c>
      <c r="EA166" s="13">
        <f t="shared" si="1105"/>
        <v>600</v>
      </c>
      <c r="EB166" s="13">
        <f t="shared" si="1105"/>
        <v>600</v>
      </c>
      <c r="EC166" s="13">
        <f t="shared" si="1105"/>
        <v>600</v>
      </c>
      <c r="ED166" s="13">
        <f t="shared" si="942"/>
        <v>600</v>
      </c>
      <c r="EE166" s="13">
        <f t="shared" si="1006"/>
        <v>600</v>
      </c>
      <c r="EF166" s="13">
        <f t="shared" si="1042"/>
        <v>600</v>
      </c>
      <c r="EG166" s="13">
        <f t="shared" si="1062"/>
        <v>600</v>
      </c>
      <c r="EH166" s="13">
        <f t="shared" si="1094"/>
        <v>600</v>
      </c>
      <c r="EI166" s="13">
        <f t="shared" si="1095"/>
        <v>539.10227662924126</v>
      </c>
      <c r="EJ166" s="13">
        <f t="shared" si="1096"/>
        <v>539.63276496793128</v>
      </c>
      <c r="EK166" s="13">
        <f t="shared" si="1097"/>
        <v>541.06904844050018</v>
      </c>
      <c r="EL166" s="13">
        <f t="shared" si="1098"/>
        <v>650</v>
      </c>
      <c r="EM166" s="13">
        <f t="shared" si="1068"/>
        <v>650</v>
      </c>
      <c r="EN166" s="13">
        <f t="shared" si="1050"/>
        <v>650</v>
      </c>
      <c r="EO166" s="13">
        <f t="shared" si="1016"/>
        <v>650</v>
      </c>
      <c r="EP166" s="13">
        <f t="shared" si="954"/>
        <v>650</v>
      </c>
      <c r="EQ166" s="13">
        <f t="shared" si="1106"/>
        <v>650</v>
      </c>
      <c r="ER166" s="13">
        <f t="shared" si="1106"/>
        <v>650</v>
      </c>
      <c r="ES166" s="13">
        <f t="shared" si="1106"/>
        <v>650</v>
      </c>
      <c r="ET166" s="13">
        <f t="shared" si="1106"/>
        <v>650</v>
      </c>
      <c r="EU166" s="13">
        <f t="shared" si="1106"/>
        <v>650</v>
      </c>
      <c r="EV166" s="13">
        <f t="shared" si="1106"/>
        <v>650</v>
      </c>
      <c r="EW166" s="13">
        <f t="shared" si="1106"/>
        <v>650</v>
      </c>
      <c r="EX166" s="13">
        <f t="shared" si="1106"/>
        <v>650</v>
      </c>
      <c r="EY166" s="13">
        <f t="shared" si="1106"/>
        <v>650</v>
      </c>
      <c r="EZ166" s="25">
        <v>27</v>
      </c>
      <c r="FA166" s="26">
        <f t="shared" si="1114"/>
        <v>0.24074074074074073</v>
      </c>
    </row>
    <row r="167" spans="3:157" x14ac:dyDescent="0.25">
      <c r="C167" s="84"/>
      <c r="D167" s="85"/>
      <c r="E167" s="25">
        <v>26</v>
      </c>
      <c r="F167" s="26">
        <f t="shared" si="1107"/>
        <v>0.23148148148148145</v>
      </c>
      <c r="G167" s="13">
        <f t="shared" si="1099"/>
        <v>600</v>
      </c>
      <c r="H167" s="13">
        <f t="shared" si="1099"/>
        <v>600</v>
      </c>
      <c r="I167" s="13">
        <f t="shared" si="1099"/>
        <v>600</v>
      </c>
      <c r="J167" s="13">
        <f t="shared" si="1099"/>
        <v>600</v>
      </c>
      <c r="K167" s="13">
        <f t="shared" si="1099"/>
        <v>600</v>
      </c>
      <c r="L167" s="13">
        <f t="shared" si="1099"/>
        <v>600</v>
      </c>
      <c r="M167" s="13">
        <f t="shared" si="1099"/>
        <v>600</v>
      </c>
      <c r="N167" s="13">
        <f t="shared" si="1099"/>
        <v>600</v>
      </c>
      <c r="O167" s="13">
        <f t="shared" si="1099"/>
        <v>600</v>
      </c>
      <c r="P167" s="13">
        <f t="shared" si="914"/>
        <v>600</v>
      </c>
      <c r="Q167" s="13">
        <f t="shared" si="975"/>
        <v>600</v>
      </c>
      <c r="R167" s="13">
        <f t="shared" si="1017"/>
        <v>600</v>
      </c>
      <c r="S167" s="13">
        <f t="shared" si="1051"/>
        <v>600</v>
      </c>
      <c r="T167" s="13">
        <f t="shared" si="1085"/>
        <v>600</v>
      </c>
      <c r="U167" s="13">
        <f t="shared" si="1071"/>
        <v>610.28743343387123</v>
      </c>
      <c r="V167" s="13">
        <f t="shared" si="1072"/>
        <v>610.88744645998486</v>
      </c>
      <c r="W167" s="13">
        <f t="shared" si="1073"/>
        <v>612.51364778708125</v>
      </c>
      <c r="X167" s="13">
        <f t="shared" si="1086"/>
        <v>650</v>
      </c>
      <c r="Y167" s="13">
        <f t="shared" si="1052"/>
        <v>650</v>
      </c>
      <c r="Z167" s="13">
        <f t="shared" si="1025"/>
        <v>650</v>
      </c>
      <c r="AA167" s="13">
        <f t="shared" si="985"/>
        <v>650</v>
      </c>
      <c r="AB167" s="13">
        <f t="shared" si="915"/>
        <v>650</v>
      </c>
      <c r="AC167" s="13">
        <f t="shared" si="1100"/>
        <v>650</v>
      </c>
      <c r="AD167" s="13">
        <f t="shared" si="1100"/>
        <v>650</v>
      </c>
      <c r="AE167" s="13">
        <f t="shared" si="1100"/>
        <v>650</v>
      </c>
      <c r="AF167" s="13">
        <f t="shared" si="1100"/>
        <v>650</v>
      </c>
      <c r="AG167" s="13">
        <f t="shared" si="1100"/>
        <v>650</v>
      </c>
      <c r="AH167" s="13">
        <f t="shared" si="1100"/>
        <v>650</v>
      </c>
      <c r="AI167" s="13">
        <f t="shared" si="1100"/>
        <v>650</v>
      </c>
      <c r="AJ167" s="13">
        <f t="shared" si="1100"/>
        <v>650</v>
      </c>
      <c r="AK167" s="13">
        <f t="shared" si="1100"/>
        <v>650</v>
      </c>
      <c r="AL167" s="25">
        <v>26</v>
      </c>
      <c r="AM167" s="26">
        <f t="shared" si="1108"/>
        <v>0.23148148148148145</v>
      </c>
      <c r="AP167" s="87"/>
      <c r="AQ167" s="86"/>
      <c r="AR167" s="25">
        <v>26</v>
      </c>
      <c r="AS167" s="26">
        <f t="shared" si="1109"/>
        <v>0.23148148148148145</v>
      </c>
      <c r="AT167" s="13">
        <f t="shared" si="1101"/>
        <v>600</v>
      </c>
      <c r="AU167" s="13">
        <f t="shared" si="1101"/>
        <v>600</v>
      </c>
      <c r="AV167" s="13">
        <f t="shared" si="1101"/>
        <v>600</v>
      </c>
      <c r="AW167" s="13">
        <f t="shared" si="1101"/>
        <v>600</v>
      </c>
      <c r="AX167" s="13">
        <f t="shared" si="1101"/>
        <v>600</v>
      </c>
      <c r="AY167" s="13">
        <f t="shared" si="1101"/>
        <v>600</v>
      </c>
      <c r="AZ167" s="13">
        <f t="shared" si="1101"/>
        <v>600</v>
      </c>
      <c r="BA167" s="13">
        <f t="shared" si="1101"/>
        <v>600</v>
      </c>
      <c r="BB167" s="13">
        <f t="shared" si="1101"/>
        <v>600</v>
      </c>
      <c r="BC167" s="13">
        <f t="shared" si="916"/>
        <v>600</v>
      </c>
      <c r="BD167" s="13">
        <f t="shared" si="986"/>
        <v>600</v>
      </c>
      <c r="BE167" s="13">
        <f t="shared" si="1026"/>
        <v>600</v>
      </c>
      <c r="BF167" s="13">
        <f t="shared" si="1053"/>
        <v>600</v>
      </c>
      <c r="BG167" s="13">
        <f t="shared" si="1087"/>
        <v>600</v>
      </c>
      <c r="BH167" s="13">
        <f t="shared" si="1077"/>
        <v>-2189715923.1469173</v>
      </c>
      <c r="BI167" s="13">
        <f t="shared" si="1078"/>
        <v>-2191868870.3062539</v>
      </c>
      <c r="BJ167" s="13">
        <f t="shared" si="1079"/>
        <v>-2197703644.3017354</v>
      </c>
      <c r="BK167" s="13">
        <f t="shared" si="1088"/>
        <v>650</v>
      </c>
      <c r="BL167" s="13">
        <f t="shared" si="1054"/>
        <v>650</v>
      </c>
      <c r="BM167" s="13">
        <f t="shared" si="1032"/>
        <v>650</v>
      </c>
      <c r="BN167" s="13">
        <f t="shared" si="994"/>
        <v>650</v>
      </c>
      <c r="BO167" s="13">
        <f t="shared" si="928"/>
        <v>650</v>
      </c>
      <c r="BP167" s="13">
        <f t="shared" si="1102"/>
        <v>650</v>
      </c>
      <c r="BQ167" s="13">
        <f t="shared" si="1102"/>
        <v>650</v>
      </c>
      <c r="BR167" s="13">
        <f t="shared" si="1102"/>
        <v>650</v>
      </c>
      <c r="BS167" s="13">
        <f t="shared" si="1102"/>
        <v>650</v>
      </c>
      <c r="BT167" s="13">
        <f t="shared" si="1102"/>
        <v>650</v>
      </c>
      <c r="BU167" s="13">
        <f t="shared" si="1102"/>
        <v>650</v>
      </c>
      <c r="BV167" s="13">
        <f t="shared" si="1102"/>
        <v>650</v>
      </c>
      <c r="BW167" s="13">
        <f t="shared" si="1102"/>
        <v>650</v>
      </c>
      <c r="BX167" s="13">
        <f t="shared" si="1102"/>
        <v>650</v>
      </c>
      <c r="BY167" s="25">
        <v>26</v>
      </c>
      <c r="BZ167" s="26">
        <f t="shared" si="1110"/>
        <v>0.23148148148148145</v>
      </c>
      <c r="CC167" s="84"/>
      <c r="CD167" s="85"/>
      <c r="CE167" s="25">
        <v>26</v>
      </c>
      <c r="CF167" s="26">
        <f t="shared" si="1111"/>
        <v>0.23148148148148145</v>
      </c>
      <c r="CG167" s="13">
        <f t="shared" si="1103"/>
        <v>600</v>
      </c>
      <c r="CH167" s="13">
        <f t="shared" si="1103"/>
        <v>600</v>
      </c>
      <c r="CI167" s="13">
        <f t="shared" si="1103"/>
        <v>600</v>
      </c>
      <c r="CJ167" s="13">
        <f t="shared" si="1103"/>
        <v>600</v>
      </c>
      <c r="CK167" s="13">
        <f t="shared" si="1103"/>
        <v>600</v>
      </c>
      <c r="CL167" s="13">
        <f t="shared" si="1103"/>
        <v>600</v>
      </c>
      <c r="CM167" s="13">
        <f t="shared" si="1103"/>
        <v>600</v>
      </c>
      <c r="CN167" s="13">
        <f t="shared" si="1103"/>
        <v>600</v>
      </c>
      <c r="CO167" s="13">
        <f t="shared" si="1103"/>
        <v>600</v>
      </c>
      <c r="CP167" s="13">
        <f t="shared" si="929"/>
        <v>600</v>
      </c>
      <c r="CQ167" s="13">
        <f t="shared" si="995"/>
        <v>600</v>
      </c>
      <c r="CR167" s="13">
        <f t="shared" si="1033"/>
        <v>600</v>
      </c>
      <c r="CS167" s="13">
        <f t="shared" si="1055"/>
        <v>600</v>
      </c>
      <c r="CT167" s="13">
        <f t="shared" si="1089"/>
        <v>600</v>
      </c>
      <c r="CU167" s="13">
        <f t="shared" si="1090"/>
        <v>0.11667843062533659</v>
      </c>
      <c r="CV167" s="13">
        <f t="shared" si="1091"/>
        <v>0.11667843062533659</v>
      </c>
      <c r="CW167" s="13">
        <f t="shared" si="1092"/>
        <v>0.11667843062533659</v>
      </c>
      <c r="CX167" s="13">
        <f t="shared" si="1093"/>
        <v>650</v>
      </c>
      <c r="CY167" s="13">
        <f t="shared" si="1061"/>
        <v>650</v>
      </c>
      <c r="CZ167" s="13">
        <f t="shared" si="1041"/>
        <v>650</v>
      </c>
      <c r="DA167" s="13">
        <f t="shared" si="1005"/>
        <v>650</v>
      </c>
      <c r="DB167" s="13">
        <f t="shared" si="941"/>
        <v>650</v>
      </c>
      <c r="DC167" s="13">
        <f t="shared" si="1104"/>
        <v>650</v>
      </c>
      <c r="DD167" s="13">
        <f t="shared" si="1104"/>
        <v>650</v>
      </c>
      <c r="DE167" s="13">
        <f t="shared" si="1104"/>
        <v>650</v>
      </c>
      <c r="DF167" s="13">
        <f t="shared" si="1104"/>
        <v>650</v>
      </c>
      <c r="DG167" s="13">
        <f t="shared" si="1104"/>
        <v>650</v>
      </c>
      <c r="DH167" s="13">
        <f t="shared" si="1104"/>
        <v>650</v>
      </c>
      <c r="DI167" s="13">
        <f t="shared" si="1104"/>
        <v>650</v>
      </c>
      <c r="DJ167" s="13">
        <f t="shared" si="1104"/>
        <v>650</v>
      </c>
      <c r="DK167" s="13">
        <f t="shared" si="1104"/>
        <v>650</v>
      </c>
      <c r="DL167" s="25">
        <v>26</v>
      </c>
      <c r="DM167" s="26">
        <f t="shared" si="1112"/>
        <v>0.23148148148148145</v>
      </c>
      <c r="DQ167" s="84"/>
      <c r="DR167" s="85"/>
      <c r="DS167" s="25">
        <v>26</v>
      </c>
      <c r="DT167" s="26">
        <f t="shared" si="1113"/>
        <v>0.23148148148148145</v>
      </c>
      <c r="DU167" s="13">
        <f t="shared" si="1105"/>
        <v>600</v>
      </c>
      <c r="DV167" s="13">
        <f t="shared" si="1105"/>
        <v>600</v>
      </c>
      <c r="DW167" s="13">
        <f t="shared" si="1105"/>
        <v>600</v>
      </c>
      <c r="DX167" s="13">
        <f t="shared" si="1105"/>
        <v>600</v>
      </c>
      <c r="DY167" s="13">
        <f t="shared" si="1105"/>
        <v>600</v>
      </c>
      <c r="DZ167" s="13">
        <f t="shared" si="1105"/>
        <v>600</v>
      </c>
      <c r="EA167" s="13">
        <f t="shared" si="1105"/>
        <v>600</v>
      </c>
      <c r="EB167" s="13">
        <f t="shared" si="1105"/>
        <v>600</v>
      </c>
      <c r="EC167" s="13">
        <f t="shared" si="1105"/>
        <v>600</v>
      </c>
      <c r="ED167" s="13">
        <f t="shared" si="942"/>
        <v>600</v>
      </c>
      <c r="EE167" s="13">
        <f t="shared" si="1006"/>
        <v>600</v>
      </c>
      <c r="EF167" s="13">
        <f t="shared" si="1042"/>
        <v>600</v>
      </c>
      <c r="EG167" s="13">
        <f t="shared" si="1062"/>
        <v>600</v>
      </c>
      <c r="EH167" s="13">
        <f t="shared" si="1094"/>
        <v>600</v>
      </c>
      <c r="EI167" s="13">
        <f t="shared" si="1095"/>
        <v>539.08364936976682</v>
      </c>
      <c r="EJ167" s="13">
        <f t="shared" si="1096"/>
        <v>539.61373211524426</v>
      </c>
      <c r="EK167" s="13">
        <f t="shared" si="1097"/>
        <v>541.0501624690886</v>
      </c>
      <c r="EL167" s="13">
        <f t="shared" si="1098"/>
        <v>650</v>
      </c>
      <c r="EM167" s="13">
        <f t="shared" si="1068"/>
        <v>650</v>
      </c>
      <c r="EN167" s="13">
        <f t="shared" si="1050"/>
        <v>650</v>
      </c>
      <c r="EO167" s="13">
        <f t="shared" si="1016"/>
        <v>650</v>
      </c>
      <c r="EP167" s="13">
        <f t="shared" si="954"/>
        <v>650</v>
      </c>
      <c r="EQ167" s="13">
        <f t="shared" si="1106"/>
        <v>650</v>
      </c>
      <c r="ER167" s="13">
        <f t="shared" si="1106"/>
        <v>650</v>
      </c>
      <c r="ES167" s="13">
        <f t="shared" si="1106"/>
        <v>650</v>
      </c>
      <c r="ET167" s="13">
        <f t="shared" si="1106"/>
        <v>650</v>
      </c>
      <c r="EU167" s="13">
        <f t="shared" si="1106"/>
        <v>650</v>
      </c>
      <c r="EV167" s="13">
        <f t="shared" si="1106"/>
        <v>650</v>
      </c>
      <c r="EW167" s="13">
        <f t="shared" si="1106"/>
        <v>650</v>
      </c>
      <c r="EX167" s="13">
        <f t="shared" si="1106"/>
        <v>650</v>
      </c>
      <c r="EY167" s="13">
        <f t="shared" si="1106"/>
        <v>650</v>
      </c>
      <c r="EZ167" s="25">
        <v>26</v>
      </c>
      <c r="FA167" s="26">
        <f t="shared" si="1114"/>
        <v>0.23148148148148145</v>
      </c>
    </row>
    <row r="168" spans="3:157" x14ac:dyDescent="0.25">
      <c r="C168" s="84"/>
      <c r="D168" s="85"/>
      <c r="E168" s="25">
        <v>25</v>
      </c>
      <c r="F168" s="26">
        <f t="shared" si="1107"/>
        <v>0.22222222222222221</v>
      </c>
      <c r="G168" s="13">
        <f t="shared" ref="G168:O177" si="1115">$R$2</f>
        <v>600</v>
      </c>
      <c r="H168" s="13">
        <f t="shared" si="1115"/>
        <v>600</v>
      </c>
      <c r="I168" s="13">
        <f t="shared" si="1115"/>
        <v>600</v>
      </c>
      <c r="J168" s="13">
        <f t="shared" si="1115"/>
        <v>600</v>
      </c>
      <c r="K168" s="13">
        <f t="shared" si="1115"/>
        <v>600</v>
      </c>
      <c r="L168" s="13">
        <f t="shared" si="1115"/>
        <v>600</v>
      </c>
      <c r="M168" s="13">
        <f t="shared" si="1115"/>
        <v>600</v>
      </c>
      <c r="N168" s="13">
        <f t="shared" si="1115"/>
        <v>600</v>
      </c>
      <c r="O168" s="13">
        <f t="shared" si="1115"/>
        <v>600</v>
      </c>
      <c r="P168" s="13">
        <f t="shared" si="914"/>
        <v>600</v>
      </c>
      <c r="Q168" s="13">
        <f t="shared" si="975"/>
        <v>600</v>
      </c>
      <c r="R168" s="13">
        <f t="shared" si="1017"/>
        <v>600</v>
      </c>
      <c r="S168" s="13">
        <f t="shared" si="1051"/>
        <v>600</v>
      </c>
      <c r="T168" s="13">
        <f t="shared" si="1085"/>
        <v>600</v>
      </c>
      <c r="U168" s="13">
        <f t="shared" si="1071"/>
        <v>610.25661454725241</v>
      </c>
      <c r="V168" s="13">
        <f t="shared" si="1072"/>
        <v>610.85595651869846</v>
      </c>
      <c r="W168" s="13">
        <f t="shared" si="1073"/>
        <v>612.48240086008127</v>
      </c>
      <c r="X168" s="13">
        <f t="shared" si="1086"/>
        <v>650</v>
      </c>
      <c r="Y168" s="13">
        <f t="shared" si="1052"/>
        <v>650</v>
      </c>
      <c r="Z168" s="13">
        <f t="shared" si="1025"/>
        <v>650</v>
      </c>
      <c r="AA168" s="13">
        <f t="shared" si="985"/>
        <v>650</v>
      </c>
      <c r="AB168" s="13">
        <f t="shared" si="915"/>
        <v>650</v>
      </c>
      <c r="AC168" s="13">
        <f t="shared" ref="AC168:AK177" si="1116">$R$3</f>
        <v>650</v>
      </c>
      <c r="AD168" s="13">
        <f t="shared" si="1116"/>
        <v>650</v>
      </c>
      <c r="AE168" s="13">
        <f t="shared" si="1116"/>
        <v>650</v>
      </c>
      <c r="AF168" s="13">
        <f t="shared" si="1116"/>
        <v>650</v>
      </c>
      <c r="AG168" s="13">
        <f t="shared" si="1116"/>
        <v>650</v>
      </c>
      <c r="AH168" s="13">
        <f t="shared" si="1116"/>
        <v>650</v>
      </c>
      <c r="AI168" s="13">
        <f t="shared" si="1116"/>
        <v>650</v>
      </c>
      <c r="AJ168" s="13">
        <f t="shared" si="1116"/>
        <v>650</v>
      </c>
      <c r="AK168" s="13">
        <f t="shared" si="1116"/>
        <v>650</v>
      </c>
      <c r="AL168" s="25">
        <v>25</v>
      </c>
      <c r="AM168" s="26">
        <f t="shared" si="1108"/>
        <v>0.22222222222222221</v>
      </c>
      <c r="AP168" s="87"/>
      <c r="AQ168" s="86"/>
      <c r="AR168" s="25">
        <v>25</v>
      </c>
      <c r="AS168" s="26">
        <f t="shared" si="1109"/>
        <v>0.22222222222222221</v>
      </c>
      <c r="AT168" s="13">
        <f t="shared" ref="AT168:BB177" si="1117">$R$2</f>
        <v>600</v>
      </c>
      <c r="AU168" s="13">
        <f t="shared" si="1117"/>
        <v>600</v>
      </c>
      <c r="AV168" s="13">
        <f t="shared" si="1117"/>
        <v>600</v>
      </c>
      <c r="AW168" s="13">
        <f t="shared" si="1117"/>
        <v>600</v>
      </c>
      <c r="AX168" s="13">
        <f t="shared" si="1117"/>
        <v>600</v>
      </c>
      <c r="AY168" s="13">
        <f t="shared" si="1117"/>
        <v>600</v>
      </c>
      <c r="AZ168" s="13">
        <f t="shared" si="1117"/>
        <v>600</v>
      </c>
      <c r="BA168" s="13">
        <f t="shared" si="1117"/>
        <v>600</v>
      </c>
      <c r="BB168" s="13">
        <f t="shared" si="1117"/>
        <v>600</v>
      </c>
      <c r="BC168" s="13">
        <f t="shared" si="916"/>
        <v>600</v>
      </c>
      <c r="BD168" s="13">
        <f t="shared" si="986"/>
        <v>600</v>
      </c>
      <c r="BE168" s="13">
        <f t="shared" si="1026"/>
        <v>600</v>
      </c>
      <c r="BF168" s="13">
        <f t="shared" si="1053"/>
        <v>600</v>
      </c>
      <c r="BG168" s="13">
        <f t="shared" si="1087"/>
        <v>600</v>
      </c>
      <c r="BH168" s="13">
        <f t="shared" si="1077"/>
        <v>-2189607372.2599545</v>
      </c>
      <c r="BI168" s="13">
        <f t="shared" si="1078"/>
        <v>-2191757955.8132539</v>
      </c>
      <c r="BJ168" s="13">
        <f t="shared" si="1079"/>
        <v>-2197593585.7635646</v>
      </c>
      <c r="BK168" s="13">
        <f t="shared" si="1088"/>
        <v>650</v>
      </c>
      <c r="BL168" s="13">
        <f t="shared" si="1054"/>
        <v>650</v>
      </c>
      <c r="BM168" s="13">
        <f t="shared" si="1032"/>
        <v>650</v>
      </c>
      <c r="BN168" s="13">
        <f t="shared" si="994"/>
        <v>650</v>
      </c>
      <c r="BO168" s="13">
        <f t="shared" si="928"/>
        <v>650</v>
      </c>
      <c r="BP168" s="13">
        <f t="shared" ref="BP168:BX177" si="1118">$R$3</f>
        <v>650</v>
      </c>
      <c r="BQ168" s="13">
        <f t="shared" si="1118"/>
        <v>650</v>
      </c>
      <c r="BR168" s="13">
        <f t="shared" si="1118"/>
        <v>650</v>
      </c>
      <c r="BS168" s="13">
        <f t="shared" si="1118"/>
        <v>650</v>
      </c>
      <c r="BT168" s="13">
        <f t="shared" si="1118"/>
        <v>650</v>
      </c>
      <c r="BU168" s="13">
        <f t="shared" si="1118"/>
        <v>650</v>
      </c>
      <c r="BV168" s="13">
        <f t="shared" si="1118"/>
        <v>650</v>
      </c>
      <c r="BW168" s="13">
        <f t="shared" si="1118"/>
        <v>650</v>
      </c>
      <c r="BX168" s="13">
        <f t="shared" si="1118"/>
        <v>650</v>
      </c>
      <c r="BY168" s="25">
        <v>25</v>
      </c>
      <c r="BZ168" s="26">
        <f t="shared" si="1110"/>
        <v>0.22222222222222221</v>
      </c>
      <c r="CC168" s="84"/>
      <c r="CD168" s="85"/>
      <c r="CE168" s="25">
        <v>25</v>
      </c>
      <c r="CF168" s="26">
        <f t="shared" si="1111"/>
        <v>0.22222222222222221</v>
      </c>
      <c r="CG168" s="13">
        <f t="shared" ref="CG168:CO177" si="1119">$R$2</f>
        <v>600</v>
      </c>
      <c r="CH168" s="13">
        <f t="shared" si="1119"/>
        <v>600</v>
      </c>
      <c r="CI168" s="13">
        <f t="shared" si="1119"/>
        <v>600</v>
      </c>
      <c r="CJ168" s="13">
        <f t="shared" si="1119"/>
        <v>600</v>
      </c>
      <c r="CK168" s="13">
        <f t="shared" si="1119"/>
        <v>600</v>
      </c>
      <c r="CL168" s="13">
        <f t="shared" si="1119"/>
        <v>600</v>
      </c>
      <c r="CM168" s="13">
        <f t="shared" si="1119"/>
        <v>600</v>
      </c>
      <c r="CN168" s="13">
        <f t="shared" si="1119"/>
        <v>600</v>
      </c>
      <c r="CO168" s="13">
        <f t="shared" si="1119"/>
        <v>600</v>
      </c>
      <c r="CP168" s="13">
        <f t="shared" si="929"/>
        <v>600</v>
      </c>
      <c r="CQ168" s="13">
        <f t="shared" si="995"/>
        <v>600</v>
      </c>
      <c r="CR168" s="13">
        <f t="shared" si="1033"/>
        <v>600</v>
      </c>
      <c r="CS168" s="13">
        <f t="shared" si="1055"/>
        <v>600</v>
      </c>
      <c r="CT168" s="13">
        <f t="shared" si="1089"/>
        <v>600</v>
      </c>
      <c r="CU168" s="13">
        <f t="shared" si="1090"/>
        <v>0.11667843062533659</v>
      </c>
      <c r="CV168" s="13">
        <f t="shared" si="1091"/>
        <v>0.11667843062533659</v>
      </c>
      <c r="CW168" s="13">
        <f t="shared" si="1092"/>
        <v>0.11667843062533659</v>
      </c>
      <c r="CX168" s="13">
        <f t="shared" si="1093"/>
        <v>650</v>
      </c>
      <c r="CY168" s="13">
        <f t="shared" si="1061"/>
        <v>650</v>
      </c>
      <c r="CZ168" s="13">
        <f t="shared" si="1041"/>
        <v>650</v>
      </c>
      <c r="DA168" s="13">
        <f t="shared" si="1005"/>
        <v>650</v>
      </c>
      <c r="DB168" s="13">
        <f t="shared" si="941"/>
        <v>650</v>
      </c>
      <c r="DC168" s="13">
        <f t="shared" ref="DC168:DK177" si="1120">$R$3</f>
        <v>650</v>
      </c>
      <c r="DD168" s="13">
        <f t="shared" si="1120"/>
        <v>650</v>
      </c>
      <c r="DE168" s="13">
        <f t="shared" si="1120"/>
        <v>650</v>
      </c>
      <c r="DF168" s="13">
        <f t="shared" si="1120"/>
        <v>650</v>
      </c>
      <c r="DG168" s="13">
        <f t="shared" si="1120"/>
        <v>650</v>
      </c>
      <c r="DH168" s="13">
        <f t="shared" si="1120"/>
        <v>650</v>
      </c>
      <c r="DI168" s="13">
        <f t="shared" si="1120"/>
        <v>650</v>
      </c>
      <c r="DJ168" s="13">
        <f t="shared" si="1120"/>
        <v>650</v>
      </c>
      <c r="DK168" s="13">
        <f t="shared" si="1120"/>
        <v>650</v>
      </c>
      <c r="DL168" s="25">
        <v>25</v>
      </c>
      <c r="DM168" s="26">
        <f t="shared" si="1112"/>
        <v>0.22222222222222221</v>
      </c>
      <c r="DQ168" s="84"/>
      <c r="DR168" s="85"/>
      <c r="DS168" s="25">
        <v>25</v>
      </c>
      <c r="DT168" s="26">
        <f t="shared" si="1113"/>
        <v>0.22222222222222221</v>
      </c>
      <c r="DU168" s="13">
        <f t="shared" ref="DU168:EC177" si="1121">$R$2</f>
        <v>600</v>
      </c>
      <c r="DV168" s="13">
        <f t="shared" si="1121"/>
        <v>600</v>
      </c>
      <c r="DW168" s="13">
        <f t="shared" si="1121"/>
        <v>600</v>
      </c>
      <c r="DX168" s="13">
        <f t="shared" si="1121"/>
        <v>600</v>
      </c>
      <c r="DY168" s="13">
        <f t="shared" si="1121"/>
        <v>600</v>
      </c>
      <c r="DZ168" s="13">
        <f t="shared" si="1121"/>
        <v>600</v>
      </c>
      <c r="EA168" s="13">
        <f t="shared" si="1121"/>
        <v>600</v>
      </c>
      <c r="EB168" s="13">
        <f t="shared" si="1121"/>
        <v>600</v>
      </c>
      <c r="EC168" s="13">
        <f t="shared" si="1121"/>
        <v>600</v>
      </c>
      <c r="ED168" s="13">
        <f t="shared" si="942"/>
        <v>600</v>
      </c>
      <c r="EE168" s="13">
        <f t="shared" si="1006"/>
        <v>600</v>
      </c>
      <c r="EF168" s="13">
        <f t="shared" si="1042"/>
        <v>600</v>
      </c>
      <c r="EG168" s="13">
        <f t="shared" si="1062"/>
        <v>600</v>
      </c>
      <c r="EH168" s="13">
        <f t="shared" si="1094"/>
        <v>600</v>
      </c>
      <c r="EI168" s="13">
        <f t="shared" si="1095"/>
        <v>539.05787017636851</v>
      </c>
      <c r="EJ168" s="13">
        <f t="shared" si="1096"/>
        <v>539.58739160117091</v>
      </c>
      <c r="EK168" s="13">
        <f t="shared" si="1097"/>
        <v>541.02402523133742</v>
      </c>
      <c r="EL168" s="13">
        <f t="shared" si="1098"/>
        <v>650</v>
      </c>
      <c r="EM168" s="13">
        <f t="shared" si="1068"/>
        <v>650</v>
      </c>
      <c r="EN168" s="13">
        <f t="shared" si="1050"/>
        <v>650</v>
      </c>
      <c r="EO168" s="13">
        <f t="shared" si="1016"/>
        <v>650</v>
      </c>
      <c r="EP168" s="13">
        <f t="shared" si="954"/>
        <v>650</v>
      </c>
      <c r="EQ168" s="13">
        <f t="shared" ref="EQ168:EY177" si="1122">$R$3</f>
        <v>650</v>
      </c>
      <c r="ER168" s="13">
        <f t="shared" si="1122"/>
        <v>650</v>
      </c>
      <c r="ES168" s="13">
        <f t="shared" si="1122"/>
        <v>650</v>
      </c>
      <c r="ET168" s="13">
        <f t="shared" si="1122"/>
        <v>650</v>
      </c>
      <c r="EU168" s="13">
        <f t="shared" si="1122"/>
        <v>650</v>
      </c>
      <c r="EV168" s="13">
        <f t="shared" si="1122"/>
        <v>650</v>
      </c>
      <c r="EW168" s="13">
        <f t="shared" si="1122"/>
        <v>650</v>
      </c>
      <c r="EX168" s="13">
        <f t="shared" si="1122"/>
        <v>650</v>
      </c>
      <c r="EY168" s="13">
        <f t="shared" si="1122"/>
        <v>650</v>
      </c>
      <c r="EZ168" s="25">
        <v>25</v>
      </c>
      <c r="FA168" s="26">
        <f t="shared" si="1114"/>
        <v>0.22222222222222221</v>
      </c>
    </row>
    <row r="169" spans="3:157" x14ac:dyDescent="0.25">
      <c r="C169" s="84"/>
      <c r="D169" s="85"/>
      <c r="E169" s="25">
        <v>24</v>
      </c>
      <c r="F169" s="26">
        <f t="shared" si="1107"/>
        <v>0.21296296296296297</v>
      </c>
      <c r="G169" s="13">
        <f t="shared" si="1115"/>
        <v>600</v>
      </c>
      <c r="H169" s="13">
        <f t="shared" si="1115"/>
        <v>600</v>
      </c>
      <c r="I169" s="13">
        <f t="shared" si="1115"/>
        <v>600</v>
      </c>
      <c r="J169" s="13">
        <f t="shared" si="1115"/>
        <v>600</v>
      </c>
      <c r="K169" s="13">
        <f t="shared" si="1115"/>
        <v>600</v>
      </c>
      <c r="L169" s="13">
        <f t="shared" si="1115"/>
        <v>600</v>
      </c>
      <c r="M169" s="13">
        <f t="shared" si="1115"/>
        <v>600</v>
      </c>
      <c r="N169" s="13">
        <f t="shared" si="1115"/>
        <v>600</v>
      </c>
      <c r="O169" s="13">
        <f t="shared" si="1115"/>
        <v>600</v>
      </c>
      <c r="P169" s="13">
        <f t="shared" si="914"/>
        <v>600</v>
      </c>
      <c r="Q169" s="13">
        <f t="shared" si="975"/>
        <v>600</v>
      </c>
      <c r="R169" s="13">
        <f t="shared" si="1017"/>
        <v>600</v>
      </c>
      <c r="S169" s="13">
        <f t="shared" si="1051"/>
        <v>600</v>
      </c>
      <c r="T169" s="13">
        <f t="shared" si="1085"/>
        <v>600</v>
      </c>
      <c r="U169" s="13">
        <f t="shared" si="1071"/>
        <v>610.21342153211231</v>
      </c>
      <c r="V169" s="13">
        <f t="shared" si="1072"/>
        <v>610.81182302131242</v>
      </c>
      <c r="W169" s="13">
        <f t="shared" si="1073"/>
        <v>612.43860793947556</v>
      </c>
      <c r="X169" s="13">
        <f t="shared" si="1086"/>
        <v>650</v>
      </c>
      <c r="Y169" s="13">
        <f t="shared" si="1052"/>
        <v>650</v>
      </c>
      <c r="Z169" s="13">
        <f t="shared" si="1025"/>
        <v>650</v>
      </c>
      <c r="AA169" s="13">
        <f t="shared" si="985"/>
        <v>650</v>
      </c>
      <c r="AB169" s="13">
        <f t="shared" si="915"/>
        <v>650</v>
      </c>
      <c r="AC169" s="13">
        <f t="shared" si="1116"/>
        <v>650</v>
      </c>
      <c r="AD169" s="13">
        <f t="shared" si="1116"/>
        <v>650</v>
      </c>
      <c r="AE169" s="13">
        <f t="shared" si="1116"/>
        <v>650</v>
      </c>
      <c r="AF169" s="13">
        <f t="shared" si="1116"/>
        <v>650</v>
      </c>
      <c r="AG169" s="13">
        <f t="shared" si="1116"/>
        <v>650</v>
      </c>
      <c r="AH169" s="13">
        <f t="shared" si="1116"/>
        <v>650</v>
      </c>
      <c r="AI169" s="13">
        <f t="shared" si="1116"/>
        <v>650</v>
      </c>
      <c r="AJ169" s="13">
        <f t="shared" si="1116"/>
        <v>650</v>
      </c>
      <c r="AK169" s="13">
        <f t="shared" si="1116"/>
        <v>650</v>
      </c>
      <c r="AL169" s="25">
        <v>24</v>
      </c>
      <c r="AM169" s="26">
        <f t="shared" si="1108"/>
        <v>0.21296296296296297</v>
      </c>
      <c r="AP169" s="87"/>
      <c r="AQ169" s="86"/>
      <c r="AR169" s="25">
        <v>24</v>
      </c>
      <c r="AS169" s="26">
        <f t="shared" si="1109"/>
        <v>0.21296296296296297</v>
      </c>
      <c r="AT169" s="13">
        <f t="shared" si="1117"/>
        <v>600</v>
      </c>
      <c r="AU169" s="13">
        <f t="shared" si="1117"/>
        <v>600</v>
      </c>
      <c r="AV169" s="13">
        <f t="shared" si="1117"/>
        <v>600</v>
      </c>
      <c r="AW169" s="13">
        <f t="shared" si="1117"/>
        <v>600</v>
      </c>
      <c r="AX169" s="13">
        <f t="shared" si="1117"/>
        <v>600</v>
      </c>
      <c r="AY169" s="13">
        <f t="shared" si="1117"/>
        <v>600</v>
      </c>
      <c r="AZ169" s="13">
        <f t="shared" si="1117"/>
        <v>600</v>
      </c>
      <c r="BA169" s="13">
        <f t="shared" si="1117"/>
        <v>600</v>
      </c>
      <c r="BB169" s="13">
        <f t="shared" si="1117"/>
        <v>600</v>
      </c>
      <c r="BC169" s="13">
        <f t="shared" si="916"/>
        <v>600</v>
      </c>
      <c r="BD169" s="13">
        <f t="shared" si="986"/>
        <v>600</v>
      </c>
      <c r="BE169" s="13">
        <f t="shared" si="1026"/>
        <v>600</v>
      </c>
      <c r="BF169" s="13">
        <f t="shared" si="1053"/>
        <v>600</v>
      </c>
      <c r="BG169" s="13">
        <f t="shared" si="1087"/>
        <v>600</v>
      </c>
      <c r="BH169" s="13">
        <f t="shared" si="1077"/>
        <v>-2189455054.3176332</v>
      </c>
      <c r="BI169" s="13">
        <f t="shared" si="1078"/>
        <v>-2191602321.2733607</v>
      </c>
      <c r="BJ169" s="13">
        <f t="shared" si="1079"/>
        <v>-2197439152.2942667</v>
      </c>
      <c r="BK169" s="13">
        <f t="shared" si="1088"/>
        <v>650</v>
      </c>
      <c r="BL169" s="13">
        <f t="shared" si="1054"/>
        <v>650</v>
      </c>
      <c r="BM169" s="13">
        <f t="shared" si="1032"/>
        <v>650</v>
      </c>
      <c r="BN169" s="13">
        <f t="shared" si="994"/>
        <v>650</v>
      </c>
      <c r="BO169" s="13">
        <f t="shared" si="928"/>
        <v>650</v>
      </c>
      <c r="BP169" s="13">
        <f t="shared" si="1118"/>
        <v>650</v>
      </c>
      <c r="BQ169" s="13">
        <f t="shared" si="1118"/>
        <v>650</v>
      </c>
      <c r="BR169" s="13">
        <f t="shared" si="1118"/>
        <v>650</v>
      </c>
      <c r="BS169" s="13">
        <f t="shared" si="1118"/>
        <v>650</v>
      </c>
      <c r="BT169" s="13">
        <f t="shared" si="1118"/>
        <v>650</v>
      </c>
      <c r="BU169" s="13">
        <f t="shared" si="1118"/>
        <v>650</v>
      </c>
      <c r="BV169" s="13">
        <f t="shared" si="1118"/>
        <v>650</v>
      </c>
      <c r="BW169" s="13">
        <f t="shared" si="1118"/>
        <v>650</v>
      </c>
      <c r="BX169" s="13">
        <f t="shared" si="1118"/>
        <v>650</v>
      </c>
      <c r="BY169" s="25">
        <v>24</v>
      </c>
      <c r="BZ169" s="26">
        <f t="shared" si="1110"/>
        <v>0.21296296296296297</v>
      </c>
      <c r="CC169" s="84"/>
      <c r="CD169" s="85"/>
      <c r="CE169" s="25">
        <v>24</v>
      </c>
      <c r="CF169" s="26">
        <f t="shared" si="1111"/>
        <v>0.21296296296296297</v>
      </c>
      <c r="CG169" s="13">
        <f t="shared" si="1119"/>
        <v>600</v>
      </c>
      <c r="CH169" s="13">
        <f t="shared" si="1119"/>
        <v>600</v>
      </c>
      <c r="CI169" s="13">
        <f t="shared" si="1119"/>
        <v>600</v>
      </c>
      <c r="CJ169" s="13">
        <f t="shared" si="1119"/>
        <v>600</v>
      </c>
      <c r="CK169" s="13">
        <f t="shared" si="1119"/>
        <v>600</v>
      </c>
      <c r="CL169" s="13">
        <f t="shared" si="1119"/>
        <v>600</v>
      </c>
      <c r="CM169" s="13">
        <f t="shared" si="1119"/>
        <v>600</v>
      </c>
      <c r="CN169" s="13">
        <f t="shared" si="1119"/>
        <v>600</v>
      </c>
      <c r="CO169" s="13">
        <f t="shared" si="1119"/>
        <v>600</v>
      </c>
      <c r="CP169" s="13">
        <f t="shared" si="929"/>
        <v>600</v>
      </c>
      <c r="CQ169" s="13">
        <f t="shared" si="995"/>
        <v>600</v>
      </c>
      <c r="CR169" s="13">
        <f t="shared" si="1033"/>
        <v>600</v>
      </c>
      <c r="CS169" s="13">
        <f t="shared" si="1055"/>
        <v>600</v>
      </c>
      <c r="CT169" s="13">
        <f t="shared" si="1089"/>
        <v>600</v>
      </c>
      <c r="CU169" s="13">
        <f t="shared" si="1090"/>
        <v>0.11667843062533659</v>
      </c>
      <c r="CV169" s="13">
        <f t="shared" si="1091"/>
        <v>0.11667843062533659</v>
      </c>
      <c r="CW169" s="13">
        <f t="shared" si="1092"/>
        <v>0.11667843062533659</v>
      </c>
      <c r="CX169" s="13">
        <f t="shared" si="1093"/>
        <v>650</v>
      </c>
      <c r="CY169" s="13">
        <f t="shared" si="1061"/>
        <v>650</v>
      </c>
      <c r="CZ169" s="13">
        <f t="shared" si="1041"/>
        <v>650</v>
      </c>
      <c r="DA169" s="13">
        <f t="shared" si="1005"/>
        <v>650</v>
      </c>
      <c r="DB169" s="13">
        <f t="shared" si="941"/>
        <v>650</v>
      </c>
      <c r="DC169" s="13">
        <f t="shared" si="1120"/>
        <v>650</v>
      </c>
      <c r="DD169" s="13">
        <f t="shared" si="1120"/>
        <v>650</v>
      </c>
      <c r="DE169" s="13">
        <f t="shared" si="1120"/>
        <v>650</v>
      </c>
      <c r="DF169" s="13">
        <f t="shared" si="1120"/>
        <v>650</v>
      </c>
      <c r="DG169" s="13">
        <f t="shared" si="1120"/>
        <v>650</v>
      </c>
      <c r="DH169" s="13">
        <f t="shared" si="1120"/>
        <v>650</v>
      </c>
      <c r="DI169" s="13">
        <f t="shared" si="1120"/>
        <v>650</v>
      </c>
      <c r="DJ169" s="13">
        <f t="shared" si="1120"/>
        <v>650</v>
      </c>
      <c r="DK169" s="13">
        <f t="shared" si="1120"/>
        <v>650</v>
      </c>
      <c r="DL169" s="25">
        <v>24</v>
      </c>
      <c r="DM169" s="26">
        <f t="shared" si="1112"/>
        <v>0.21296296296296297</v>
      </c>
      <c r="DQ169" s="84"/>
      <c r="DR169" s="85"/>
      <c r="DS169" s="25">
        <v>24</v>
      </c>
      <c r="DT169" s="26">
        <f t="shared" si="1113"/>
        <v>0.21296296296296297</v>
      </c>
      <c r="DU169" s="13">
        <f t="shared" si="1121"/>
        <v>600</v>
      </c>
      <c r="DV169" s="13">
        <f t="shared" si="1121"/>
        <v>600</v>
      </c>
      <c r="DW169" s="13">
        <f t="shared" si="1121"/>
        <v>600</v>
      </c>
      <c r="DX169" s="13">
        <f t="shared" si="1121"/>
        <v>600</v>
      </c>
      <c r="DY169" s="13">
        <f t="shared" si="1121"/>
        <v>600</v>
      </c>
      <c r="DZ169" s="13">
        <f t="shared" si="1121"/>
        <v>600</v>
      </c>
      <c r="EA169" s="13">
        <f t="shared" si="1121"/>
        <v>600</v>
      </c>
      <c r="EB169" s="13">
        <f t="shared" si="1121"/>
        <v>600</v>
      </c>
      <c r="EC169" s="13">
        <f t="shared" si="1121"/>
        <v>600</v>
      </c>
      <c r="ED169" s="13">
        <f t="shared" si="942"/>
        <v>600</v>
      </c>
      <c r="EE169" s="13">
        <f t="shared" si="1006"/>
        <v>600</v>
      </c>
      <c r="EF169" s="13">
        <f t="shared" si="1042"/>
        <v>600</v>
      </c>
      <c r="EG169" s="13">
        <f t="shared" si="1062"/>
        <v>600</v>
      </c>
      <c r="EH169" s="13">
        <f t="shared" si="1094"/>
        <v>600</v>
      </c>
      <c r="EI169" s="13">
        <f t="shared" si="1095"/>
        <v>539.02173879442273</v>
      </c>
      <c r="EJ169" s="13">
        <f t="shared" si="1096"/>
        <v>539.55047348818221</v>
      </c>
      <c r="EK169" s="13">
        <f t="shared" si="1097"/>
        <v>540.98739202464253</v>
      </c>
      <c r="EL169" s="13">
        <f t="shared" si="1098"/>
        <v>650</v>
      </c>
      <c r="EM169" s="13">
        <f t="shared" si="1068"/>
        <v>650</v>
      </c>
      <c r="EN169" s="13">
        <f t="shared" si="1050"/>
        <v>650</v>
      </c>
      <c r="EO169" s="13">
        <f t="shared" si="1016"/>
        <v>650</v>
      </c>
      <c r="EP169" s="13">
        <f t="shared" si="954"/>
        <v>650</v>
      </c>
      <c r="EQ169" s="13">
        <f t="shared" si="1122"/>
        <v>650</v>
      </c>
      <c r="ER169" s="13">
        <f t="shared" si="1122"/>
        <v>650</v>
      </c>
      <c r="ES169" s="13">
        <f t="shared" si="1122"/>
        <v>650</v>
      </c>
      <c r="ET169" s="13">
        <f t="shared" si="1122"/>
        <v>650</v>
      </c>
      <c r="EU169" s="13">
        <f t="shared" si="1122"/>
        <v>650</v>
      </c>
      <c r="EV169" s="13">
        <f t="shared" si="1122"/>
        <v>650</v>
      </c>
      <c r="EW169" s="13">
        <f t="shared" si="1122"/>
        <v>650</v>
      </c>
      <c r="EX169" s="13">
        <f t="shared" si="1122"/>
        <v>650</v>
      </c>
      <c r="EY169" s="13">
        <f t="shared" si="1122"/>
        <v>650</v>
      </c>
      <c r="EZ169" s="25">
        <v>24</v>
      </c>
      <c r="FA169" s="26">
        <f t="shared" si="1114"/>
        <v>0.21296296296296297</v>
      </c>
    </row>
    <row r="170" spans="3:157" x14ac:dyDescent="0.25">
      <c r="C170" s="84"/>
      <c r="D170" s="85"/>
      <c r="E170" s="25">
        <v>23</v>
      </c>
      <c r="F170" s="26">
        <f t="shared" si="1107"/>
        <v>0.20370370370370369</v>
      </c>
      <c r="G170" s="13">
        <f t="shared" si="1115"/>
        <v>600</v>
      </c>
      <c r="H170" s="13">
        <f t="shared" si="1115"/>
        <v>600</v>
      </c>
      <c r="I170" s="13">
        <f t="shared" si="1115"/>
        <v>600</v>
      </c>
      <c r="J170" s="13">
        <f t="shared" si="1115"/>
        <v>600</v>
      </c>
      <c r="K170" s="13">
        <f t="shared" si="1115"/>
        <v>600</v>
      </c>
      <c r="L170" s="13">
        <f t="shared" si="1115"/>
        <v>600</v>
      </c>
      <c r="M170" s="13">
        <f t="shared" si="1115"/>
        <v>600</v>
      </c>
      <c r="N170" s="13">
        <f t="shared" si="1115"/>
        <v>600</v>
      </c>
      <c r="O170" s="13">
        <f t="shared" si="1115"/>
        <v>600</v>
      </c>
      <c r="P170" s="13">
        <f t="shared" si="914"/>
        <v>600</v>
      </c>
      <c r="Q170" s="13">
        <f t="shared" si="975"/>
        <v>600</v>
      </c>
      <c r="R170" s="13">
        <f t="shared" si="1017"/>
        <v>600</v>
      </c>
      <c r="S170" s="13">
        <f t="shared" si="1051"/>
        <v>600</v>
      </c>
      <c r="T170" s="13">
        <f t="shared" si="1085"/>
        <v>600</v>
      </c>
      <c r="U170" s="13">
        <f t="shared" si="1071"/>
        <v>610.15289935027931</v>
      </c>
      <c r="V170" s="13">
        <f t="shared" si="1072"/>
        <v>610.74998310489696</v>
      </c>
      <c r="W170" s="13">
        <f t="shared" si="1073"/>
        <v>612.37724515054902</v>
      </c>
      <c r="X170" s="13">
        <f t="shared" si="1086"/>
        <v>650</v>
      </c>
      <c r="Y170" s="13">
        <f t="shared" si="1052"/>
        <v>650</v>
      </c>
      <c r="Z170" s="13">
        <f t="shared" si="1025"/>
        <v>650</v>
      </c>
      <c r="AA170" s="13">
        <f t="shared" si="985"/>
        <v>650</v>
      </c>
      <c r="AB170" s="13">
        <f t="shared" si="915"/>
        <v>650</v>
      </c>
      <c r="AC170" s="13">
        <f t="shared" si="1116"/>
        <v>650</v>
      </c>
      <c r="AD170" s="13">
        <f t="shared" si="1116"/>
        <v>650</v>
      </c>
      <c r="AE170" s="13">
        <f t="shared" si="1116"/>
        <v>650</v>
      </c>
      <c r="AF170" s="13">
        <f t="shared" si="1116"/>
        <v>650</v>
      </c>
      <c r="AG170" s="13">
        <f t="shared" si="1116"/>
        <v>650</v>
      </c>
      <c r="AH170" s="13">
        <f t="shared" si="1116"/>
        <v>650</v>
      </c>
      <c r="AI170" s="13">
        <f t="shared" si="1116"/>
        <v>650</v>
      </c>
      <c r="AJ170" s="13">
        <f t="shared" si="1116"/>
        <v>650</v>
      </c>
      <c r="AK170" s="13">
        <f t="shared" si="1116"/>
        <v>650</v>
      </c>
      <c r="AL170" s="25">
        <v>23</v>
      </c>
      <c r="AM170" s="26">
        <f t="shared" si="1108"/>
        <v>0.20370370370370369</v>
      </c>
      <c r="AP170" s="87"/>
      <c r="AQ170" s="86"/>
      <c r="AR170" s="25">
        <v>23</v>
      </c>
      <c r="AS170" s="26">
        <f t="shared" si="1109"/>
        <v>0.20370370370370369</v>
      </c>
      <c r="AT170" s="13">
        <f t="shared" si="1117"/>
        <v>600</v>
      </c>
      <c r="AU170" s="13">
        <f t="shared" si="1117"/>
        <v>600</v>
      </c>
      <c r="AV170" s="13">
        <f t="shared" si="1117"/>
        <v>600</v>
      </c>
      <c r="AW170" s="13">
        <f t="shared" si="1117"/>
        <v>600</v>
      </c>
      <c r="AX170" s="13">
        <f t="shared" si="1117"/>
        <v>600</v>
      </c>
      <c r="AY170" s="13">
        <f t="shared" si="1117"/>
        <v>600</v>
      </c>
      <c r="AZ170" s="13">
        <f t="shared" si="1117"/>
        <v>600</v>
      </c>
      <c r="BA170" s="13">
        <f t="shared" si="1117"/>
        <v>600</v>
      </c>
      <c r="BB170" s="13">
        <f t="shared" si="1117"/>
        <v>600</v>
      </c>
      <c r="BC170" s="13">
        <f t="shared" si="916"/>
        <v>600</v>
      </c>
      <c r="BD170" s="13">
        <f t="shared" si="986"/>
        <v>600</v>
      </c>
      <c r="BE170" s="13">
        <f t="shared" si="1026"/>
        <v>600</v>
      </c>
      <c r="BF170" s="13">
        <f t="shared" si="1053"/>
        <v>600</v>
      </c>
      <c r="BG170" s="13">
        <f t="shared" si="1087"/>
        <v>600</v>
      </c>
      <c r="BH170" s="13">
        <f t="shared" si="1077"/>
        <v>-2189241374.1998725</v>
      </c>
      <c r="BI170" s="13">
        <f t="shared" si="1078"/>
        <v>-2191383988.4472666</v>
      </c>
      <c r="BJ170" s="13">
        <f t="shared" si="1079"/>
        <v>-2197222504.3970928</v>
      </c>
      <c r="BK170" s="13">
        <f t="shared" si="1088"/>
        <v>650</v>
      </c>
      <c r="BL170" s="13">
        <f t="shared" si="1054"/>
        <v>650</v>
      </c>
      <c r="BM170" s="13">
        <f t="shared" si="1032"/>
        <v>650</v>
      </c>
      <c r="BN170" s="13">
        <f t="shared" si="994"/>
        <v>650</v>
      </c>
      <c r="BO170" s="13">
        <f t="shared" si="928"/>
        <v>650</v>
      </c>
      <c r="BP170" s="13">
        <f t="shared" si="1118"/>
        <v>650</v>
      </c>
      <c r="BQ170" s="13">
        <f t="shared" si="1118"/>
        <v>650</v>
      </c>
      <c r="BR170" s="13">
        <f t="shared" si="1118"/>
        <v>650</v>
      </c>
      <c r="BS170" s="13">
        <f t="shared" si="1118"/>
        <v>650</v>
      </c>
      <c r="BT170" s="13">
        <f t="shared" si="1118"/>
        <v>650</v>
      </c>
      <c r="BU170" s="13">
        <f t="shared" si="1118"/>
        <v>650</v>
      </c>
      <c r="BV170" s="13">
        <f t="shared" si="1118"/>
        <v>650</v>
      </c>
      <c r="BW170" s="13">
        <f t="shared" si="1118"/>
        <v>650</v>
      </c>
      <c r="BX170" s="13">
        <f t="shared" si="1118"/>
        <v>650</v>
      </c>
      <c r="BY170" s="25">
        <v>23</v>
      </c>
      <c r="BZ170" s="26">
        <f t="shared" si="1110"/>
        <v>0.20370370370370369</v>
      </c>
      <c r="CC170" s="84"/>
      <c r="CD170" s="85"/>
      <c r="CE170" s="25">
        <v>23</v>
      </c>
      <c r="CF170" s="26">
        <f t="shared" si="1111"/>
        <v>0.20370370370370369</v>
      </c>
      <c r="CG170" s="13">
        <f t="shared" si="1119"/>
        <v>600</v>
      </c>
      <c r="CH170" s="13">
        <f t="shared" si="1119"/>
        <v>600</v>
      </c>
      <c r="CI170" s="13">
        <f t="shared" si="1119"/>
        <v>600</v>
      </c>
      <c r="CJ170" s="13">
        <f t="shared" si="1119"/>
        <v>600</v>
      </c>
      <c r="CK170" s="13">
        <f t="shared" si="1119"/>
        <v>600</v>
      </c>
      <c r="CL170" s="13">
        <f t="shared" si="1119"/>
        <v>600</v>
      </c>
      <c r="CM170" s="13">
        <f t="shared" si="1119"/>
        <v>600</v>
      </c>
      <c r="CN170" s="13">
        <f t="shared" si="1119"/>
        <v>600</v>
      </c>
      <c r="CO170" s="13">
        <f t="shared" si="1119"/>
        <v>600</v>
      </c>
      <c r="CP170" s="13">
        <f t="shared" si="929"/>
        <v>600</v>
      </c>
      <c r="CQ170" s="13">
        <f t="shared" si="995"/>
        <v>600</v>
      </c>
      <c r="CR170" s="13">
        <f t="shared" si="1033"/>
        <v>600</v>
      </c>
      <c r="CS170" s="13">
        <f t="shared" si="1055"/>
        <v>600</v>
      </c>
      <c r="CT170" s="13">
        <f t="shared" si="1089"/>
        <v>600</v>
      </c>
      <c r="CU170" s="13">
        <f t="shared" si="1090"/>
        <v>0.11667843062533659</v>
      </c>
      <c r="CV170" s="13">
        <f t="shared" si="1091"/>
        <v>0.11667843062533659</v>
      </c>
      <c r="CW170" s="13">
        <f t="shared" si="1092"/>
        <v>0.11667843062533659</v>
      </c>
      <c r="CX170" s="13">
        <f t="shared" si="1093"/>
        <v>650</v>
      </c>
      <c r="CY170" s="13">
        <f t="shared" si="1061"/>
        <v>650</v>
      </c>
      <c r="CZ170" s="13">
        <f t="shared" si="1041"/>
        <v>650</v>
      </c>
      <c r="DA170" s="13">
        <f t="shared" si="1005"/>
        <v>650</v>
      </c>
      <c r="DB170" s="13">
        <f t="shared" si="941"/>
        <v>650</v>
      </c>
      <c r="DC170" s="13">
        <f t="shared" si="1120"/>
        <v>650</v>
      </c>
      <c r="DD170" s="13">
        <f t="shared" si="1120"/>
        <v>650</v>
      </c>
      <c r="DE170" s="13">
        <f t="shared" si="1120"/>
        <v>650</v>
      </c>
      <c r="DF170" s="13">
        <f t="shared" si="1120"/>
        <v>650</v>
      </c>
      <c r="DG170" s="13">
        <f t="shared" si="1120"/>
        <v>650</v>
      </c>
      <c r="DH170" s="13">
        <f t="shared" si="1120"/>
        <v>650</v>
      </c>
      <c r="DI170" s="13">
        <f t="shared" si="1120"/>
        <v>650</v>
      </c>
      <c r="DJ170" s="13">
        <f t="shared" si="1120"/>
        <v>650</v>
      </c>
      <c r="DK170" s="13">
        <f t="shared" si="1120"/>
        <v>650</v>
      </c>
      <c r="DL170" s="25">
        <v>23</v>
      </c>
      <c r="DM170" s="26">
        <f t="shared" si="1112"/>
        <v>0.20370370370370369</v>
      </c>
      <c r="DQ170" s="84"/>
      <c r="DR170" s="85"/>
      <c r="DS170" s="25">
        <v>23</v>
      </c>
      <c r="DT170" s="26">
        <f t="shared" si="1113"/>
        <v>0.20370370370370369</v>
      </c>
      <c r="DU170" s="13">
        <f t="shared" si="1121"/>
        <v>600</v>
      </c>
      <c r="DV170" s="13">
        <f t="shared" si="1121"/>
        <v>600</v>
      </c>
      <c r="DW170" s="13">
        <f t="shared" si="1121"/>
        <v>600</v>
      </c>
      <c r="DX170" s="13">
        <f t="shared" si="1121"/>
        <v>600</v>
      </c>
      <c r="DY170" s="13">
        <f t="shared" si="1121"/>
        <v>600</v>
      </c>
      <c r="DZ170" s="13">
        <f t="shared" si="1121"/>
        <v>600</v>
      </c>
      <c r="EA170" s="13">
        <f t="shared" si="1121"/>
        <v>600</v>
      </c>
      <c r="EB170" s="13">
        <f t="shared" si="1121"/>
        <v>600</v>
      </c>
      <c r="EC170" s="13">
        <f t="shared" si="1121"/>
        <v>600</v>
      </c>
      <c r="ED170" s="13">
        <f t="shared" si="942"/>
        <v>600</v>
      </c>
      <c r="EE170" s="13">
        <f t="shared" si="1006"/>
        <v>600</v>
      </c>
      <c r="EF170" s="13">
        <f t="shared" si="1042"/>
        <v>600</v>
      </c>
      <c r="EG170" s="13">
        <f t="shared" si="1062"/>
        <v>600</v>
      </c>
      <c r="EH170" s="13">
        <f t="shared" si="1094"/>
        <v>600</v>
      </c>
      <c r="EI170" s="13">
        <f t="shared" si="1095"/>
        <v>538.97105553686595</v>
      </c>
      <c r="EJ170" s="13">
        <f t="shared" si="1096"/>
        <v>539.49868664449275</v>
      </c>
      <c r="EK170" s="13">
        <f t="shared" si="1097"/>
        <v>540.93600483295302</v>
      </c>
      <c r="EL170" s="13">
        <f t="shared" si="1098"/>
        <v>650</v>
      </c>
      <c r="EM170" s="13">
        <f t="shared" si="1068"/>
        <v>650</v>
      </c>
      <c r="EN170" s="13">
        <f t="shared" si="1050"/>
        <v>650</v>
      </c>
      <c r="EO170" s="13">
        <f t="shared" si="1016"/>
        <v>650</v>
      </c>
      <c r="EP170" s="13">
        <f t="shared" si="954"/>
        <v>650</v>
      </c>
      <c r="EQ170" s="13">
        <f t="shared" si="1122"/>
        <v>650</v>
      </c>
      <c r="ER170" s="13">
        <f t="shared" si="1122"/>
        <v>650</v>
      </c>
      <c r="ES170" s="13">
        <f t="shared" si="1122"/>
        <v>650</v>
      </c>
      <c r="ET170" s="13">
        <f t="shared" si="1122"/>
        <v>650</v>
      </c>
      <c r="EU170" s="13">
        <f t="shared" si="1122"/>
        <v>650</v>
      </c>
      <c r="EV170" s="13">
        <f t="shared" si="1122"/>
        <v>650</v>
      </c>
      <c r="EW170" s="13">
        <f t="shared" si="1122"/>
        <v>650</v>
      </c>
      <c r="EX170" s="13">
        <f t="shared" si="1122"/>
        <v>650</v>
      </c>
      <c r="EY170" s="13">
        <f t="shared" si="1122"/>
        <v>650</v>
      </c>
      <c r="EZ170" s="25">
        <v>23</v>
      </c>
      <c r="FA170" s="26">
        <f t="shared" si="1114"/>
        <v>0.20370370370370369</v>
      </c>
    </row>
    <row r="171" spans="3:157" x14ac:dyDescent="0.25">
      <c r="C171" s="84"/>
      <c r="D171" s="85"/>
      <c r="E171" s="25">
        <v>22</v>
      </c>
      <c r="F171" s="26">
        <f t="shared" si="1107"/>
        <v>0.19444444444444442</v>
      </c>
      <c r="G171" s="13">
        <f t="shared" si="1115"/>
        <v>600</v>
      </c>
      <c r="H171" s="13">
        <f t="shared" si="1115"/>
        <v>600</v>
      </c>
      <c r="I171" s="13">
        <f t="shared" si="1115"/>
        <v>600</v>
      </c>
      <c r="J171" s="13">
        <f t="shared" si="1115"/>
        <v>600</v>
      </c>
      <c r="K171" s="13">
        <f t="shared" si="1115"/>
        <v>600</v>
      </c>
      <c r="L171" s="13">
        <f t="shared" si="1115"/>
        <v>600</v>
      </c>
      <c r="M171" s="13">
        <f t="shared" si="1115"/>
        <v>600</v>
      </c>
      <c r="N171" s="13">
        <f t="shared" si="1115"/>
        <v>600</v>
      </c>
      <c r="O171" s="13">
        <f t="shared" si="1115"/>
        <v>600</v>
      </c>
      <c r="P171" s="13">
        <f t="shared" si="914"/>
        <v>600</v>
      </c>
      <c r="Q171" s="13">
        <f t="shared" si="975"/>
        <v>600</v>
      </c>
      <c r="R171" s="13">
        <f t="shared" si="1017"/>
        <v>600</v>
      </c>
      <c r="S171" s="13">
        <f t="shared" si="1051"/>
        <v>600</v>
      </c>
      <c r="T171" s="13">
        <f t="shared" si="1085"/>
        <v>600</v>
      </c>
      <c r="U171" s="13">
        <f t="shared" si="1071"/>
        <v>610.068574216461</v>
      </c>
      <c r="V171" s="13">
        <f t="shared" si="1072"/>
        <v>610.66382259800537</v>
      </c>
      <c r="W171" s="13">
        <f t="shared" si="1073"/>
        <v>612.2917486523221</v>
      </c>
      <c r="X171" s="13">
        <f t="shared" si="1086"/>
        <v>650</v>
      </c>
      <c r="Y171" s="13">
        <f t="shared" si="1052"/>
        <v>650</v>
      </c>
      <c r="Z171" s="13">
        <f t="shared" si="1025"/>
        <v>650</v>
      </c>
      <c r="AA171" s="13">
        <f t="shared" si="985"/>
        <v>650</v>
      </c>
      <c r="AB171" s="13">
        <f t="shared" si="915"/>
        <v>650</v>
      </c>
      <c r="AC171" s="13">
        <f t="shared" si="1116"/>
        <v>650</v>
      </c>
      <c r="AD171" s="13">
        <f t="shared" si="1116"/>
        <v>650</v>
      </c>
      <c r="AE171" s="13">
        <f t="shared" si="1116"/>
        <v>650</v>
      </c>
      <c r="AF171" s="13">
        <f t="shared" si="1116"/>
        <v>650</v>
      </c>
      <c r="AG171" s="13">
        <f t="shared" si="1116"/>
        <v>650</v>
      </c>
      <c r="AH171" s="13">
        <f t="shared" si="1116"/>
        <v>650</v>
      </c>
      <c r="AI171" s="13">
        <f t="shared" si="1116"/>
        <v>650</v>
      </c>
      <c r="AJ171" s="13">
        <f t="shared" si="1116"/>
        <v>650</v>
      </c>
      <c r="AK171" s="13">
        <f t="shared" si="1116"/>
        <v>650</v>
      </c>
      <c r="AL171" s="25">
        <v>22</v>
      </c>
      <c r="AM171" s="26">
        <f t="shared" si="1108"/>
        <v>0.19444444444444442</v>
      </c>
      <c r="AP171" s="87"/>
      <c r="AQ171" s="86"/>
      <c r="AR171" s="25">
        <v>22</v>
      </c>
      <c r="AS171" s="26">
        <f t="shared" si="1109"/>
        <v>0.19444444444444442</v>
      </c>
      <c r="AT171" s="13">
        <f t="shared" si="1117"/>
        <v>600</v>
      </c>
      <c r="AU171" s="13">
        <f t="shared" si="1117"/>
        <v>600</v>
      </c>
      <c r="AV171" s="13">
        <f t="shared" si="1117"/>
        <v>600</v>
      </c>
      <c r="AW171" s="13">
        <f t="shared" si="1117"/>
        <v>600</v>
      </c>
      <c r="AX171" s="13">
        <f t="shared" si="1117"/>
        <v>600</v>
      </c>
      <c r="AY171" s="13">
        <f t="shared" si="1117"/>
        <v>600</v>
      </c>
      <c r="AZ171" s="13">
        <f t="shared" si="1117"/>
        <v>600</v>
      </c>
      <c r="BA171" s="13">
        <f t="shared" si="1117"/>
        <v>600</v>
      </c>
      <c r="BB171" s="13">
        <f t="shared" si="1117"/>
        <v>600</v>
      </c>
      <c r="BC171" s="13">
        <f t="shared" si="916"/>
        <v>600</v>
      </c>
      <c r="BD171" s="13">
        <f t="shared" si="986"/>
        <v>600</v>
      </c>
      <c r="BE171" s="13">
        <f t="shared" si="1026"/>
        <v>600</v>
      </c>
      <c r="BF171" s="13">
        <f t="shared" si="1053"/>
        <v>600</v>
      </c>
      <c r="BG171" s="13">
        <f t="shared" si="1087"/>
        <v>600</v>
      </c>
      <c r="BH171" s="13">
        <f t="shared" si="1077"/>
        <v>-2188943257.951951</v>
      </c>
      <c r="BI171" s="13">
        <f t="shared" si="1078"/>
        <v>-2191079380.9639153</v>
      </c>
      <c r="BJ171" s="13">
        <f t="shared" si="1079"/>
        <v>-2196920247.6457281</v>
      </c>
      <c r="BK171" s="13">
        <f t="shared" si="1088"/>
        <v>650</v>
      </c>
      <c r="BL171" s="13">
        <f t="shared" si="1054"/>
        <v>650</v>
      </c>
      <c r="BM171" s="13">
        <f t="shared" si="1032"/>
        <v>650</v>
      </c>
      <c r="BN171" s="13">
        <f t="shared" si="994"/>
        <v>650</v>
      </c>
      <c r="BO171" s="13">
        <f t="shared" si="928"/>
        <v>650</v>
      </c>
      <c r="BP171" s="13">
        <f t="shared" si="1118"/>
        <v>650</v>
      </c>
      <c r="BQ171" s="13">
        <f t="shared" si="1118"/>
        <v>650</v>
      </c>
      <c r="BR171" s="13">
        <f t="shared" si="1118"/>
        <v>650</v>
      </c>
      <c r="BS171" s="13">
        <f t="shared" si="1118"/>
        <v>650</v>
      </c>
      <c r="BT171" s="13">
        <f t="shared" si="1118"/>
        <v>650</v>
      </c>
      <c r="BU171" s="13">
        <f t="shared" si="1118"/>
        <v>650</v>
      </c>
      <c r="BV171" s="13">
        <f t="shared" si="1118"/>
        <v>650</v>
      </c>
      <c r="BW171" s="13">
        <f t="shared" si="1118"/>
        <v>650</v>
      </c>
      <c r="BX171" s="13">
        <f t="shared" si="1118"/>
        <v>650</v>
      </c>
      <c r="BY171" s="25">
        <v>22</v>
      </c>
      <c r="BZ171" s="26">
        <f t="shared" si="1110"/>
        <v>0.19444444444444442</v>
      </c>
      <c r="CC171" s="84"/>
      <c r="CD171" s="85"/>
      <c r="CE171" s="25">
        <v>22</v>
      </c>
      <c r="CF171" s="26">
        <f t="shared" si="1111"/>
        <v>0.19444444444444442</v>
      </c>
      <c r="CG171" s="13">
        <f t="shared" si="1119"/>
        <v>600</v>
      </c>
      <c r="CH171" s="13">
        <f t="shared" si="1119"/>
        <v>600</v>
      </c>
      <c r="CI171" s="13">
        <f t="shared" si="1119"/>
        <v>600</v>
      </c>
      <c r="CJ171" s="13">
        <f t="shared" si="1119"/>
        <v>600</v>
      </c>
      <c r="CK171" s="13">
        <f t="shared" si="1119"/>
        <v>600</v>
      </c>
      <c r="CL171" s="13">
        <f t="shared" si="1119"/>
        <v>600</v>
      </c>
      <c r="CM171" s="13">
        <f t="shared" si="1119"/>
        <v>600</v>
      </c>
      <c r="CN171" s="13">
        <f t="shared" si="1119"/>
        <v>600</v>
      </c>
      <c r="CO171" s="13">
        <f t="shared" si="1119"/>
        <v>600</v>
      </c>
      <c r="CP171" s="13">
        <f t="shared" si="929"/>
        <v>600</v>
      </c>
      <c r="CQ171" s="13">
        <f t="shared" si="995"/>
        <v>600</v>
      </c>
      <c r="CR171" s="13">
        <f t="shared" si="1033"/>
        <v>600</v>
      </c>
      <c r="CS171" s="13">
        <f t="shared" si="1055"/>
        <v>600</v>
      </c>
      <c r="CT171" s="13">
        <f t="shared" si="1089"/>
        <v>600</v>
      </c>
      <c r="CU171" s="13">
        <f t="shared" si="1090"/>
        <v>0.11667843062533659</v>
      </c>
      <c r="CV171" s="13">
        <f t="shared" si="1091"/>
        <v>0.11667843062533659</v>
      </c>
      <c r="CW171" s="13">
        <f t="shared" si="1092"/>
        <v>0.11667843062533659</v>
      </c>
      <c r="CX171" s="13">
        <f t="shared" si="1093"/>
        <v>650</v>
      </c>
      <c r="CY171" s="13">
        <f t="shared" si="1061"/>
        <v>650</v>
      </c>
      <c r="CZ171" s="13">
        <f t="shared" si="1041"/>
        <v>650</v>
      </c>
      <c r="DA171" s="13">
        <f t="shared" si="1005"/>
        <v>650</v>
      </c>
      <c r="DB171" s="13">
        <f t="shared" si="941"/>
        <v>650</v>
      </c>
      <c r="DC171" s="13">
        <f t="shared" si="1120"/>
        <v>650</v>
      </c>
      <c r="DD171" s="13">
        <f t="shared" si="1120"/>
        <v>650</v>
      </c>
      <c r="DE171" s="13">
        <f t="shared" si="1120"/>
        <v>650</v>
      </c>
      <c r="DF171" s="13">
        <f t="shared" si="1120"/>
        <v>650</v>
      </c>
      <c r="DG171" s="13">
        <f t="shared" si="1120"/>
        <v>650</v>
      </c>
      <c r="DH171" s="13">
        <f t="shared" si="1120"/>
        <v>650</v>
      </c>
      <c r="DI171" s="13">
        <f t="shared" si="1120"/>
        <v>650</v>
      </c>
      <c r="DJ171" s="13">
        <f t="shared" si="1120"/>
        <v>650</v>
      </c>
      <c r="DK171" s="13">
        <f t="shared" si="1120"/>
        <v>650</v>
      </c>
      <c r="DL171" s="25">
        <v>22</v>
      </c>
      <c r="DM171" s="26">
        <f t="shared" si="1112"/>
        <v>0.19444444444444442</v>
      </c>
      <c r="DQ171" s="84"/>
      <c r="DR171" s="85"/>
      <c r="DS171" s="25">
        <v>22</v>
      </c>
      <c r="DT171" s="26">
        <f t="shared" si="1113"/>
        <v>0.19444444444444442</v>
      </c>
      <c r="DU171" s="13">
        <f t="shared" si="1121"/>
        <v>600</v>
      </c>
      <c r="DV171" s="13">
        <f t="shared" si="1121"/>
        <v>600</v>
      </c>
      <c r="DW171" s="13">
        <f t="shared" si="1121"/>
        <v>600</v>
      </c>
      <c r="DX171" s="13">
        <f t="shared" si="1121"/>
        <v>600</v>
      </c>
      <c r="DY171" s="13">
        <f t="shared" si="1121"/>
        <v>600</v>
      </c>
      <c r="DZ171" s="13">
        <f t="shared" si="1121"/>
        <v>600</v>
      </c>
      <c r="EA171" s="13">
        <f t="shared" si="1121"/>
        <v>600</v>
      </c>
      <c r="EB171" s="13">
        <f t="shared" si="1121"/>
        <v>600</v>
      </c>
      <c r="EC171" s="13">
        <f t="shared" si="1121"/>
        <v>600</v>
      </c>
      <c r="ED171" s="13">
        <f t="shared" si="942"/>
        <v>600</v>
      </c>
      <c r="EE171" s="13">
        <f t="shared" si="1006"/>
        <v>600</v>
      </c>
      <c r="EF171" s="13">
        <f t="shared" si="1042"/>
        <v>600</v>
      </c>
      <c r="EG171" s="13">
        <f t="shared" si="1062"/>
        <v>600</v>
      </c>
      <c r="EH171" s="13">
        <f t="shared" si="1094"/>
        <v>600</v>
      </c>
      <c r="EI171" s="13">
        <f t="shared" si="1095"/>
        <v>538.90031266098867</v>
      </c>
      <c r="EJ171" s="13">
        <f t="shared" si="1096"/>
        <v>539.42640340083778</v>
      </c>
      <c r="EK171" s="13">
        <f t="shared" si="1097"/>
        <v>540.86427941713293</v>
      </c>
      <c r="EL171" s="13">
        <f t="shared" si="1098"/>
        <v>650</v>
      </c>
      <c r="EM171" s="13">
        <f t="shared" si="1068"/>
        <v>650</v>
      </c>
      <c r="EN171" s="13">
        <f t="shared" si="1050"/>
        <v>650</v>
      </c>
      <c r="EO171" s="13">
        <f t="shared" si="1016"/>
        <v>650</v>
      </c>
      <c r="EP171" s="13">
        <f t="shared" si="954"/>
        <v>650</v>
      </c>
      <c r="EQ171" s="13">
        <f t="shared" si="1122"/>
        <v>650</v>
      </c>
      <c r="ER171" s="13">
        <f t="shared" si="1122"/>
        <v>650</v>
      </c>
      <c r="ES171" s="13">
        <f t="shared" si="1122"/>
        <v>650</v>
      </c>
      <c r="ET171" s="13">
        <f t="shared" si="1122"/>
        <v>650</v>
      </c>
      <c r="EU171" s="13">
        <f t="shared" si="1122"/>
        <v>650</v>
      </c>
      <c r="EV171" s="13">
        <f t="shared" si="1122"/>
        <v>650</v>
      </c>
      <c r="EW171" s="13">
        <f t="shared" si="1122"/>
        <v>650</v>
      </c>
      <c r="EX171" s="13">
        <f t="shared" si="1122"/>
        <v>650</v>
      </c>
      <c r="EY171" s="13">
        <f t="shared" si="1122"/>
        <v>650</v>
      </c>
      <c r="EZ171" s="25">
        <v>22</v>
      </c>
      <c r="FA171" s="26">
        <f t="shared" si="1114"/>
        <v>0.19444444444444442</v>
      </c>
    </row>
    <row r="172" spans="3:157" ht="15" customHeight="1" x14ac:dyDescent="0.25">
      <c r="C172" s="84"/>
      <c r="D172" s="85"/>
      <c r="E172" s="25">
        <v>21</v>
      </c>
      <c r="F172" s="26">
        <f t="shared" si="1107"/>
        <v>0.18518518518518517</v>
      </c>
      <c r="G172" s="13">
        <f t="shared" si="1115"/>
        <v>600</v>
      </c>
      <c r="H172" s="13">
        <f t="shared" si="1115"/>
        <v>600</v>
      </c>
      <c r="I172" s="13">
        <f t="shared" si="1115"/>
        <v>600</v>
      </c>
      <c r="J172" s="13">
        <f t="shared" si="1115"/>
        <v>600</v>
      </c>
      <c r="K172" s="13">
        <f t="shared" si="1115"/>
        <v>600</v>
      </c>
      <c r="L172" s="13">
        <f t="shared" si="1115"/>
        <v>600</v>
      </c>
      <c r="M172" s="13">
        <f t="shared" si="1115"/>
        <v>600</v>
      </c>
      <c r="N172" s="13">
        <f t="shared" si="1115"/>
        <v>600</v>
      </c>
      <c r="O172" s="13">
        <f t="shared" si="1115"/>
        <v>600</v>
      </c>
      <c r="P172" s="13">
        <f t="shared" si="914"/>
        <v>600</v>
      </c>
      <c r="Q172" s="13">
        <f t="shared" si="975"/>
        <v>600</v>
      </c>
      <c r="R172" s="13">
        <f t="shared" si="1017"/>
        <v>600</v>
      </c>
      <c r="S172" s="13">
        <f t="shared" si="1051"/>
        <v>600</v>
      </c>
      <c r="T172" s="13">
        <f t="shared" si="1085"/>
        <v>600</v>
      </c>
      <c r="U172" s="13">
        <f t="shared" si="1071"/>
        <v>609.95216660051813</v>
      </c>
      <c r="V172" s="13">
        <f t="shared" si="1072"/>
        <v>610.54488662018809</v>
      </c>
      <c r="W172" s="13">
        <f t="shared" si="1073"/>
        <v>612.17372270414148</v>
      </c>
      <c r="X172" s="13">
        <f t="shared" si="1086"/>
        <v>650</v>
      </c>
      <c r="Y172" s="13">
        <f t="shared" si="1052"/>
        <v>650</v>
      </c>
      <c r="Z172" s="13">
        <f t="shared" si="1025"/>
        <v>650</v>
      </c>
      <c r="AA172" s="13">
        <f t="shared" si="985"/>
        <v>650</v>
      </c>
      <c r="AB172" s="13">
        <f t="shared" si="915"/>
        <v>650</v>
      </c>
      <c r="AC172" s="13">
        <f t="shared" si="1116"/>
        <v>650</v>
      </c>
      <c r="AD172" s="13">
        <f t="shared" si="1116"/>
        <v>650</v>
      </c>
      <c r="AE172" s="13">
        <f t="shared" si="1116"/>
        <v>650</v>
      </c>
      <c r="AF172" s="13">
        <f t="shared" si="1116"/>
        <v>650</v>
      </c>
      <c r="AG172" s="13">
        <f t="shared" si="1116"/>
        <v>650</v>
      </c>
      <c r="AH172" s="13">
        <f t="shared" si="1116"/>
        <v>650</v>
      </c>
      <c r="AI172" s="13">
        <f t="shared" si="1116"/>
        <v>650</v>
      </c>
      <c r="AJ172" s="13">
        <f t="shared" si="1116"/>
        <v>650</v>
      </c>
      <c r="AK172" s="13">
        <f t="shared" si="1116"/>
        <v>650</v>
      </c>
      <c r="AL172" s="25">
        <v>21</v>
      </c>
      <c r="AM172" s="26">
        <f t="shared" si="1108"/>
        <v>0.18518518518518517</v>
      </c>
      <c r="AP172" s="87"/>
      <c r="AQ172" s="86"/>
      <c r="AR172" s="25">
        <v>21</v>
      </c>
      <c r="AS172" s="26">
        <f t="shared" si="1109"/>
        <v>0.18518518518518517</v>
      </c>
      <c r="AT172" s="13">
        <f t="shared" si="1117"/>
        <v>600</v>
      </c>
      <c r="AU172" s="13">
        <f t="shared" si="1117"/>
        <v>600</v>
      </c>
      <c r="AV172" s="13">
        <f t="shared" si="1117"/>
        <v>600</v>
      </c>
      <c r="AW172" s="13">
        <f t="shared" si="1117"/>
        <v>600</v>
      </c>
      <c r="AX172" s="13">
        <f t="shared" si="1117"/>
        <v>600</v>
      </c>
      <c r="AY172" s="13">
        <f t="shared" si="1117"/>
        <v>600</v>
      </c>
      <c r="AZ172" s="13">
        <f t="shared" si="1117"/>
        <v>600</v>
      </c>
      <c r="BA172" s="13">
        <f t="shared" si="1117"/>
        <v>600</v>
      </c>
      <c r="BB172" s="13">
        <f t="shared" si="1117"/>
        <v>600</v>
      </c>
      <c r="BC172" s="13">
        <f t="shared" si="916"/>
        <v>600</v>
      </c>
      <c r="BD172" s="13">
        <f t="shared" si="986"/>
        <v>600</v>
      </c>
      <c r="BE172" s="13">
        <f t="shared" si="1026"/>
        <v>600</v>
      </c>
      <c r="BF172" s="13">
        <f t="shared" si="1053"/>
        <v>600</v>
      </c>
      <c r="BG172" s="13">
        <f t="shared" si="1087"/>
        <v>600</v>
      </c>
      <c r="BH172" s="13">
        <f t="shared" si="1077"/>
        <v>-2188531060.4079504</v>
      </c>
      <c r="BI172" s="13">
        <f t="shared" si="1078"/>
        <v>-2190658208.158349</v>
      </c>
      <c r="BJ172" s="13">
        <f t="shared" si="1079"/>
        <v>-2196502325.135838</v>
      </c>
      <c r="BK172" s="13">
        <f t="shared" si="1088"/>
        <v>650</v>
      </c>
      <c r="BL172" s="13">
        <f t="shared" si="1054"/>
        <v>650</v>
      </c>
      <c r="BM172" s="13">
        <f t="shared" si="1032"/>
        <v>650</v>
      </c>
      <c r="BN172" s="13">
        <f t="shared" si="994"/>
        <v>650</v>
      </c>
      <c r="BO172" s="13">
        <f t="shared" si="928"/>
        <v>650</v>
      </c>
      <c r="BP172" s="13">
        <f t="shared" si="1118"/>
        <v>650</v>
      </c>
      <c r="BQ172" s="13">
        <f t="shared" si="1118"/>
        <v>650</v>
      </c>
      <c r="BR172" s="13">
        <f t="shared" si="1118"/>
        <v>650</v>
      </c>
      <c r="BS172" s="13">
        <f t="shared" si="1118"/>
        <v>650</v>
      </c>
      <c r="BT172" s="13">
        <f t="shared" si="1118"/>
        <v>650</v>
      </c>
      <c r="BU172" s="13">
        <f t="shared" si="1118"/>
        <v>650</v>
      </c>
      <c r="BV172" s="13">
        <f t="shared" si="1118"/>
        <v>650</v>
      </c>
      <c r="BW172" s="13">
        <f t="shared" si="1118"/>
        <v>650</v>
      </c>
      <c r="BX172" s="13">
        <f t="shared" si="1118"/>
        <v>650</v>
      </c>
      <c r="BY172" s="25">
        <v>21</v>
      </c>
      <c r="BZ172" s="26">
        <f t="shared" si="1110"/>
        <v>0.18518518518518517</v>
      </c>
      <c r="CC172" s="84"/>
      <c r="CD172" s="85"/>
      <c r="CE172" s="25">
        <v>21</v>
      </c>
      <c r="CF172" s="26">
        <f t="shared" si="1111"/>
        <v>0.18518518518518517</v>
      </c>
      <c r="CG172" s="13">
        <f t="shared" si="1119"/>
        <v>600</v>
      </c>
      <c r="CH172" s="13">
        <f t="shared" si="1119"/>
        <v>600</v>
      </c>
      <c r="CI172" s="13">
        <f t="shared" si="1119"/>
        <v>600</v>
      </c>
      <c r="CJ172" s="13">
        <f t="shared" si="1119"/>
        <v>600</v>
      </c>
      <c r="CK172" s="13">
        <f t="shared" si="1119"/>
        <v>600</v>
      </c>
      <c r="CL172" s="13">
        <f t="shared" si="1119"/>
        <v>600</v>
      </c>
      <c r="CM172" s="13">
        <f t="shared" si="1119"/>
        <v>600</v>
      </c>
      <c r="CN172" s="13">
        <f t="shared" si="1119"/>
        <v>600</v>
      </c>
      <c r="CO172" s="13">
        <f t="shared" si="1119"/>
        <v>600</v>
      </c>
      <c r="CP172" s="13">
        <f t="shared" si="929"/>
        <v>600</v>
      </c>
      <c r="CQ172" s="13">
        <f t="shared" si="995"/>
        <v>600</v>
      </c>
      <c r="CR172" s="13">
        <f t="shared" si="1033"/>
        <v>600</v>
      </c>
      <c r="CS172" s="13">
        <f t="shared" si="1055"/>
        <v>600</v>
      </c>
      <c r="CT172" s="13">
        <f t="shared" si="1089"/>
        <v>600</v>
      </c>
      <c r="CU172" s="13">
        <f t="shared" si="1090"/>
        <v>0.11667843062533659</v>
      </c>
      <c r="CV172" s="13">
        <f t="shared" si="1091"/>
        <v>0.11667843062533659</v>
      </c>
      <c r="CW172" s="13">
        <f t="shared" si="1092"/>
        <v>0.11667843062533659</v>
      </c>
      <c r="CX172" s="13">
        <f t="shared" si="1093"/>
        <v>650</v>
      </c>
      <c r="CY172" s="13">
        <f t="shared" si="1061"/>
        <v>650</v>
      </c>
      <c r="CZ172" s="13">
        <f t="shared" si="1041"/>
        <v>650</v>
      </c>
      <c r="DA172" s="13">
        <f t="shared" si="1005"/>
        <v>650</v>
      </c>
      <c r="DB172" s="13">
        <f t="shared" si="941"/>
        <v>650</v>
      </c>
      <c r="DC172" s="13">
        <f t="shared" si="1120"/>
        <v>650</v>
      </c>
      <c r="DD172" s="13">
        <f t="shared" si="1120"/>
        <v>650</v>
      </c>
      <c r="DE172" s="13">
        <f t="shared" si="1120"/>
        <v>650</v>
      </c>
      <c r="DF172" s="13">
        <f t="shared" si="1120"/>
        <v>650</v>
      </c>
      <c r="DG172" s="13">
        <f t="shared" si="1120"/>
        <v>650</v>
      </c>
      <c r="DH172" s="13">
        <f t="shared" si="1120"/>
        <v>650</v>
      </c>
      <c r="DI172" s="13">
        <f t="shared" si="1120"/>
        <v>650</v>
      </c>
      <c r="DJ172" s="13">
        <f t="shared" si="1120"/>
        <v>650</v>
      </c>
      <c r="DK172" s="13">
        <f t="shared" si="1120"/>
        <v>650</v>
      </c>
      <c r="DL172" s="25">
        <v>21</v>
      </c>
      <c r="DM172" s="26">
        <f t="shared" si="1112"/>
        <v>0.18518518518518517</v>
      </c>
      <c r="DQ172" s="84"/>
      <c r="DR172" s="85"/>
      <c r="DS172" s="25">
        <v>21</v>
      </c>
      <c r="DT172" s="26">
        <f t="shared" si="1113"/>
        <v>0.18518518518518517</v>
      </c>
      <c r="DU172" s="13">
        <f t="shared" si="1121"/>
        <v>600</v>
      </c>
      <c r="DV172" s="13">
        <f t="shared" si="1121"/>
        <v>600</v>
      </c>
      <c r="DW172" s="13">
        <f t="shared" si="1121"/>
        <v>600</v>
      </c>
      <c r="DX172" s="13">
        <f t="shared" si="1121"/>
        <v>600</v>
      </c>
      <c r="DY172" s="13">
        <f t="shared" si="1121"/>
        <v>600</v>
      </c>
      <c r="DZ172" s="13">
        <f t="shared" si="1121"/>
        <v>600</v>
      </c>
      <c r="EA172" s="13">
        <f t="shared" si="1121"/>
        <v>600</v>
      </c>
      <c r="EB172" s="13">
        <f t="shared" si="1121"/>
        <v>600</v>
      </c>
      <c r="EC172" s="13">
        <f t="shared" si="1121"/>
        <v>600</v>
      </c>
      <c r="ED172" s="13">
        <f t="shared" si="942"/>
        <v>600</v>
      </c>
      <c r="EE172" s="13">
        <f t="shared" si="1006"/>
        <v>600</v>
      </c>
      <c r="EF172" s="13">
        <f t="shared" si="1042"/>
        <v>600</v>
      </c>
      <c r="EG172" s="13">
        <f t="shared" si="1062"/>
        <v>600</v>
      </c>
      <c r="EH172" s="13">
        <f t="shared" si="1094"/>
        <v>600</v>
      </c>
      <c r="EI172" s="13">
        <f t="shared" si="1095"/>
        <v>538.80242080735695</v>
      </c>
      <c r="EJ172" s="13">
        <f t="shared" si="1096"/>
        <v>539.3263800328283</v>
      </c>
      <c r="EK172" s="13">
        <f t="shared" si="1097"/>
        <v>540.76502795442286</v>
      </c>
      <c r="EL172" s="13">
        <f t="shared" si="1098"/>
        <v>650</v>
      </c>
      <c r="EM172" s="13">
        <f t="shared" si="1068"/>
        <v>650</v>
      </c>
      <c r="EN172" s="13">
        <f t="shared" si="1050"/>
        <v>650</v>
      </c>
      <c r="EO172" s="13">
        <f t="shared" si="1016"/>
        <v>650</v>
      </c>
      <c r="EP172" s="13">
        <f t="shared" si="954"/>
        <v>650</v>
      </c>
      <c r="EQ172" s="13">
        <f t="shared" si="1122"/>
        <v>650</v>
      </c>
      <c r="ER172" s="13">
        <f t="shared" si="1122"/>
        <v>650</v>
      </c>
      <c r="ES172" s="13">
        <f t="shared" si="1122"/>
        <v>650</v>
      </c>
      <c r="ET172" s="13">
        <f t="shared" si="1122"/>
        <v>650</v>
      </c>
      <c r="EU172" s="13">
        <f t="shared" si="1122"/>
        <v>650</v>
      </c>
      <c r="EV172" s="13">
        <f t="shared" si="1122"/>
        <v>650</v>
      </c>
      <c r="EW172" s="13">
        <f t="shared" si="1122"/>
        <v>650</v>
      </c>
      <c r="EX172" s="13">
        <f t="shared" si="1122"/>
        <v>650</v>
      </c>
      <c r="EY172" s="13">
        <f t="shared" si="1122"/>
        <v>650</v>
      </c>
      <c r="EZ172" s="25">
        <v>21</v>
      </c>
      <c r="FA172" s="26">
        <f t="shared" si="1114"/>
        <v>0.18518518518518517</v>
      </c>
    </row>
    <row r="173" spans="3:157" ht="15" customHeight="1" x14ac:dyDescent="0.25">
      <c r="C173" s="84"/>
      <c r="D173" s="85"/>
      <c r="E173" s="25">
        <v>20</v>
      </c>
      <c r="F173" s="26">
        <f t="shared" si="1107"/>
        <v>0.17592592592592593</v>
      </c>
      <c r="G173" s="13">
        <f t="shared" si="1115"/>
        <v>600</v>
      </c>
      <c r="H173" s="13">
        <f t="shared" si="1115"/>
        <v>600</v>
      </c>
      <c r="I173" s="13">
        <f t="shared" si="1115"/>
        <v>600</v>
      </c>
      <c r="J173" s="13">
        <f t="shared" si="1115"/>
        <v>600</v>
      </c>
      <c r="K173" s="13">
        <f t="shared" si="1115"/>
        <v>600</v>
      </c>
      <c r="L173" s="13">
        <f t="shared" si="1115"/>
        <v>600</v>
      </c>
      <c r="M173" s="13">
        <f t="shared" si="1115"/>
        <v>600</v>
      </c>
      <c r="N173" s="13">
        <f t="shared" si="1115"/>
        <v>600</v>
      </c>
      <c r="O173" s="13">
        <f t="shared" si="1115"/>
        <v>600</v>
      </c>
      <c r="P173" s="13">
        <f t="shared" si="914"/>
        <v>600</v>
      </c>
      <c r="Q173" s="13">
        <f t="shared" si="975"/>
        <v>600</v>
      </c>
      <c r="R173" s="13">
        <f t="shared" si="1017"/>
        <v>600</v>
      </c>
      <c r="S173" s="13">
        <f t="shared" si="1051"/>
        <v>600</v>
      </c>
      <c r="T173" s="13">
        <f t="shared" si="1085"/>
        <v>600</v>
      </c>
      <c r="U173" s="13">
        <f t="shared" si="1071"/>
        <v>609.793476067813</v>
      </c>
      <c r="V173" s="13">
        <f t="shared" si="1072"/>
        <v>610.38279488046862</v>
      </c>
      <c r="W173" s="13">
        <f t="shared" si="1073"/>
        <v>612.01281476794486</v>
      </c>
      <c r="X173" s="13">
        <f t="shared" si="1086"/>
        <v>650</v>
      </c>
      <c r="Y173" s="13">
        <f t="shared" si="1052"/>
        <v>650</v>
      </c>
      <c r="Z173" s="13">
        <f t="shared" si="1025"/>
        <v>650</v>
      </c>
      <c r="AA173" s="13">
        <f t="shared" si="985"/>
        <v>650</v>
      </c>
      <c r="AB173" s="13">
        <f t="shared" si="915"/>
        <v>650</v>
      </c>
      <c r="AC173" s="13">
        <f t="shared" si="1116"/>
        <v>650</v>
      </c>
      <c r="AD173" s="13">
        <f t="shared" si="1116"/>
        <v>650</v>
      </c>
      <c r="AE173" s="13">
        <f t="shared" si="1116"/>
        <v>650</v>
      </c>
      <c r="AF173" s="13">
        <f t="shared" si="1116"/>
        <v>650</v>
      </c>
      <c r="AG173" s="13">
        <f t="shared" si="1116"/>
        <v>650</v>
      </c>
      <c r="AH173" s="13">
        <f t="shared" si="1116"/>
        <v>650</v>
      </c>
      <c r="AI173" s="13">
        <f t="shared" si="1116"/>
        <v>650</v>
      </c>
      <c r="AJ173" s="13">
        <f t="shared" si="1116"/>
        <v>650</v>
      </c>
      <c r="AK173" s="13">
        <f t="shared" si="1116"/>
        <v>650</v>
      </c>
      <c r="AL173" s="25">
        <v>20</v>
      </c>
      <c r="AM173" s="26">
        <f t="shared" si="1108"/>
        <v>0.17592592592592593</v>
      </c>
      <c r="AP173" s="87"/>
      <c r="AQ173" s="86"/>
      <c r="AR173" s="25">
        <v>20</v>
      </c>
      <c r="AS173" s="26">
        <f t="shared" si="1109"/>
        <v>0.17592592592592593</v>
      </c>
      <c r="AT173" s="13">
        <f t="shared" si="1117"/>
        <v>600</v>
      </c>
      <c r="AU173" s="13">
        <f t="shared" si="1117"/>
        <v>600</v>
      </c>
      <c r="AV173" s="13">
        <f t="shared" si="1117"/>
        <v>600</v>
      </c>
      <c r="AW173" s="13">
        <f t="shared" si="1117"/>
        <v>600</v>
      </c>
      <c r="AX173" s="13">
        <f t="shared" si="1117"/>
        <v>600</v>
      </c>
      <c r="AY173" s="13">
        <f t="shared" si="1117"/>
        <v>600</v>
      </c>
      <c r="AZ173" s="13">
        <f t="shared" si="1117"/>
        <v>600</v>
      </c>
      <c r="BA173" s="13">
        <f t="shared" si="1117"/>
        <v>600</v>
      </c>
      <c r="BB173" s="13">
        <f t="shared" si="1117"/>
        <v>600</v>
      </c>
      <c r="BC173" s="13">
        <f t="shared" si="916"/>
        <v>600</v>
      </c>
      <c r="BD173" s="13">
        <f t="shared" si="986"/>
        <v>600</v>
      </c>
      <c r="BE173" s="13">
        <f t="shared" si="1026"/>
        <v>600</v>
      </c>
      <c r="BF173" s="13">
        <f t="shared" si="1053"/>
        <v>600</v>
      </c>
      <c r="BG173" s="13">
        <f t="shared" si="1087"/>
        <v>600</v>
      </c>
      <c r="BH173" s="13">
        <f t="shared" si="1077"/>
        <v>-2187968108.8109779</v>
      </c>
      <c r="BI173" s="13">
        <f t="shared" si="1078"/>
        <v>-2190082998.7546411</v>
      </c>
      <c r="BJ173" s="13">
        <f t="shared" si="1079"/>
        <v>-2195931554.766686</v>
      </c>
      <c r="BK173" s="13">
        <f t="shared" si="1088"/>
        <v>650</v>
      </c>
      <c r="BL173" s="13">
        <f t="shared" si="1054"/>
        <v>650</v>
      </c>
      <c r="BM173" s="13">
        <f t="shared" si="1032"/>
        <v>650</v>
      </c>
      <c r="BN173" s="13">
        <f t="shared" si="994"/>
        <v>650</v>
      </c>
      <c r="BO173" s="13">
        <f t="shared" si="928"/>
        <v>650</v>
      </c>
      <c r="BP173" s="13">
        <f t="shared" si="1118"/>
        <v>650</v>
      </c>
      <c r="BQ173" s="13">
        <f t="shared" si="1118"/>
        <v>650</v>
      </c>
      <c r="BR173" s="13">
        <f t="shared" si="1118"/>
        <v>650</v>
      </c>
      <c r="BS173" s="13">
        <f t="shared" si="1118"/>
        <v>650</v>
      </c>
      <c r="BT173" s="13">
        <f t="shared" si="1118"/>
        <v>650</v>
      </c>
      <c r="BU173" s="13">
        <f t="shared" si="1118"/>
        <v>650</v>
      </c>
      <c r="BV173" s="13">
        <f t="shared" si="1118"/>
        <v>650</v>
      </c>
      <c r="BW173" s="13">
        <f t="shared" si="1118"/>
        <v>650</v>
      </c>
      <c r="BX173" s="13">
        <f t="shared" si="1118"/>
        <v>650</v>
      </c>
      <c r="BY173" s="25">
        <v>20</v>
      </c>
      <c r="BZ173" s="26">
        <f t="shared" si="1110"/>
        <v>0.17592592592592593</v>
      </c>
      <c r="CC173" s="84"/>
      <c r="CD173" s="85"/>
      <c r="CE173" s="25">
        <v>20</v>
      </c>
      <c r="CF173" s="26">
        <f t="shared" si="1111"/>
        <v>0.17592592592592593</v>
      </c>
      <c r="CG173" s="13">
        <f t="shared" si="1119"/>
        <v>600</v>
      </c>
      <c r="CH173" s="13">
        <f t="shared" si="1119"/>
        <v>600</v>
      </c>
      <c r="CI173" s="13">
        <f t="shared" si="1119"/>
        <v>600</v>
      </c>
      <c r="CJ173" s="13">
        <f t="shared" si="1119"/>
        <v>600</v>
      </c>
      <c r="CK173" s="13">
        <f t="shared" si="1119"/>
        <v>600</v>
      </c>
      <c r="CL173" s="13">
        <f t="shared" si="1119"/>
        <v>600</v>
      </c>
      <c r="CM173" s="13">
        <f t="shared" si="1119"/>
        <v>600</v>
      </c>
      <c r="CN173" s="13">
        <f t="shared" si="1119"/>
        <v>600</v>
      </c>
      <c r="CO173" s="13">
        <f t="shared" si="1119"/>
        <v>600</v>
      </c>
      <c r="CP173" s="13">
        <f t="shared" si="929"/>
        <v>600</v>
      </c>
      <c r="CQ173" s="13">
        <f t="shared" si="995"/>
        <v>600</v>
      </c>
      <c r="CR173" s="13">
        <f t="shared" si="1033"/>
        <v>600</v>
      </c>
      <c r="CS173" s="13">
        <f t="shared" si="1055"/>
        <v>600</v>
      </c>
      <c r="CT173" s="13">
        <f t="shared" si="1089"/>
        <v>600</v>
      </c>
      <c r="CU173" s="13">
        <f t="shared" si="1090"/>
        <v>0.11667843062533659</v>
      </c>
      <c r="CV173" s="13">
        <f t="shared" si="1091"/>
        <v>0.11667843062533659</v>
      </c>
      <c r="CW173" s="13">
        <f t="shared" si="1092"/>
        <v>0.11667843062533659</v>
      </c>
      <c r="CX173" s="13">
        <f t="shared" si="1093"/>
        <v>650</v>
      </c>
      <c r="CY173" s="13">
        <f t="shared" si="1061"/>
        <v>650</v>
      </c>
      <c r="CZ173" s="13">
        <f t="shared" si="1041"/>
        <v>650</v>
      </c>
      <c r="DA173" s="13">
        <f t="shared" si="1005"/>
        <v>650</v>
      </c>
      <c r="DB173" s="13">
        <f t="shared" si="941"/>
        <v>650</v>
      </c>
      <c r="DC173" s="13">
        <f t="shared" si="1120"/>
        <v>650</v>
      </c>
      <c r="DD173" s="13">
        <f t="shared" si="1120"/>
        <v>650</v>
      </c>
      <c r="DE173" s="13">
        <f t="shared" si="1120"/>
        <v>650</v>
      </c>
      <c r="DF173" s="13">
        <f t="shared" si="1120"/>
        <v>650</v>
      </c>
      <c r="DG173" s="13">
        <f t="shared" si="1120"/>
        <v>650</v>
      </c>
      <c r="DH173" s="13">
        <f t="shared" si="1120"/>
        <v>650</v>
      </c>
      <c r="DI173" s="13">
        <f t="shared" si="1120"/>
        <v>650</v>
      </c>
      <c r="DJ173" s="13">
        <f t="shared" si="1120"/>
        <v>650</v>
      </c>
      <c r="DK173" s="13">
        <f t="shared" si="1120"/>
        <v>650</v>
      </c>
      <c r="DL173" s="25">
        <v>20</v>
      </c>
      <c r="DM173" s="26">
        <f t="shared" si="1112"/>
        <v>0.17592592592592593</v>
      </c>
      <c r="DQ173" s="84"/>
      <c r="DR173" s="85"/>
      <c r="DS173" s="25">
        <v>20</v>
      </c>
      <c r="DT173" s="26">
        <f t="shared" si="1113"/>
        <v>0.17592592592592593</v>
      </c>
      <c r="DU173" s="13">
        <f t="shared" si="1121"/>
        <v>600</v>
      </c>
      <c r="DV173" s="13">
        <f t="shared" si="1121"/>
        <v>600</v>
      </c>
      <c r="DW173" s="13">
        <f t="shared" si="1121"/>
        <v>600</v>
      </c>
      <c r="DX173" s="13">
        <f t="shared" si="1121"/>
        <v>600</v>
      </c>
      <c r="DY173" s="13">
        <f t="shared" si="1121"/>
        <v>600</v>
      </c>
      <c r="DZ173" s="13">
        <f t="shared" si="1121"/>
        <v>600</v>
      </c>
      <c r="EA173" s="13">
        <f t="shared" si="1121"/>
        <v>600</v>
      </c>
      <c r="EB173" s="13">
        <f t="shared" si="1121"/>
        <v>600</v>
      </c>
      <c r="EC173" s="13">
        <f t="shared" si="1121"/>
        <v>600</v>
      </c>
      <c r="ED173" s="13">
        <f t="shared" si="942"/>
        <v>600</v>
      </c>
      <c r="EE173" s="13">
        <f t="shared" si="1006"/>
        <v>600</v>
      </c>
      <c r="EF173" s="13">
        <f t="shared" si="1042"/>
        <v>600</v>
      </c>
      <c r="EG173" s="13">
        <f t="shared" si="1062"/>
        <v>600</v>
      </c>
      <c r="EH173" s="13">
        <f t="shared" si="1094"/>
        <v>600</v>
      </c>
      <c r="EI173" s="13">
        <f t="shared" si="1095"/>
        <v>538.66857783545163</v>
      </c>
      <c r="EJ173" s="13">
        <f t="shared" si="1096"/>
        <v>539.18962274059538</v>
      </c>
      <c r="EK173" s="13">
        <f t="shared" si="1097"/>
        <v>540.62932605235233</v>
      </c>
      <c r="EL173" s="13">
        <f t="shared" si="1098"/>
        <v>650</v>
      </c>
      <c r="EM173" s="13">
        <f t="shared" si="1068"/>
        <v>650</v>
      </c>
      <c r="EN173" s="13">
        <f t="shared" si="1050"/>
        <v>650</v>
      </c>
      <c r="EO173" s="13">
        <f t="shared" si="1016"/>
        <v>650</v>
      </c>
      <c r="EP173" s="13">
        <f t="shared" si="954"/>
        <v>650</v>
      </c>
      <c r="EQ173" s="13">
        <f t="shared" si="1122"/>
        <v>650</v>
      </c>
      <c r="ER173" s="13">
        <f t="shared" si="1122"/>
        <v>650</v>
      </c>
      <c r="ES173" s="13">
        <f t="shared" si="1122"/>
        <v>650</v>
      </c>
      <c r="ET173" s="13">
        <f t="shared" si="1122"/>
        <v>650</v>
      </c>
      <c r="EU173" s="13">
        <f t="shared" si="1122"/>
        <v>650</v>
      </c>
      <c r="EV173" s="13">
        <f t="shared" si="1122"/>
        <v>650</v>
      </c>
      <c r="EW173" s="13">
        <f t="shared" si="1122"/>
        <v>650</v>
      </c>
      <c r="EX173" s="13">
        <f t="shared" si="1122"/>
        <v>650</v>
      </c>
      <c r="EY173" s="13">
        <f t="shared" si="1122"/>
        <v>650</v>
      </c>
      <c r="EZ173" s="25">
        <v>20</v>
      </c>
      <c r="FA173" s="26">
        <f t="shared" si="1114"/>
        <v>0.17592592592592593</v>
      </c>
    </row>
    <row r="174" spans="3:157" ht="15" customHeight="1" x14ac:dyDescent="0.25">
      <c r="C174" s="84"/>
      <c r="D174" s="85"/>
      <c r="E174" s="25">
        <v>19</v>
      </c>
      <c r="F174" s="26">
        <f t="shared" si="1107"/>
        <v>0.16666666666666666</v>
      </c>
      <c r="G174" s="13">
        <f t="shared" si="1115"/>
        <v>600</v>
      </c>
      <c r="H174" s="13">
        <f t="shared" si="1115"/>
        <v>600</v>
      </c>
      <c r="I174" s="13">
        <f t="shared" si="1115"/>
        <v>600</v>
      </c>
      <c r="J174" s="13">
        <f t="shared" si="1115"/>
        <v>600</v>
      </c>
      <c r="K174" s="13">
        <f t="shared" si="1115"/>
        <v>600</v>
      </c>
      <c r="L174" s="13">
        <f t="shared" si="1115"/>
        <v>600</v>
      </c>
      <c r="M174" s="13">
        <f t="shared" si="1115"/>
        <v>600</v>
      </c>
      <c r="N174" s="13">
        <f t="shared" si="1115"/>
        <v>600</v>
      </c>
      <c r="O174" s="13">
        <f t="shared" si="1115"/>
        <v>600</v>
      </c>
      <c r="P174" s="13">
        <f t="shared" si="914"/>
        <v>600</v>
      </c>
      <c r="Q174" s="13">
        <f t="shared" si="975"/>
        <v>600</v>
      </c>
      <c r="R174" s="13">
        <f t="shared" si="1017"/>
        <v>600</v>
      </c>
      <c r="S174" s="13">
        <f t="shared" si="1051"/>
        <v>600</v>
      </c>
      <c r="T174" s="13">
        <f t="shared" si="1085"/>
        <v>600</v>
      </c>
      <c r="U174" s="13">
        <f t="shared" si="1071"/>
        <v>609.5805184485971</v>
      </c>
      <c r="V174" s="13">
        <f t="shared" si="1072"/>
        <v>610.16566436756375</v>
      </c>
      <c r="W174" s="13">
        <f t="shared" si="1073"/>
        <v>611.7967848300118</v>
      </c>
      <c r="X174" s="13">
        <f t="shared" si="1086"/>
        <v>650</v>
      </c>
      <c r="Y174" s="13">
        <f t="shared" si="1052"/>
        <v>650</v>
      </c>
      <c r="Z174" s="13">
        <f t="shared" si="1025"/>
        <v>650</v>
      </c>
      <c r="AA174" s="13">
        <f t="shared" si="985"/>
        <v>650</v>
      </c>
      <c r="AB174" s="13">
        <f t="shared" si="915"/>
        <v>650</v>
      </c>
      <c r="AC174" s="13">
        <f t="shared" si="1116"/>
        <v>650</v>
      </c>
      <c r="AD174" s="13">
        <f t="shared" si="1116"/>
        <v>650</v>
      </c>
      <c r="AE174" s="13">
        <f t="shared" si="1116"/>
        <v>650</v>
      </c>
      <c r="AF174" s="13">
        <f t="shared" si="1116"/>
        <v>650</v>
      </c>
      <c r="AG174" s="13">
        <f t="shared" si="1116"/>
        <v>650</v>
      </c>
      <c r="AH174" s="13">
        <f t="shared" si="1116"/>
        <v>650</v>
      </c>
      <c r="AI174" s="13">
        <f t="shared" si="1116"/>
        <v>650</v>
      </c>
      <c r="AJ174" s="13">
        <f t="shared" si="1116"/>
        <v>650</v>
      </c>
      <c r="AK174" s="13">
        <f t="shared" si="1116"/>
        <v>650</v>
      </c>
      <c r="AL174" s="25">
        <v>19</v>
      </c>
      <c r="AM174" s="26">
        <f t="shared" si="1108"/>
        <v>0.16666666666666666</v>
      </c>
      <c r="AP174" s="87"/>
      <c r="AQ174" s="86"/>
      <c r="AR174" s="25">
        <v>19</v>
      </c>
      <c r="AS174" s="26">
        <f t="shared" si="1109"/>
        <v>0.16666666666666666</v>
      </c>
      <c r="AT174" s="13">
        <f t="shared" si="1117"/>
        <v>600</v>
      </c>
      <c r="AU174" s="13">
        <f t="shared" si="1117"/>
        <v>600</v>
      </c>
      <c r="AV174" s="13">
        <f t="shared" si="1117"/>
        <v>600</v>
      </c>
      <c r="AW174" s="13">
        <f t="shared" si="1117"/>
        <v>600</v>
      </c>
      <c r="AX174" s="13">
        <f t="shared" si="1117"/>
        <v>600</v>
      </c>
      <c r="AY174" s="13">
        <f t="shared" si="1117"/>
        <v>600</v>
      </c>
      <c r="AZ174" s="13">
        <f t="shared" si="1117"/>
        <v>600</v>
      </c>
      <c r="BA174" s="13">
        <f t="shared" si="1117"/>
        <v>600</v>
      </c>
      <c r="BB174" s="13">
        <f t="shared" si="1117"/>
        <v>600</v>
      </c>
      <c r="BC174" s="13">
        <f t="shared" si="916"/>
        <v>600</v>
      </c>
      <c r="BD174" s="13">
        <f t="shared" si="986"/>
        <v>600</v>
      </c>
      <c r="BE174" s="13">
        <f t="shared" si="1026"/>
        <v>600</v>
      </c>
      <c r="BF174" s="13">
        <f t="shared" si="1053"/>
        <v>600</v>
      </c>
      <c r="BG174" s="13">
        <f t="shared" si="1087"/>
        <v>600</v>
      </c>
      <c r="BH174" s="13">
        <f t="shared" si="1077"/>
        <v>-2187211878.4014363</v>
      </c>
      <c r="BI174" s="13">
        <f t="shared" si="1078"/>
        <v>-2189310302.0516248</v>
      </c>
      <c r="BJ174" s="13">
        <f t="shared" si="1079"/>
        <v>-2195164821.1570115</v>
      </c>
      <c r="BK174" s="13">
        <f t="shared" si="1088"/>
        <v>650</v>
      </c>
      <c r="BL174" s="13">
        <f t="shared" si="1054"/>
        <v>650</v>
      </c>
      <c r="BM174" s="13">
        <f t="shared" si="1032"/>
        <v>650</v>
      </c>
      <c r="BN174" s="13">
        <f t="shared" si="994"/>
        <v>650</v>
      </c>
      <c r="BO174" s="13">
        <f t="shared" si="928"/>
        <v>650</v>
      </c>
      <c r="BP174" s="13">
        <f t="shared" si="1118"/>
        <v>650</v>
      </c>
      <c r="BQ174" s="13">
        <f t="shared" si="1118"/>
        <v>650</v>
      </c>
      <c r="BR174" s="13">
        <f t="shared" si="1118"/>
        <v>650</v>
      </c>
      <c r="BS174" s="13">
        <f t="shared" si="1118"/>
        <v>650</v>
      </c>
      <c r="BT174" s="13">
        <f t="shared" si="1118"/>
        <v>650</v>
      </c>
      <c r="BU174" s="13">
        <f t="shared" si="1118"/>
        <v>650</v>
      </c>
      <c r="BV174" s="13">
        <f t="shared" si="1118"/>
        <v>650</v>
      </c>
      <c r="BW174" s="13">
        <f t="shared" si="1118"/>
        <v>650</v>
      </c>
      <c r="BX174" s="13">
        <f t="shared" si="1118"/>
        <v>650</v>
      </c>
      <c r="BY174" s="25">
        <v>19</v>
      </c>
      <c r="BZ174" s="26">
        <f t="shared" si="1110"/>
        <v>0.16666666666666666</v>
      </c>
      <c r="CC174" s="84"/>
      <c r="CD174" s="85"/>
      <c r="CE174" s="25">
        <v>19</v>
      </c>
      <c r="CF174" s="26">
        <f t="shared" si="1111"/>
        <v>0.16666666666666666</v>
      </c>
      <c r="CG174" s="13">
        <f t="shared" si="1119"/>
        <v>600</v>
      </c>
      <c r="CH174" s="13">
        <f t="shared" si="1119"/>
        <v>600</v>
      </c>
      <c r="CI174" s="13">
        <f t="shared" si="1119"/>
        <v>600</v>
      </c>
      <c r="CJ174" s="13">
        <f t="shared" si="1119"/>
        <v>600</v>
      </c>
      <c r="CK174" s="13">
        <f t="shared" si="1119"/>
        <v>600</v>
      </c>
      <c r="CL174" s="13">
        <f t="shared" si="1119"/>
        <v>600</v>
      </c>
      <c r="CM174" s="13">
        <f t="shared" si="1119"/>
        <v>600</v>
      </c>
      <c r="CN174" s="13">
        <f t="shared" si="1119"/>
        <v>600</v>
      </c>
      <c r="CO174" s="13">
        <f t="shared" si="1119"/>
        <v>600</v>
      </c>
      <c r="CP174" s="13">
        <f t="shared" si="929"/>
        <v>600</v>
      </c>
      <c r="CQ174" s="13">
        <f t="shared" si="995"/>
        <v>600</v>
      </c>
      <c r="CR174" s="13">
        <f t="shared" si="1033"/>
        <v>600</v>
      </c>
      <c r="CS174" s="13">
        <f t="shared" si="1055"/>
        <v>600</v>
      </c>
      <c r="CT174" s="13">
        <f t="shared" si="1089"/>
        <v>600</v>
      </c>
      <c r="CU174" s="13">
        <f t="shared" si="1090"/>
        <v>0.11667843062533659</v>
      </c>
      <c r="CV174" s="13">
        <f t="shared" si="1091"/>
        <v>0.11667843062533659</v>
      </c>
      <c r="CW174" s="13">
        <f t="shared" si="1092"/>
        <v>0.11667843062533659</v>
      </c>
      <c r="CX174" s="13">
        <f t="shared" si="1093"/>
        <v>650</v>
      </c>
      <c r="CY174" s="13">
        <f t="shared" si="1061"/>
        <v>650</v>
      </c>
      <c r="CZ174" s="13">
        <f t="shared" si="1041"/>
        <v>650</v>
      </c>
      <c r="DA174" s="13">
        <f t="shared" si="1005"/>
        <v>650</v>
      </c>
      <c r="DB174" s="13">
        <f t="shared" si="941"/>
        <v>650</v>
      </c>
      <c r="DC174" s="13">
        <f t="shared" si="1120"/>
        <v>650</v>
      </c>
      <c r="DD174" s="13">
        <f t="shared" si="1120"/>
        <v>650</v>
      </c>
      <c r="DE174" s="13">
        <f t="shared" si="1120"/>
        <v>650</v>
      </c>
      <c r="DF174" s="13">
        <f t="shared" si="1120"/>
        <v>650</v>
      </c>
      <c r="DG174" s="13">
        <f t="shared" si="1120"/>
        <v>650</v>
      </c>
      <c r="DH174" s="13">
        <f t="shared" si="1120"/>
        <v>650</v>
      </c>
      <c r="DI174" s="13">
        <f t="shared" si="1120"/>
        <v>650</v>
      </c>
      <c r="DJ174" s="13">
        <f t="shared" si="1120"/>
        <v>650</v>
      </c>
      <c r="DK174" s="13">
        <f t="shared" si="1120"/>
        <v>650</v>
      </c>
      <c r="DL174" s="25">
        <v>19</v>
      </c>
      <c r="DM174" s="26">
        <f t="shared" si="1112"/>
        <v>0.16666666666666666</v>
      </c>
      <c r="DQ174" s="84"/>
      <c r="DR174" s="85"/>
      <c r="DS174" s="25">
        <v>19</v>
      </c>
      <c r="DT174" s="26">
        <f t="shared" si="1113"/>
        <v>0.16666666666666666</v>
      </c>
      <c r="DU174" s="13">
        <f t="shared" si="1121"/>
        <v>600</v>
      </c>
      <c r="DV174" s="13">
        <f t="shared" si="1121"/>
        <v>600</v>
      </c>
      <c r="DW174" s="13">
        <f t="shared" si="1121"/>
        <v>600</v>
      </c>
      <c r="DX174" s="13">
        <f t="shared" si="1121"/>
        <v>600</v>
      </c>
      <c r="DY174" s="13">
        <f t="shared" si="1121"/>
        <v>600</v>
      </c>
      <c r="DZ174" s="13">
        <f t="shared" si="1121"/>
        <v>600</v>
      </c>
      <c r="EA174" s="13">
        <f t="shared" si="1121"/>
        <v>600</v>
      </c>
      <c r="EB174" s="13">
        <f t="shared" si="1121"/>
        <v>600</v>
      </c>
      <c r="EC174" s="13">
        <f t="shared" si="1121"/>
        <v>600</v>
      </c>
      <c r="ED174" s="13">
        <f t="shared" si="942"/>
        <v>600</v>
      </c>
      <c r="EE174" s="13">
        <f t="shared" si="1006"/>
        <v>600</v>
      </c>
      <c r="EF174" s="13">
        <f t="shared" si="1042"/>
        <v>600</v>
      </c>
      <c r="EG174" s="13">
        <f t="shared" si="1062"/>
        <v>600</v>
      </c>
      <c r="EH174" s="13">
        <f t="shared" si="1094"/>
        <v>600</v>
      </c>
      <c r="EI174" s="13">
        <f t="shared" si="1095"/>
        <v>538.48850916648655</v>
      </c>
      <c r="EJ174" s="13">
        <f t="shared" si="1096"/>
        <v>539.00563322487324</v>
      </c>
      <c r="EK174" s="13">
        <f t="shared" si="1097"/>
        <v>540.4467564296516</v>
      </c>
      <c r="EL174" s="13">
        <f t="shared" si="1098"/>
        <v>650</v>
      </c>
      <c r="EM174" s="13">
        <f t="shared" si="1068"/>
        <v>650</v>
      </c>
      <c r="EN174" s="13">
        <f t="shared" si="1050"/>
        <v>650</v>
      </c>
      <c r="EO174" s="13">
        <f t="shared" si="1016"/>
        <v>650</v>
      </c>
      <c r="EP174" s="13">
        <f t="shared" si="954"/>
        <v>650</v>
      </c>
      <c r="EQ174" s="13">
        <f t="shared" si="1122"/>
        <v>650</v>
      </c>
      <c r="ER174" s="13">
        <f t="shared" si="1122"/>
        <v>650</v>
      </c>
      <c r="ES174" s="13">
        <f t="shared" si="1122"/>
        <v>650</v>
      </c>
      <c r="ET174" s="13">
        <f t="shared" si="1122"/>
        <v>650</v>
      </c>
      <c r="EU174" s="13">
        <f t="shared" si="1122"/>
        <v>650</v>
      </c>
      <c r="EV174" s="13">
        <f t="shared" si="1122"/>
        <v>650</v>
      </c>
      <c r="EW174" s="13">
        <f t="shared" si="1122"/>
        <v>650</v>
      </c>
      <c r="EX174" s="13">
        <f t="shared" si="1122"/>
        <v>650</v>
      </c>
      <c r="EY174" s="13">
        <f t="shared" si="1122"/>
        <v>650</v>
      </c>
      <c r="EZ174" s="25">
        <v>19</v>
      </c>
      <c r="FA174" s="26">
        <f t="shared" si="1114"/>
        <v>0.16666666666666666</v>
      </c>
    </row>
    <row r="175" spans="3:157" ht="15" customHeight="1" x14ac:dyDescent="0.25">
      <c r="C175" s="84"/>
      <c r="D175" s="85"/>
      <c r="E175" s="25">
        <v>18</v>
      </c>
      <c r="F175" s="26">
        <f t="shared" si="1107"/>
        <v>0.15740740740740738</v>
      </c>
      <c r="G175" s="13">
        <f t="shared" si="1115"/>
        <v>600</v>
      </c>
      <c r="H175" s="13">
        <f t="shared" si="1115"/>
        <v>600</v>
      </c>
      <c r="I175" s="13">
        <f t="shared" si="1115"/>
        <v>600</v>
      </c>
      <c r="J175" s="13">
        <f t="shared" si="1115"/>
        <v>600</v>
      </c>
      <c r="K175" s="13">
        <f t="shared" si="1115"/>
        <v>600</v>
      </c>
      <c r="L175" s="13">
        <f t="shared" si="1115"/>
        <v>600</v>
      </c>
      <c r="M175" s="13">
        <f t="shared" si="1115"/>
        <v>600</v>
      </c>
      <c r="N175" s="13">
        <f t="shared" si="1115"/>
        <v>600</v>
      </c>
      <c r="O175" s="13">
        <f t="shared" si="1115"/>
        <v>600</v>
      </c>
      <c r="P175" s="13">
        <f t="shared" si="914"/>
        <v>600</v>
      </c>
      <c r="Q175" s="13">
        <f t="shared" si="975"/>
        <v>600</v>
      </c>
      <c r="R175" s="13">
        <f t="shared" si="1017"/>
        <v>600</v>
      </c>
      <c r="S175" s="13">
        <f t="shared" si="1051"/>
        <v>600</v>
      </c>
      <c r="T175" s="13">
        <f t="shared" si="1085"/>
        <v>600</v>
      </c>
      <c r="U175" s="13">
        <f t="shared" si="1071"/>
        <v>609.29864158348528</v>
      </c>
      <c r="V175" s="13">
        <f t="shared" si="1072"/>
        <v>609.88162731799935</v>
      </c>
      <c r="W175" s="13">
        <f t="shared" si="1073"/>
        <v>611.51001104454872</v>
      </c>
      <c r="X175" s="13">
        <f t="shared" si="1086"/>
        <v>650</v>
      </c>
      <c r="Y175" s="13">
        <f t="shared" si="1052"/>
        <v>650</v>
      </c>
      <c r="Z175" s="13">
        <f t="shared" si="1025"/>
        <v>650</v>
      </c>
      <c r="AA175" s="13">
        <f t="shared" si="985"/>
        <v>650</v>
      </c>
      <c r="AB175" s="13">
        <f t="shared" si="915"/>
        <v>650</v>
      </c>
      <c r="AC175" s="13">
        <f t="shared" si="1116"/>
        <v>650</v>
      </c>
      <c r="AD175" s="13">
        <f t="shared" si="1116"/>
        <v>650</v>
      </c>
      <c r="AE175" s="13">
        <f t="shared" si="1116"/>
        <v>650</v>
      </c>
      <c r="AF175" s="13">
        <f t="shared" si="1116"/>
        <v>650</v>
      </c>
      <c r="AG175" s="13">
        <f t="shared" si="1116"/>
        <v>650</v>
      </c>
      <c r="AH175" s="13">
        <f t="shared" si="1116"/>
        <v>650</v>
      </c>
      <c r="AI175" s="13">
        <f t="shared" si="1116"/>
        <v>650</v>
      </c>
      <c r="AJ175" s="13">
        <f t="shared" si="1116"/>
        <v>650</v>
      </c>
      <c r="AK175" s="13">
        <f t="shared" si="1116"/>
        <v>650</v>
      </c>
      <c r="AL175" s="25">
        <v>18</v>
      </c>
      <c r="AM175" s="26">
        <f t="shared" si="1108"/>
        <v>0.15740740740740738</v>
      </c>
      <c r="AP175" s="87"/>
      <c r="AQ175" s="86"/>
      <c r="AR175" s="25">
        <v>18</v>
      </c>
      <c r="AS175" s="26">
        <f t="shared" si="1109"/>
        <v>0.15740740740740738</v>
      </c>
      <c r="AT175" s="13">
        <f t="shared" si="1117"/>
        <v>600</v>
      </c>
      <c r="AU175" s="13">
        <f t="shared" si="1117"/>
        <v>600</v>
      </c>
      <c r="AV175" s="13">
        <f t="shared" si="1117"/>
        <v>600</v>
      </c>
      <c r="AW175" s="13">
        <f t="shared" si="1117"/>
        <v>600</v>
      </c>
      <c r="AX175" s="13">
        <f t="shared" si="1117"/>
        <v>600</v>
      </c>
      <c r="AY175" s="13">
        <f t="shared" si="1117"/>
        <v>600</v>
      </c>
      <c r="AZ175" s="13">
        <f t="shared" si="1117"/>
        <v>600</v>
      </c>
      <c r="BA175" s="13">
        <f t="shared" si="1117"/>
        <v>600</v>
      </c>
      <c r="BB175" s="13">
        <f t="shared" si="1117"/>
        <v>600</v>
      </c>
      <c r="BC175" s="13">
        <f t="shared" si="916"/>
        <v>600</v>
      </c>
      <c r="BD175" s="13">
        <f t="shared" si="986"/>
        <v>600</v>
      </c>
      <c r="BE175" s="13">
        <f t="shared" si="1026"/>
        <v>600</v>
      </c>
      <c r="BF175" s="13">
        <f t="shared" si="1053"/>
        <v>600</v>
      </c>
      <c r="BG175" s="13">
        <f t="shared" si="1087"/>
        <v>600</v>
      </c>
      <c r="BH175" s="13">
        <f t="shared" si="1077"/>
        <v>-2186218746.9449234</v>
      </c>
      <c r="BI175" s="13">
        <f t="shared" si="1078"/>
        <v>-2188295545.9767208</v>
      </c>
      <c r="BJ175" s="13">
        <f t="shared" si="1079"/>
        <v>-2194157896.2080474</v>
      </c>
      <c r="BK175" s="13">
        <f t="shared" si="1088"/>
        <v>650</v>
      </c>
      <c r="BL175" s="13">
        <f t="shared" si="1054"/>
        <v>650</v>
      </c>
      <c r="BM175" s="13">
        <f t="shared" si="1032"/>
        <v>650</v>
      </c>
      <c r="BN175" s="13">
        <f t="shared" si="994"/>
        <v>650</v>
      </c>
      <c r="BO175" s="13">
        <f t="shared" si="928"/>
        <v>650</v>
      </c>
      <c r="BP175" s="13">
        <f t="shared" si="1118"/>
        <v>650</v>
      </c>
      <c r="BQ175" s="13">
        <f t="shared" si="1118"/>
        <v>650</v>
      </c>
      <c r="BR175" s="13">
        <f t="shared" si="1118"/>
        <v>650</v>
      </c>
      <c r="BS175" s="13">
        <f t="shared" si="1118"/>
        <v>650</v>
      </c>
      <c r="BT175" s="13">
        <f t="shared" si="1118"/>
        <v>650</v>
      </c>
      <c r="BU175" s="13">
        <f t="shared" si="1118"/>
        <v>650</v>
      </c>
      <c r="BV175" s="13">
        <f t="shared" si="1118"/>
        <v>650</v>
      </c>
      <c r="BW175" s="13">
        <f t="shared" si="1118"/>
        <v>650</v>
      </c>
      <c r="BX175" s="13">
        <f t="shared" si="1118"/>
        <v>650</v>
      </c>
      <c r="BY175" s="25">
        <v>18</v>
      </c>
      <c r="BZ175" s="26">
        <f t="shared" si="1110"/>
        <v>0.15740740740740738</v>
      </c>
      <c r="CC175" s="84"/>
      <c r="CD175" s="85"/>
      <c r="CE175" s="25">
        <v>18</v>
      </c>
      <c r="CF175" s="26">
        <f t="shared" si="1111"/>
        <v>0.15740740740740738</v>
      </c>
      <c r="CG175" s="13">
        <f t="shared" si="1119"/>
        <v>600</v>
      </c>
      <c r="CH175" s="13">
        <f t="shared" si="1119"/>
        <v>600</v>
      </c>
      <c r="CI175" s="13">
        <f t="shared" si="1119"/>
        <v>600</v>
      </c>
      <c r="CJ175" s="13">
        <f t="shared" si="1119"/>
        <v>600</v>
      </c>
      <c r="CK175" s="13">
        <f t="shared" si="1119"/>
        <v>600</v>
      </c>
      <c r="CL175" s="13">
        <f t="shared" si="1119"/>
        <v>600</v>
      </c>
      <c r="CM175" s="13">
        <f t="shared" si="1119"/>
        <v>600</v>
      </c>
      <c r="CN175" s="13">
        <f t="shared" si="1119"/>
        <v>600</v>
      </c>
      <c r="CO175" s="13">
        <f t="shared" si="1119"/>
        <v>600</v>
      </c>
      <c r="CP175" s="13">
        <f t="shared" si="929"/>
        <v>600</v>
      </c>
      <c r="CQ175" s="13">
        <f t="shared" si="995"/>
        <v>600</v>
      </c>
      <c r="CR175" s="13">
        <f t="shared" si="1033"/>
        <v>600</v>
      </c>
      <c r="CS175" s="13">
        <f t="shared" si="1055"/>
        <v>600</v>
      </c>
      <c r="CT175" s="13">
        <f t="shared" si="1089"/>
        <v>600</v>
      </c>
      <c r="CU175" s="13">
        <f t="shared" si="1090"/>
        <v>0.11667843062533659</v>
      </c>
      <c r="CV175" s="13">
        <f t="shared" si="1091"/>
        <v>0.11667843062533659</v>
      </c>
      <c r="CW175" s="13">
        <f t="shared" si="1092"/>
        <v>0.11667843062533659</v>
      </c>
      <c r="CX175" s="13">
        <f t="shared" si="1093"/>
        <v>650</v>
      </c>
      <c r="CY175" s="13">
        <f t="shared" si="1061"/>
        <v>650</v>
      </c>
      <c r="CZ175" s="13">
        <f t="shared" si="1041"/>
        <v>650</v>
      </c>
      <c r="DA175" s="13">
        <f t="shared" si="1005"/>
        <v>650</v>
      </c>
      <c r="DB175" s="13">
        <f t="shared" si="941"/>
        <v>650</v>
      </c>
      <c r="DC175" s="13">
        <f t="shared" si="1120"/>
        <v>650</v>
      </c>
      <c r="DD175" s="13">
        <f t="shared" si="1120"/>
        <v>650</v>
      </c>
      <c r="DE175" s="13">
        <f t="shared" si="1120"/>
        <v>650</v>
      </c>
      <c r="DF175" s="13">
        <f t="shared" si="1120"/>
        <v>650</v>
      </c>
      <c r="DG175" s="13">
        <f t="shared" si="1120"/>
        <v>650</v>
      </c>
      <c r="DH175" s="13">
        <f t="shared" si="1120"/>
        <v>650</v>
      </c>
      <c r="DI175" s="13">
        <f t="shared" si="1120"/>
        <v>650</v>
      </c>
      <c r="DJ175" s="13">
        <f t="shared" si="1120"/>
        <v>650</v>
      </c>
      <c r="DK175" s="13">
        <f t="shared" si="1120"/>
        <v>650</v>
      </c>
      <c r="DL175" s="25">
        <v>18</v>
      </c>
      <c r="DM175" s="26">
        <f t="shared" si="1112"/>
        <v>0.15740740740740738</v>
      </c>
      <c r="DQ175" s="84"/>
      <c r="DR175" s="85"/>
      <c r="DS175" s="25">
        <v>18</v>
      </c>
      <c r="DT175" s="26">
        <f t="shared" si="1113"/>
        <v>0.15740740740740738</v>
      </c>
      <c r="DU175" s="13">
        <f t="shared" si="1121"/>
        <v>600</v>
      </c>
      <c r="DV175" s="13">
        <f t="shared" si="1121"/>
        <v>600</v>
      </c>
      <c r="DW175" s="13">
        <f t="shared" si="1121"/>
        <v>600</v>
      </c>
      <c r="DX175" s="13">
        <f t="shared" si="1121"/>
        <v>600</v>
      </c>
      <c r="DY175" s="13">
        <f t="shared" si="1121"/>
        <v>600</v>
      </c>
      <c r="DZ175" s="13">
        <f t="shared" si="1121"/>
        <v>600</v>
      </c>
      <c r="EA175" s="13">
        <f t="shared" si="1121"/>
        <v>600</v>
      </c>
      <c r="EB175" s="13">
        <f t="shared" si="1121"/>
        <v>600</v>
      </c>
      <c r="EC175" s="13">
        <f t="shared" si="1121"/>
        <v>600</v>
      </c>
      <c r="ED175" s="13">
        <f t="shared" si="942"/>
        <v>600</v>
      </c>
      <c r="EE175" s="13">
        <f t="shared" si="1006"/>
        <v>600</v>
      </c>
      <c r="EF175" s="13">
        <f t="shared" si="1042"/>
        <v>600</v>
      </c>
      <c r="EG175" s="13">
        <f t="shared" si="1062"/>
        <v>600</v>
      </c>
      <c r="EH175" s="13">
        <f t="shared" si="1094"/>
        <v>600</v>
      </c>
      <c r="EI175" s="13">
        <f t="shared" si="1095"/>
        <v>538.251529759802</v>
      </c>
      <c r="EJ175" s="13">
        <f t="shared" si="1096"/>
        <v>538.76349378705436</v>
      </c>
      <c r="EK175" s="13">
        <f t="shared" si="1097"/>
        <v>540.20648564231874</v>
      </c>
      <c r="EL175" s="13">
        <f t="shared" si="1098"/>
        <v>650</v>
      </c>
      <c r="EM175" s="13">
        <f t="shared" si="1068"/>
        <v>650</v>
      </c>
      <c r="EN175" s="13">
        <f t="shared" si="1050"/>
        <v>650</v>
      </c>
      <c r="EO175" s="13">
        <f t="shared" si="1016"/>
        <v>650</v>
      </c>
      <c r="EP175" s="13">
        <f t="shared" si="954"/>
        <v>650</v>
      </c>
      <c r="EQ175" s="13">
        <f t="shared" si="1122"/>
        <v>650</v>
      </c>
      <c r="ER175" s="13">
        <f t="shared" si="1122"/>
        <v>650</v>
      </c>
      <c r="ES175" s="13">
        <f t="shared" si="1122"/>
        <v>650</v>
      </c>
      <c r="ET175" s="13">
        <f t="shared" si="1122"/>
        <v>650</v>
      </c>
      <c r="EU175" s="13">
        <f t="shared" si="1122"/>
        <v>650</v>
      </c>
      <c r="EV175" s="13">
        <f t="shared" si="1122"/>
        <v>650</v>
      </c>
      <c r="EW175" s="13">
        <f t="shared" si="1122"/>
        <v>650</v>
      </c>
      <c r="EX175" s="13">
        <f t="shared" si="1122"/>
        <v>650</v>
      </c>
      <c r="EY175" s="13">
        <f t="shared" si="1122"/>
        <v>650</v>
      </c>
      <c r="EZ175" s="25">
        <v>18</v>
      </c>
      <c r="FA175" s="26">
        <f t="shared" si="1114"/>
        <v>0.15740740740740738</v>
      </c>
    </row>
    <row r="176" spans="3:157" ht="15" customHeight="1" x14ac:dyDescent="0.25">
      <c r="C176" s="84"/>
      <c r="D176" s="85"/>
      <c r="E176" s="25">
        <v>17</v>
      </c>
      <c r="F176" s="26">
        <f t="shared" si="1107"/>
        <v>0.14814814814814814</v>
      </c>
      <c r="G176" s="13">
        <f t="shared" si="1115"/>
        <v>600</v>
      </c>
      <c r="H176" s="13">
        <f t="shared" si="1115"/>
        <v>600</v>
      </c>
      <c r="I176" s="13">
        <f t="shared" si="1115"/>
        <v>600</v>
      </c>
      <c r="J176" s="13">
        <f t="shared" si="1115"/>
        <v>600</v>
      </c>
      <c r="K176" s="13">
        <f t="shared" si="1115"/>
        <v>600</v>
      </c>
      <c r="L176" s="13">
        <f t="shared" si="1115"/>
        <v>600</v>
      </c>
      <c r="M176" s="13">
        <f t="shared" si="1115"/>
        <v>600</v>
      </c>
      <c r="N176" s="13">
        <f t="shared" si="1115"/>
        <v>600</v>
      </c>
      <c r="O176" s="13">
        <f t="shared" si="1115"/>
        <v>600</v>
      </c>
      <c r="P176" s="13">
        <f t="shared" si="914"/>
        <v>600</v>
      </c>
      <c r="Q176" s="13">
        <f t="shared" si="975"/>
        <v>600</v>
      </c>
      <c r="R176" s="13">
        <f t="shared" si="1017"/>
        <v>600</v>
      </c>
      <c r="S176" s="13">
        <f t="shared" si="1051"/>
        <v>600</v>
      </c>
      <c r="T176" s="13">
        <f t="shared" si="1085"/>
        <v>600</v>
      </c>
      <c r="U176" s="13">
        <f t="shared" si="1071"/>
        <v>608.91384502608753</v>
      </c>
      <c r="V176" s="13">
        <f t="shared" si="1072"/>
        <v>609.52254113968002</v>
      </c>
      <c r="W176" s="13">
        <f t="shared" si="1073"/>
        <v>611.11145410578126</v>
      </c>
      <c r="X176" s="13">
        <f t="shared" si="1086"/>
        <v>650</v>
      </c>
      <c r="Y176" s="13">
        <f t="shared" si="1052"/>
        <v>650</v>
      </c>
      <c r="Z176" s="13">
        <f t="shared" si="1025"/>
        <v>650</v>
      </c>
      <c r="AA176" s="13">
        <f t="shared" si="985"/>
        <v>650</v>
      </c>
      <c r="AB176" s="13">
        <f t="shared" si="915"/>
        <v>650</v>
      </c>
      <c r="AC176" s="13">
        <f t="shared" si="1116"/>
        <v>650</v>
      </c>
      <c r="AD176" s="13">
        <f t="shared" si="1116"/>
        <v>650</v>
      </c>
      <c r="AE176" s="13">
        <f t="shared" si="1116"/>
        <v>650</v>
      </c>
      <c r="AF176" s="13">
        <f t="shared" si="1116"/>
        <v>650</v>
      </c>
      <c r="AG176" s="13">
        <f t="shared" si="1116"/>
        <v>650</v>
      </c>
      <c r="AH176" s="13">
        <f t="shared" si="1116"/>
        <v>650</v>
      </c>
      <c r="AI176" s="13">
        <f t="shared" si="1116"/>
        <v>650</v>
      </c>
      <c r="AJ176" s="13">
        <f t="shared" si="1116"/>
        <v>650</v>
      </c>
      <c r="AK176" s="13">
        <f t="shared" si="1116"/>
        <v>650</v>
      </c>
      <c r="AL176" s="25">
        <v>17</v>
      </c>
      <c r="AM176" s="26">
        <f t="shared" si="1108"/>
        <v>0.14814814814814814</v>
      </c>
      <c r="AP176" s="87"/>
      <c r="AQ176" s="86"/>
      <c r="AR176" s="25">
        <v>17</v>
      </c>
      <c r="AS176" s="26">
        <f t="shared" si="1109"/>
        <v>0.14814814814814814</v>
      </c>
      <c r="AT176" s="13">
        <f t="shared" si="1117"/>
        <v>600</v>
      </c>
      <c r="AU176" s="13">
        <f t="shared" si="1117"/>
        <v>600</v>
      </c>
      <c r="AV176" s="13">
        <f t="shared" si="1117"/>
        <v>600</v>
      </c>
      <c r="AW176" s="13">
        <f t="shared" si="1117"/>
        <v>600</v>
      </c>
      <c r="AX176" s="13">
        <f t="shared" si="1117"/>
        <v>600</v>
      </c>
      <c r="AY176" s="13">
        <f t="shared" si="1117"/>
        <v>600</v>
      </c>
      <c r="AZ176" s="13">
        <f t="shared" si="1117"/>
        <v>600</v>
      </c>
      <c r="BA176" s="13">
        <f t="shared" si="1117"/>
        <v>600</v>
      </c>
      <c r="BB176" s="13">
        <f t="shared" si="1117"/>
        <v>600</v>
      </c>
      <c r="BC176" s="13">
        <f t="shared" si="916"/>
        <v>600</v>
      </c>
      <c r="BD176" s="13">
        <f t="shared" si="986"/>
        <v>600</v>
      </c>
      <c r="BE176" s="13">
        <f t="shared" si="1026"/>
        <v>600</v>
      </c>
      <c r="BF176" s="13">
        <f t="shared" si="1053"/>
        <v>600</v>
      </c>
      <c r="BG176" s="13">
        <f t="shared" si="1087"/>
        <v>600</v>
      </c>
      <c r="BH176" s="13">
        <f t="shared" si="1077"/>
        <v>-2184955975.8906074</v>
      </c>
      <c r="BI176" s="13">
        <f t="shared" si="1078"/>
        <v>-2187005279.1241536</v>
      </c>
      <c r="BJ176" s="13">
        <f t="shared" si="1079"/>
        <v>-2192877586.6668653</v>
      </c>
      <c r="BK176" s="13">
        <f t="shared" si="1088"/>
        <v>650</v>
      </c>
      <c r="BL176" s="13">
        <f t="shared" si="1054"/>
        <v>650</v>
      </c>
      <c r="BM176" s="13">
        <f t="shared" si="1032"/>
        <v>650</v>
      </c>
      <c r="BN176" s="13">
        <f t="shared" si="994"/>
        <v>650</v>
      </c>
      <c r="BO176" s="13">
        <f t="shared" si="928"/>
        <v>650</v>
      </c>
      <c r="BP176" s="13">
        <f t="shared" si="1118"/>
        <v>650</v>
      </c>
      <c r="BQ176" s="13">
        <f t="shared" si="1118"/>
        <v>650</v>
      </c>
      <c r="BR176" s="13">
        <f t="shared" si="1118"/>
        <v>650</v>
      </c>
      <c r="BS176" s="13">
        <f t="shared" si="1118"/>
        <v>650</v>
      </c>
      <c r="BT176" s="13">
        <f t="shared" si="1118"/>
        <v>650</v>
      </c>
      <c r="BU176" s="13">
        <f t="shared" si="1118"/>
        <v>650</v>
      </c>
      <c r="BV176" s="13">
        <f t="shared" si="1118"/>
        <v>650</v>
      </c>
      <c r="BW176" s="13">
        <f t="shared" si="1118"/>
        <v>650</v>
      </c>
      <c r="BX176" s="13">
        <f t="shared" si="1118"/>
        <v>650</v>
      </c>
      <c r="BY176" s="25">
        <v>17</v>
      </c>
      <c r="BZ176" s="26">
        <f t="shared" si="1110"/>
        <v>0.14814814814814814</v>
      </c>
      <c r="CC176" s="84"/>
      <c r="CD176" s="85"/>
      <c r="CE176" s="25">
        <v>17</v>
      </c>
      <c r="CF176" s="26">
        <f t="shared" si="1111"/>
        <v>0.14814814814814814</v>
      </c>
      <c r="CG176" s="13">
        <f t="shared" si="1119"/>
        <v>600</v>
      </c>
      <c r="CH176" s="13">
        <f t="shared" si="1119"/>
        <v>600</v>
      </c>
      <c r="CI176" s="13">
        <f t="shared" si="1119"/>
        <v>600</v>
      </c>
      <c r="CJ176" s="13">
        <f t="shared" si="1119"/>
        <v>600</v>
      </c>
      <c r="CK176" s="13">
        <f t="shared" si="1119"/>
        <v>600</v>
      </c>
      <c r="CL176" s="13">
        <f t="shared" si="1119"/>
        <v>600</v>
      </c>
      <c r="CM176" s="13">
        <f t="shared" si="1119"/>
        <v>600</v>
      </c>
      <c r="CN176" s="13">
        <f t="shared" si="1119"/>
        <v>600</v>
      </c>
      <c r="CO176" s="13">
        <f t="shared" si="1119"/>
        <v>600</v>
      </c>
      <c r="CP176" s="13">
        <f t="shared" si="929"/>
        <v>600</v>
      </c>
      <c r="CQ176" s="13">
        <f t="shared" si="995"/>
        <v>600</v>
      </c>
      <c r="CR176" s="13">
        <f t="shared" si="1033"/>
        <v>600</v>
      </c>
      <c r="CS176" s="13">
        <f t="shared" si="1055"/>
        <v>600</v>
      </c>
      <c r="CT176" s="13">
        <f t="shared" si="1089"/>
        <v>600</v>
      </c>
      <c r="CU176" s="13">
        <f t="shared" si="1090"/>
        <v>0.11667843062533659</v>
      </c>
      <c r="CV176" s="13">
        <f t="shared" si="1091"/>
        <v>0.11667843062533659</v>
      </c>
      <c r="CW176" s="13">
        <f t="shared" si="1092"/>
        <v>0.11667843062533659</v>
      </c>
      <c r="CX176" s="13">
        <f t="shared" si="1093"/>
        <v>650</v>
      </c>
      <c r="CY176" s="13">
        <f t="shared" si="1061"/>
        <v>650</v>
      </c>
      <c r="CZ176" s="13">
        <f t="shared" si="1041"/>
        <v>650</v>
      </c>
      <c r="DA176" s="13">
        <f t="shared" si="1005"/>
        <v>650</v>
      </c>
      <c r="DB176" s="13">
        <f t="shared" si="941"/>
        <v>650</v>
      </c>
      <c r="DC176" s="13">
        <f t="shared" si="1120"/>
        <v>650</v>
      </c>
      <c r="DD176" s="13">
        <f t="shared" si="1120"/>
        <v>650</v>
      </c>
      <c r="DE176" s="13">
        <f t="shared" si="1120"/>
        <v>650</v>
      </c>
      <c r="DF176" s="13">
        <f t="shared" si="1120"/>
        <v>650</v>
      </c>
      <c r="DG176" s="13">
        <f t="shared" si="1120"/>
        <v>650</v>
      </c>
      <c r="DH176" s="13">
        <f t="shared" si="1120"/>
        <v>650</v>
      </c>
      <c r="DI176" s="13">
        <f t="shared" si="1120"/>
        <v>650</v>
      </c>
      <c r="DJ176" s="13">
        <f t="shared" si="1120"/>
        <v>650</v>
      </c>
      <c r="DK176" s="13">
        <f t="shared" si="1120"/>
        <v>650</v>
      </c>
      <c r="DL176" s="25">
        <v>17</v>
      </c>
      <c r="DM176" s="26">
        <f t="shared" si="1112"/>
        <v>0.14814814814814814</v>
      </c>
      <c r="DQ176" s="84"/>
      <c r="DR176" s="85"/>
      <c r="DS176" s="25">
        <v>17</v>
      </c>
      <c r="DT176" s="26">
        <f t="shared" si="1113"/>
        <v>0.14814814814814814</v>
      </c>
      <c r="DU176" s="13">
        <f t="shared" si="1121"/>
        <v>600</v>
      </c>
      <c r="DV176" s="13">
        <f t="shared" si="1121"/>
        <v>600</v>
      </c>
      <c r="DW176" s="13">
        <f t="shared" si="1121"/>
        <v>600</v>
      </c>
      <c r="DX176" s="13">
        <f t="shared" si="1121"/>
        <v>600</v>
      </c>
      <c r="DY176" s="13">
        <f t="shared" si="1121"/>
        <v>600</v>
      </c>
      <c r="DZ176" s="13">
        <f t="shared" si="1121"/>
        <v>600</v>
      </c>
      <c r="EA176" s="13">
        <f t="shared" si="1121"/>
        <v>600</v>
      </c>
      <c r="EB176" s="13">
        <f t="shared" si="1121"/>
        <v>600</v>
      </c>
      <c r="EC176" s="13">
        <f t="shared" si="1121"/>
        <v>600</v>
      </c>
      <c r="ED176" s="13">
        <f t="shared" si="942"/>
        <v>600</v>
      </c>
      <c r="EE176" s="13">
        <f t="shared" si="1006"/>
        <v>600</v>
      </c>
      <c r="EF176" s="13">
        <f t="shared" si="1042"/>
        <v>600</v>
      </c>
      <c r="EG176" s="13">
        <f t="shared" si="1062"/>
        <v>600</v>
      </c>
      <c r="EH176" s="13">
        <f t="shared" si="1094"/>
        <v>600</v>
      </c>
      <c r="EI176" s="13">
        <f t="shared" si="1095"/>
        <v>537.94927348041585</v>
      </c>
      <c r="EJ176" s="13">
        <f t="shared" si="1096"/>
        <v>538.45465612646717</v>
      </c>
      <c r="EK176" s="13">
        <f t="shared" si="1097"/>
        <v>539.90003135905204</v>
      </c>
      <c r="EL176" s="13">
        <f t="shared" si="1098"/>
        <v>650</v>
      </c>
      <c r="EM176" s="13">
        <f t="shared" si="1068"/>
        <v>650</v>
      </c>
      <c r="EN176" s="13">
        <f t="shared" si="1050"/>
        <v>650</v>
      </c>
      <c r="EO176" s="13">
        <f t="shared" si="1016"/>
        <v>650</v>
      </c>
      <c r="EP176" s="13">
        <f t="shared" si="954"/>
        <v>650</v>
      </c>
      <c r="EQ176" s="13">
        <f t="shared" si="1122"/>
        <v>650</v>
      </c>
      <c r="ER176" s="13">
        <f t="shared" si="1122"/>
        <v>650</v>
      </c>
      <c r="ES176" s="13">
        <f t="shared" si="1122"/>
        <v>650</v>
      </c>
      <c r="ET176" s="13">
        <f t="shared" si="1122"/>
        <v>650</v>
      </c>
      <c r="EU176" s="13">
        <f t="shared" si="1122"/>
        <v>650</v>
      </c>
      <c r="EV176" s="13">
        <f t="shared" si="1122"/>
        <v>650</v>
      </c>
      <c r="EW176" s="13">
        <f t="shared" si="1122"/>
        <v>650</v>
      </c>
      <c r="EX176" s="13">
        <f t="shared" si="1122"/>
        <v>650</v>
      </c>
      <c r="EY176" s="13">
        <f t="shared" si="1122"/>
        <v>650</v>
      </c>
      <c r="EZ176" s="25">
        <v>17</v>
      </c>
      <c r="FA176" s="26">
        <f t="shared" si="1114"/>
        <v>0.14814814814814814</v>
      </c>
    </row>
    <row r="177" spans="3:157" ht="15" customHeight="1" x14ac:dyDescent="0.25">
      <c r="C177" s="84"/>
      <c r="D177" s="85"/>
      <c r="E177" s="25">
        <v>16</v>
      </c>
      <c r="F177" s="26">
        <f t="shared" si="1107"/>
        <v>0.1388888888888889</v>
      </c>
      <c r="G177" s="13">
        <f t="shared" si="1115"/>
        <v>600</v>
      </c>
      <c r="H177" s="13">
        <f t="shared" si="1115"/>
        <v>600</v>
      </c>
      <c r="I177" s="13">
        <f t="shared" si="1115"/>
        <v>600</v>
      </c>
      <c r="J177" s="13">
        <f t="shared" si="1115"/>
        <v>600</v>
      </c>
      <c r="K177" s="13">
        <f t="shared" si="1115"/>
        <v>600</v>
      </c>
      <c r="L177" s="13">
        <f t="shared" si="1115"/>
        <v>600</v>
      </c>
      <c r="M177" s="13">
        <f t="shared" si="1115"/>
        <v>600</v>
      </c>
      <c r="N177" s="13">
        <f t="shared" si="1115"/>
        <v>600</v>
      </c>
      <c r="O177" s="13">
        <f t="shared" si="1115"/>
        <v>600</v>
      </c>
      <c r="P177" s="13">
        <f t="shared" si="914"/>
        <v>600</v>
      </c>
      <c r="Q177" s="13">
        <f t="shared" si="975"/>
        <v>600</v>
      </c>
      <c r="R177" s="13">
        <f t="shared" si="1017"/>
        <v>600</v>
      </c>
      <c r="S177" s="13">
        <f t="shared" si="1051"/>
        <v>600</v>
      </c>
      <c r="T177" s="13">
        <f>($F$5*$B$5*T49+$F$4*T114)/($F$4+$F$5*$B$5)</f>
        <v>605.42476915506631</v>
      </c>
      <c r="U177" s="13">
        <f t="shared" si="1071"/>
        <v>608.20642826045878</v>
      </c>
      <c r="V177" s="13">
        <f t="shared" si="1072"/>
        <v>609.09188298407344</v>
      </c>
      <c r="W177" s="13">
        <f t="shared" si="1073"/>
        <v>610.32208236837369</v>
      </c>
      <c r="X177" s="13">
        <f t="shared" ref="X177" si="1123">($F$5*$B$5*X49+$F$4*X114)/($F$4+$F$5*$B$5)</f>
        <v>612.0815370623643</v>
      </c>
      <c r="Y177" s="13">
        <f t="shared" si="1052"/>
        <v>650</v>
      </c>
      <c r="Z177" s="13">
        <f t="shared" si="1025"/>
        <v>650</v>
      </c>
      <c r="AA177" s="13">
        <f t="shared" si="985"/>
        <v>650</v>
      </c>
      <c r="AB177" s="13">
        <f t="shared" si="915"/>
        <v>650</v>
      </c>
      <c r="AC177" s="13">
        <f t="shared" si="1116"/>
        <v>650</v>
      </c>
      <c r="AD177" s="13">
        <f t="shared" si="1116"/>
        <v>650</v>
      </c>
      <c r="AE177" s="13">
        <f t="shared" si="1116"/>
        <v>650</v>
      </c>
      <c r="AF177" s="13">
        <f t="shared" si="1116"/>
        <v>650</v>
      </c>
      <c r="AG177" s="13">
        <f t="shared" si="1116"/>
        <v>650</v>
      </c>
      <c r="AH177" s="13">
        <f t="shared" si="1116"/>
        <v>650</v>
      </c>
      <c r="AI177" s="13">
        <f t="shared" si="1116"/>
        <v>650</v>
      </c>
      <c r="AJ177" s="13">
        <f t="shared" si="1116"/>
        <v>650</v>
      </c>
      <c r="AK177" s="13">
        <f t="shared" si="1116"/>
        <v>650</v>
      </c>
      <c r="AL177" s="25">
        <v>16</v>
      </c>
      <c r="AM177" s="26">
        <f t="shared" si="1108"/>
        <v>0.1388888888888889</v>
      </c>
      <c r="AP177" s="87"/>
      <c r="AQ177" s="86"/>
      <c r="AR177" s="25">
        <v>16</v>
      </c>
      <c r="AS177" s="26">
        <f t="shared" si="1109"/>
        <v>0.1388888888888889</v>
      </c>
      <c r="AT177" s="13">
        <f t="shared" si="1117"/>
        <v>600</v>
      </c>
      <c r="AU177" s="13">
        <f t="shared" si="1117"/>
        <v>600</v>
      </c>
      <c r="AV177" s="13">
        <f t="shared" si="1117"/>
        <v>600</v>
      </c>
      <c r="AW177" s="13">
        <f t="shared" si="1117"/>
        <v>600</v>
      </c>
      <c r="AX177" s="13">
        <f t="shared" si="1117"/>
        <v>600</v>
      </c>
      <c r="AY177" s="13">
        <f t="shared" si="1117"/>
        <v>600</v>
      </c>
      <c r="AZ177" s="13">
        <f t="shared" si="1117"/>
        <v>600</v>
      </c>
      <c r="BA177" s="13">
        <f t="shared" si="1117"/>
        <v>600</v>
      </c>
      <c r="BB177" s="13">
        <f t="shared" si="1117"/>
        <v>600</v>
      </c>
      <c r="BC177" s="13">
        <f t="shared" si="916"/>
        <v>600</v>
      </c>
      <c r="BD177" s="13">
        <f t="shared" si="986"/>
        <v>600</v>
      </c>
      <c r="BE177" s="13">
        <f t="shared" si="1026"/>
        <v>600</v>
      </c>
      <c r="BF177" s="13">
        <f t="shared" si="1053"/>
        <v>600</v>
      </c>
      <c r="BG177" s="52"/>
      <c r="BH177" s="13">
        <f t="shared" si="1077"/>
        <v>-2182965127.4876661</v>
      </c>
      <c r="BI177" s="13">
        <f t="shared" si="1078"/>
        <v>-2186287584.6481786</v>
      </c>
      <c r="BJ177" s="13">
        <f t="shared" si="1079"/>
        <v>-2190537514.3775969</v>
      </c>
      <c r="BK177" s="52"/>
      <c r="BL177" s="13">
        <f t="shared" si="1054"/>
        <v>650</v>
      </c>
      <c r="BM177" s="13">
        <f t="shared" si="1032"/>
        <v>650</v>
      </c>
      <c r="BN177" s="13">
        <f t="shared" si="994"/>
        <v>650</v>
      </c>
      <c r="BO177" s="13">
        <f t="shared" si="928"/>
        <v>650</v>
      </c>
      <c r="BP177" s="13">
        <f t="shared" si="1118"/>
        <v>650</v>
      </c>
      <c r="BQ177" s="13">
        <f t="shared" si="1118"/>
        <v>650</v>
      </c>
      <c r="BR177" s="13">
        <f t="shared" si="1118"/>
        <v>650</v>
      </c>
      <c r="BS177" s="13">
        <f t="shared" si="1118"/>
        <v>650</v>
      </c>
      <c r="BT177" s="13">
        <f t="shared" si="1118"/>
        <v>650</v>
      </c>
      <c r="BU177" s="13">
        <f t="shared" si="1118"/>
        <v>650</v>
      </c>
      <c r="BV177" s="13">
        <f t="shared" si="1118"/>
        <v>650</v>
      </c>
      <c r="BW177" s="13">
        <f t="shared" si="1118"/>
        <v>650</v>
      </c>
      <c r="BX177" s="13">
        <f t="shared" si="1118"/>
        <v>650</v>
      </c>
      <c r="BY177" s="25">
        <v>16</v>
      </c>
      <c r="BZ177" s="26">
        <f t="shared" si="1110"/>
        <v>0.1388888888888889</v>
      </c>
      <c r="CC177" s="84"/>
      <c r="CD177" s="85"/>
      <c r="CE177" s="25">
        <v>16</v>
      </c>
      <c r="CF177" s="26">
        <f t="shared" si="1111"/>
        <v>0.1388888888888889</v>
      </c>
      <c r="CG177" s="13">
        <f t="shared" si="1119"/>
        <v>600</v>
      </c>
      <c r="CH177" s="13">
        <f t="shared" si="1119"/>
        <v>600</v>
      </c>
      <c r="CI177" s="13">
        <f t="shared" si="1119"/>
        <v>600</v>
      </c>
      <c r="CJ177" s="13">
        <f t="shared" si="1119"/>
        <v>600</v>
      </c>
      <c r="CK177" s="13">
        <f t="shared" si="1119"/>
        <v>600</v>
      </c>
      <c r="CL177" s="13">
        <f t="shared" si="1119"/>
        <v>600</v>
      </c>
      <c r="CM177" s="13">
        <f t="shared" si="1119"/>
        <v>600</v>
      </c>
      <c r="CN177" s="13">
        <f t="shared" si="1119"/>
        <v>600</v>
      </c>
      <c r="CO177" s="13">
        <f t="shared" si="1119"/>
        <v>600</v>
      </c>
      <c r="CP177" s="13">
        <f t="shared" si="929"/>
        <v>600</v>
      </c>
      <c r="CQ177" s="13">
        <f t="shared" si="995"/>
        <v>600</v>
      </c>
      <c r="CR177" s="13">
        <f t="shared" si="1033"/>
        <v>600</v>
      </c>
      <c r="CS177" s="13">
        <f t="shared" si="1055"/>
        <v>600</v>
      </c>
      <c r="CT177" s="13">
        <v>0</v>
      </c>
      <c r="CU177" s="13">
        <f t="shared" si="1090"/>
        <v>0.11667843062533659</v>
      </c>
      <c r="CV177" s="13">
        <f t="shared" si="1091"/>
        <v>0.11667843062533659</v>
      </c>
      <c r="CW177" s="13">
        <f t="shared" si="1092"/>
        <v>0.11667843062533659</v>
      </c>
      <c r="CX177" s="13">
        <v>0</v>
      </c>
      <c r="CY177" s="13">
        <f t="shared" si="1061"/>
        <v>650</v>
      </c>
      <c r="CZ177" s="13">
        <f t="shared" si="1041"/>
        <v>650</v>
      </c>
      <c r="DA177" s="13">
        <f t="shared" si="1005"/>
        <v>650</v>
      </c>
      <c r="DB177" s="13">
        <f t="shared" si="941"/>
        <v>650</v>
      </c>
      <c r="DC177" s="13">
        <f t="shared" si="1120"/>
        <v>650</v>
      </c>
      <c r="DD177" s="13">
        <f t="shared" si="1120"/>
        <v>650</v>
      </c>
      <c r="DE177" s="13">
        <f t="shared" si="1120"/>
        <v>650</v>
      </c>
      <c r="DF177" s="13">
        <f t="shared" si="1120"/>
        <v>650</v>
      </c>
      <c r="DG177" s="13">
        <f t="shared" si="1120"/>
        <v>650</v>
      </c>
      <c r="DH177" s="13">
        <f t="shared" si="1120"/>
        <v>650</v>
      </c>
      <c r="DI177" s="13">
        <f t="shared" si="1120"/>
        <v>650</v>
      </c>
      <c r="DJ177" s="13">
        <f t="shared" si="1120"/>
        <v>650</v>
      </c>
      <c r="DK177" s="13">
        <f t="shared" si="1120"/>
        <v>650</v>
      </c>
      <c r="DL177" s="25">
        <v>16</v>
      </c>
      <c r="DM177" s="26">
        <f t="shared" si="1112"/>
        <v>0.1388888888888889</v>
      </c>
      <c r="DQ177" s="84"/>
      <c r="DR177" s="85"/>
      <c r="DS177" s="25">
        <v>16</v>
      </c>
      <c r="DT177" s="26">
        <f t="shared" si="1113"/>
        <v>0.1388888888888889</v>
      </c>
      <c r="DU177" s="13">
        <f t="shared" si="1121"/>
        <v>600</v>
      </c>
      <c r="DV177" s="13">
        <f t="shared" si="1121"/>
        <v>600</v>
      </c>
      <c r="DW177" s="13">
        <f t="shared" si="1121"/>
        <v>600</v>
      </c>
      <c r="DX177" s="13">
        <f t="shared" si="1121"/>
        <v>600</v>
      </c>
      <c r="DY177" s="13">
        <f t="shared" si="1121"/>
        <v>600</v>
      </c>
      <c r="DZ177" s="13">
        <f t="shared" si="1121"/>
        <v>600</v>
      </c>
      <c r="EA177" s="13">
        <f t="shared" si="1121"/>
        <v>600</v>
      </c>
      <c r="EB177" s="13">
        <f t="shared" si="1121"/>
        <v>600</v>
      </c>
      <c r="EC177" s="13">
        <f t="shared" si="1121"/>
        <v>600</v>
      </c>
      <c r="ED177" s="13">
        <f t="shared" si="942"/>
        <v>600</v>
      </c>
      <c r="EE177" s="13">
        <f t="shared" si="1006"/>
        <v>600</v>
      </c>
      <c r="EF177" s="13">
        <f t="shared" si="1042"/>
        <v>600</v>
      </c>
      <c r="EG177" s="13">
        <f t="shared" si="1062"/>
        <v>600</v>
      </c>
      <c r="EH177" s="13">
        <f t="shared" ref="EH177" si="1124">T177</f>
        <v>605.42476915506631</v>
      </c>
      <c r="EI177" s="13">
        <f t="shared" ref="EI177:EI192" si="1125">(EI176*$O$4-BH177)/($O$3-$O$4*CU176)</f>
        <v>537.48107096404556</v>
      </c>
      <c r="EJ177" s="13">
        <f t="shared" ref="EJ177:EJ192" si="1126">(EJ176*$O$4-BI177)/($O$3-$O$4*CV176)</f>
        <v>538.26254948890505</v>
      </c>
      <c r="EK177" s="13">
        <f t="shared" ref="EK177:EK192" si="1127">(EK176*$O$4-BJ177)/($O$3-$O$4*CW176)</f>
        <v>539.35539577642783</v>
      </c>
      <c r="EL177" s="13">
        <f t="shared" ref="EL177" si="1128">X177</f>
        <v>612.0815370623643</v>
      </c>
      <c r="EM177" s="13">
        <f t="shared" si="1068"/>
        <v>650</v>
      </c>
      <c r="EN177" s="13">
        <f t="shared" si="1050"/>
        <v>650</v>
      </c>
      <c r="EO177" s="13">
        <f t="shared" si="1016"/>
        <v>650</v>
      </c>
      <c r="EP177" s="13">
        <f t="shared" si="954"/>
        <v>650</v>
      </c>
      <c r="EQ177" s="13">
        <f t="shared" si="1122"/>
        <v>650</v>
      </c>
      <c r="ER177" s="13">
        <f t="shared" si="1122"/>
        <v>650</v>
      </c>
      <c r="ES177" s="13">
        <f t="shared" si="1122"/>
        <v>650</v>
      </c>
      <c r="ET177" s="13">
        <f t="shared" si="1122"/>
        <v>650</v>
      </c>
      <c r="EU177" s="13">
        <f t="shared" si="1122"/>
        <v>650</v>
      </c>
      <c r="EV177" s="13">
        <f t="shared" si="1122"/>
        <v>650</v>
      </c>
      <c r="EW177" s="13">
        <f t="shared" si="1122"/>
        <v>650</v>
      </c>
      <c r="EX177" s="13">
        <f t="shared" si="1122"/>
        <v>650</v>
      </c>
      <c r="EY177" s="13">
        <f t="shared" si="1122"/>
        <v>650</v>
      </c>
      <c r="EZ177" s="25">
        <v>16</v>
      </c>
      <c r="FA177" s="26">
        <f t="shared" si="1114"/>
        <v>0.1388888888888889</v>
      </c>
    </row>
    <row r="178" spans="3:157" ht="15" customHeight="1" x14ac:dyDescent="0.25">
      <c r="C178" s="84"/>
      <c r="D178" s="85"/>
      <c r="E178" s="25">
        <v>15</v>
      </c>
      <c r="F178" s="26">
        <f t="shared" si="1107"/>
        <v>0.12962962962962962</v>
      </c>
      <c r="G178" s="13">
        <f t="shared" ref="G178:O185" si="1129">$R$2</f>
        <v>600</v>
      </c>
      <c r="H178" s="13">
        <f t="shared" si="1129"/>
        <v>600</v>
      </c>
      <c r="I178" s="13">
        <f t="shared" si="1129"/>
        <v>600</v>
      </c>
      <c r="J178" s="13">
        <f t="shared" si="1129"/>
        <v>600</v>
      </c>
      <c r="K178" s="13">
        <f t="shared" si="1129"/>
        <v>600</v>
      </c>
      <c r="L178" s="13">
        <f t="shared" si="1129"/>
        <v>600</v>
      </c>
      <c r="M178" s="13">
        <f t="shared" si="1129"/>
        <v>600</v>
      </c>
      <c r="N178" s="13">
        <f t="shared" si="1129"/>
        <v>600</v>
      </c>
      <c r="O178" s="13">
        <f t="shared" si="1129"/>
        <v>600</v>
      </c>
      <c r="P178" s="13">
        <f t="shared" si="914"/>
        <v>600</v>
      </c>
      <c r="Q178" s="13">
        <f t="shared" si="975"/>
        <v>600</v>
      </c>
      <c r="R178" s="13">
        <f t="shared" si="1017"/>
        <v>600</v>
      </c>
      <c r="S178" s="13">
        <f t="shared" si="1051"/>
        <v>600</v>
      </c>
      <c r="T178" s="13">
        <f t="shared" ref="S178:T190" si="1130">CT178*T179+EH178</f>
        <v>605.28279693003526</v>
      </c>
      <c r="U178" s="13">
        <f t="shared" si="1071"/>
        <v>606.15622713951166</v>
      </c>
      <c r="V178" s="13">
        <f t="shared" si="1072"/>
        <v>607.04736184365436</v>
      </c>
      <c r="W178" s="13">
        <f t="shared" ref="W178:W181" si="1131">CW178*W179+EK178</f>
        <v>608.22455540069234</v>
      </c>
      <c r="X178" s="13">
        <f t="shared" si="1073"/>
        <v>609.7055486829139</v>
      </c>
      <c r="Y178" s="13">
        <f t="shared" si="1052"/>
        <v>650</v>
      </c>
      <c r="Z178" s="13">
        <f t="shared" si="1025"/>
        <v>650</v>
      </c>
      <c r="AA178" s="13">
        <f t="shared" si="985"/>
        <v>650</v>
      </c>
      <c r="AB178" s="13">
        <f t="shared" si="915"/>
        <v>650</v>
      </c>
      <c r="AC178" s="13">
        <f t="shared" ref="AC178:AK185" si="1132">$R$3</f>
        <v>650</v>
      </c>
      <c r="AD178" s="13">
        <f t="shared" si="1132"/>
        <v>650</v>
      </c>
      <c r="AE178" s="13">
        <f t="shared" si="1132"/>
        <v>650</v>
      </c>
      <c r="AF178" s="13">
        <f t="shared" si="1132"/>
        <v>650</v>
      </c>
      <c r="AG178" s="13">
        <f t="shared" si="1132"/>
        <v>650</v>
      </c>
      <c r="AH178" s="13">
        <f t="shared" si="1132"/>
        <v>650</v>
      </c>
      <c r="AI178" s="13">
        <f t="shared" si="1132"/>
        <v>650</v>
      </c>
      <c r="AJ178" s="13">
        <f t="shared" si="1132"/>
        <v>650</v>
      </c>
      <c r="AK178" s="13">
        <f t="shared" si="1132"/>
        <v>650</v>
      </c>
      <c r="AL178" s="25">
        <v>15</v>
      </c>
      <c r="AM178" s="26">
        <f t="shared" si="1108"/>
        <v>0.12962962962962962</v>
      </c>
      <c r="AP178" s="87"/>
      <c r="AQ178" s="86"/>
      <c r="AR178" s="25">
        <v>15</v>
      </c>
      <c r="AS178" s="26">
        <f t="shared" si="1109"/>
        <v>0.12962962962962962</v>
      </c>
      <c r="AT178" s="13">
        <f t="shared" ref="AT178:BB185" si="1133">$R$2</f>
        <v>600</v>
      </c>
      <c r="AU178" s="13">
        <f t="shared" si="1133"/>
        <v>600</v>
      </c>
      <c r="AV178" s="13">
        <f t="shared" si="1133"/>
        <v>600</v>
      </c>
      <c r="AW178" s="13">
        <f t="shared" si="1133"/>
        <v>600</v>
      </c>
      <c r="AX178" s="13">
        <f t="shared" si="1133"/>
        <v>600</v>
      </c>
      <c r="AY178" s="13">
        <f t="shared" si="1133"/>
        <v>600</v>
      </c>
      <c r="AZ178" s="13">
        <f t="shared" si="1133"/>
        <v>600</v>
      </c>
      <c r="BA178" s="13">
        <f t="shared" si="1133"/>
        <v>600</v>
      </c>
      <c r="BB178" s="13">
        <f t="shared" si="1133"/>
        <v>600</v>
      </c>
      <c r="BC178" s="13">
        <f t="shared" si="916"/>
        <v>600</v>
      </c>
      <c r="BD178" s="13">
        <f t="shared" si="986"/>
        <v>600</v>
      </c>
      <c r="BE178" s="13">
        <f t="shared" si="1026"/>
        <v>600</v>
      </c>
      <c r="BF178" s="13">
        <f t="shared" si="1053"/>
        <v>600</v>
      </c>
      <c r="BG178" s="13">
        <f t="shared" si="1077"/>
        <v>-2173392423.7126317</v>
      </c>
      <c r="BH178" s="13">
        <f t="shared" si="1077"/>
        <v>-2175675650.95818</v>
      </c>
      <c r="BI178" s="13">
        <f t="shared" si="1078"/>
        <v>-2178903079.9488492</v>
      </c>
      <c r="BJ178" s="13">
        <f t="shared" si="1079"/>
        <v>-2183104931.984683</v>
      </c>
      <c r="BK178" s="13">
        <f t="shared" ref="BK178:BK192" si="1134">-($F$3*$F$2)/$B$8*X114</f>
        <v>-2188261514.6887345</v>
      </c>
      <c r="BL178" s="13">
        <f t="shared" si="1054"/>
        <v>650</v>
      </c>
      <c r="BM178" s="13">
        <f t="shared" si="1032"/>
        <v>650</v>
      </c>
      <c r="BN178" s="13">
        <f t="shared" si="994"/>
        <v>650</v>
      </c>
      <c r="BO178" s="13">
        <f t="shared" si="928"/>
        <v>650</v>
      </c>
      <c r="BP178" s="13">
        <f t="shared" ref="BP178:BX185" si="1135">$R$3</f>
        <v>650</v>
      </c>
      <c r="BQ178" s="13">
        <f t="shared" si="1135"/>
        <v>650</v>
      </c>
      <c r="BR178" s="13">
        <f t="shared" si="1135"/>
        <v>650</v>
      </c>
      <c r="BS178" s="13">
        <f t="shared" si="1135"/>
        <v>650</v>
      </c>
      <c r="BT178" s="13">
        <f t="shared" si="1135"/>
        <v>650</v>
      </c>
      <c r="BU178" s="13">
        <f t="shared" si="1135"/>
        <v>650</v>
      </c>
      <c r="BV178" s="13">
        <f t="shared" si="1135"/>
        <v>650</v>
      </c>
      <c r="BW178" s="13">
        <f t="shared" si="1135"/>
        <v>650</v>
      </c>
      <c r="BX178" s="13">
        <f t="shared" si="1135"/>
        <v>650</v>
      </c>
      <c r="BY178" s="25">
        <v>15</v>
      </c>
      <c r="BZ178" s="26">
        <f t="shared" si="1110"/>
        <v>0.12962962962962962</v>
      </c>
      <c r="CC178" s="84"/>
      <c r="CD178" s="85"/>
      <c r="CE178" s="25">
        <v>15</v>
      </c>
      <c r="CF178" s="26">
        <f t="shared" si="1111"/>
        <v>0.12962962962962962</v>
      </c>
      <c r="CG178" s="13">
        <f t="shared" ref="CG178:CO185" si="1136">$R$2</f>
        <v>600</v>
      </c>
      <c r="CH178" s="13">
        <f t="shared" si="1136"/>
        <v>600</v>
      </c>
      <c r="CI178" s="13">
        <f t="shared" si="1136"/>
        <v>600</v>
      </c>
      <c r="CJ178" s="13">
        <f t="shared" si="1136"/>
        <v>600</v>
      </c>
      <c r="CK178" s="13">
        <f t="shared" si="1136"/>
        <v>600</v>
      </c>
      <c r="CL178" s="13">
        <f t="shared" si="1136"/>
        <v>600</v>
      </c>
      <c r="CM178" s="13">
        <f t="shared" si="1136"/>
        <v>600</v>
      </c>
      <c r="CN178" s="13">
        <f t="shared" si="1136"/>
        <v>600</v>
      </c>
      <c r="CO178" s="13">
        <f t="shared" si="1136"/>
        <v>600</v>
      </c>
      <c r="CP178" s="13">
        <f t="shared" si="929"/>
        <v>600</v>
      </c>
      <c r="CQ178" s="13">
        <f t="shared" si="995"/>
        <v>600</v>
      </c>
      <c r="CR178" s="13">
        <f t="shared" si="1033"/>
        <v>600</v>
      </c>
      <c r="CS178" s="13">
        <f t="shared" si="1055"/>
        <v>600</v>
      </c>
      <c r="CT178" s="13">
        <f t="shared" ref="CT178:CT179" si="1137">$O$2/($O$3-$O$4*CT177)</f>
        <v>0.11511132164850782</v>
      </c>
      <c r="CU178" s="13">
        <f t="shared" si="1090"/>
        <v>0.11667843062533659</v>
      </c>
      <c r="CV178" s="13">
        <f t="shared" si="1091"/>
        <v>0.11667843062533659</v>
      </c>
      <c r="CW178" s="13">
        <f t="shared" si="1092"/>
        <v>0.11667843062533659</v>
      </c>
      <c r="CX178" s="13">
        <f t="shared" ref="CX178:CX179" si="1138">$O$2/($O$3-$O$4*CX177)</f>
        <v>0.11511132164850782</v>
      </c>
      <c r="CY178" s="13">
        <f t="shared" si="1061"/>
        <v>650</v>
      </c>
      <c r="CZ178" s="13">
        <f t="shared" si="1041"/>
        <v>650</v>
      </c>
      <c r="DA178" s="13">
        <f t="shared" si="1005"/>
        <v>650</v>
      </c>
      <c r="DB178" s="13">
        <f t="shared" si="941"/>
        <v>650</v>
      </c>
      <c r="DC178" s="13">
        <f t="shared" ref="DC178:DK185" si="1139">$R$3</f>
        <v>650</v>
      </c>
      <c r="DD178" s="13">
        <f t="shared" si="1139"/>
        <v>650</v>
      </c>
      <c r="DE178" s="13">
        <f t="shared" si="1139"/>
        <v>650</v>
      </c>
      <c r="DF178" s="13">
        <f t="shared" si="1139"/>
        <v>650</v>
      </c>
      <c r="DG178" s="13">
        <f t="shared" si="1139"/>
        <v>650</v>
      </c>
      <c r="DH178" s="13">
        <f t="shared" si="1139"/>
        <v>650</v>
      </c>
      <c r="DI178" s="13">
        <f t="shared" si="1139"/>
        <v>650</v>
      </c>
      <c r="DJ178" s="13">
        <f t="shared" si="1139"/>
        <v>650</v>
      </c>
      <c r="DK178" s="13">
        <f t="shared" si="1139"/>
        <v>650</v>
      </c>
      <c r="DL178" s="25">
        <v>15</v>
      </c>
      <c r="DM178" s="26">
        <f t="shared" si="1112"/>
        <v>0.12962962962962962</v>
      </c>
      <c r="DQ178" s="84"/>
      <c r="DR178" s="85"/>
      <c r="DS178" s="25">
        <v>15</v>
      </c>
      <c r="DT178" s="26">
        <f t="shared" si="1113"/>
        <v>0.12962962962962962</v>
      </c>
      <c r="DU178" s="13">
        <f t="shared" ref="DU178:EC185" si="1140">$R$2</f>
        <v>600</v>
      </c>
      <c r="DV178" s="13">
        <f t="shared" si="1140"/>
        <v>600</v>
      </c>
      <c r="DW178" s="13">
        <f t="shared" si="1140"/>
        <v>600</v>
      </c>
      <c r="DX178" s="13">
        <f t="shared" si="1140"/>
        <v>600</v>
      </c>
      <c r="DY178" s="13">
        <f t="shared" si="1140"/>
        <v>600</v>
      </c>
      <c r="DZ178" s="13">
        <f t="shared" si="1140"/>
        <v>600</v>
      </c>
      <c r="EA178" s="13">
        <f t="shared" si="1140"/>
        <v>600</v>
      </c>
      <c r="EB178" s="13">
        <f t="shared" si="1140"/>
        <v>600</v>
      </c>
      <c r="EC178" s="13">
        <f t="shared" si="1140"/>
        <v>600</v>
      </c>
      <c r="ED178" s="13">
        <f t="shared" si="942"/>
        <v>600</v>
      </c>
      <c r="EE178" s="13">
        <f t="shared" si="1006"/>
        <v>600</v>
      </c>
      <c r="EF178" s="13">
        <f t="shared" si="1042"/>
        <v>600</v>
      </c>
      <c r="EG178" s="13">
        <f t="shared" si="1062"/>
        <v>600</v>
      </c>
      <c r="EH178" s="13">
        <f t="shared" ref="EH178:EH180" si="1141">(EH177*$O$4-BG178)/($O$3-$O$4*CT177)</f>
        <v>535.97560291806712</v>
      </c>
      <c r="EI178" s="13">
        <f t="shared" ref="EI178:EI180" si="1142">(EI177*$O$4-BH178)/($O$3-$O$4*CU177)</f>
        <v>535.84125090072132</v>
      </c>
      <c r="EJ178" s="13">
        <f t="shared" ref="EJ178:EJ180" si="1143">(EJ177*$O$4-BI178)/($O$3-$O$4*CV177)</f>
        <v>536.63427875512048</v>
      </c>
      <c r="EK178" s="13">
        <f t="shared" ref="EK178:EK180" si="1144">(EK177*$O$4-BJ178)/($O$3-$O$4*CW177)</f>
        <v>537.67553740244102</v>
      </c>
      <c r="EL178" s="13">
        <f t="shared" ref="EL178:EL180" si="1145">(EL177*$O$4-BK178)/($O$3-$O$4*CX177)</f>
        <v>539.93191952400889</v>
      </c>
      <c r="EM178" s="13">
        <f t="shared" si="1068"/>
        <v>650</v>
      </c>
      <c r="EN178" s="13">
        <f t="shared" si="1050"/>
        <v>650</v>
      </c>
      <c r="EO178" s="13">
        <f t="shared" si="1016"/>
        <v>650</v>
      </c>
      <c r="EP178" s="13">
        <f t="shared" si="954"/>
        <v>650</v>
      </c>
      <c r="EQ178" s="13">
        <f t="shared" ref="EQ178:EY185" si="1146">$R$3</f>
        <v>650</v>
      </c>
      <c r="ER178" s="13">
        <f t="shared" si="1146"/>
        <v>650</v>
      </c>
      <c r="ES178" s="13">
        <f t="shared" si="1146"/>
        <v>650</v>
      </c>
      <c r="ET178" s="13">
        <f t="shared" si="1146"/>
        <v>650</v>
      </c>
      <c r="EU178" s="13">
        <f t="shared" si="1146"/>
        <v>650</v>
      </c>
      <c r="EV178" s="13">
        <f t="shared" si="1146"/>
        <v>650</v>
      </c>
      <c r="EW178" s="13">
        <f t="shared" si="1146"/>
        <v>650</v>
      </c>
      <c r="EX178" s="13">
        <f t="shared" si="1146"/>
        <v>650</v>
      </c>
      <c r="EY178" s="13">
        <f t="shared" si="1146"/>
        <v>650</v>
      </c>
      <c r="EZ178" s="25">
        <v>15</v>
      </c>
      <c r="FA178" s="26">
        <f t="shared" si="1114"/>
        <v>0.12962962962962962</v>
      </c>
    </row>
    <row r="179" spans="3:157" ht="15" customHeight="1" x14ac:dyDescent="0.25">
      <c r="C179" s="84"/>
      <c r="D179" s="85"/>
      <c r="E179" s="25">
        <v>14</v>
      </c>
      <c r="F179" s="26">
        <f t="shared" si="1107"/>
        <v>0.12037037037037036</v>
      </c>
      <c r="G179" s="13">
        <f t="shared" si="1129"/>
        <v>600</v>
      </c>
      <c r="H179" s="13">
        <f t="shared" si="1129"/>
        <v>600</v>
      </c>
      <c r="I179" s="13">
        <f t="shared" si="1129"/>
        <v>600</v>
      </c>
      <c r="J179" s="13">
        <f t="shared" si="1129"/>
        <v>600</v>
      </c>
      <c r="K179" s="13">
        <f t="shared" si="1129"/>
        <v>600</v>
      </c>
      <c r="L179" s="13">
        <f t="shared" si="1129"/>
        <v>600</v>
      </c>
      <c r="M179" s="13">
        <f t="shared" si="1129"/>
        <v>600</v>
      </c>
      <c r="N179" s="13">
        <f t="shared" si="1129"/>
        <v>600</v>
      </c>
      <c r="O179" s="13">
        <f t="shared" si="1129"/>
        <v>600</v>
      </c>
      <c r="P179" s="13">
        <f t="shared" si="914"/>
        <v>600</v>
      </c>
      <c r="Q179" s="13">
        <f t="shared" si="975"/>
        <v>600</v>
      </c>
      <c r="R179" s="13">
        <f t="shared" si="1017"/>
        <v>600</v>
      </c>
      <c r="S179" s="13">
        <f t="shared" si="1051"/>
        <v>600</v>
      </c>
      <c r="T179" s="13">
        <f t="shared" si="1130"/>
        <v>602.0884220545878</v>
      </c>
      <c r="U179" s="13">
        <f t="shared" si="1071"/>
        <v>602.63902986985761</v>
      </c>
      <c r="V179" s="13">
        <f t="shared" si="1072"/>
        <v>603.4798609405002</v>
      </c>
      <c r="W179" s="13">
        <f t="shared" si="1131"/>
        <v>604.64489983405451</v>
      </c>
      <c r="X179" s="13">
        <f t="shared" si="1073"/>
        <v>606.1404574257142</v>
      </c>
      <c r="Y179" s="13">
        <f t="shared" si="1052"/>
        <v>650</v>
      </c>
      <c r="Z179" s="13">
        <f t="shared" si="1025"/>
        <v>650</v>
      </c>
      <c r="AA179" s="13">
        <f t="shared" si="985"/>
        <v>650</v>
      </c>
      <c r="AB179" s="13">
        <f t="shared" si="915"/>
        <v>650</v>
      </c>
      <c r="AC179" s="13">
        <f t="shared" si="1132"/>
        <v>650</v>
      </c>
      <c r="AD179" s="13">
        <f t="shared" si="1132"/>
        <v>650</v>
      </c>
      <c r="AE179" s="13">
        <f t="shared" si="1132"/>
        <v>650</v>
      </c>
      <c r="AF179" s="13">
        <f t="shared" si="1132"/>
        <v>650</v>
      </c>
      <c r="AG179" s="13">
        <f t="shared" si="1132"/>
        <v>650</v>
      </c>
      <c r="AH179" s="13">
        <f t="shared" si="1132"/>
        <v>650</v>
      </c>
      <c r="AI179" s="13">
        <f t="shared" si="1132"/>
        <v>650</v>
      </c>
      <c r="AJ179" s="13">
        <f t="shared" si="1132"/>
        <v>650</v>
      </c>
      <c r="AK179" s="13">
        <f t="shared" si="1132"/>
        <v>650</v>
      </c>
      <c r="AL179" s="25">
        <v>14</v>
      </c>
      <c r="AM179" s="26">
        <f t="shared" si="1108"/>
        <v>0.12037037037037036</v>
      </c>
      <c r="AP179" s="87"/>
      <c r="AQ179" s="86"/>
      <c r="AR179" s="25">
        <v>14</v>
      </c>
      <c r="AS179" s="26">
        <f t="shared" si="1109"/>
        <v>0.12037037037037036</v>
      </c>
      <c r="AT179" s="13">
        <f t="shared" si="1133"/>
        <v>600</v>
      </c>
      <c r="AU179" s="13">
        <f t="shared" si="1133"/>
        <v>600</v>
      </c>
      <c r="AV179" s="13">
        <f t="shared" si="1133"/>
        <v>600</v>
      </c>
      <c r="AW179" s="13">
        <f t="shared" si="1133"/>
        <v>600</v>
      </c>
      <c r="AX179" s="13">
        <f t="shared" si="1133"/>
        <v>600</v>
      </c>
      <c r="AY179" s="13">
        <f t="shared" si="1133"/>
        <v>600</v>
      </c>
      <c r="AZ179" s="13">
        <f t="shared" si="1133"/>
        <v>600</v>
      </c>
      <c r="BA179" s="13">
        <f t="shared" si="1133"/>
        <v>600</v>
      </c>
      <c r="BB179" s="13">
        <f t="shared" si="1133"/>
        <v>600</v>
      </c>
      <c r="BC179" s="13">
        <f t="shared" si="916"/>
        <v>600</v>
      </c>
      <c r="BD179" s="13">
        <f t="shared" si="986"/>
        <v>600</v>
      </c>
      <c r="BE179" s="13">
        <f t="shared" si="1026"/>
        <v>600</v>
      </c>
      <c r="BF179" s="13">
        <f t="shared" si="1053"/>
        <v>600</v>
      </c>
      <c r="BG179" s="13">
        <f t="shared" si="1077"/>
        <v>-2161355308.4342899</v>
      </c>
      <c r="BH179" s="13">
        <f t="shared" si="1077"/>
        <v>-2163204586.1286063</v>
      </c>
      <c r="BI179" s="13">
        <f t="shared" si="1078"/>
        <v>-2166226739.236661</v>
      </c>
      <c r="BJ179" s="13">
        <f t="shared" si="1079"/>
        <v>-2170431932.9179101</v>
      </c>
      <c r="BK179" s="13">
        <f t="shared" si="1134"/>
        <v>-2175841029.861742</v>
      </c>
      <c r="BL179" s="13">
        <f t="shared" si="1054"/>
        <v>650</v>
      </c>
      <c r="BM179" s="13">
        <f t="shared" si="1032"/>
        <v>650</v>
      </c>
      <c r="BN179" s="13">
        <f t="shared" si="994"/>
        <v>650</v>
      </c>
      <c r="BO179" s="13">
        <f t="shared" si="928"/>
        <v>650</v>
      </c>
      <c r="BP179" s="13">
        <f t="shared" si="1135"/>
        <v>650</v>
      </c>
      <c r="BQ179" s="13">
        <f t="shared" si="1135"/>
        <v>650</v>
      </c>
      <c r="BR179" s="13">
        <f t="shared" si="1135"/>
        <v>650</v>
      </c>
      <c r="BS179" s="13">
        <f t="shared" si="1135"/>
        <v>650</v>
      </c>
      <c r="BT179" s="13">
        <f t="shared" si="1135"/>
        <v>650</v>
      </c>
      <c r="BU179" s="13">
        <f t="shared" si="1135"/>
        <v>650</v>
      </c>
      <c r="BV179" s="13">
        <f t="shared" si="1135"/>
        <v>650</v>
      </c>
      <c r="BW179" s="13">
        <f t="shared" si="1135"/>
        <v>650</v>
      </c>
      <c r="BX179" s="13">
        <f t="shared" si="1135"/>
        <v>650</v>
      </c>
      <c r="BY179" s="25">
        <v>14</v>
      </c>
      <c r="BZ179" s="26">
        <f t="shared" si="1110"/>
        <v>0.12037037037037036</v>
      </c>
      <c r="CC179" s="84"/>
      <c r="CD179" s="85"/>
      <c r="CE179" s="25">
        <v>14</v>
      </c>
      <c r="CF179" s="26">
        <f t="shared" si="1111"/>
        <v>0.12037037037037036</v>
      </c>
      <c r="CG179" s="13">
        <f t="shared" si="1136"/>
        <v>600</v>
      </c>
      <c r="CH179" s="13">
        <f t="shared" si="1136"/>
        <v>600</v>
      </c>
      <c r="CI179" s="13">
        <f t="shared" si="1136"/>
        <v>600</v>
      </c>
      <c r="CJ179" s="13">
        <f t="shared" si="1136"/>
        <v>600</v>
      </c>
      <c r="CK179" s="13">
        <f t="shared" si="1136"/>
        <v>600</v>
      </c>
      <c r="CL179" s="13">
        <f t="shared" si="1136"/>
        <v>600</v>
      </c>
      <c r="CM179" s="13">
        <f t="shared" si="1136"/>
        <v>600</v>
      </c>
      <c r="CN179" s="13">
        <f t="shared" si="1136"/>
        <v>600</v>
      </c>
      <c r="CO179" s="13">
        <f t="shared" si="1136"/>
        <v>600</v>
      </c>
      <c r="CP179" s="13">
        <f t="shared" si="929"/>
        <v>600</v>
      </c>
      <c r="CQ179" s="13">
        <f t="shared" si="995"/>
        <v>600</v>
      </c>
      <c r="CR179" s="13">
        <f t="shared" si="1033"/>
        <v>600</v>
      </c>
      <c r="CS179" s="13">
        <f t="shared" si="1055"/>
        <v>600</v>
      </c>
      <c r="CT179" s="13">
        <f t="shared" si="1137"/>
        <v>0.11665710012935292</v>
      </c>
      <c r="CU179" s="13">
        <f t="shared" si="1090"/>
        <v>0.11667843062533659</v>
      </c>
      <c r="CV179" s="13">
        <f t="shared" si="1091"/>
        <v>0.11667843062533659</v>
      </c>
      <c r="CW179" s="13">
        <f t="shared" si="1092"/>
        <v>0.11667843062533659</v>
      </c>
      <c r="CX179" s="13">
        <f t="shared" si="1138"/>
        <v>0.11665710012935292</v>
      </c>
      <c r="CY179" s="13">
        <f t="shared" si="1061"/>
        <v>650</v>
      </c>
      <c r="CZ179" s="13">
        <f t="shared" si="1041"/>
        <v>650</v>
      </c>
      <c r="DA179" s="13">
        <f t="shared" si="1005"/>
        <v>650</v>
      </c>
      <c r="DB179" s="13">
        <f t="shared" si="941"/>
        <v>650</v>
      </c>
      <c r="DC179" s="13">
        <f t="shared" si="1139"/>
        <v>650</v>
      </c>
      <c r="DD179" s="13">
        <f t="shared" si="1139"/>
        <v>650</v>
      </c>
      <c r="DE179" s="13">
        <f t="shared" si="1139"/>
        <v>650</v>
      </c>
      <c r="DF179" s="13">
        <f t="shared" si="1139"/>
        <v>650</v>
      </c>
      <c r="DG179" s="13">
        <f t="shared" si="1139"/>
        <v>650</v>
      </c>
      <c r="DH179" s="13">
        <f t="shared" si="1139"/>
        <v>650</v>
      </c>
      <c r="DI179" s="13">
        <f t="shared" si="1139"/>
        <v>650</v>
      </c>
      <c r="DJ179" s="13">
        <f t="shared" si="1139"/>
        <v>650</v>
      </c>
      <c r="DK179" s="13">
        <f t="shared" si="1139"/>
        <v>650</v>
      </c>
      <c r="DL179" s="25">
        <v>14</v>
      </c>
      <c r="DM179" s="26">
        <f t="shared" si="1112"/>
        <v>0.12037037037037036</v>
      </c>
      <c r="DQ179" s="84"/>
      <c r="DR179" s="85"/>
      <c r="DS179" s="25">
        <v>14</v>
      </c>
      <c r="DT179" s="26">
        <f t="shared" si="1113"/>
        <v>0.12037037037037036</v>
      </c>
      <c r="DU179" s="13">
        <f t="shared" si="1140"/>
        <v>600</v>
      </c>
      <c r="DV179" s="13">
        <f t="shared" si="1140"/>
        <v>600</v>
      </c>
      <c r="DW179" s="13">
        <f t="shared" si="1140"/>
        <v>600</v>
      </c>
      <c r="DX179" s="13">
        <f t="shared" si="1140"/>
        <v>600</v>
      </c>
      <c r="DY179" s="13">
        <f t="shared" si="1140"/>
        <v>600</v>
      </c>
      <c r="DZ179" s="13">
        <f t="shared" si="1140"/>
        <v>600</v>
      </c>
      <c r="EA179" s="13">
        <f t="shared" si="1140"/>
        <v>600</v>
      </c>
      <c r="EB179" s="13">
        <f t="shared" si="1140"/>
        <v>600</v>
      </c>
      <c r="EC179" s="13">
        <f t="shared" si="1140"/>
        <v>600</v>
      </c>
      <c r="ED179" s="13">
        <f t="shared" si="942"/>
        <v>600</v>
      </c>
      <c r="EE179" s="13">
        <f t="shared" si="1006"/>
        <v>600</v>
      </c>
      <c r="EF179" s="13">
        <f t="shared" si="1042"/>
        <v>600</v>
      </c>
      <c r="EG179" s="13">
        <f t="shared" si="1062"/>
        <v>600</v>
      </c>
      <c r="EH179" s="13">
        <f t="shared" si="1141"/>
        <v>532.45409353145828</v>
      </c>
      <c r="EI179" s="13">
        <f t="shared" si="1142"/>
        <v>532.93792496392746</v>
      </c>
      <c r="EJ179" s="13">
        <f t="shared" si="1143"/>
        <v>533.68766048096109</v>
      </c>
      <c r="EK179" s="13">
        <f t="shared" si="1144"/>
        <v>534.72362664738819</v>
      </c>
      <c r="EL179" s="13">
        <f t="shared" si="1145"/>
        <v>536.06515750212111</v>
      </c>
      <c r="EM179" s="13">
        <f t="shared" si="1068"/>
        <v>650</v>
      </c>
      <c r="EN179" s="13">
        <f t="shared" si="1050"/>
        <v>650</v>
      </c>
      <c r="EO179" s="13">
        <f t="shared" si="1016"/>
        <v>650</v>
      </c>
      <c r="EP179" s="13">
        <f t="shared" si="954"/>
        <v>650</v>
      </c>
      <c r="EQ179" s="13">
        <f t="shared" si="1146"/>
        <v>650</v>
      </c>
      <c r="ER179" s="13">
        <f t="shared" si="1146"/>
        <v>650</v>
      </c>
      <c r="ES179" s="13">
        <f t="shared" si="1146"/>
        <v>650</v>
      </c>
      <c r="ET179" s="13">
        <f t="shared" si="1146"/>
        <v>650</v>
      </c>
      <c r="EU179" s="13">
        <f t="shared" si="1146"/>
        <v>650</v>
      </c>
      <c r="EV179" s="13">
        <f t="shared" si="1146"/>
        <v>650</v>
      </c>
      <c r="EW179" s="13">
        <f t="shared" si="1146"/>
        <v>650</v>
      </c>
      <c r="EX179" s="13">
        <f t="shared" si="1146"/>
        <v>650</v>
      </c>
      <c r="EY179" s="13">
        <f t="shared" si="1146"/>
        <v>650</v>
      </c>
      <c r="EZ179" s="25">
        <v>14</v>
      </c>
      <c r="FA179" s="26">
        <f t="shared" si="1114"/>
        <v>0.12037037037037036</v>
      </c>
    </row>
    <row r="180" spans="3:157" ht="15" customHeight="1" x14ac:dyDescent="0.25">
      <c r="C180" s="84"/>
      <c r="D180" s="85"/>
      <c r="E180" s="25">
        <v>13</v>
      </c>
      <c r="F180" s="26">
        <f t="shared" si="1107"/>
        <v>0.1111111111111111</v>
      </c>
      <c r="G180" s="13">
        <f t="shared" si="1129"/>
        <v>600</v>
      </c>
      <c r="H180" s="13">
        <f t="shared" si="1129"/>
        <v>600</v>
      </c>
      <c r="I180" s="13">
        <f t="shared" si="1129"/>
        <v>600</v>
      </c>
      <c r="J180" s="13">
        <f t="shared" si="1129"/>
        <v>600</v>
      </c>
      <c r="K180" s="13">
        <f t="shared" si="1129"/>
        <v>600</v>
      </c>
      <c r="L180" s="13">
        <f t="shared" si="1129"/>
        <v>600</v>
      </c>
      <c r="M180" s="13">
        <f t="shared" si="1129"/>
        <v>600</v>
      </c>
      <c r="N180" s="13">
        <f t="shared" si="1129"/>
        <v>600</v>
      </c>
      <c r="O180" s="13">
        <f t="shared" si="1129"/>
        <v>600</v>
      </c>
      <c r="P180" s="13">
        <f t="shared" si="914"/>
        <v>600</v>
      </c>
      <c r="Q180" s="13">
        <f t="shared" si="975"/>
        <v>600</v>
      </c>
      <c r="R180" s="13">
        <f t="shared" si="1017"/>
        <v>600</v>
      </c>
      <c r="S180" s="13">
        <f t="shared" ref="S180" si="1147">($F$5*$B$5*S52+$F$4*S117)/($F$4+$F$5*$B$5)</f>
        <v>591.21576944771277</v>
      </c>
      <c r="T180" s="13">
        <f t="shared" si="1130"/>
        <v>596.91461939236342</v>
      </c>
      <c r="U180" s="13">
        <f t="shared" si="1071"/>
        <v>597.37780609807623</v>
      </c>
      <c r="V180" s="13">
        <f t="shared" si="1072"/>
        <v>598.15854640389591</v>
      </c>
      <c r="W180" s="13">
        <f t="shared" si="1131"/>
        <v>599.26477251985807</v>
      </c>
      <c r="X180" s="13">
        <f t="shared" si="1073"/>
        <v>600.69468421460419</v>
      </c>
      <c r="Y180" s="13">
        <f>($F$5*$B$5*X52+$F$4*X117)/($F$4+$F$5*$B$5)</f>
        <v>594.8255828916848</v>
      </c>
      <c r="Z180" s="13">
        <f t="shared" si="1025"/>
        <v>650</v>
      </c>
      <c r="AA180" s="13">
        <f t="shared" si="985"/>
        <v>650</v>
      </c>
      <c r="AB180" s="13">
        <f t="shared" si="915"/>
        <v>650</v>
      </c>
      <c r="AC180" s="13">
        <f t="shared" si="1132"/>
        <v>650</v>
      </c>
      <c r="AD180" s="13">
        <f t="shared" si="1132"/>
        <v>650</v>
      </c>
      <c r="AE180" s="13">
        <f t="shared" si="1132"/>
        <v>650</v>
      </c>
      <c r="AF180" s="13">
        <f t="shared" si="1132"/>
        <v>650</v>
      </c>
      <c r="AG180" s="13">
        <f t="shared" si="1132"/>
        <v>650</v>
      </c>
      <c r="AH180" s="13">
        <f t="shared" si="1132"/>
        <v>650</v>
      </c>
      <c r="AI180" s="13">
        <f t="shared" si="1132"/>
        <v>650</v>
      </c>
      <c r="AJ180" s="13">
        <f t="shared" si="1132"/>
        <v>650</v>
      </c>
      <c r="AK180" s="13">
        <f t="shared" si="1132"/>
        <v>650</v>
      </c>
      <c r="AL180" s="25">
        <v>13</v>
      </c>
      <c r="AM180" s="26">
        <f t="shared" si="1108"/>
        <v>0.1111111111111111</v>
      </c>
      <c r="AP180" s="87"/>
      <c r="AQ180" s="86"/>
      <c r="AR180" s="25">
        <v>13</v>
      </c>
      <c r="AS180" s="26">
        <f t="shared" si="1109"/>
        <v>0.1111111111111111</v>
      </c>
      <c r="AT180" s="13">
        <f t="shared" si="1133"/>
        <v>600</v>
      </c>
      <c r="AU180" s="13">
        <f t="shared" si="1133"/>
        <v>600</v>
      </c>
      <c r="AV180" s="13">
        <f t="shared" si="1133"/>
        <v>600</v>
      </c>
      <c r="AW180" s="13">
        <f t="shared" si="1133"/>
        <v>600</v>
      </c>
      <c r="AX180" s="13">
        <f t="shared" si="1133"/>
        <v>600</v>
      </c>
      <c r="AY180" s="13">
        <f t="shared" si="1133"/>
        <v>600</v>
      </c>
      <c r="AZ180" s="13">
        <f t="shared" si="1133"/>
        <v>600</v>
      </c>
      <c r="BA180" s="13">
        <f t="shared" si="1133"/>
        <v>600</v>
      </c>
      <c r="BB180" s="13">
        <f t="shared" si="1133"/>
        <v>600</v>
      </c>
      <c r="BC180" s="13">
        <f t="shared" si="916"/>
        <v>600</v>
      </c>
      <c r="BD180" s="13">
        <f t="shared" si="986"/>
        <v>600</v>
      </c>
      <c r="BE180" s="13">
        <f t="shared" si="1026"/>
        <v>600</v>
      </c>
      <c r="BF180" s="52"/>
      <c r="BG180" s="13">
        <f t="shared" si="1077"/>
        <v>-2142465793.7777629</v>
      </c>
      <c r="BH180" s="13">
        <f t="shared" si="1077"/>
        <v>-2144159802.3614178</v>
      </c>
      <c r="BI180" s="13">
        <f t="shared" si="1078"/>
        <v>-2146974758.7719734</v>
      </c>
      <c r="BJ180" s="13">
        <f t="shared" si="1079"/>
        <v>-2150928478.8414512</v>
      </c>
      <c r="BK180" s="13">
        <f t="shared" si="1134"/>
        <v>-2156007461.7150302</v>
      </c>
      <c r="BL180" s="52"/>
      <c r="BM180" s="13">
        <f t="shared" si="1032"/>
        <v>650</v>
      </c>
      <c r="BN180" s="13">
        <f t="shared" si="994"/>
        <v>650</v>
      </c>
      <c r="BO180" s="13">
        <f t="shared" si="928"/>
        <v>650</v>
      </c>
      <c r="BP180" s="13">
        <f t="shared" si="1135"/>
        <v>650</v>
      </c>
      <c r="BQ180" s="13">
        <f t="shared" si="1135"/>
        <v>650</v>
      </c>
      <c r="BR180" s="13">
        <f t="shared" si="1135"/>
        <v>650</v>
      </c>
      <c r="BS180" s="13">
        <f t="shared" si="1135"/>
        <v>650</v>
      </c>
      <c r="BT180" s="13">
        <f t="shared" si="1135"/>
        <v>650</v>
      </c>
      <c r="BU180" s="13">
        <f t="shared" si="1135"/>
        <v>650</v>
      </c>
      <c r="BV180" s="13">
        <f t="shared" si="1135"/>
        <v>650</v>
      </c>
      <c r="BW180" s="13">
        <f t="shared" si="1135"/>
        <v>650</v>
      </c>
      <c r="BX180" s="13">
        <f t="shared" si="1135"/>
        <v>650</v>
      </c>
      <c r="BY180" s="25">
        <v>13</v>
      </c>
      <c r="BZ180" s="26">
        <f t="shared" si="1110"/>
        <v>0.1111111111111111</v>
      </c>
      <c r="CC180" s="84"/>
      <c r="CD180" s="85"/>
      <c r="CE180" s="25">
        <v>13</v>
      </c>
      <c r="CF180" s="26">
        <f t="shared" si="1111"/>
        <v>0.1111111111111111</v>
      </c>
      <c r="CG180" s="13">
        <f t="shared" si="1136"/>
        <v>600</v>
      </c>
      <c r="CH180" s="13">
        <f t="shared" si="1136"/>
        <v>600</v>
      </c>
      <c r="CI180" s="13">
        <f t="shared" si="1136"/>
        <v>600</v>
      </c>
      <c r="CJ180" s="13">
        <f t="shared" si="1136"/>
        <v>600</v>
      </c>
      <c r="CK180" s="13">
        <f t="shared" si="1136"/>
        <v>600</v>
      </c>
      <c r="CL180" s="13">
        <f t="shared" si="1136"/>
        <v>600</v>
      </c>
      <c r="CM180" s="13">
        <f t="shared" si="1136"/>
        <v>600</v>
      </c>
      <c r="CN180" s="13">
        <f t="shared" si="1136"/>
        <v>600</v>
      </c>
      <c r="CO180" s="13">
        <f t="shared" si="1136"/>
        <v>600</v>
      </c>
      <c r="CP180" s="13">
        <f t="shared" si="929"/>
        <v>600</v>
      </c>
      <c r="CQ180" s="13">
        <f t="shared" si="995"/>
        <v>600</v>
      </c>
      <c r="CR180" s="13">
        <f t="shared" si="1033"/>
        <v>600</v>
      </c>
      <c r="CS180" s="13">
        <v>0</v>
      </c>
      <c r="CT180" s="13">
        <f t="shared" ref="CT180:CT181" si="1148">$O$2/($O$3-$O$4*CT179)</f>
        <v>0.1166781402357549</v>
      </c>
      <c r="CU180" s="13">
        <f t="shared" ref="CU180:CU181" si="1149">$O$2/($O$3-$O$4*CU179)</f>
        <v>0.11667843062533659</v>
      </c>
      <c r="CV180" s="13">
        <f t="shared" ref="CV180:CV181" si="1150">$O$2/($O$3-$O$4*CV179)</f>
        <v>0.11667843062533659</v>
      </c>
      <c r="CW180" s="13">
        <f t="shared" ref="CW180:CW181" si="1151">$O$2/($O$3-$O$4*CW179)</f>
        <v>0.11667843062533659</v>
      </c>
      <c r="CX180" s="13">
        <f t="shared" ref="CX180:CX181" si="1152">$O$2/($O$3-$O$4*CX179)</f>
        <v>0.1166781402357549</v>
      </c>
      <c r="CY180" s="13">
        <v>0</v>
      </c>
      <c r="CZ180" s="13">
        <f t="shared" si="1041"/>
        <v>650</v>
      </c>
      <c r="DA180" s="13">
        <f t="shared" si="1005"/>
        <v>650</v>
      </c>
      <c r="DB180" s="13">
        <f t="shared" si="941"/>
        <v>650</v>
      </c>
      <c r="DC180" s="13">
        <f t="shared" si="1139"/>
        <v>650</v>
      </c>
      <c r="DD180" s="13">
        <f t="shared" si="1139"/>
        <v>650</v>
      </c>
      <c r="DE180" s="13">
        <f t="shared" si="1139"/>
        <v>650</v>
      </c>
      <c r="DF180" s="13">
        <f t="shared" si="1139"/>
        <v>650</v>
      </c>
      <c r="DG180" s="13">
        <f t="shared" si="1139"/>
        <v>650</v>
      </c>
      <c r="DH180" s="13">
        <f t="shared" si="1139"/>
        <v>650</v>
      </c>
      <c r="DI180" s="13">
        <f t="shared" si="1139"/>
        <v>650</v>
      </c>
      <c r="DJ180" s="13">
        <f t="shared" si="1139"/>
        <v>650</v>
      </c>
      <c r="DK180" s="13">
        <f t="shared" si="1139"/>
        <v>650</v>
      </c>
      <c r="DL180" s="25">
        <v>13</v>
      </c>
      <c r="DM180" s="26">
        <f t="shared" si="1112"/>
        <v>0.1111111111111111</v>
      </c>
      <c r="DQ180" s="84"/>
      <c r="DR180" s="85"/>
      <c r="DS180" s="25">
        <v>13</v>
      </c>
      <c r="DT180" s="26">
        <f t="shared" si="1113"/>
        <v>0.1111111111111111</v>
      </c>
      <c r="DU180" s="13">
        <f t="shared" si="1140"/>
        <v>600</v>
      </c>
      <c r="DV180" s="13">
        <f t="shared" si="1140"/>
        <v>600</v>
      </c>
      <c r="DW180" s="13">
        <f t="shared" si="1140"/>
        <v>600</v>
      </c>
      <c r="DX180" s="13">
        <f t="shared" si="1140"/>
        <v>600</v>
      </c>
      <c r="DY180" s="13">
        <f t="shared" si="1140"/>
        <v>600</v>
      </c>
      <c r="DZ180" s="13">
        <f t="shared" si="1140"/>
        <v>600</v>
      </c>
      <c r="EA180" s="13">
        <f t="shared" si="1140"/>
        <v>600</v>
      </c>
      <c r="EB180" s="13">
        <f t="shared" si="1140"/>
        <v>600</v>
      </c>
      <c r="EC180" s="13">
        <f t="shared" si="1140"/>
        <v>600</v>
      </c>
      <c r="ED180" s="13">
        <f t="shared" si="942"/>
        <v>600</v>
      </c>
      <c r="EE180" s="13">
        <f t="shared" si="1006"/>
        <v>600</v>
      </c>
      <c r="EF180" s="13">
        <f t="shared" si="1042"/>
        <v>600</v>
      </c>
      <c r="EG180" s="13">
        <f t="shared" ref="EG180" si="1153">S180</f>
        <v>591.21576944771277</v>
      </c>
      <c r="EH180" s="13">
        <f t="shared" si="1141"/>
        <v>528.03148402708587</v>
      </c>
      <c r="EI180" s="13">
        <f t="shared" si="1142"/>
        <v>528.45763495974541</v>
      </c>
      <c r="EJ180" s="13">
        <f t="shared" si="1143"/>
        <v>529.15726159375242</v>
      </c>
      <c r="EK180" s="13">
        <f t="shared" si="1144"/>
        <v>530.13792405323534</v>
      </c>
      <c r="EL180" s="13">
        <f t="shared" si="1145"/>
        <v>531.39761972098722</v>
      </c>
      <c r="EM180" s="13">
        <f t="shared" ref="EM180" si="1154">Y180</f>
        <v>594.8255828916848</v>
      </c>
      <c r="EN180" s="13">
        <f t="shared" si="1050"/>
        <v>650</v>
      </c>
      <c r="EO180" s="13">
        <f t="shared" si="1016"/>
        <v>650</v>
      </c>
      <c r="EP180" s="13">
        <f t="shared" si="954"/>
        <v>650</v>
      </c>
      <c r="EQ180" s="13">
        <f t="shared" si="1146"/>
        <v>650</v>
      </c>
      <c r="ER180" s="13">
        <f t="shared" si="1146"/>
        <v>650</v>
      </c>
      <c r="ES180" s="13">
        <f t="shared" si="1146"/>
        <v>650</v>
      </c>
      <c r="ET180" s="13">
        <f t="shared" si="1146"/>
        <v>650</v>
      </c>
      <c r="EU180" s="13">
        <f t="shared" si="1146"/>
        <v>650</v>
      </c>
      <c r="EV180" s="13">
        <f t="shared" si="1146"/>
        <v>650</v>
      </c>
      <c r="EW180" s="13">
        <f t="shared" si="1146"/>
        <v>650</v>
      </c>
      <c r="EX180" s="13">
        <f t="shared" si="1146"/>
        <v>650</v>
      </c>
      <c r="EY180" s="13">
        <f t="shared" si="1146"/>
        <v>650</v>
      </c>
      <c r="EZ180" s="25">
        <v>13</v>
      </c>
      <c r="FA180" s="26">
        <f t="shared" si="1114"/>
        <v>0.1111111111111111</v>
      </c>
    </row>
    <row r="181" spans="3:157" ht="15" customHeight="1" x14ac:dyDescent="0.25">
      <c r="C181" s="84"/>
      <c r="D181" s="85"/>
      <c r="E181" s="25">
        <v>12</v>
      </c>
      <c r="F181" s="26">
        <f t="shared" si="1107"/>
        <v>0.10185185185185185</v>
      </c>
      <c r="G181" s="13">
        <f t="shared" si="1129"/>
        <v>600</v>
      </c>
      <c r="H181" s="13">
        <f t="shared" si="1129"/>
        <v>600</v>
      </c>
      <c r="I181" s="13">
        <f t="shared" si="1129"/>
        <v>600</v>
      </c>
      <c r="J181" s="13">
        <f t="shared" si="1129"/>
        <v>600</v>
      </c>
      <c r="K181" s="13">
        <f t="shared" si="1129"/>
        <v>600</v>
      </c>
      <c r="L181" s="13">
        <f t="shared" si="1129"/>
        <v>600</v>
      </c>
      <c r="M181" s="13">
        <f t="shared" si="1129"/>
        <v>600</v>
      </c>
      <c r="N181" s="13">
        <f t="shared" si="1129"/>
        <v>600</v>
      </c>
      <c r="O181" s="13">
        <f t="shared" si="1129"/>
        <v>600</v>
      </c>
      <c r="P181" s="13">
        <f t="shared" si="914"/>
        <v>600</v>
      </c>
      <c r="Q181" s="13">
        <f t="shared" si="975"/>
        <v>600</v>
      </c>
      <c r="R181" s="13">
        <f t="shared" si="1017"/>
        <v>600</v>
      </c>
      <c r="S181" s="13">
        <f t="shared" si="1130"/>
        <v>589.78662157136705</v>
      </c>
      <c r="T181" s="13">
        <f t="shared" si="1130"/>
        <v>590.36881481051432</v>
      </c>
      <c r="U181" s="13">
        <f t="shared" si="1071"/>
        <v>590.68476297593361</v>
      </c>
      <c r="V181" s="13">
        <f t="shared" si="1072"/>
        <v>591.37995292130654</v>
      </c>
      <c r="W181" s="13">
        <f t="shared" si="1131"/>
        <v>592.45610432140916</v>
      </c>
      <c r="X181" s="13">
        <f t="shared" ref="X181" si="1155">CX181*X182+EL181</f>
        <v>593.91642987793853</v>
      </c>
      <c r="Y181" s="13">
        <f t="shared" ref="Y181" si="1156">CY181*Y182+EM181</f>
        <v>594.8785849845857</v>
      </c>
      <c r="Z181" s="13">
        <f t="shared" si="1025"/>
        <v>650</v>
      </c>
      <c r="AA181" s="13">
        <f t="shared" si="985"/>
        <v>650</v>
      </c>
      <c r="AB181" s="13">
        <f t="shared" si="915"/>
        <v>650</v>
      </c>
      <c r="AC181" s="13">
        <f t="shared" si="1132"/>
        <v>650</v>
      </c>
      <c r="AD181" s="13">
        <f t="shared" si="1132"/>
        <v>650</v>
      </c>
      <c r="AE181" s="13">
        <f t="shared" si="1132"/>
        <v>650</v>
      </c>
      <c r="AF181" s="13">
        <f t="shared" si="1132"/>
        <v>650</v>
      </c>
      <c r="AG181" s="13">
        <f t="shared" si="1132"/>
        <v>650</v>
      </c>
      <c r="AH181" s="13">
        <f t="shared" si="1132"/>
        <v>650</v>
      </c>
      <c r="AI181" s="13">
        <f t="shared" si="1132"/>
        <v>650</v>
      </c>
      <c r="AJ181" s="13">
        <f t="shared" si="1132"/>
        <v>650</v>
      </c>
      <c r="AK181" s="13">
        <f t="shared" si="1132"/>
        <v>650</v>
      </c>
      <c r="AL181" s="25">
        <v>12</v>
      </c>
      <c r="AM181" s="26">
        <f t="shared" si="1108"/>
        <v>0.10185185185185185</v>
      </c>
      <c r="AP181" s="87"/>
      <c r="AQ181" s="86"/>
      <c r="AR181" s="25">
        <v>12</v>
      </c>
      <c r="AS181" s="26">
        <f t="shared" si="1109"/>
        <v>0.10185185185185185</v>
      </c>
      <c r="AT181" s="13">
        <f t="shared" si="1133"/>
        <v>600</v>
      </c>
      <c r="AU181" s="13">
        <f t="shared" si="1133"/>
        <v>600</v>
      </c>
      <c r="AV181" s="13">
        <f t="shared" si="1133"/>
        <v>600</v>
      </c>
      <c r="AW181" s="13">
        <f t="shared" si="1133"/>
        <v>600</v>
      </c>
      <c r="AX181" s="13">
        <f t="shared" si="1133"/>
        <v>600</v>
      </c>
      <c r="AY181" s="13">
        <f t="shared" si="1133"/>
        <v>600</v>
      </c>
      <c r="AZ181" s="13">
        <f t="shared" si="1133"/>
        <v>600</v>
      </c>
      <c r="BA181" s="13">
        <f t="shared" si="1133"/>
        <v>600</v>
      </c>
      <c r="BB181" s="13">
        <f t="shared" si="1133"/>
        <v>600</v>
      </c>
      <c r="BC181" s="13">
        <f t="shared" si="916"/>
        <v>600</v>
      </c>
      <c r="BD181" s="13">
        <f t="shared" si="986"/>
        <v>600</v>
      </c>
      <c r="BE181" s="13">
        <f t="shared" si="1026"/>
        <v>600</v>
      </c>
      <c r="BF181" s="13">
        <f t="shared" si="1077"/>
        <v>-2119455060.8235176</v>
      </c>
      <c r="BG181" s="13">
        <f t="shared" si="1077"/>
        <v>-2119145200.0529137</v>
      </c>
      <c r="BH181" s="13">
        <f t="shared" si="1077"/>
        <v>-2120242094.5730789</v>
      </c>
      <c r="BI181" s="13">
        <f t="shared" si="1078"/>
        <v>-2122730072.052825</v>
      </c>
      <c r="BJ181" s="13">
        <f t="shared" si="1079"/>
        <v>-2126611726.6092961</v>
      </c>
      <c r="BK181" s="13">
        <f t="shared" si="1134"/>
        <v>-2131904797.7025707</v>
      </c>
      <c r="BL181" s="13">
        <f t="shared" ref="BL181:BL192" si="1157">-($F$3*$F$2)/$B$8*Y117</f>
        <v>-2138647487.4393229</v>
      </c>
      <c r="BM181" s="13">
        <f t="shared" si="1032"/>
        <v>650</v>
      </c>
      <c r="BN181" s="13">
        <f t="shared" si="994"/>
        <v>650</v>
      </c>
      <c r="BO181" s="13">
        <f t="shared" si="928"/>
        <v>650</v>
      </c>
      <c r="BP181" s="13">
        <f t="shared" si="1135"/>
        <v>650</v>
      </c>
      <c r="BQ181" s="13">
        <f t="shared" si="1135"/>
        <v>650</v>
      </c>
      <c r="BR181" s="13">
        <f t="shared" si="1135"/>
        <v>650</v>
      </c>
      <c r="BS181" s="13">
        <f t="shared" si="1135"/>
        <v>650</v>
      </c>
      <c r="BT181" s="13">
        <f t="shared" si="1135"/>
        <v>650</v>
      </c>
      <c r="BU181" s="13">
        <f t="shared" si="1135"/>
        <v>650</v>
      </c>
      <c r="BV181" s="13">
        <f t="shared" si="1135"/>
        <v>650</v>
      </c>
      <c r="BW181" s="13">
        <f t="shared" si="1135"/>
        <v>650</v>
      </c>
      <c r="BX181" s="13">
        <f t="shared" si="1135"/>
        <v>650</v>
      </c>
      <c r="BY181" s="25">
        <v>12</v>
      </c>
      <c r="BZ181" s="26">
        <f t="shared" si="1110"/>
        <v>0.10185185185185185</v>
      </c>
      <c r="CC181" s="84"/>
      <c r="CD181" s="85"/>
      <c r="CE181" s="25">
        <v>12</v>
      </c>
      <c r="CF181" s="26">
        <f t="shared" si="1111"/>
        <v>0.10185185185185185</v>
      </c>
      <c r="CG181" s="13">
        <f t="shared" si="1136"/>
        <v>600</v>
      </c>
      <c r="CH181" s="13">
        <f t="shared" si="1136"/>
        <v>600</v>
      </c>
      <c r="CI181" s="13">
        <f t="shared" si="1136"/>
        <v>600</v>
      </c>
      <c r="CJ181" s="13">
        <f t="shared" si="1136"/>
        <v>600</v>
      </c>
      <c r="CK181" s="13">
        <f t="shared" si="1136"/>
        <v>600</v>
      </c>
      <c r="CL181" s="13">
        <f t="shared" si="1136"/>
        <v>600</v>
      </c>
      <c r="CM181" s="13">
        <f t="shared" si="1136"/>
        <v>600</v>
      </c>
      <c r="CN181" s="13">
        <f t="shared" si="1136"/>
        <v>600</v>
      </c>
      <c r="CO181" s="13">
        <f t="shared" si="1136"/>
        <v>600</v>
      </c>
      <c r="CP181" s="13">
        <f t="shared" si="929"/>
        <v>600</v>
      </c>
      <c r="CQ181" s="13">
        <f t="shared" si="995"/>
        <v>600</v>
      </c>
      <c r="CR181" s="13">
        <f t="shared" si="1033"/>
        <v>600</v>
      </c>
      <c r="CS181" s="13">
        <f t="shared" ref="CS181" si="1158">$O$2/($O$3-$O$4*CS180)</f>
        <v>0.11511132164850782</v>
      </c>
      <c r="CT181" s="13">
        <f t="shared" si="1148"/>
        <v>0.11667842667201472</v>
      </c>
      <c r="CU181" s="13">
        <f t="shared" si="1149"/>
        <v>0.11667843062533659</v>
      </c>
      <c r="CV181" s="13">
        <f t="shared" si="1150"/>
        <v>0.11667843062533659</v>
      </c>
      <c r="CW181" s="13">
        <f t="shared" si="1151"/>
        <v>0.11667843062533659</v>
      </c>
      <c r="CX181" s="13">
        <f t="shared" si="1152"/>
        <v>0.11667842667201472</v>
      </c>
      <c r="CY181" s="13">
        <f t="shared" ref="CY181" si="1159">$O$2/($O$3-$O$4*CY180)</f>
        <v>0.11511132164850782</v>
      </c>
      <c r="CZ181" s="13">
        <f t="shared" si="1041"/>
        <v>650</v>
      </c>
      <c r="DA181" s="13">
        <f t="shared" si="1005"/>
        <v>650</v>
      </c>
      <c r="DB181" s="13">
        <f t="shared" si="941"/>
        <v>650</v>
      </c>
      <c r="DC181" s="13">
        <f t="shared" si="1139"/>
        <v>650</v>
      </c>
      <c r="DD181" s="13">
        <f t="shared" si="1139"/>
        <v>650</v>
      </c>
      <c r="DE181" s="13">
        <f t="shared" si="1139"/>
        <v>650</v>
      </c>
      <c r="DF181" s="13">
        <f t="shared" si="1139"/>
        <v>650</v>
      </c>
      <c r="DG181" s="13">
        <f t="shared" si="1139"/>
        <v>650</v>
      </c>
      <c r="DH181" s="13">
        <f t="shared" si="1139"/>
        <v>650</v>
      </c>
      <c r="DI181" s="13">
        <f t="shared" si="1139"/>
        <v>650</v>
      </c>
      <c r="DJ181" s="13">
        <f t="shared" si="1139"/>
        <v>650</v>
      </c>
      <c r="DK181" s="13">
        <f t="shared" si="1139"/>
        <v>650</v>
      </c>
      <c r="DL181" s="25">
        <v>12</v>
      </c>
      <c r="DM181" s="26">
        <f t="shared" si="1112"/>
        <v>0.10185185185185185</v>
      </c>
      <c r="DQ181" s="84"/>
      <c r="DR181" s="85"/>
      <c r="DS181" s="25">
        <v>12</v>
      </c>
      <c r="DT181" s="26">
        <f t="shared" si="1113"/>
        <v>0.10185185185185185</v>
      </c>
      <c r="DU181" s="13">
        <f t="shared" si="1140"/>
        <v>600</v>
      </c>
      <c r="DV181" s="13">
        <f t="shared" si="1140"/>
        <v>600</v>
      </c>
      <c r="DW181" s="13">
        <f t="shared" si="1140"/>
        <v>600</v>
      </c>
      <c r="DX181" s="13">
        <f t="shared" si="1140"/>
        <v>600</v>
      </c>
      <c r="DY181" s="13">
        <f t="shared" si="1140"/>
        <v>600</v>
      </c>
      <c r="DZ181" s="13">
        <f t="shared" si="1140"/>
        <v>600</v>
      </c>
      <c r="EA181" s="13">
        <f t="shared" si="1140"/>
        <v>600</v>
      </c>
      <c r="EB181" s="13">
        <f t="shared" si="1140"/>
        <v>600</v>
      </c>
      <c r="EC181" s="13">
        <f t="shared" si="1140"/>
        <v>600</v>
      </c>
      <c r="ED181" s="13">
        <f t="shared" si="942"/>
        <v>600</v>
      </c>
      <c r="EE181" s="13">
        <f t="shared" si="1006"/>
        <v>600</v>
      </c>
      <c r="EF181" s="13">
        <f t="shared" si="1042"/>
        <v>600</v>
      </c>
      <c r="EG181" s="13">
        <f t="shared" ref="EG181:EG182" si="1160">(EG180*$O$4-BF181)/($O$3-$O$4*CS180)</f>
        <v>522.76814654133773</v>
      </c>
      <c r="EH181" s="13">
        <f t="shared" ref="EH181:EH182" si="1161">(EH180*$O$4-BG181)/($O$3-$O$4*CT180)</f>
        <v>522.44539270436837</v>
      </c>
      <c r="EI181" s="13">
        <f t="shared" si="1125"/>
        <v>522.73366692489299</v>
      </c>
      <c r="EJ181" s="13">
        <f t="shared" si="1126"/>
        <v>523.35634113653623</v>
      </c>
      <c r="EK181" s="13">
        <f t="shared" si="1127"/>
        <v>524.31487926863281</v>
      </c>
      <c r="EL181" s="13">
        <f t="shared" ref="EL181:EL182" si="1162">(EL180*$O$4-BK181)/($O$3-$O$4*CX180)</f>
        <v>525.61288752500445</v>
      </c>
      <c r="EM181" s="13">
        <f t="shared" ref="EM181:EM182" si="1163">(EM180*$O$4-BL181)/($O$3-$O$4*CY180)</f>
        <v>527.30126206292584</v>
      </c>
      <c r="EN181" s="13">
        <f t="shared" si="1050"/>
        <v>650</v>
      </c>
      <c r="EO181" s="13">
        <f t="shared" si="1016"/>
        <v>650</v>
      </c>
      <c r="EP181" s="13">
        <f t="shared" si="954"/>
        <v>650</v>
      </c>
      <c r="EQ181" s="13">
        <f t="shared" si="1146"/>
        <v>650</v>
      </c>
      <c r="ER181" s="13">
        <f t="shared" si="1146"/>
        <v>650</v>
      </c>
      <c r="ES181" s="13">
        <f t="shared" si="1146"/>
        <v>650</v>
      </c>
      <c r="ET181" s="13">
        <f t="shared" si="1146"/>
        <v>650</v>
      </c>
      <c r="EU181" s="13">
        <f t="shared" si="1146"/>
        <v>650</v>
      </c>
      <c r="EV181" s="13">
        <f t="shared" si="1146"/>
        <v>650</v>
      </c>
      <c r="EW181" s="13">
        <f t="shared" si="1146"/>
        <v>650</v>
      </c>
      <c r="EX181" s="13">
        <f t="shared" si="1146"/>
        <v>650</v>
      </c>
      <c r="EY181" s="13">
        <f t="shared" si="1146"/>
        <v>650</v>
      </c>
      <c r="EZ181" s="25">
        <v>12</v>
      </c>
      <c r="FA181" s="26">
        <f t="shared" si="1114"/>
        <v>0.10185185185185185</v>
      </c>
    </row>
    <row r="182" spans="3:157" ht="15" customHeight="1" x14ac:dyDescent="0.25">
      <c r="C182" s="84"/>
      <c r="D182" s="85"/>
      <c r="E182" s="25">
        <v>11</v>
      </c>
      <c r="F182" s="26">
        <f t="shared" si="1107"/>
        <v>9.2592592592592587E-2</v>
      </c>
      <c r="G182" s="13">
        <f t="shared" si="1129"/>
        <v>600</v>
      </c>
      <c r="H182" s="13">
        <f t="shared" si="1129"/>
        <v>600</v>
      </c>
      <c r="I182" s="13">
        <f t="shared" si="1129"/>
        <v>600</v>
      </c>
      <c r="J182" s="13">
        <f t="shared" si="1129"/>
        <v>600</v>
      </c>
      <c r="K182" s="13">
        <f t="shared" si="1129"/>
        <v>600</v>
      </c>
      <c r="L182" s="13">
        <f t="shared" si="1129"/>
        <v>600</v>
      </c>
      <c r="M182" s="13">
        <f t="shared" si="1129"/>
        <v>600</v>
      </c>
      <c r="N182" s="13">
        <f t="shared" si="1129"/>
        <v>600</v>
      </c>
      <c r="O182" s="13">
        <f t="shared" si="1129"/>
        <v>600</v>
      </c>
      <c r="P182" s="13">
        <f t="shared" si="914"/>
        <v>600</v>
      </c>
      <c r="Q182" s="13">
        <f t="shared" si="975"/>
        <v>600</v>
      </c>
      <c r="R182" s="13">
        <f t="shared" ref="R182:Z182" si="1164">($F$5*$B$5*R54+$F$4*R119)/($F$4+$F$5*$B$5)</f>
        <v>575.65725273428257</v>
      </c>
      <c r="S182" s="13">
        <f t="shared" si="1130"/>
        <v>582.2057645612831</v>
      </c>
      <c r="T182" s="13">
        <f t="shared" si="1130"/>
        <v>582.14208096137577</v>
      </c>
      <c r="U182" s="13">
        <f t="shared" si="1071"/>
        <v>582.37924256315057</v>
      </c>
      <c r="V182" s="13">
        <f t="shared" si="1072"/>
        <v>583.00074332675399</v>
      </c>
      <c r="W182" s="13">
        <f t="shared" si="1073"/>
        <v>584.00875541069877</v>
      </c>
      <c r="X182" s="13">
        <f t="shared" ref="X182" si="1165">CX182*X183+EL182</f>
        <v>585.39992611433274</v>
      </c>
      <c r="Y182" s="13">
        <f t="shared" ref="Y182" si="1166">CY182*Y183+EM182</f>
        <v>587.06061188322656</v>
      </c>
      <c r="Z182" s="13">
        <f t="shared" si="1164"/>
        <v>584.1621165797543</v>
      </c>
      <c r="AA182" s="13">
        <f t="shared" si="985"/>
        <v>650</v>
      </c>
      <c r="AB182" s="13">
        <f t="shared" si="915"/>
        <v>650</v>
      </c>
      <c r="AC182" s="13">
        <f t="shared" si="1132"/>
        <v>650</v>
      </c>
      <c r="AD182" s="13">
        <f t="shared" si="1132"/>
        <v>650</v>
      </c>
      <c r="AE182" s="13">
        <f t="shared" si="1132"/>
        <v>650</v>
      </c>
      <c r="AF182" s="13">
        <f t="shared" si="1132"/>
        <v>650</v>
      </c>
      <c r="AG182" s="13">
        <f t="shared" si="1132"/>
        <v>650</v>
      </c>
      <c r="AH182" s="13">
        <f t="shared" si="1132"/>
        <v>650</v>
      </c>
      <c r="AI182" s="13">
        <f t="shared" si="1132"/>
        <v>650</v>
      </c>
      <c r="AJ182" s="13">
        <f t="shared" si="1132"/>
        <v>650</v>
      </c>
      <c r="AK182" s="13">
        <f t="shared" si="1132"/>
        <v>650</v>
      </c>
      <c r="AL182" s="25">
        <v>11</v>
      </c>
      <c r="AM182" s="26">
        <f t="shared" si="1108"/>
        <v>9.2592592592592587E-2</v>
      </c>
      <c r="AP182" s="87"/>
      <c r="AQ182" s="86"/>
      <c r="AR182" s="25">
        <v>11</v>
      </c>
      <c r="AS182" s="26">
        <f t="shared" si="1109"/>
        <v>9.2592592592592587E-2</v>
      </c>
      <c r="AT182" s="13">
        <f t="shared" si="1133"/>
        <v>600</v>
      </c>
      <c r="AU182" s="13">
        <f t="shared" si="1133"/>
        <v>600</v>
      </c>
      <c r="AV182" s="13">
        <f t="shared" si="1133"/>
        <v>600</v>
      </c>
      <c r="AW182" s="13">
        <f t="shared" si="1133"/>
        <v>600</v>
      </c>
      <c r="AX182" s="13">
        <f t="shared" si="1133"/>
        <v>600</v>
      </c>
      <c r="AY182" s="13">
        <f t="shared" si="1133"/>
        <v>600</v>
      </c>
      <c r="AZ182" s="13">
        <f t="shared" si="1133"/>
        <v>600</v>
      </c>
      <c r="BA182" s="13">
        <f t="shared" si="1133"/>
        <v>600</v>
      </c>
      <c r="BB182" s="13">
        <f t="shared" si="1133"/>
        <v>600</v>
      </c>
      <c r="BC182" s="13">
        <f t="shared" si="916"/>
        <v>600</v>
      </c>
      <c r="BD182" s="13">
        <f t="shared" si="986"/>
        <v>600</v>
      </c>
      <c r="BE182" s="52"/>
      <c r="BF182" s="13">
        <f t="shared" si="1077"/>
        <v>-2089789558.6409061</v>
      </c>
      <c r="BG182" s="13">
        <f t="shared" si="1077"/>
        <v>-2089367630.6289279</v>
      </c>
      <c r="BH182" s="13">
        <f t="shared" si="1077"/>
        <v>-2090251031.5549016</v>
      </c>
      <c r="BI182" s="13">
        <f t="shared" si="1078"/>
        <v>-2092483858.7711391</v>
      </c>
      <c r="BJ182" s="13">
        <f t="shared" si="1079"/>
        <v>-2096077147.3215489</v>
      </c>
      <c r="BK182" s="13">
        <f t="shared" si="1134"/>
        <v>-2101011599.3324406</v>
      </c>
      <c r="BL182" s="13">
        <f t="shared" si="1157"/>
        <v>-2107231323.9491954</v>
      </c>
      <c r="BM182" s="52"/>
      <c r="BN182" s="13">
        <f t="shared" si="994"/>
        <v>650</v>
      </c>
      <c r="BO182" s="13">
        <f t="shared" si="928"/>
        <v>650</v>
      </c>
      <c r="BP182" s="13">
        <f t="shared" si="1135"/>
        <v>650</v>
      </c>
      <c r="BQ182" s="13">
        <f t="shared" si="1135"/>
        <v>650</v>
      </c>
      <c r="BR182" s="13">
        <f t="shared" si="1135"/>
        <v>650</v>
      </c>
      <c r="BS182" s="13">
        <f t="shared" si="1135"/>
        <v>650</v>
      </c>
      <c r="BT182" s="13">
        <f t="shared" si="1135"/>
        <v>650</v>
      </c>
      <c r="BU182" s="13">
        <f t="shared" si="1135"/>
        <v>650</v>
      </c>
      <c r="BV182" s="13">
        <f t="shared" si="1135"/>
        <v>650</v>
      </c>
      <c r="BW182" s="13">
        <f t="shared" si="1135"/>
        <v>650</v>
      </c>
      <c r="BX182" s="13">
        <f t="shared" si="1135"/>
        <v>650</v>
      </c>
      <c r="BY182" s="25">
        <v>11</v>
      </c>
      <c r="BZ182" s="26">
        <f t="shared" si="1110"/>
        <v>9.2592592592592587E-2</v>
      </c>
      <c r="CC182" s="84"/>
      <c r="CD182" s="85"/>
      <c r="CE182" s="25">
        <v>11</v>
      </c>
      <c r="CF182" s="26">
        <f t="shared" si="1111"/>
        <v>9.2592592592592587E-2</v>
      </c>
      <c r="CG182" s="13">
        <f t="shared" si="1136"/>
        <v>600</v>
      </c>
      <c r="CH182" s="13">
        <f t="shared" si="1136"/>
        <v>600</v>
      </c>
      <c r="CI182" s="13">
        <f t="shared" si="1136"/>
        <v>600</v>
      </c>
      <c r="CJ182" s="13">
        <f t="shared" si="1136"/>
        <v>600</v>
      </c>
      <c r="CK182" s="13">
        <f t="shared" si="1136"/>
        <v>600</v>
      </c>
      <c r="CL182" s="13">
        <f t="shared" si="1136"/>
        <v>600</v>
      </c>
      <c r="CM182" s="13">
        <f t="shared" si="1136"/>
        <v>600</v>
      </c>
      <c r="CN182" s="13">
        <f t="shared" si="1136"/>
        <v>600</v>
      </c>
      <c r="CO182" s="13">
        <f t="shared" si="1136"/>
        <v>600</v>
      </c>
      <c r="CP182" s="13">
        <f t="shared" si="929"/>
        <v>600</v>
      </c>
      <c r="CQ182" s="13">
        <f t="shared" si="995"/>
        <v>600</v>
      </c>
      <c r="CR182" s="13">
        <v>0</v>
      </c>
      <c r="CS182" s="13">
        <f t="shared" ref="CS182:CS183" si="1167">$O$2/($O$3-$O$4*CS181)</f>
        <v>0.11665710012935292</v>
      </c>
      <c r="CT182" s="13">
        <f t="shared" ref="CT182:CT183" si="1168">$O$2/($O$3-$O$4*CT181)</f>
        <v>0.11667843057151663</v>
      </c>
      <c r="CU182" s="13">
        <f t="shared" si="1090"/>
        <v>0.11667843062533659</v>
      </c>
      <c r="CV182" s="13">
        <f t="shared" si="1091"/>
        <v>0.11667843062533659</v>
      </c>
      <c r="CW182" s="13">
        <f t="shared" si="1092"/>
        <v>0.11667843062533659</v>
      </c>
      <c r="CX182" s="13">
        <f t="shared" ref="CX182:CX183" si="1169">$O$2/($O$3-$O$4*CX181)</f>
        <v>0.11667843057151663</v>
      </c>
      <c r="CY182" s="13">
        <f t="shared" ref="CY182:CY183" si="1170">$O$2/($O$3-$O$4*CY181)</f>
        <v>0.11665710012935292</v>
      </c>
      <c r="CZ182" s="13">
        <v>0</v>
      </c>
      <c r="DA182" s="13">
        <f t="shared" si="1005"/>
        <v>650</v>
      </c>
      <c r="DB182" s="13">
        <f t="shared" si="941"/>
        <v>650</v>
      </c>
      <c r="DC182" s="13">
        <f t="shared" si="1139"/>
        <v>650</v>
      </c>
      <c r="DD182" s="13">
        <f t="shared" si="1139"/>
        <v>650</v>
      </c>
      <c r="DE182" s="13">
        <f t="shared" si="1139"/>
        <v>650</v>
      </c>
      <c r="DF182" s="13">
        <f t="shared" si="1139"/>
        <v>650</v>
      </c>
      <c r="DG182" s="13">
        <f t="shared" si="1139"/>
        <v>650</v>
      </c>
      <c r="DH182" s="13">
        <f t="shared" si="1139"/>
        <v>650</v>
      </c>
      <c r="DI182" s="13">
        <f t="shared" si="1139"/>
        <v>650</v>
      </c>
      <c r="DJ182" s="13">
        <f t="shared" si="1139"/>
        <v>650</v>
      </c>
      <c r="DK182" s="13">
        <f t="shared" si="1139"/>
        <v>650</v>
      </c>
      <c r="DL182" s="25">
        <v>11</v>
      </c>
      <c r="DM182" s="26">
        <f t="shared" si="1112"/>
        <v>9.2592592592592587E-2</v>
      </c>
      <c r="DQ182" s="84"/>
      <c r="DR182" s="85"/>
      <c r="DS182" s="25">
        <v>11</v>
      </c>
      <c r="DT182" s="26">
        <f t="shared" si="1113"/>
        <v>9.2592592592592587E-2</v>
      </c>
      <c r="DU182" s="13">
        <f t="shared" si="1140"/>
        <v>600</v>
      </c>
      <c r="DV182" s="13">
        <f t="shared" si="1140"/>
        <v>600</v>
      </c>
      <c r="DW182" s="13">
        <f t="shared" si="1140"/>
        <v>600</v>
      </c>
      <c r="DX182" s="13">
        <f t="shared" si="1140"/>
        <v>600</v>
      </c>
      <c r="DY182" s="13">
        <f t="shared" si="1140"/>
        <v>600</v>
      </c>
      <c r="DZ182" s="13">
        <f t="shared" si="1140"/>
        <v>600</v>
      </c>
      <c r="EA182" s="13">
        <f t="shared" si="1140"/>
        <v>600</v>
      </c>
      <c r="EB182" s="13">
        <f t="shared" si="1140"/>
        <v>600</v>
      </c>
      <c r="EC182" s="13">
        <f t="shared" si="1140"/>
        <v>600</v>
      </c>
      <c r="ED182" s="13">
        <f t="shared" si="942"/>
        <v>600</v>
      </c>
      <c r="EE182" s="13">
        <f t="shared" si="1006"/>
        <v>600</v>
      </c>
      <c r="EF182" s="13">
        <f t="shared" ref="EF182" si="1171">R182</f>
        <v>575.65725273428257</v>
      </c>
      <c r="EG182" s="13">
        <f t="shared" si="1160"/>
        <v>515.35329741283795</v>
      </c>
      <c r="EH182" s="13">
        <f t="shared" si="1161"/>
        <v>515.31811628690252</v>
      </c>
      <c r="EI182" s="13">
        <f t="shared" si="1125"/>
        <v>515.54385886248213</v>
      </c>
      <c r="EJ182" s="13">
        <f t="shared" si="1126"/>
        <v>516.10206866221029</v>
      </c>
      <c r="EK182" s="13">
        <f t="shared" si="1127"/>
        <v>516.99531644575097</v>
      </c>
      <c r="EL182" s="13">
        <f t="shared" si="1162"/>
        <v>518.21982616810214</v>
      </c>
      <c r="EM182" s="13">
        <f t="shared" si="1163"/>
        <v>519.67436151904178</v>
      </c>
      <c r="EN182" s="13">
        <f t="shared" ref="EN182" si="1172">Z182</f>
        <v>584.1621165797543</v>
      </c>
      <c r="EO182" s="13">
        <f t="shared" si="1016"/>
        <v>650</v>
      </c>
      <c r="EP182" s="13">
        <f t="shared" si="954"/>
        <v>650</v>
      </c>
      <c r="EQ182" s="13">
        <f t="shared" si="1146"/>
        <v>650</v>
      </c>
      <c r="ER182" s="13">
        <f t="shared" si="1146"/>
        <v>650</v>
      </c>
      <c r="ES182" s="13">
        <f t="shared" si="1146"/>
        <v>650</v>
      </c>
      <c r="ET182" s="13">
        <f t="shared" si="1146"/>
        <v>650</v>
      </c>
      <c r="EU182" s="13">
        <f t="shared" si="1146"/>
        <v>650</v>
      </c>
      <c r="EV182" s="13">
        <f t="shared" si="1146"/>
        <v>650</v>
      </c>
      <c r="EW182" s="13">
        <f t="shared" si="1146"/>
        <v>650</v>
      </c>
      <c r="EX182" s="13">
        <f t="shared" si="1146"/>
        <v>650</v>
      </c>
      <c r="EY182" s="13">
        <f t="shared" si="1146"/>
        <v>650</v>
      </c>
      <c r="EZ182" s="25">
        <v>11</v>
      </c>
      <c r="FA182" s="26">
        <f t="shared" si="1114"/>
        <v>9.2592592592592587E-2</v>
      </c>
    </row>
    <row r="183" spans="3:157" ht="15" customHeight="1" x14ac:dyDescent="0.25">
      <c r="C183" s="84"/>
      <c r="D183" s="85"/>
      <c r="E183" s="25">
        <v>10</v>
      </c>
      <c r="F183" s="26">
        <f t="shared" si="1107"/>
        <v>8.3333333333333329E-2</v>
      </c>
      <c r="G183" s="13">
        <f t="shared" si="1129"/>
        <v>600</v>
      </c>
      <c r="H183" s="13">
        <f t="shared" si="1129"/>
        <v>600</v>
      </c>
      <c r="I183" s="13">
        <f t="shared" si="1129"/>
        <v>600</v>
      </c>
      <c r="J183" s="13">
        <f t="shared" si="1129"/>
        <v>600</v>
      </c>
      <c r="K183" s="13">
        <f t="shared" si="1129"/>
        <v>600</v>
      </c>
      <c r="L183" s="13">
        <f t="shared" si="1129"/>
        <v>600</v>
      </c>
      <c r="M183" s="13">
        <f t="shared" si="1129"/>
        <v>600</v>
      </c>
      <c r="N183" s="13">
        <f t="shared" si="1129"/>
        <v>600</v>
      </c>
      <c r="O183" s="13">
        <f t="shared" si="1129"/>
        <v>600</v>
      </c>
      <c r="P183" s="13">
        <f t="shared" si="914"/>
        <v>600</v>
      </c>
      <c r="Q183" s="13">
        <f t="shared" si="975"/>
        <v>600</v>
      </c>
      <c r="R183" s="13">
        <f t="shared" ref="R183:R185" si="1173">CR183*R184+EF183</f>
        <v>573.08638970972129</v>
      </c>
      <c r="S183" s="13">
        <f t="shared" si="1130"/>
        <v>573.06813793860113</v>
      </c>
      <c r="T183" s="13">
        <f t="shared" si="1130"/>
        <v>572.71909081356955</v>
      </c>
      <c r="U183" s="13">
        <f t="shared" si="1071"/>
        <v>572.81695804841581</v>
      </c>
      <c r="V183" s="13">
        <f t="shared" si="1072"/>
        <v>573.35939732820498</v>
      </c>
      <c r="W183" s="13">
        <f t="shared" si="1073"/>
        <v>574.34299215193471</v>
      </c>
      <c r="X183" s="13">
        <f t="shared" ref="X183" si="1174">CX183*X184+EL183</f>
        <v>575.77137108519287</v>
      </c>
      <c r="Y183" s="13">
        <f t="shared" ref="Y183" si="1175">CY183*Y184+EM183</f>
        <v>577.64379784397966</v>
      </c>
      <c r="Z183" s="13">
        <f t="shared" ref="Z183" si="1176">CZ183*Z184+EN183</f>
        <v>579.42875229290325</v>
      </c>
      <c r="AA183" s="13">
        <f t="shared" si="985"/>
        <v>650</v>
      </c>
      <c r="AB183" s="13">
        <f t="shared" si="915"/>
        <v>650</v>
      </c>
      <c r="AC183" s="13">
        <f t="shared" si="1132"/>
        <v>650</v>
      </c>
      <c r="AD183" s="13">
        <f t="shared" si="1132"/>
        <v>650</v>
      </c>
      <c r="AE183" s="13">
        <f t="shared" si="1132"/>
        <v>650</v>
      </c>
      <c r="AF183" s="13">
        <f t="shared" si="1132"/>
        <v>650</v>
      </c>
      <c r="AG183" s="13">
        <f t="shared" si="1132"/>
        <v>650</v>
      </c>
      <c r="AH183" s="13">
        <f t="shared" si="1132"/>
        <v>650</v>
      </c>
      <c r="AI183" s="13">
        <f t="shared" si="1132"/>
        <v>650</v>
      </c>
      <c r="AJ183" s="13">
        <f t="shared" si="1132"/>
        <v>650</v>
      </c>
      <c r="AK183" s="13">
        <f t="shared" si="1132"/>
        <v>650</v>
      </c>
      <c r="AL183" s="25">
        <v>10</v>
      </c>
      <c r="AM183" s="26">
        <f t="shared" si="1108"/>
        <v>8.3333333333333329E-2</v>
      </c>
      <c r="AP183" s="87"/>
      <c r="AQ183" s="86"/>
      <c r="AR183" s="25">
        <v>10</v>
      </c>
      <c r="AS183" s="26">
        <f t="shared" si="1109"/>
        <v>8.3333333333333329E-2</v>
      </c>
      <c r="AT183" s="13">
        <f t="shared" si="1133"/>
        <v>600</v>
      </c>
      <c r="AU183" s="13">
        <f t="shared" si="1133"/>
        <v>600</v>
      </c>
      <c r="AV183" s="13">
        <f t="shared" si="1133"/>
        <v>600</v>
      </c>
      <c r="AW183" s="13">
        <f t="shared" si="1133"/>
        <v>600</v>
      </c>
      <c r="AX183" s="13">
        <f t="shared" si="1133"/>
        <v>600</v>
      </c>
      <c r="AY183" s="13">
        <f t="shared" si="1133"/>
        <v>600</v>
      </c>
      <c r="AZ183" s="13">
        <f t="shared" si="1133"/>
        <v>600</v>
      </c>
      <c r="BA183" s="13">
        <f t="shared" si="1133"/>
        <v>600</v>
      </c>
      <c r="BB183" s="13">
        <f t="shared" si="1133"/>
        <v>600</v>
      </c>
      <c r="BC183" s="13">
        <f t="shared" si="916"/>
        <v>600</v>
      </c>
      <c r="BD183" s="13">
        <f t="shared" si="986"/>
        <v>600</v>
      </c>
      <c r="BE183" s="13">
        <f t="shared" si="1077"/>
        <v>-2060394931.3793364</v>
      </c>
      <c r="BF183" s="13">
        <f t="shared" si="1077"/>
        <v>-2057141570.4341979</v>
      </c>
      <c r="BG183" s="13">
        <f t="shared" si="1077"/>
        <v>-2055711203.4991891</v>
      </c>
      <c r="BH183" s="13">
        <f t="shared" si="1077"/>
        <v>-2055979578.908484</v>
      </c>
      <c r="BI183" s="13">
        <f t="shared" si="1078"/>
        <v>-2057895287.5034599</v>
      </c>
      <c r="BJ183" s="13">
        <f t="shared" si="1079"/>
        <v>-2061442709.6544719</v>
      </c>
      <c r="BK183" s="13">
        <f t="shared" si="1134"/>
        <v>-2066639141.170541</v>
      </c>
      <c r="BL183" s="13">
        <f t="shared" si="1157"/>
        <v>-2073538388.1845098</v>
      </c>
      <c r="BM183" s="13">
        <f t="shared" ref="BM183:BM185" si="1177">-($F$3*$F$2)/$B$8*Z119</f>
        <v>-2082279394.5367475</v>
      </c>
      <c r="BN183" s="13">
        <f t="shared" si="994"/>
        <v>650</v>
      </c>
      <c r="BO183" s="13">
        <f t="shared" si="928"/>
        <v>650</v>
      </c>
      <c r="BP183" s="13">
        <f t="shared" si="1135"/>
        <v>650</v>
      </c>
      <c r="BQ183" s="13">
        <f t="shared" si="1135"/>
        <v>650</v>
      </c>
      <c r="BR183" s="13">
        <f t="shared" si="1135"/>
        <v>650</v>
      </c>
      <c r="BS183" s="13">
        <f t="shared" si="1135"/>
        <v>650</v>
      </c>
      <c r="BT183" s="13">
        <f t="shared" si="1135"/>
        <v>650</v>
      </c>
      <c r="BU183" s="13">
        <f t="shared" si="1135"/>
        <v>650</v>
      </c>
      <c r="BV183" s="13">
        <f t="shared" si="1135"/>
        <v>650</v>
      </c>
      <c r="BW183" s="13">
        <f t="shared" si="1135"/>
        <v>650</v>
      </c>
      <c r="BX183" s="13">
        <f t="shared" si="1135"/>
        <v>650</v>
      </c>
      <c r="BY183" s="25">
        <v>10</v>
      </c>
      <c r="BZ183" s="26">
        <f t="shared" si="1110"/>
        <v>8.3333333333333329E-2</v>
      </c>
      <c r="CC183" s="84"/>
      <c r="CD183" s="85"/>
      <c r="CE183" s="25">
        <v>10</v>
      </c>
      <c r="CF183" s="26">
        <f t="shared" si="1111"/>
        <v>8.3333333333333329E-2</v>
      </c>
      <c r="CG183" s="13">
        <f t="shared" si="1136"/>
        <v>600</v>
      </c>
      <c r="CH183" s="13">
        <f t="shared" si="1136"/>
        <v>600</v>
      </c>
      <c r="CI183" s="13">
        <f t="shared" si="1136"/>
        <v>600</v>
      </c>
      <c r="CJ183" s="13">
        <f t="shared" si="1136"/>
        <v>600</v>
      </c>
      <c r="CK183" s="13">
        <f t="shared" si="1136"/>
        <v>600</v>
      </c>
      <c r="CL183" s="13">
        <f t="shared" si="1136"/>
        <v>600</v>
      </c>
      <c r="CM183" s="13">
        <f t="shared" si="1136"/>
        <v>600</v>
      </c>
      <c r="CN183" s="13">
        <f t="shared" si="1136"/>
        <v>600</v>
      </c>
      <c r="CO183" s="13">
        <f t="shared" si="1136"/>
        <v>600</v>
      </c>
      <c r="CP183" s="13">
        <f t="shared" si="929"/>
        <v>600</v>
      </c>
      <c r="CQ183" s="13">
        <f t="shared" si="995"/>
        <v>600</v>
      </c>
      <c r="CR183" s="13">
        <f t="shared" ref="CR183" si="1178">$O$2/($O$3-$O$4*CR182)</f>
        <v>0.11511132164850782</v>
      </c>
      <c r="CS183" s="13">
        <f t="shared" si="1167"/>
        <v>0.1166781402357549</v>
      </c>
      <c r="CT183" s="13">
        <f t="shared" si="1168"/>
        <v>0.1166784306246039</v>
      </c>
      <c r="CU183" s="13">
        <f t="shared" si="1090"/>
        <v>0.11667843062533659</v>
      </c>
      <c r="CV183" s="13">
        <f t="shared" si="1091"/>
        <v>0.11667843062533659</v>
      </c>
      <c r="CW183" s="13">
        <f t="shared" si="1092"/>
        <v>0.11667843062533659</v>
      </c>
      <c r="CX183" s="13">
        <f t="shared" si="1169"/>
        <v>0.1166784306246039</v>
      </c>
      <c r="CY183" s="13">
        <f t="shared" si="1170"/>
        <v>0.1166781402357549</v>
      </c>
      <c r="CZ183" s="13">
        <f t="shared" ref="CZ183" si="1179">$O$2/($O$3-$O$4*CZ182)</f>
        <v>0.11511132164850782</v>
      </c>
      <c r="DA183" s="13">
        <f t="shared" si="1005"/>
        <v>650</v>
      </c>
      <c r="DB183" s="13">
        <f t="shared" si="941"/>
        <v>650</v>
      </c>
      <c r="DC183" s="13">
        <f t="shared" si="1139"/>
        <v>650</v>
      </c>
      <c r="DD183" s="13">
        <f t="shared" si="1139"/>
        <v>650</v>
      </c>
      <c r="DE183" s="13">
        <f t="shared" si="1139"/>
        <v>650</v>
      </c>
      <c r="DF183" s="13">
        <f t="shared" si="1139"/>
        <v>650</v>
      </c>
      <c r="DG183" s="13">
        <f t="shared" si="1139"/>
        <v>650</v>
      </c>
      <c r="DH183" s="13">
        <f t="shared" si="1139"/>
        <v>650</v>
      </c>
      <c r="DI183" s="13">
        <f t="shared" si="1139"/>
        <v>650</v>
      </c>
      <c r="DJ183" s="13">
        <f t="shared" si="1139"/>
        <v>650</v>
      </c>
      <c r="DK183" s="13">
        <f t="shared" si="1139"/>
        <v>650</v>
      </c>
      <c r="DL183" s="25">
        <v>10</v>
      </c>
      <c r="DM183" s="26">
        <f t="shared" si="1112"/>
        <v>8.3333333333333329E-2</v>
      </c>
      <c r="DQ183" s="84"/>
      <c r="DR183" s="85"/>
      <c r="DS183" s="25">
        <v>10</v>
      </c>
      <c r="DT183" s="26">
        <f t="shared" si="1113"/>
        <v>8.3333333333333329E-2</v>
      </c>
      <c r="DU183" s="13">
        <f t="shared" si="1140"/>
        <v>600</v>
      </c>
      <c r="DV183" s="13">
        <f t="shared" si="1140"/>
        <v>600</v>
      </c>
      <c r="DW183" s="13">
        <f t="shared" si="1140"/>
        <v>600</v>
      </c>
      <c r="DX183" s="13">
        <f t="shared" si="1140"/>
        <v>600</v>
      </c>
      <c r="DY183" s="13">
        <f t="shared" si="1140"/>
        <v>600</v>
      </c>
      <c r="DZ183" s="13">
        <f t="shared" si="1140"/>
        <v>600</v>
      </c>
      <c r="EA183" s="13">
        <f t="shared" si="1140"/>
        <v>600</v>
      </c>
      <c r="EB183" s="13">
        <f t="shared" si="1140"/>
        <v>600</v>
      </c>
      <c r="EC183" s="13">
        <f t="shared" si="1140"/>
        <v>600</v>
      </c>
      <c r="ED183" s="13">
        <f t="shared" si="942"/>
        <v>600</v>
      </c>
      <c r="EE183" s="13">
        <f t="shared" si="1006"/>
        <v>600</v>
      </c>
      <c r="EF183" s="13">
        <f t="shared" ref="EF183:EF184" si="1180">(EF182*$O$4-BE183)/($O$3-$O$4*CR182)</f>
        <v>508.3062959528761</v>
      </c>
      <c r="EG183" s="13">
        <f t="shared" ref="EG183:EG184" si="1181">(EG182*$O$4-BF183)/($O$3-$O$4*CS182)</f>
        <v>507.48138546099818</v>
      </c>
      <c r="EH183" s="13">
        <f t="shared" ref="EH183:EH184" si="1182">(EH182*$O$4-BG183)/($O$3-$O$4*CT182)</f>
        <v>507.16749181789504</v>
      </c>
      <c r="EI183" s="13">
        <f t="shared" ref="EI183:EI184" si="1183">(EI182*$O$4-BH183)/($O$3-$O$4*CU182)</f>
        <v>507.25219281352486</v>
      </c>
      <c r="EJ183" s="13">
        <f t="shared" ref="EJ183:EJ184" si="1184">(EJ182*$O$4-BI183)/($O$3-$O$4*CV182)</f>
        <v>507.73391946211837</v>
      </c>
      <c r="EK183" s="13">
        <f t="shared" ref="EK183:EK184" si="1185">(EK182*$O$4-BJ183)/($O$3-$O$4*CW182)</f>
        <v>508.60957502862635</v>
      </c>
      <c r="EL183" s="13">
        <f t="shared" ref="EL183:EL184" si="1186">(EL182*$O$4-BK183)/($O$3-$O$4*CX182)</f>
        <v>509.88248012415875</v>
      </c>
      <c r="EM183" s="13">
        <f t="shared" ref="EM183:EM184" si="1187">(EM182*$O$4-BL183)/($O$3-$O$4*CY182)</f>
        <v>511.55125035060166</v>
      </c>
      <c r="EN183" s="13">
        <f t="shared" ref="EN183:EN184" si="1188">(EN182*$O$4-BM183)/($O$3-$O$4*CZ182)</f>
        <v>513.98044259514415</v>
      </c>
      <c r="EO183" s="13">
        <f t="shared" si="1016"/>
        <v>650</v>
      </c>
      <c r="EP183" s="13">
        <f t="shared" si="954"/>
        <v>650</v>
      </c>
      <c r="EQ183" s="13">
        <f t="shared" si="1146"/>
        <v>650</v>
      </c>
      <c r="ER183" s="13">
        <f t="shared" si="1146"/>
        <v>650</v>
      </c>
      <c r="ES183" s="13">
        <f t="shared" si="1146"/>
        <v>650</v>
      </c>
      <c r="ET183" s="13">
        <f t="shared" si="1146"/>
        <v>650</v>
      </c>
      <c r="EU183" s="13">
        <f t="shared" si="1146"/>
        <v>650</v>
      </c>
      <c r="EV183" s="13">
        <f t="shared" si="1146"/>
        <v>650</v>
      </c>
      <c r="EW183" s="13">
        <f t="shared" si="1146"/>
        <v>650</v>
      </c>
      <c r="EX183" s="13">
        <f t="shared" si="1146"/>
        <v>650</v>
      </c>
      <c r="EY183" s="13">
        <f t="shared" si="1146"/>
        <v>650</v>
      </c>
      <c r="EZ183" s="25">
        <v>10</v>
      </c>
      <c r="FA183" s="26">
        <f t="shared" si="1114"/>
        <v>8.3333333333333329E-2</v>
      </c>
    </row>
    <row r="184" spans="3:157" ht="15" customHeight="1" x14ac:dyDescent="0.25">
      <c r="C184" s="84"/>
      <c r="D184" s="85"/>
      <c r="E184" s="25">
        <v>9</v>
      </c>
      <c r="F184" s="26">
        <f t="shared" si="1107"/>
        <v>7.407407407407407E-2</v>
      </c>
      <c r="G184" s="13">
        <f t="shared" si="1129"/>
        <v>600</v>
      </c>
      <c r="H184" s="13">
        <f t="shared" si="1129"/>
        <v>600</v>
      </c>
      <c r="I184" s="13">
        <f t="shared" si="1129"/>
        <v>600</v>
      </c>
      <c r="J184" s="13">
        <f t="shared" si="1129"/>
        <v>600</v>
      </c>
      <c r="K184" s="13">
        <f t="shared" si="1129"/>
        <v>600</v>
      </c>
      <c r="L184" s="13">
        <f t="shared" si="1129"/>
        <v>600</v>
      </c>
      <c r="M184" s="13">
        <f t="shared" si="1129"/>
        <v>600</v>
      </c>
      <c r="N184" s="13">
        <f t="shared" si="1129"/>
        <v>600</v>
      </c>
      <c r="O184" s="13">
        <f t="shared" si="1129"/>
        <v>600</v>
      </c>
      <c r="P184" s="13">
        <f t="shared" si="914"/>
        <v>600</v>
      </c>
      <c r="Q184" s="13">
        <f t="shared" ref="Q184" si="1189">($F$5*$B$5*Q56+$F$4*Q121)/($F$4+$F$5*$B$5)</f>
        <v>553.0067694944388</v>
      </c>
      <c r="R184" s="13">
        <f t="shared" si="1173"/>
        <v>562.76040296584438</v>
      </c>
      <c r="S184" s="13">
        <f t="shared" si="1130"/>
        <v>562.11688277753808</v>
      </c>
      <c r="T184" s="13">
        <f t="shared" si="1130"/>
        <v>561.81419860348831</v>
      </c>
      <c r="U184" s="13">
        <f t="shared" si="1071"/>
        <v>561.92704070064542</v>
      </c>
      <c r="V184" s="13">
        <f t="shared" si="1072"/>
        <v>562.44738221424257</v>
      </c>
      <c r="W184" s="13">
        <f t="shared" si="1073"/>
        <v>563.37248256606597</v>
      </c>
      <c r="X184" s="13">
        <f t="shared" ref="X184" si="1190">CX184*X185+EL184</f>
        <v>564.70498110333801</v>
      </c>
      <c r="Y184" s="13">
        <f t="shared" ref="Y184" si="1191">CY184*Y185+EM184</f>
        <v>566.45184230597238</v>
      </c>
      <c r="Z184" s="13">
        <f t="shared" ref="Z184" si="1192">CZ184*Z185+EN184</f>
        <v>568.56535708629428</v>
      </c>
      <c r="AA184" s="13">
        <f t="shared" ref="AA184" si="1193">($F$5*$B$5*AA56+$F$4*AA121)/($F$4+$F$5*$B$5)</f>
        <v>562.52731925301816</v>
      </c>
      <c r="AB184" s="13">
        <f t="shared" si="915"/>
        <v>650</v>
      </c>
      <c r="AC184" s="13">
        <f t="shared" si="1132"/>
        <v>650</v>
      </c>
      <c r="AD184" s="13">
        <f t="shared" si="1132"/>
        <v>650</v>
      </c>
      <c r="AE184" s="13">
        <f t="shared" si="1132"/>
        <v>650</v>
      </c>
      <c r="AF184" s="13">
        <f t="shared" si="1132"/>
        <v>650</v>
      </c>
      <c r="AG184" s="13">
        <f t="shared" si="1132"/>
        <v>650</v>
      </c>
      <c r="AH184" s="13">
        <f t="shared" si="1132"/>
        <v>650</v>
      </c>
      <c r="AI184" s="13">
        <f t="shared" si="1132"/>
        <v>650</v>
      </c>
      <c r="AJ184" s="13">
        <f t="shared" si="1132"/>
        <v>650</v>
      </c>
      <c r="AK184" s="13">
        <f t="shared" si="1132"/>
        <v>650</v>
      </c>
      <c r="AL184" s="25">
        <v>9</v>
      </c>
      <c r="AM184" s="26">
        <f t="shared" si="1108"/>
        <v>7.407407407407407E-2</v>
      </c>
      <c r="AP184" s="87"/>
      <c r="AQ184" s="86"/>
      <c r="AR184" s="25">
        <v>9</v>
      </c>
      <c r="AS184" s="26">
        <f t="shared" si="1109"/>
        <v>7.407407407407407E-2</v>
      </c>
      <c r="AT184" s="13">
        <f t="shared" si="1133"/>
        <v>600</v>
      </c>
      <c r="AU184" s="13">
        <f t="shared" si="1133"/>
        <v>600</v>
      </c>
      <c r="AV184" s="13">
        <f t="shared" si="1133"/>
        <v>600</v>
      </c>
      <c r="AW184" s="13">
        <f t="shared" si="1133"/>
        <v>600</v>
      </c>
      <c r="AX184" s="13">
        <f t="shared" si="1133"/>
        <v>600</v>
      </c>
      <c r="AY184" s="13">
        <f t="shared" si="1133"/>
        <v>600</v>
      </c>
      <c r="AZ184" s="13">
        <f t="shared" si="1133"/>
        <v>600</v>
      </c>
      <c r="BA184" s="13">
        <f t="shared" si="1133"/>
        <v>600</v>
      </c>
      <c r="BB184" s="13">
        <f t="shared" si="1133"/>
        <v>600</v>
      </c>
      <c r="BC184" s="13">
        <f t="shared" si="916"/>
        <v>600</v>
      </c>
      <c r="BD184" s="52"/>
      <c r="BE184" s="13">
        <f t="shared" si="1077"/>
        <v>-2020354419.4470632</v>
      </c>
      <c r="BF184" s="13">
        <f t="shared" si="1077"/>
        <v>-2017484475.4082384</v>
      </c>
      <c r="BG184" s="13">
        <f t="shared" si="1077"/>
        <v>-2016261175.2068849</v>
      </c>
      <c r="BH184" s="13">
        <f t="shared" si="1077"/>
        <v>-2016591492.9478955</v>
      </c>
      <c r="BI184" s="13">
        <f t="shared" si="1078"/>
        <v>-2018428923.311552</v>
      </c>
      <c r="BJ184" s="13">
        <f t="shared" si="1079"/>
        <v>-2021758264.1179078</v>
      </c>
      <c r="BK184" s="13">
        <f t="shared" si="1134"/>
        <v>-2026590984.9885564</v>
      </c>
      <c r="BL184" s="13">
        <f t="shared" si="1157"/>
        <v>-2032966888.0075064</v>
      </c>
      <c r="BM184" s="13">
        <f t="shared" si="1177"/>
        <v>-2040966766.0520558</v>
      </c>
      <c r="BN184" s="52"/>
      <c r="BO184" s="13">
        <f t="shared" si="928"/>
        <v>650</v>
      </c>
      <c r="BP184" s="13">
        <f t="shared" si="1135"/>
        <v>650</v>
      </c>
      <c r="BQ184" s="13">
        <f t="shared" si="1135"/>
        <v>650</v>
      </c>
      <c r="BR184" s="13">
        <f t="shared" si="1135"/>
        <v>650</v>
      </c>
      <c r="BS184" s="13">
        <f t="shared" si="1135"/>
        <v>650</v>
      </c>
      <c r="BT184" s="13">
        <f t="shared" si="1135"/>
        <v>650</v>
      </c>
      <c r="BU184" s="13">
        <f t="shared" si="1135"/>
        <v>650</v>
      </c>
      <c r="BV184" s="13">
        <f t="shared" si="1135"/>
        <v>650</v>
      </c>
      <c r="BW184" s="13">
        <f t="shared" si="1135"/>
        <v>650</v>
      </c>
      <c r="BX184" s="13">
        <f t="shared" si="1135"/>
        <v>650</v>
      </c>
      <c r="BY184" s="25">
        <v>9</v>
      </c>
      <c r="BZ184" s="26">
        <f t="shared" si="1110"/>
        <v>7.407407407407407E-2</v>
      </c>
      <c r="CC184" s="84"/>
      <c r="CD184" s="85"/>
      <c r="CE184" s="25">
        <v>9</v>
      </c>
      <c r="CF184" s="26">
        <f t="shared" si="1111"/>
        <v>7.407407407407407E-2</v>
      </c>
      <c r="CG184" s="13">
        <f t="shared" si="1136"/>
        <v>600</v>
      </c>
      <c r="CH184" s="13">
        <f t="shared" si="1136"/>
        <v>600</v>
      </c>
      <c r="CI184" s="13">
        <f t="shared" si="1136"/>
        <v>600</v>
      </c>
      <c r="CJ184" s="13">
        <f t="shared" si="1136"/>
        <v>600</v>
      </c>
      <c r="CK184" s="13">
        <f t="shared" si="1136"/>
        <v>600</v>
      </c>
      <c r="CL184" s="13">
        <f t="shared" si="1136"/>
        <v>600</v>
      </c>
      <c r="CM184" s="13">
        <f t="shared" si="1136"/>
        <v>600</v>
      </c>
      <c r="CN184" s="13">
        <f t="shared" si="1136"/>
        <v>600</v>
      </c>
      <c r="CO184" s="13">
        <f t="shared" si="1136"/>
        <v>600</v>
      </c>
      <c r="CP184" s="13">
        <f t="shared" si="929"/>
        <v>600</v>
      </c>
      <c r="CQ184" s="13">
        <v>0</v>
      </c>
      <c r="CR184" s="13">
        <f t="shared" ref="CR184" si="1194">$O$2/($O$3-$O$4*CR183)</f>
        <v>0.11665710012935292</v>
      </c>
      <c r="CS184" s="13">
        <f t="shared" ref="CS184" si="1195">$O$2/($O$3-$O$4*CS183)</f>
        <v>0.11667842667201472</v>
      </c>
      <c r="CT184" s="13">
        <f t="shared" ref="CT184" si="1196">$O$2/($O$3-$O$4*CT183)</f>
        <v>0.11667843062532661</v>
      </c>
      <c r="CU184" s="13">
        <f t="shared" ref="CU184" si="1197">$O$2/($O$3-$O$4*CU183)</f>
        <v>0.11667843062533659</v>
      </c>
      <c r="CV184" s="13">
        <f t="shared" ref="CV184" si="1198">$O$2/($O$3-$O$4*CV183)</f>
        <v>0.11667843062533659</v>
      </c>
      <c r="CW184" s="13">
        <f t="shared" ref="CW184" si="1199">$O$2/($O$3-$O$4*CW183)</f>
        <v>0.11667843062533659</v>
      </c>
      <c r="CX184" s="13">
        <f t="shared" ref="CX184" si="1200">$O$2/($O$3-$O$4*CX183)</f>
        <v>0.11667843062532661</v>
      </c>
      <c r="CY184" s="13">
        <f t="shared" ref="CY184" si="1201">$O$2/($O$3-$O$4*CY183)</f>
        <v>0.11667842667201472</v>
      </c>
      <c r="CZ184" s="13">
        <f t="shared" ref="CZ184" si="1202">$O$2/($O$3-$O$4*CZ183)</f>
        <v>0.11665710012935292</v>
      </c>
      <c r="DA184" s="13">
        <v>0</v>
      </c>
      <c r="DB184" s="13">
        <f t="shared" si="941"/>
        <v>650</v>
      </c>
      <c r="DC184" s="13">
        <f t="shared" si="1139"/>
        <v>650</v>
      </c>
      <c r="DD184" s="13">
        <f t="shared" si="1139"/>
        <v>650</v>
      </c>
      <c r="DE184" s="13">
        <f t="shared" si="1139"/>
        <v>650</v>
      </c>
      <c r="DF184" s="13">
        <f t="shared" si="1139"/>
        <v>650</v>
      </c>
      <c r="DG184" s="13">
        <f t="shared" si="1139"/>
        <v>650</v>
      </c>
      <c r="DH184" s="13">
        <f t="shared" si="1139"/>
        <v>650</v>
      </c>
      <c r="DI184" s="13">
        <f t="shared" si="1139"/>
        <v>650</v>
      </c>
      <c r="DJ184" s="13">
        <f t="shared" si="1139"/>
        <v>650</v>
      </c>
      <c r="DK184" s="13">
        <f t="shared" si="1139"/>
        <v>650</v>
      </c>
      <c r="DL184" s="25">
        <v>9</v>
      </c>
      <c r="DM184" s="26">
        <f t="shared" si="1112"/>
        <v>7.407407407407407E-2</v>
      </c>
      <c r="DQ184" s="84"/>
      <c r="DR184" s="85"/>
      <c r="DS184" s="25">
        <v>9</v>
      </c>
      <c r="DT184" s="26">
        <f t="shared" si="1113"/>
        <v>7.407407407407407E-2</v>
      </c>
      <c r="DU184" s="13">
        <f t="shared" si="1140"/>
        <v>600</v>
      </c>
      <c r="DV184" s="13">
        <f t="shared" si="1140"/>
        <v>600</v>
      </c>
      <c r="DW184" s="13">
        <f t="shared" si="1140"/>
        <v>600</v>
      </c>
      <c r="DX184" s="13">
        <f t="shared" si="1140"/>
        <v>600</v>
      </c>
      <c r="DY184" s="13">
        <f t="shared" si="1140"/>
        <v>600</v>
      </c>
      <c r="DZ184" s="13">
        <f t="shared" si="1140"/>
        <v>600</v>
      </c>
      <c r="EA184" s="13">
        <f t="shared" si="1140"/>
        <v>600</v>
      </c>
      <c r="EB184" s="13">
        <f t="shared" si="1140"/>
        <v>600</v>
      </c>
      <c r="EC184" s="13">
        <f t="shared" si="1140"/>
        <v>600</v>
      </c>
      <c r="ED184" s="13">
        <f t="shared" si="942"/>
        <v>600</v>
      </c>
      <c r="EE184" s="13">
        <f t="shared" ref="EE184" si="1203">Q184</f>
        <v>553.0067694944388</v>
      </c>
      <c r="EF184" s="13">
        <f t="shared" si="1180"/>
        <v>498.56941142478371</v>
      </c>
      <c r="EG184" s="13">
        <f t="shared" si="1181"/>
        <v>497.94020117861169</v>
      </c>
      <c r="EH184" s="13">
        <f t="shared" si="1182"/>
        <v>497.6375709854525</v>
      </c>
      <c r="EI184" s="13">
        <f t="shared" si="1183"/>
        <v>497.71928562872034</v>
      </c>
      <c r="EJ184" s="13">
        <f t="shared" si="1184"/>
        <v>498.17506572968682</v>
      </c>
      <c r="EK184" s="13">
        <f t="shared" si="1185"/>
        <v>499.00124405560638</v>
      </c>
      <c r="EL184" s="13">
        <f t="shared" si="1186"/>
        <v>500.2007022676537</v>
      </c>
      <c r="EM184" s="13">
        <f t="shared" si="1187"/>
        <v>501.78191731291389</v>
      </c>
      <c r="EN184" s="13">
        <f t="shared" si="1188"/>
        <v>503.71294276553016</v>
      </c>
      <c r="EO184" s="13">
        <f t="shared" ref="EO184" si="1204">AA184</f>
        <v>562.52731925301816</v>
      </c>
      <c r="EP184" s="13">
        <f t="shared" si="954"/>
        <v>650</v>
      </c>
      <c r="EQ184" s="13">
        <f t="shared" si="1146"/>
        <v>650</v>
      </c>
      <c r="ER184" s="13">
        <f t="shared" si="1146"/>
        <v>650</v>
      </c>
      <c r="ES184" s="13">
        <f t="shared" si="1146"/>
        <v>650</v>
      </c>
      <c r="ET184" s="13">
        <f t="shared" si="1146"/>
        <v>650</v>
      </c>
      <c r="EU184" s="13">
        <f t="shared" si="1146"/>
        <v>650</v>
      </c>
      <c r="EV184" s="13">
        <f t="shared" si="1146"/>
        <v>650</v>
      </c>
      <c r="EW184" s="13">
        <f t="shared" si="1146"/>
        <v>650</v>
      </c>
      <c r="EX184" s="13">
        <f t="shared" si="1146"/>
        <v>650</v>
      </c>
      <c r="EY184" s="13">
        <f t="shared" si="1146"/>
        <v>650</v>
      </c>
      <c r="EZ184" s="25">
        <v>9</v>
      </c>
      <c r="FA184" s="26">
        <f t="shared" si="1114"/>
        <v>7.407407407407407E-2</v>
      </c>
    </row>
    <row r="185" spans="3:157" ht="15" customHeight="1" x14ac:dyDescent="0.25">
      <c r="C185" s="84"/>
      <c r="D185" s="85"/>
      <c r="E185" s="25">
        <v>8</v>
      </c>
      <c r="F185" s="26">
        <f t="shared" si="1107"/>
        <v>6.4814814814814811E-2</v>
      </c>
      <c r="G185" s="13">
        <f t="shared" si="1129"/>
        <v>600</v>
      </c>
      <c r="H185" s="13">
        <f t="shared" si="1129"/>
        <v>600</v>
      </c>
      <c r="I185" s="13">
        <f t="shared" si="1129"/>
        <v>600</v>
      </c>
      <c r="J185" s="13">
        <f t="shared" si="1129"/>
        <v>600</v>
      </c>
      <c r="K185" s="13">
        <f t="shared" si="1129"/>
        <v>600</v>
      </c>
      <c r="L185" s="13">
        <f t="shared" si="1129"/>
        <v>600</v>
      </c>
      <c r="M185" s="13">
        <f t="shared" si="1129"/>
        <v>600</v>
      </c>
      <c r="N185" s="13">
        <f t="shared" si="1129"/>
        <v>600</v>
      </c>
      <c r="O185" s="13">
        <f t="shared" si="1129"/>
        <v>600</v>
      </c>
      <c r="P185" s="13">
        <f t="shared" ref="P185" si="1205">($F$5*$B$5*P57+$F$4*P122)/($F$4+$F$5*$B$5)</f>
        <v>544.07324413012816</v>
      </c>
      <c r="Q185" s="13">
        <f t="shared" ref="Q185" si="1206">CQ185*Q186+EE185</f>
        <v>549.3956413166901</v>
      </c>
      <c r="R185" s="13">
        <f t="shared" si="1173"/>
        <v>550.25361911005655</v>
      </c>
      <c r="S185" s="13">
        <f t="shared" si="1130"/>
        <v>550.03039918705986</v>
      </c>
      <c r="T185" s="13">
        <f t="shared" si="1130"/>
        <v>550.02991790417013</v>
      </c>
      <c r="U185" s="13">
        <f t="shared" si="1071"/>
        <v>550.29669775128457</v>
      </c>
      <c r="V185" s="13">
        <f t="shared" si="1072"/>
        <v>550.85002549390754</v>
      </c>
      <c r="W185" s="13">
        <f t="shared" si="1073"/>
        <v>551.69784308430212</v>
      </c>
      <c r="X185" s="13">
        <f t="shared" ref="X185" si="1207">CX185*X186+EL185</f>
        <v>552.83807375519177</v>
      </c>
      <c r="Y185" s="13">
        <f t="shared" ref="Y185" si="1208">CY185*Y186+EM185</f>
        <v>554.25777358865867</v>
      </c>
      <c r="Z185" s="13">
        <f t="shared" ref="Z185" si="1209">CZ185*Z186+EN185</f>
        <v>555.92342213936229</v>
      </c>
      <c r="AA185" s="13">
        <f t="shared" ref="AA185" si="1210">DA185*AA186+EO185</f>
        <v>556.79819028270822</v>
      </c>
      <c r="AB185" s="13">
        <f t="shared" ref="AB185" si="1211">($F$5*$B$5*AB57+$F$4*AB122)/($F$4+$F$5*$B$5)</f>
        <v>554.48812347179478</v>
      </c>
      <c r="AC185" s="13">
        <f t="shared" si="1132"/>
        <v>650</v>
      </c>
      <c r="AD185" s="13">
        <f t="shared" si="1132"/>
        <v>650</v>
      </c>
      <c r="AE185" s="13">
        <f t="shared" si="1132"/>
        <v>650</v>
      </c>
      <c r="AF185" s="13">
        <f t="shared" si="1132"/>
        <v>650</v>
      </c>
      <c r="AG185" s="13">
        <f t="shared" si="1132"/>
        <v>650</v>
      </c>
      <c r="AH185" s="13">
        <f t="shared" si="1132"/>
        <v>650</v>
      </c>
      <c r="AI185" s="13">
        <f t="shared" si="1132"/>
        <v>650</v>
      </c>
      <c r="AJ185" s="13">
        <f t="shared" si="1132"/>
        <v>650</v>
      </c>
      <c r="AK185" s="13">
        <f t="shared" si="1132"/>
        <v>650</v>
      </c>
      <c r="AL185" s="25">
        <v>8</v>
      </c>
      <c r="AM185" s="26">
        <f t="shared" si="1108"/>
        <v>6.4814814814814811E-2</v>
      </c>
      <c r="AP185" s="87"/>
      <c r="AQ185" s="86"/>
      <c r="AR185" s="25">
        <v>8</v>
      </c>
      <c r="AS185" s="26">
        <f t="shared" si="1109"/>
        <v>6.4814814814814811E-2</v>
      </c>
      <c r="AT185" s="13">
        <f t="shared" si="1133"/>
        <v>600</v>
      </c>
      <c r="AU185" s="13">
        <f t="shared" si="1133"/>
        <v>600</v>
      </c>
      <c r="AV185" s="13">
        <f t="shared" si="1133"/>
        <v>600</v>
      </c>
      <c r="AW185" s="13">
        <f t="shared" si="1133"/>
        <v>600</v>
      </c>
      <c r="AX185" s="13">
        <f t="shared" si="1133"/>
        <v>600</v>
      </c>
      <c r="AY185" s="13">
        <f t="shared" si="1133"/>
        <v>600</v>
      </c>
      <c r="AZ185" s="13">
        <f t="shared" si="1133"/>
        <v>600</v>
      </c>
      <c r="BA185" s="13">
        <f t="shared" si="1133"/>
        <v>600</v>
      </c>
      <c r="BB185" s="13">
        <f t="shared" si="1133"/>
        <v>600</v>
      </c>
      <c r="BC185" s="52"/>
      <c r="BD185" s="13">
        <f t="shared" ref="BD185" si="1212">-($F$3*$F$2)/$B$8*Q121</f>
        <v>-1974413697.0008893</v>
      </c>
      <c r="BE185" s="13">
        <f t="shared" si="1077"/>
        <v>-1973367072.043571</v>
      </c>
      <c r="BF185" s="13">
        <f t="shared" si="1077"/>
        <v>-1972807764.9258819</v>
      </c>
      <c r="BG185" s="13">
        <f t="shared" si="1077"/>
        <v>-1972969184.7329857</v>
      </c>
      <c r="BH185" s="13">
        <f t="shared" si="1077"/>
        <v>-1974012639.2708542</v>
      </c>
      <c r="BI185" s="13">
        <f t="shared" si="1078"/>
        <v>-1976027997.7990704</v>
      </c>
      <c r="BJ185" s="13">
        <f t="shared" si="1079"/>
        <v>-1979051231.2415018</v>
      </c>
      <c r="BK185" s="13">
        <f t="shared" si="1134"/>
        <v>-1983070773.1330631</v>
      </c>
      <c r="BL185" s="13">
        <f t="shared" si="1157"/>
        <v>-1988024072.1954534</v>
      </c>
      <c r="BM185" s="13">
        <f t="shared" si="1177"/>
        <v>-1993784013.47088</v>
      </c>
      <c r="BN185" s="13">
        <f t="shared" ref="BN185" si="1213">-($F$3*$F$2)/$B$8*AA121</f>
        <v>-2000153703.8844569</v>
      </c>
      <c r="BO185" s="52"/>
      <c r="BP185" s="13">
        <f t="shared" si="1135"/>
        <v>650</v>
      </c>
      <c r="BQ185" s="13">
        <f t="shared" si="1135"/>
        <v>650</v>
      </c>
      <c r="BR185" s="13">
        <f t="shared" si="1135"/>
        <v>650</v>
      </c>
      <c r="BS185" s="13">
        <f t="shared" si="1135"/>
        <v>650</v>
      </c>
      <c r="BT185" s="13">
        <f t="shared" si="1135"/>
        <v>650</v>
      </c>
      <c r="BU185" s="13">
        <f t="shared" si="1135"/>
        <v>650</v>
      </c>
      <c r="BV185" s="13">
        <f t="shared" si="1135"/>
        <v>650</v>
      </c>
      <c r="BW185" s="13">
        <f t="shared" si="1135"/>
        <v>650</v>
      </c>
      <c r="BX185" s="13">
        <f t="shared" si="1135"/>
        <v>650</v>
      </c>
      <c r="BY185" s="25">
        <v>8</v>
      </c>
      <c r="BZ185" s="26">
        <f t="shared" si="1110"/>
        <v>6.4814814814814811E-2</v>
      </c>
      <c r="CC185" s="84"/>
      <c r="CD185" s="85"/>
      <c r="CE185" s="25">
        <v>8</v>
      </c>
      <c r="CF185" s="26">
        <f t="shared" si="1111"/>
        <v>6.4814814814814811E-2</v>
      </c>
      <c r="CG185" s="13">
        <f t="shared" si="1136"/>
        <v>600</v>
      </c>
      <c r="CH185" s="13">
        <f t="shared" si="1136"/>
        <v>600</v>
      </c>
      <c r="CI185" s="13">
        <f t="shared" si="1136"/>
        <v>600</v>
      </c>
      <c r="CJ185" s="13">
        <f t="shared" si="1136"/>
        <v>600</v>
      </c>
      <c r="CK185" s="13">
        <f t="shared" si="1136"/>
        <v>600</v>
      </c>
      <c r="CL185" s="13">
        <f t="shared" si="1136"/>
        <v>600</v>
      </c>
      <c r="CM185" s="13">
        <f t="shared" si="1136"/>
        <v>600</v>
      </c>
      <c r="CN185" s="13">
        <f t="shared" si="1136"/>
        <v>600</v>
      </c>
      <c r="CO185" s="13">
        <f t="shared" si="1136"/>
        <v>600</v>
      </c>
      <c r="CP185" s="13">
        <v>0</v>
      </c>
      <c r="CQ185" s="13">
        <f t="shared" ref="CQ185" si="1214">$O$2/($O$3-$O$4*CQ184)</f>
        <v>0.11511132164850782</v>
      </c>
      <c r="CR185" s="13">
        <f t="shared" ref="CR185" si="1215">$O$2/($O$3-$O$4*CR184)</f>
        <v>0.1166781402357549</v>
      </c>
      <c r="CS185" s="13">
        <f t="shared" ref="CS185" si="1216">$O$2/($O$3-$O$4*CS184)</f>
        <v>0.11667843057151663</v>
      </c>
      <c r="CT185" s="13">
        <f t="shared" ref="CT185" si="1217">$O$2/($O$3-$O$4*CT184)</f>
        <v>0.11667843062533644</v>
      </c>
      <c r="CU185" s="13">
        <f t="shared" si="1090"/>
        <v>0.11667843062533659</v>
      </c>
      <c r="CV185" s="13">
        <f t="shared" si="1091"/>
        <v>0.11667843062533659</v>
      </c>
      <c r="CW185" s="13">
        <f t="shared" si="1092"/>
        <v>0.11667843062533659</v>
      </c>
      <c r="CX185" s="13">
        <f t="shared" ref="CX185" si="1218">$O$2/($O$3-$O$4*CX184)</f>
        <v>0.11667843062533644</v>
      </c>
      <c r="CY185" s="13">
        <f t="shared" ref="CY185" si="1219">$O$2/($O$3-$O$4*CY184)</f>
        <v>0.11667843057151663</v>
      </c>
      <c r="CZ185" s="13">
        <f t="shared" ref="CZ185" si="1220">$O$2/($O$3-$O$4*CZ184)</f>
        <v>0.1166781402357549</v>
      </c>
      <c r="DA185" s="13">
        <f t="shared" ref="DA185" si="1221">$O$2/($O$3-$O$4*DA184)</f>
        <v>0.11511132164850782</v>
      </c>
      <c r="DB185" s="13">
        <v>0</v>
      </c>
      <c r="DC185" s="13">
        <f t="shared" si="1139"/>
        <v>650</v>
      </c>
      <c r="DD185" s="13">
        <f t="shared" si="1139"/>
        <v>650</v>
      </c>
      <c r="DE185" s="13">
        <f t="shared" si="1139"/>
        <v>650</v>
      </c>
      <c r="DF185" s="13">
        <f t="shared" si="1139"/>
        <v>650</v>
      </c>
      <c r="DG185" s="13">
        <f t="shared" si="1139"/>
        <v>650</v>
      </c>
      <c r="DH185" s="13">
        <f t="shared" si="1139"/>
        <v>650</v>
      </c>
      <c r="DI185" s="13">
        <f t="shared" si="1139"/>
        <v>650</v>
      </c>
      <c r="DJ185" s="13">
        <f t="shared" si="1139"/>
        <v>650</v>
      </c>
      <c r="DK185" s="13">
        <f t="shared" si="1139"/>
        <v>650</v>
      </c>
      <c r="DL185" s="25">
        <v>8</v>
      </c>
      <c r="DM185" s="26">
        <f t="shared" si="1112"/>
        <v>6.4814814814814811E-2</v>
      </c>
      <c r="DQ185" s="84"/>
      <c r="DR185" s="85"/>
      <c r="DS185" s="25">
        <v>8</v>
      </c>
      <c r="DT185" s="26">
        <f t="shared" si="1113"/>
        <v>6.4814814814814811E-2</v>
      </c>
      <c r="DU185" s="13">
        <f t="shared" si="1140"/>
        <v>600</v>
      </c>
      <c r="DV185" s="13">
        <f t="shared" si="1140"/>
        <v>600</v>
      </c>
      <c r="DW185" s="13">
        <f t="shared" si="1140"/>
        <v>600</v>
      </c>
      <c r="DX185" s="13">
        <f t="shared" si="1140"/>
        <v>600</v>
      </c>
      <c r="DY185" s="13">
        <f t="shared" si="1140"/>
        <v>600</v>
      </c>
      <c r="DZ185" s="13">
        <f t="shared" si="1140"/>
        <v>600</v>
      </c>
      <c r="EA185" s="13">
        <f t="shared" si="1140"/>
        <v>600</v>
      </c>
      <c r="EB185" s="13">
        <f t="shared" si="1140"/>
        <v>600</v>
      </c>
      <c r="EC185" s="13">
        <f t="shared" si="1140"/>
        <v>600</v>
      </c>
      <c r="ED185" s="13">
        <f t="shared" ref="ED185" si="1222">P185</f>
        <v>544.07324413012816</v>
      </c>
      <c r="EE185" s="13">
        <f t="shared" ref="EE185" si="1223">(EE184*$O$4-BD185)/($O$3-$O$4*CQ184)</f>
        <v>487.2523670723474</v>
      </c>
      <c r="EF185" s="13">
        <f t="shared" ref="EF185" si="1224">(EF184*$O$4-BE185)/($O$3-$O$4*CR184)</f>
        <v>487.30527027068069</v>
      </c>
      <c r="EG185" s="13">
        <f t="shared" ref="EG185" si="1225">(EG184*$O$4-BF185)/($O$3-$O$4*CS184)</f>
        <v>487.11143902667101</v>
      </c>
      <c r="EH185" s="13">
        <f t="shared" ref="EH185" si="1226">(EH184*$O$4-BG185)/($O$3-$O$4*CT184)</f>
        <v>487.11123165966791</v>
      </c>
      <c r="EI185" s="13">
        <f t="shared" si="1125"/>
        <v>487.34767867773638</v>
      </c>
      <c r="EJ185" s="13">
        <f t="shared" si="1126"/>
        <v>487.83912415634347</v>
      </c>
      <c r="EK185" s="13">
        <f t="shared" si="1127"/>
        <v>488.59296255104829</v>
      </c>
      <c r="EL185" s="13">
        <f t="shared" ref="EL185" si="1227">(EL184*$O$4-BK185)/($O$3-$O$4*CX184)</f>
        <v>489.60701481215972</v>
      </c>
      <c r="EM185" s="13">
        <f t="shared" ref="EM185" si="1228">(EM184*$O$4-BL185)/($O$3-$O$4*CY184)</f>
        <v>490.86866720584942</v>
      </c>
      <c r="EN185" s="13">
        <f t="shared" ref="EN185" si="1229">(EN184*$O$4-BM185)/($O$3-$O$4*CZ184)</f>
        <v>492.34532480793035</v>
      </c>
      <c r="EO185" s="13">
        <f t="shared" ref="EO185" si="1230">(EO184*$O$4-BN185)/($O$3-$O$4*DA184)</f>
        <v>493.87060743451923</v>
      </c>
      <c r="EP185" s="13">
        <f t="shared" ref="EP185" si="1231">AB185</f>
        <v>554.48812347179478</v>
      </c>
      <c r="EQ185" s="13">
        <f t="shared" si="1146"/>
        <v>650</v>
      </c>
      <c r="ER185" s="13">
        <f t="shared" si="1146"/>
        <v>650</v>
      </c>
      <c r="ES185" s="13">
        <f t="shared" si="1146"/>
        <v>650</v>
      </c>
      <c r="ET185" s="13">
        <f t="shared" si="1146"/>
        <v>650</v>
      </c>
      <c r="EU185" s="13">
        <f t="shared" si="1146"/>
        <v>650</v>
      </c>
      <c r="EV185" s="13">
        <f t="shared" si="1146"/>
        <v>650</v>
      </c>
      <c r="EW185" s="13">
        <f t="shared" si="1146"/>
        <v>650</v>
      </c>
      <c r="EX185" s="13">
        <f t="shared" si="1146"/>
        <v>650</v>
      </c>
      <c r="EY185" s="13">
        <f t="shared" si="1146"/>
        <v>650</v>
      </c>
      <c r="EZ185" s="25">
        <v>8</v>
      </c>
      <c r="FA185" s="26">
        <f t="shared" si="1114"/>
        <v>6.4814814814814811E-2</v>
      </c>
    </row>
    <row r="186" spans="3:157" ht="15" customHeight="1" x14ac:dyDescent="0.25">
      <c r="C186" s="84"/>
      <c r="D186" s="85"/>
      <c r="E186" s="25">
        <v>7</v>
      </c>
      <c r="F186" s="26">
        <f t="shared" si="1107"/>
        <v>5.5555555555555552E-2</v>
      </c>
      <c r="G186" s="13">
        <f t="shared" ref="G186:N186" si="1232">$R$2</f>
        <v>600</v>
      </c>
      <c r="H186" s="13">
        <f t="shared" si="1232"/>
        <v>600</v>
      </c>
      <c r="I186" s="13">
        <f t="shared" si="1232"/>
        <v>600</v>
      </c>
      <c r="J186" s="13">
        <f t="shared" si="1232"/>
        <v>600</v>
      </c>
      <c r="K186" s="13">
        <f t="shared" si="1232"/>
        <v>600</v>
      </c>
      <c r="L186" s="13">
        <f t="shared" si="1232"/>
        <v>600</v>
      </c>
      <c r="M186" s="13">
        <f t="shared" si="1232"/>
        <v>600</v>
      </c>
      <c r="N186" s="13">
        <f t="shared" si="1232"/>
        <v>600</v>
      </c>
      <c r="O186" s="13">
        <f t="shared" ref="O186" si="1233">($F$5*$B$5*O58+$F$4*O123)/($F$4+$F$5*$B$5)</f>
        <v>534.3628249240885</v>
      </c>
      <c r="P186" s="13">
        <f t="shared" ref="P186" si="1234">CP186*P187+ED186</f>
        <v>540.01246823673046</v>
      </c>
      <c r="Q186" s="13">
        <f t="shared" ref="Q186" si="1235">CQ186*Q187+EE186</f>
        <v>539.85371164529784</v>
      </c>
      <c r="R186" s="13">
        <f t="shared" ref="R186" si="1236">CR186*R187+EF186</f>
        <v>539.50421828960521</v>
      </c>
      <c r="S186" s="13">
        <f t="shared" si="1130"/>
        <v>539.25099825390078</v>
      </c>
      <c r="T186" s="13">
        <f t="shared" si="1130"/>
        <v>539.24865039142514</v>
      </c>
      <c r="U186" s="13">
        <f t="shared" si="1071"/>
        <v>539.50861985521863</v>
      </c>
      <c r="V186" s="13">
        <f t="shared" si="1072"/>
        <v>540.03898578218752</v>
      </c>
      <c r="W186" s="13">
        <f t="shared" si="1073"/>
        <v>540.84444052807362</v>
      </c>
      <c r="X186" s="13">
        <f t="shared" ref="X186" si="1237">CX186*X187+EL186</f>
        <v>541.92586071089613</v>
      </c>
      <c r="Y186" s="13">
        <f t="shared" ref="Y186" si="1238">CY186*Y187+EM186</f>
        <v>543.28041671725816</v>
      </c>
      <c r="Z186" s="13">
        <f t="shared" ref="Z186" si="1239">CZ186*Z187+EN186</f>
        <v>544.90153170909934</v>
      </c>
      <c r="AA186" s="13">
        <f t="shared" ref="AA186" si="1240">DA186*AA187+EO186</f>
        <v>546.6671909157493</v>
      </c>
      <c r="AB186" s="13">
        <f t="shared" ref="AB186" si="1241">DB186*AB187+EP186</f>
        <v>548.38267489026202</v>
      </c>
      <c r="AC186" s="13">
        <f t="shared" ref="AC186" si="1242">($F$5*$B$5*AC58+$F$4*AC123)/($F$4+$F$5*$B$5)</f>
        <v>546.2478605355941</v>
      </c>
      <c r="AD186" s="13">
        <f t="shared" ref="AD186:AK186" si="1243">$R$3</f>
        <v>650</v>
      </c>
      <c r="AE186" s="13">
        <f t="shared" si="1243"/>
        <v>650</v>
      </c>
      <c r="AF186" s="13">
        <f t="shared" si="1243"/>
        <v>650</v>
      </c>
      <c r="AG186" s="13">
        <f t="shared" si="1243"/>
        <v>650</v>
      </c>
      <c r="AH186" s="13">
        <f t="shared" si="1243"/>
        <v>650</v>
      </c>
      <c r="AI186" s="13">
        <f t="shared" si="1243"/>
        <v>650</v>
      </c>
      <c r="AJ186" s="13">
        <f t="shared" si="1243"/>
        <v>650</v>
      </c>
      <c r="AK186" s="13">
        <f t="shared" si="1243"/>
        <v>650</v>
      </c>
      <c r="AL186" s="25">
        <v>7</v>
      </c>
      <c r="AM186" s="26">
        <f t="shared" si="1108"/>
        <v>5.5555555555555552E-2</v>
      </c>
      <c r="AP186" s="87"/>
      <c r="AQ186" s="86"/>
      <c r="AR186" s="25">
        <v>7</v>
      </c>
      <c r="AS186" s="26">
        <f t="shared" si="1109"/>
        <v>5.5555555555555552E-2</v>
      </c>
      <c r="AT186" s="13">
        <f t="shared" ref="AT186:BA186" si="1244">$R$2</f>
        <v>600</v>
      </c>
      <c r="AU186" s="13">
        <f t="shared" si="1244"/>
        <v>600</v>
      </c>
      <c r="AV186" s="13">
        <f t="shared" si="1244"/>
        <v>600</v>
      </c>
      <c r="AW186" s="13">
        <f t="shared" si="1244"/>
        <v>600</v>
      </c>
      <c r="AX186" s="13">
        <f t="shared" si="1244"/>
        <v>600</v>
      </c>
      <c r="AY186" s="13">
        <f t="shared" si="1244"/>
        <v>600</v>
      </c>
      <c r="AZ186" s="13">
        <f t="shared" si="1244"/>
        <v>600</v>
      </c>
      <c r="BA186" s="13">
        <f t="shared" si="1244"/>
        <v>600</v>
      </c>
      <c r="BB186" s="52"/>
      <c r="BC186" s="13">
        <f t="shared" ref="BC186" si="1245">-($F$3*$F$2)/$B$8*P122</f>
        <v>-1940502034.7179663</v>
      </c>
      <c r="BD186" s="13">
        <f t="shared" ref="BD186" si="1246">-($F$3*$F$2)/$B$8*Q122</f>
        <v>-1937170918.9780493</v>
      </c>
      <c r="BE186" s="13">
        <f t="shared" ref="BE186" si="1247">-($F$3*$F$2)/$B$8*R122</f>
        <v>-1935291746.7474396</v>
      </c>
      <c r="BF186" s="13">
        <f t="shared" ref="BF186" si="1248">-($F$3*$F$2)/$B$8*S122</f>
        <v>-1934350183.2040591</v>
      </c>
      <c r="BG186" s="13">
        <f t="shared" ref="BG186" si="1249">-($F$3*$F$2)/$B$8*T122</f>
        <v>-1934340416.960933</v>
      </c>
      <c r="BH186" s="13">
        <f t="shared" ref="BH186" si="1250">-($F$3*$F$2)/$B$8*U122</f>
        <v>-1935279639.2920721</v>
      </c>
      <c r="BI186" s="13">
        <f t="shared" ref="BI186" si="1251">-($F$3*$F$2)/$B$8*V122</f>
        <v>-1937187283.6451499</v>
      </c>
      <c r="BJ186" s="13">
        <f t="shared" ref="BJ186" si="1252">-($F$3*$F$2)/$B$8*W122</f>
        <v>-1940076676.4503675</v>
      </c>
      <c r="BK186" s="13">
        <f t="shared" ref="BK186" si="1253">-($F$3*$F$2)/$B$8*X122</f>
        <v>-1943951962.1242559</v>
      </c>
      <c r="BL186" s="13">
        <f t="shared" ref="BL186" si="1254">-($F$3*$F$2)/$B$8*Y122</f>
        <v>-1948808982.2024567</v>
      </c>
      <c r="BM186" s="13">
        <f t="shared" ref="BM186" si="1255">-($F$3*$F$2)/$B$8*Z122</f>
        <v>-1954640522.0915511</v>
      </c>
      <c r="BN186" s="13">
        <f t="shared" ref="BN186" si="1256">-($F$3*$F$2)/$B$8*AA122</f>
        <v>-1961450569.1964045</v>
      </c>
      <c r="BO186" s="13">
        <f t="shared" ref="BO186" si="1257">-($F$3*$F$2)/$B$8*AB122</f>
        <v>-1969636916.6989331</v>
      </c>
      <c r="BP186" s="52"/>
      <c r="BQ186" s="13">
        <f t="shared" ref="BQ186:BX186" si="1258">$R$3</f>
        <v>650</v>
      </c>
      <c r="BR186" s="13">
        <f t="shared" si="1258"/>
        <v>650</v>
      </c>
      <c r="BS186" s="13">
        <f t="shared" si="1258"/>
        <v>650</v>
      </c>
      <c r="BT186" s="13">
        <f t="shared" si="1258"/>
        <v>650</v>
      </c>
      <c r="BU186" s="13">
        <f t="shared" si="1258"/>
        <v>650</v>
      </c>
      <c r="BV186" s="13">
        <f t="shared" si="1258"/>
        <v>650</v>
      </c>
      <c r="BW186" s="13">
        <f t="shared" si="1258"/>
        <v>650</v>
      </c>
      <c r="BX186" s="13">
        <f t="shared" si="1258"/>
        <v>650</v>
      </c>
      <c r="BY186" s="25">
        <v>7</v>
      </c>
      <c r="BZ186" s="26">
        <f t="shared" si="1110"/>
        <v>5.5555555555555552E-2</v>
      </c>
      <c r="CC186" s="84"/>
      <c r="CD186" s="85"/>
      <c r="CE186" s="25">
        <v>7</v>
      </c>
      <c r="CF186" s="26">
        <f t="shared" si="1111"/>
        <v>5.5555555555555552E-2</v>
      </c>
      <c r="CG186" s="13">
        <f t="shared" ref="CG186:CN186" si="1259">$R$2</f>
        <v>600</v>
      </c>
      <c r="CH186" s="13">
        <f t="shared" si="1259"/>
        <v>600</v>
      </c>
      <c r="CI186" s="13">
        <f t="shared" si="1259"/>
        <v>600</v>
      </c>
      <c r="CJ186" s="13">
        <f t="shared" si="1259"/>
        <v>600</v>
      </c>
      <c r="CK186" s="13">
        <f t="shared" si="1259"/>
        <v>600</v>
      </c>
      <c r="CL186" s="13">
        <f t="shared" si="1259"/>
        <v>600</v>
      </c>
      <c r="CM186" s="13">
        <f t="shared" si="1259"/>
        <v>600</v>
      </c>
      <c r="CN186" s="13">
        <f t="shared" si="1259"/>
        <v>600</v>
      </c>
      <c r="CO186" s="13">
        <v>0</v>
      </c>
      <c r="CP186" s="13">
        <f t="shared" ref="CP186" si="1260">$O$2/($O$3-$O$4*CP185)</f>
        <v>0.11511132164850782</v>
      </c>
      <c r="CQ186" s="13">
        <f t="shared" ref="CQ186" si="1261">$O$2/($O$3-$O$4*CQ185)</f>
        <v>0.11665710012935292</v>
      </c>
      <c r="CR186" s="13">
        <f t="shared" ref="CR186" si="1262">$O$2/($O$3-$O$4*CR185)</f>
        <v>0.11667842667201472</v>
      </c>
      <c r="CS186" s="13">
        <f t="shared" ref="CS186" si="1263">$O$2/($O$3-$O$4*CS185)</f>
        <v>0.1166784306246039</v>
      </c>
      <c r="CT186" s="13">
        <f t="shared" ref="CT186" si="1264">$O$2/($O$3-$O$4*CT185)</f>
        <v>0.11667843062533659</v>
      </c>
      <c r="CU186" s="13">
        <f t="shared" ref="CU186" si="1265">$O$2/($O$3-$O$4*CU185)</f>
        <v>0.11667843062533659</v>
      </c>
      <c r="CV186" s="13">
        <f t="shared" ref="CV186" si="1266">$O$2/($O$3-$O$4*CV185)</f>
        <v>0.11667843062533659</v>
      </c>
      <c r="CW186" s="13">
        <f t="shared" ref="CW186" si="1267">$O$2/($O$3-$O$4*CW185)</f>
        <v>0.11667843062533659</v>
      </c>
      <c r="CX186" s="13">
        <f t="shared" ref="CX186" si="1268">$O$2/($O$3-$O$4*CX185)</f>
        <v>0.11667843062533659</v>
      </c>
      <c r="CY186" s="13">
        <f t="shared" ref="CY186" si="1269">$O$2/($O$3-$O$4*CY185)</f>
        <v>0.1166784306246039</v>
      </c>
      <c r="CZ186" s="13">
        <f t="shared" ref="CZ186" si="1270">$O$2/($O$3-$O$4*CZ185)</f>
        <v>0.11667842667201472</v>
      </c>
      <c r="DA186" s="13">
        <f t="shared" ref="DA186" si="1271">$O$2/($O$3-$O$4*DA185)</f>
        <v>0.11665710012935292</v>
      </c>
      <c r="DB186" s="13">
        <f t="shared" ref="DB186" si="1272">$O$2/($O$3-$O$4*DB185)</f>
        <v>0.11511132164850782</v>
      </c>
      <c r="DC186" s="13">
        <f>0</f>
        <v>0</v>
      </c>
      <c r="DD186" s="13">
        <f t="shared" ref="DD186:DK186" si="1273">$R$3</f>
        <v>650</v>
      </c>
      <c r="DE186" s="13">
        <f t="shared" si="1273"/>
        <v>650</v>
      </c>
      <c r="DF186" s="13">
        <f t="shared" si="1273"/>
        <v>650</v>
      </c>
      <c r="DG186" s="13">
        <f t="shared" si="1273"/>
        <v>650</v>
      </c>
      <c r="DH186" s="13">
        <f t="shared" si="1273"/>
        <v>650</v>
      </c>
      <c r="DI186" s="13">
        <f t="shared" si="1273"/>
        <v>650</v>
      </c>
      <c r="DJ186" s="13">
        <f t="shared" si="1273"/>
        <v>650</v>
      </c>
      <c r="DK186" s="13">
        <f t="shared" si="1273"/>
        <v>650</v>
      </c>
      <c r="DL186" s="25">
        <v>7</v>
      </c>
      <c r="DM186" s="26">
        <f t="shared" si="1112"/>
        <v>5.5555555555555552E-2</v>
      </c>
      <c r="DQ186" s="84"/>
      <c r="DR186" s="85"/>
      <c r="DS186" s="25">
        <v>7</v>
      </c>
      <c r="DT186" s="26">
        <f t="shared" si="1113"/>
        <v>5.5555555555555552E-2</v>
      </c>
      <c r="DU186" s="13">
        <f t="shared" ref="DU186:EB186" si="1274">$R$2</f>
        <v>600</v>
      </c>
      <c r="DV186" s="13">
        <f t="shared" si="1274"/>
        <v>600</v>
      </c>
      <c r="DW186" s="13">
        <f t="shared" si="1274"/>
        <v>600</v>
      </c>
      <c r="DX186" s="13">
        <f t="shared" si="1274"/>
        <v>600</v>
      </c>
      <c r="DY186" s="13">
        <f t="shared" si="1274"/>
        <v>600</v>
      </c>
      <c r="DZ186" s="13">
        <f t="shared" si="1274"/>
        <v>600</v>
      </c>
      <c r="EA186" s="13">
        <f t="shared" si="1274"/>
        <v>600</v>
      </c>
      <c r="EB186" s="13">
        <f t="shared" si="1274"/>
        <v>600</v>
      </c>
      <c r="EC186" s="13">
        <f t="shared" ref="EC186" si="1275">O186</f>
        <v>534.3628249240885</v>
      </c>
      <c r="ED186" s="13">
        <f t="shared" ref="ED186" si="1276">(ED185*$O$4-BC186)/($O$3-$O$4*CP185)</f>
        <v>478.94853506660291</v>
      </c>
      <c r="EE186" s="13">
        <f t="shared" ref="EE186" si="1277">(EE185*$O$4-BD186)/($O$3-$O$4*CQ185)</f>
        <v>478.02730033672657</v>
      </c>
      <c r="EF186" s="13">
        <f t="shared" ref="EF186" si="1278">(EF185*$O$4-BE186)/($O$3-$O$4*CR185)</f>
        <v>477.71221276048021</v>
      </c>
      <c r="EG186" s="13">
        <f t="shared" ref="EG186" si="1279">(EG185*$O$4-BF186)/($O$3-$O$4*CS185)</f>
        <v>477.48485785059449</v>
      </c>
      <c r="EH186" s="13">
        <f t="shared" ref="EH186" si="1280">(EH185*$O$4-BG186)/($O$3-$O$4*CT185)</f>
        <v>477.48270986248536</v>
      </c>
      <c r="EI186" s="13">
        <f t="shared" ref="EI186" si="1281">(EI185*$O$4-BH186)/($O$3-$O$4*CU185)</f>
        <v>477.71454417007578</v>
      </c>
      <c r="EJ186" s="13">
        <f t="shared" ref="EJ186" si="1282">(EJ185*$O$4-BI186)/($O$3-$O$4*CV185)</f>
        <v>478.1867271887831</v>
      </c>
      <c r="EK186" s="13">
        <f t="shared" ref="EK186" si="1283">(EK185*$O$4-BJ186)/($O$3-$O$4*CW185)</f>
        <v>478.90301969664284</v>
      </c>
      <c r="EL186" s="13">
        <f t="shared" ref="EL186" si="1284">(EL185*$O$4-BK186)/($O$3-$O$4*CX185)</f>
        <v>479.86406870252148</v>
      </c>
      <c r="EM186" s="13">
        <f t="shared" ref="EM186" si="1285">(EM185*$O$4-BL186)/($O$3-$O$4*CY185)</f>
        <v>481.06749814088448</v>
      </c>
      <c r="EN186" s="13">
        <f t="shared" ref="EN186" si="1286">(EN185*$O$4-BM186)/($O$3-$O$4*CZ185)</f>
        <v>482.50791964113603</v>
      </c>
      <c r="EO186" s="13">
        <f t="shared" ref="EO186" si="1287">(EO185*$O$4-BN186)/($O$3-$O$4*DA185)</f>
        <v>484.07832370922847</v>
      </c>
      <c r="EP186" s="13">
        <f t="shared" ref="EP186" si="1288">(EP185*$O$4-BO186)/($O$3-$O$4*DB185)</f>
        <v>486.39806680736001</v>
      </c>
      <c r="EQ186" s="13">
        <f t="shared" ref="EQ186" si="1289">AC186</f>
        <v>546.2478605355941</v>
      </c>
      <c r="ER186" s="13">
        <f t="shared" ref="ER186:EY186" si="1290">$R$3</f>
        <v>650</v>
      </c>
      <c r="ES186" s="13">
        <f t="shared" si="1290"/>
        <v>650</v>
      </c>
      <c r="ET186" s="13">
        <f t="shared" si="1290"/>
        <v>650</v>
      </c>
      <c r="EU186" s="13">
        <f t="shared" si="1290"/>
        <v>650</v>
      </c>
      <c r="EV186" s="13">
        <f t="shared" si="1290"/>
        <v>650</v>
      </c>
      <c r="EW186" s="13">
        <f t="shared" si="1290"/>
        <v>650</v>
      </c>
      <c r="EX186" s="13">
        <f t="shared" si="1290"/>
        <v>650</v>
      </c>
      <c r="EY186" s="13">
        <f t="shared" si="1290"/>
        <v>650</v>
      </c>
      <c r="EZ186" s="25">
        <v>7</v>
      </c>
      <c r="FA186" s="26">
        <f t="shared" si="1114"/>
        <v>5.5555555555555552E-2</v>
      </c>
    </row>
    <row r="187" spans="3:157" ht="15" customHeight="1" x14ac:dyDescent="0.25">
      <c r="C187" s="84"/>
      <c r="D187" s="85"/>
      <c r="E187" s="25">
        <v>6</v>
      </c>
      <c r="F187" s="26">
        <f t="shared" si="1107"/>
        <v>4.6296296296296294E-2</v>
      </c>
      <c r="G187" s="13">
        <f t="shared" ref="G187:L187" si="1291">$R$2</f>
        <v>600</v>
      </c>
      <c r="H187" s="13">
        <f t="shared" si="1291"/>
        <v>600</v>
      </c>
      <c r="I187" s="13">
        <f t="shared" si="1291"/>
        <v>600</v>
      </c>
      <c r="J187" s="13">
        <f t="shared" si="1291"/>
        <v>600</v>
      </c>
      <c r="K187" s="13">
        <f t="shared" si="1291"/>
        <v>600</v>
      </c>
      <c r="L187" s="13">
        <f t="shared" si="1291"/>
        <v>600</v>
      </c>
      <c r="M187" s="13">
        <f t="shared" ref="M187:N187" si="1292">($F$5*$B$5*M59+$F$4*M124)/($F$4+$F$5*$B$5)</f>
        <v>533.01082656299729</v>
      </c>
      <c r="N187" s="13">
        <f t="shared" si="1292"/>
        <v>530.92406235054409</v>
      </c>
      <c r="O187" s="13">
        <f t="shared" ref="O187" si="1293">CO187*O188+EC187</f>
        <v>530.39435974633557</v>
      </c>
      <c r="P187" s="13">
        <f t="shared" ref="P187" si="1294">CP187*P188+ED187</f>
        <v>530.477213671355</v>
      </c>
      <c r="Q187" s="13">
        <f t="shared" ref="Q187" si="1295">CQ187*Q188+EE187</f>
        <v>529.98412646993847</v>
      </c>
      <c r="R187" s="13">
        <f t="shared" ref="R187" si="1296">CR187*R188+EF187</f>
        <v>529.59237874216058</v>
      </c>
      <c r="S187" s="13">
        <f t="shared" si="1130"/>
        <v>529.37068207602158</v>
      </c>
      <c r="T187" s="13">
        <f t="shared" si="1130"/>
        <v>529.36896903657373</v>
      </c>
      <c r="U187" s="13">
        <f t="shared" si="1071"/>
        <v>529.61010320380819</v>
      </c>
      <c r="V187" s="13">
        <f t="shared" si="1072"/>
        <v>530.10876356416566</v>
      </c>
      <c r="W187" s="13">
        <f t="shared" si="1073"/>
        <v>530.8729342643411</v>
      </c>
      <c r="X187" s="13">
        <f t="shared" ref="X187" si="1297">CX187*X188+EL187</f>
        <v>531.90458318435776</v>
      </c>
      <c r="Y187" s="13">
        <f t="shared" ref="Y187" si="1298">CY187*Y188+EM187</f>
        <v>533.19982316641517</v>
      </c>
      <c r="Z187" s="13">
        <f t="shared" ref="Z187" si="1299">CZ187*Z188+EN187</f>
        <v>534.74848648202089</v>
      </c>
      <c r="AA187" s="13">
        <f t="shared" ref="AA187" si="1300">DA187*AA188+EO187</f>
        <v>536.51999867235168</v>
      </c>
      <c r="AB187" s="13">
        <f t="shared" ref="AB187" si="1301">DB187*AB188+EP187</f>
        <v>538.47534017698013</v>
      </c>
      <c r="AC187" s="13">
        <f t="shared" ref="AC187" si="1302">DC187*AC188+EQ187</f>
        <v>540.16747766123899</v>
      </c>
      <c r="AD187" s="13">
        <f t="shared" ref="AD187:AE187" si="1303">($F$5*$B$5*AD59+$F$4*AD124)/($F$4+$F$5*$B$5)</f>
        <v>542.64086085584643</v>
      </c>
      <c r="AE187" s="13">
        <f t="shared" si="1303"/>
        <v>545.8427050739823</v>
      </c>
      <c r="AF187" s="13">
        <f t="shared" ref="AF187:AK187" si="1304">$R$3</f>
        <v>650</v>
      </c>
      <c r="AG187" s="13">
        <f t="shared" si="1304"/>
        <v>650</v>
      </c>
      <c r="AH187" s="13">
        <f t="shared" si="1304"/>
        <v>650</v>
      </c>
      <c r="AI187" s="13">
        <f t="shared" si="1304"/>
        <v>650</v>
      </c>
      <c r="AJ187" s="13">
        <f t="shared" si="1304"/>
        <v>650</v>
      </c>
      <c r="AK187" s="13">
        <f t="shared" si="1304"/>
        <v>650</v>
      </c>
      <c r="AL187" s="25">
        <v>6</v>
      </c>
      <c r="AM187" s="26">
        <f t="shared" si="1108"/>
        <v>4.6296296296296294E-2</v>
      </c>
      <c r="AP187" s="87"/>
      <c r="AQ187" s="86"/>
      <c r="AR187" s="25">
        <v>6</v>
      </c>
      <c r="AS187" s="26">
        <f t="shared" si="1109"/>
        <v>4.6296296296296294E-2</v>
      </c>
      <c r="AT187" s="13">
        <f t="shared" ref="AT187:AY187" si="1305">$R$2</f>
        <v>600</v>
      </c>
      <c r="AU187" s="13">
        <f t="shared" si="1305"/>
        <v>600</v>
      </c>
      <c r="AV187" s="13">
        <f t="shared" si="1305"/>
        <v>600</v>
      </c>
      <c r="AW187" s="13">
        <f t="shared" si="1305"/>
        <v>600</v>
      </c>
      <c r="AX187" s="13">
        <f t="shared" si="1305"/>
        <v>600</v>
      </c>
      <c r="AY187" s="13">
        <f t="shared" si="1305"/>
        <v>600</v>
      </c>
      <c r="AZ187" s="52"/>
      <c r="BA187" s="52"/>
      <c r="BB187" s="13">
        <f t="shared" ref="BB187" si="1306">-($F$3*$F$2)/$B$8*O123</f>
        <v>-1903641283.4118397</v>
      </c>
      <c r="BC187" s="13">
        <f t="shared" ref="BC187" si="1307">-($F$3*$F$2)/$B$8*P123</f>
        <v>-1901629807.3551953</v>
      </c>
      <c r="BD187" s="13">
        <f t="shared" ref="BD187" si="1308">-($F$3*$F$2)/$B$8*Q123</f>
        <v>-1899943691.0137641</v>
      </c>
      <c r="BE187" s="13">
        <f t="shared" si="1077"/>
        <v>-1898689287.0573757</v>
      </c>
      <c r="BF187" s="13">
        <f t="shared" si="1077"/>
        <v>-1898029253.1875894</v>
      </c>
      <c r="BG187" s="13">
        <f t="shared" si="1077"/>
        <v>-1898108618.9592991</v>
      </c>
      <c r="BH187" s="13">
        <f t="shared" si="1077"/>
        <v>-1899024283.1068642</v>
      </c>
      <c r="BI187" s="13">
        <f t="shared" si="1078"/>
        <v>-1900837486.6047115</v>
      </c>
      <c r="BJ187" s="13">
        <f t="shared" si="1079"/>
        <v>-1903580995.6445918</v>
      </c>
      <c r="BK187" s="13">
        <f t="shared" si="1134"/>
        <v>-1907262564.2771871</v>
      </c>
      <c r="BL187" s="13">
        <f t="shared" si="1157"/>
        <v>-1911865560.1405804</v>
      </c>
      <c r="BM187" s="13">
        <f t="shared" ref="BM187" si="1309">-($F$3*$F$2)/$B$8*Z123</f>
        <v>-1917346797.7483912</v>
      </c>
      <c r="BN187" s="13">
        <f t="shared" ref="BN187" si="1310">-($F$3*$F$2)/$B$8*AA123</f>
        <v>-1923631042.8824103</v>
      </c>
      <c r="BO187" s="13">
        <f t="shared" ref="BO187" si="1311">-($F$3*$F$2)/$B$8*AB123</f>
        <v>-1930641708.6518106</v>
      </c>
      <c r="BP187" s="13">
        <f t="shared" ref="BP187" si="1312">-($F$3*$F$2)/$B$8*AC123</f>
        <v>-1938356878.5931149</v>
      </c>
      <c r="BQ187" s="52"/>
      <c r="BR187" s="52"/>
      <c r="BS187" s="13">
        <f t="shared" ref="BS187:BX187" si="1313">$R$3</f>
        <v>650</v>
      </c>
      <c r="BT187" s="13">
        <f t="shared" si="1313"/>
        <v>650</v>
      </c>
      <c r="BU187" s="13">
        <f t="shared" si="1313"/>
        <v>650</v>
      </c>
      <c r="BV187" s="13">
        <f t="shared" si="1313"/>
        <v>650</v>
      </c>
      <c r="BW187" s="13">
        <f t="shared" si="1313"/>
        <v>650</v>
      </c>
      <c r="BX187" s="13">
        <f t="shared" si="1313"/>
        <v>650</v>
      </c>
      <c r="BY187" s="25">
        <v>6</v>
      </c>
      <c r="BZ187" s="26">
        <f t="shared" si="1110"/>
        <v>4.6296296296296294E-2</v>
      </c>
      <c r="CC187" s="84"/>
      <c r="CD187" s="85"/>
      <c r="CE187" s="25">
        <v>6</v>
      </c>
      <c r="CF187" s="26">
        <f t="shared" si="1111"/>
        <v>4.6296296296296294E-2</v>
      </c>
      <c r="CG187" s="13">
        <f t="shared" ref="CG187:CL187" si="1314">$R$2</f>
        <v>600</v>
      </c>
      <c r="CH187" s="13">
        <f t="shared" si="1314"/>
        <v>600</v>
      </c>
      <c r="CI187" s="13">
        <f t="shared" si="1314"/>
        <v>600</v>
      </c>
      <c r="CJ187" s="13">
        <f t="shared" si="1314"/>
        <v>600</v>
      </c>
      <c r="CK187" s="13">
        <f t="shared" si="1314"/>
        <v>600</v>
      </c>
      <c r="CL187" s="13">
        <f t="shared" si="1314"/>
        <v>600</v>
      </c>
      <c r="CM187" s="13">
        <v>0</v>
      </c>
      <c r="CN187" s="13">
        <v>0</v>
      </c>
      <c r="CO187" s="13">
        <f t="shared" ref="CO187" si="1315">$O$2/($O$3-$O$4*CO186)</f>
        <v>0.11511132164850782</v>
      </c>
      <c r="CP187" s="13">
        <f t="shared" ref="CP187" si="1316">$O$2/($O$3-$O$4*CP186)</f>
        <v>0.11665710012935292</v>
      </c>
      <c r="CQ187" s="13">
        <f t="shared" ref="CQ187" si="1317">$O$2/($O$3-$O$4*CQ186)</f>
        <v>0.1166781402357549</v>
      </c>
      <c r="CR187" s="13">
        <f t="shared" ref="CR187" si="1318">$O$2/($O$3-$O$4*CR186)</f>
        <v>0.11667843057151663</v>
      </c>
      <c r="CS187" s="13">
        <f t="shared" ref="CS187" si="1319">$O$2/($O$3-$O$4*CS186)</f>
        <v>0.11667843062532661</v>
      </c>
      <c r="CT187" s="13">
        <f t="shared" ref="CT187" si="1320">$O$2/($O$3-$O$4*CT186)</f>
        <v>0.11667843062533659</v>
      </c>
      <c r="CU187" s="13">
        <f t="shared" si="1090"/>
        <v>0.11667843062533659</v>
      </c>
      <c r="CV187" s="13">
        <f t="shared" si="1091"/>
        <v>0.11667843062533659</v>
      </c>
      <c r="CW187" s="13">
        <f t="shared" si="1092"/>
        <v>0.11667843062533659</v>
      </c>
      <c r="CX187" s="13">
        <f t="shared" ref="CX187" si="1321">$O$2/($O$3-$O$4*CX186)</f>
        <v>0.11667843062533659</v>
      </c>
      <c r="CY187" s="13">
        <f t="shared" ref="CY187" si="1322">$O$2/($O$3-$O$4*CY186)</f>
        <v>0.11667843062532661</v>
      </c>
      <c r="CZ187" s="13">
        <f t="shared" ref="CZ187" si="1323">$O$2/($O$3-$O$4*CZ186)</f>
        <v>0.11667843057151663</v>
      </c>
      <c r="DA187" s="13">
        <f t="shared" ref="DA187" si="1324">$O$2/($O$3-$O$4*DA186)</f>
        <v>0.1166781402357549</v>
      </c>
      <c r="DB187" s="13">
        <f t="shared" ref="DB187" si="1325">$O$2/($O$3-$O$4*DB186)</f>
        <v>0.11665710012935292</v>
      </c>
      <c r="DC187" s="13">
        <f t="shared" ref="DC187" si="1326">$O$2/($O$3-$O$4*DC186)</f>
        <v>0.11511132164850782</v>
      </c>
      <c r="DD187" s="13">
        <v>0</v>
      </c>
      <c r="DE187" s="13">
        <v>0</v>
      </c>
      <c r="DF187" s="13">
        <f t="shared" ref="DF187:DK187" si="1327">$R$3</f>
        <v>650</v>
      </c>
      <c r="DG187" s="13">
        <f t="shared" si="1327"/>
        <v>650</v>
      </c>
      <c r="DH187" s="13">
        <f t="shared" si="1327"/>
        <v>650</v>
      </c>
      <c r="DI187" s="13">
        <f t="shared" si="1327"/>
        <v>650</v>
      </c>
      <c r="DJ187" s="13">
        <f t="shared" si="1327"/>
        <v>650</v>
      </c>
      <c r="DK187" s="13">
        <f t="shared" si="1327"/>
        <v>650</v>
      </c>
      <c r="DL187" s="25">
        <v>6</v>
      </c>
      <c r="DM187" s="26">
        <f t="shared" si="1112"/>
        <v>4.6296296296296294E-2</v>
      </c>
      <c r="DQ187" s="84"/>
      <c r="DR187" s="85"/>
      <c r="DS187" s="25">
        <v>6</v>
      </c>
      <c r="DT187" s="26">
        <f t="shared" si="1113"/>
        <v>4.6296296296296294E-2</v>
      </c>
      <c r="DU187" s="13">
        <f t="shared" ref="DU187:DZ187" si="1328">$R$2</f>
        <v>600</v>
      </c>
      <c r="DV187" s="13">
        <f t="shared" si="1328"/>
        <v>600</v>
      </c>
      <c r="DW187" s="13">
        <f t="shared" si="1328"/>
        <v>600</v>
      </c>
      <c r="DX187" s="13">
        <f t="shared" si="1328"/>
        <v>600</v>
      </c>
      <c r="DY187" s="13">
        <f t="shared" si="1328"/>
        <v>600</v>
      </c>
      <c r="DZ187" s="13">
        <f t="shared" si="1328"/>
        <v>600</v>
      </c>
      <c r="EA187" s="13">
        <f t="shared" ref="EA187" si="1329">M187</f>
        <v>533.01082656299729</v>
      </c>
      <c r="EB187" s="13">
        <f t="shared" ref="EB187" si="1330">N187</f>
        <v>530.92406235054409</v>
      </c>
      <c r="EC187" s="13">
        <f t="shared" ref="EC187" si="1331">(EC186*$O$4-BB187)/($O$3-$O$4*CO186)</f>
        <v>469.92256978368783</v>
      </c>
      <c r="ED187" s="13">
        <f t="shared" ref="ED187" si="1332">(ED186*$O$4-BC187)/($O$3-$O$4*CP186)</f>
        <v>469.33113803481325</v>
      </c>
      <c r="EE187" s="13">
        <f t="shared" ref="EE187" si="1333">(EE186*$O$4-BD187)/($O$3-$O$4*CQ186)</f>
        <v>468.94163107891751</v>
      </c>
      <c r="EF187" s="13">
        <f t="shared" ref="EF187" si="1334">(EF186*$O$4-BE187)/($O$3-$O$4*CR186)</f>
        <v>468.63324768441458</v>
      </c>
      <c r="EG187" s="13">
        <f t="shared" ref="EG187" si="1335">(EG186*$O$4-BF187)/($O$3-$O$4*CS186)</f>
        <v>468.46318758685322</v>
      </c>
      <c r="EH187" s="13">
        <f t="shared" ref="EH187" si="1336">(EH186*$O$4-BG187)/($O$3-$O$4*CT186)</f>
        <v>468.48019607631545</v>
      </c>
      <c r="EI187" s="13">
        <f t="shared" si="1125"/>
        <v>468.70636914844715</v>
      </c>
      <c r="EJ187" s="13">
        <f t="shared" si="1126"/>
        <v>469.1557672684184</v>
      </c>
      <c r="EK187" s="13">
        <f t="shared" si="1127"/>
        <v>469.83595466999037</v>
      </c>
      <c r="EL187" s="13">
        <f t="shared" ref="EL187" si="1337">(EL186*$O$4-BK187)/($O$3-$O$4*CX186)</f>
        <v>470.74869306372744</v>
      </c>
      <c r="EM187" s="13">
        <f t="shared" ref="EM187" si="1338">(EM186*$O$4-BL187)/($O$3-$O$4*CY186)</f>
        <v>471.8900882918266</v>
      </c>
      <c r="EN187" s="13">
        <f t="shared" ref="EN187" si="1339">(EN186*$O$4-BM187)/($O$3-$O$4*CZ186)</f>
        <v>473.25012018706263</v>
      </c>
      <c r="EO187" s="13">
        <f t="shared" ref="EO187" si="1340">(EO186*$O$4-BN187)/($O$3-$O$4*DA186)</f>
        <v>474.79876136746606</v>
      </c>
      <c r="EP187" s="13">
        <f t="shared" ref="EP187" si="1341">(EP186*$O$4-BO187)/($O$3-$O$4*DB186)</f>
        <v>476.50803850431328</v>
      </c>
      <c r="EQ187" s="13">
        <f t="shared" ref="EQ187" si="1342">(EQ186*$O$4-BP187)/($O$3-$O$4*DC186)</f>
        <v>478.73863155476249</v>
      </c>
      <c r="ER187" s="13">
        <f t="shared" ref="ER187" si="1343">AD187</f>
        <v>542.64086085584643</v>
      </c>
      <c r="ES187" s="13">
        <f t="shared" ref="ES187" si="1344">AE187</f>
        <v>545.8427050739823</v>
      </c>
      <c r="ET187" s="13">
        <f t="shared" ref="ET187:EY187" si="1345">$R$3</f>
        <v>650</v>
      </c>
      <c r="EU187" s="13">
        <f t="shared" si="1345"/>
        <v>650</v>
      </c>
      <c r="EV187" s="13">
        <f t="shared" si="1345"/>
        <v>650</v>
      </c>
      <c r="EW187" s="13">
        <f t="shared" si="1345"/>
        <v>650</v>
      </c>
      <c r="EX187" s="13">
        <f t="shared" si="1345"/>
        <v>650</v>
      </c>
      <c r="EY187" s="13">
        <f t="shared" si="1345"/>
        <v>650</v>
      </c>
      <c r="EZ187" s="25">
        <v>6</v>
      </c>
      <c r="FA187" s="26">
        <f t="shared" si="1114"/>
        <v>4.6296296296296294E-2</v>
      </c>
    </row>
    <row r="188" spans="3:157" ht="15" customHeight="1" x14ac:dyDescent="0.25">
      <c r="C188" s="84"/>
      <c r="D188" s="85"/>
      <c r="E188" s="25">
        <v>5</v>
      </c>
      <c r="F188" s="26">
        <f t="shared" si="1107"/>
        <v>3.7037037037037035E-2</v>
      </c>
      <c r="G188" s="13">
        <f>$R$2</f>
        <v>600</v>
      </c>
      <c r="H188" s="13">
        <f>$R$2</f>
        <v>600</v>
      </c>
      <c r="I188" s="13">
        <f>$R$2</f>
        <v>600</v>
      </c>
      <c r="J188" s="13">
        <f>$R$2</f>
        <v>600</v>
      </c>
      <c r="K188" s="13">
        <f t="shared" ref="K188:L188" si="1346">($F$5*$B$5*K60+$F$4*K125)/($F$4+$F$5*$B$5)</f>
        <v>534.69977778104658</v>
      </c>
      <c r="L188" s="13">
        <f t="shared" si="1346"/>
        <v>531.80690345878941</v>
      </c>
      <c r="M188" s="13">
        <f t="shared" ref="M188" si="1347">CM188*M189+EA188</f>
        <v>529.13438987352708</v>
      </c>
      <c r="N188" s="13">
        <f t="shared" ref="N188" si="1348">CN188*N189+EB188</f>
        <v>526.92404850101639</v>
      </c>
      <c r="O188" s="13">
        <f t="shared" ref="O188" si="1349">CO188*O189+EC188</f>
        <v>525.3331218565819</v>
      </c>
      <c r="P188" s="13">
        <f t="shared" ref="P188" si="1350">CP188*P189+ED188</f>
        <v>524.15219964100913</v>
      </c>
      <c r="Q188" s="13">
        <f t="shared" ref="Q188" si="1351">CQ188*Q189+EE188</f>
        <v>523.16993798222234</v>
      </c>
      <c r="R188" s="13">
        <f t="shared" ref="R188" si="1352">CR188*R189+EF188</f>
        <v>522.45415677220478</v>
      </c>
      <c r="S188" s="13">
        <f t="shared" si="1130"/>
        <v>522.01160199653509</v>
      </c>
      <c r="T188" s="13">
        <f t="shared" si="1130"/>
        <v>521.85114792790489</v>
      </c>
      <c r="U188" s="13">
        <f t="shared" si="1071"/>
        <v>521.97937295649501</v>
      </c>
      <c r="V188" s="13">
        <f t="shared" si="1072"/>
        <v>522.40157815862312</v>
      </c>
      <c r="W188" s="13">
        <f t="shared" si="1073"/>
        <v>523.12136242511826</v>
      </c>
      <c r="X188" s="13">
        <f t="shared" ref="X188" si="1353">CX188*X189+EL188</f>
        <v>524.14049274459853</v>
      </c>
      <c r="Y188" s="13">
        <f t="shared" ref="Y188" si="1354">CY188*Y189+EM188</f>
        <v>525.45902911107908</v>
      </c>
      <c r="Z188" s="13">
        <f t="shared" ref="Z188" si="1355">CZ188*Z189+EN188</f>
        <v>527.07570708421167</v>
      </c>
      <c r="AA188" s="13">
        <f t="shared" ref="AA188" si="1356">DA188*AA189+EO188</f>
        <v>528.98715372197671</v>
      </c>
      <c r="AB188" s="13">
        <f t="shared" ref="AB188" si="1357">DB188*AB189+EP188</f>
        <v>531.19185719476707</v>
      </c>
      <c r="AC188" s="13">
        <f t="shared" ref="AC188" si="1358">DC188*AC189+EQ188</f>
        <v>533.64730094967831</v>
      </c>
      <c r="AD188" s="13">
        <f t="shared" ref="AD188" si="1359">DD188*AD189+ER188</f>
        <v>536.52446939864069</v>
      </c>
      <c r="AE188" s="13">
        <f t="shared" ref="AE188" si="1360">DE188*AE189+ES188</f>
        <v>539.88257634260526</v>
      </c>
      <c r="AF188" s="13">
        <f t="shared" ref="AF188:AG188" si="1361">($F$5*$B$5*AF60+$F$4*AF125)/($F$4+$F$5*$B$5)</f>
        <v>543.96232950042497</v>
      </c>
      <c r="AG188" s="13">
        <f t="shared" si="1361"/>
        <v>547.65301080412905</v>
      </c>
      <c r="AH188" s="13">
        <f>$R$3</f>
        <v>650</v>
      </c>
      <c r="AI188" s="13">
        <f>$R$3</f>
        <v>650</v>
      </c>
      <c r="AJ188" s="13">
        <f>$R$3</f>
        <v>650</v>
      </c>
      <c r="AK188" s="13">
        <f>$R$3</f>
        <v>650</v>
      </c>
      <c r="AL188" s="25">
        <v>5</v>
      </c>
      <c r="AM188" s="26">
        <f t="shared" si="1108"/>
        <v>3.7037037037037035E-2</v>
      </c>
      <c r="AP188" s="87"/>
      <c r="AQ188" s="86"/>
      <c r="AR188" s="25">
        <v>5</v>
      </c>
      <c r="AS188" s="26">
        <f t="shared" si="1109"/>
        <v>3.7037037037037035E-2</v>
      </c>
      <c r="AT188" s="13">
        <f>$R$2</f>
        <v>600</v>
      </c>
      <c r="AU188" s="13">
        <f>$R$2</f>
        <v>600</v>
      </c>
      <c r="AV188" s="13">
        <f>$R$2</f>
        <v>600</v>
      </c>
      <c r="AW188" s="13">
        <f>$R$2</f>
        <v>600</v>
      </c>
      <c r="AX188" s="52"/>
      <c r="AY188" s="52"/>
      <c r="AZ188" s="13">
        <f t="shared" ref="AZ188" si="1362">-($F$3*$F$2)/$B$8*M124</f>
        <v>-1898509097.6331375</v>
      </c>
      <c r="BA188" s="13">
        <f t="shared" ref="BA188" si="1363">-($F$3*$F$2)/$B$8*N124</f>
        <v>-1890587740.6826656</v>
      </c>
      <c r="BB188" s="13">
        <f t="shared" ref="BB188" si="1364">-($F$3*$F$2)/$B$8*O124</f>
        <v>-1884508688.163007</v>
      </c>
      <c r="BC188" s="13">
        <f t="shared" ref="BC188" si="1365">-($F$3*$F$2)/$B$8*P124</f>
        <v>-1879819643.1558266</v>
      </c>
      <c r="BD188" s="13">
        <f t="shared" ref="BD188" si="1366">-($F$3*$F$2)/$B$8*Q124</f>
        <v>-1876193219.8059151</v>
      </c>
      <c r="BE188" s="13">
        <f t="shared" ref="BE188" si="1367">-($F$3*$F$2)/$B$8*R124</f>
        <v>-1873580231.1805863</v>
      </c>
      <c r="BF188" s="13">
        <f t="shared" ref="BF188" si="1368">-($F$3*$F$2)/$B$8*S124</f>
        <v>-1871975815.555867</v>
      </c>
      <c r="BG188" s="13">
        <f t="shared" ref="BG188" si="1369">-($F$3*$F$2)/$B$8*T124</f>
        <v>-1871394135.7366803</v>
      </c>
      <c r="BH188" s="13">
        <f t="shared" ref="BH188" si="1370">-($F$3*$F$2)/$B$8*U124</f>
        <v>-1871852934.6213412</v>
      </c>
      <c r="BI188" s="13">
        <f t="shared" ref="BI188" si="1371">-($F$3*$F$2)/$B$8*V124</f>
        <v>-1873368361.9303362</v>
      </c>
      <c r="BJ188" s="13">
        <f t="shared" ref="BJ188" si="1372">-($F$3*$F$2)/$B$8*W124</f>
        <v>-1875952406.5561986</v>
      </c>
      <c r="BK188" s="13">
        <f t="shared" ref="BK188" si="1373">-($F$3*$F$2)/$B$8*X124</f>
        <v>-1879612041.1621366</v>
      </c>
      <c r="BL188" s="13">
        <f t="shared" ref="BL188" si="1374">-($F$3*$F$2)/$B$8*Y124</f>
        <v>-1884349744.0625381</v>
      </c>
      <c r="BM188" s="13">
        <f t="shared" ref="BM188" si="1375">-($F$3*$F$2)/$B$8*Z124</f>
        <v>-1890165458.2646589</v>
      </c>
      <c r="BN188" s="13">
        <f t="shared" ref="BN188" si="1376">-($F$3*$F$2)/$B$8*AA124</f>
        <v>-1897060484.2477791</v>
      </c>
      <c r="BO188" s="13">
        <f t="shared" ref="BO188" si="1377">-($F$3*$F$2)/$B$8*AB124</f>
        <v>-1905049133.66436</v>
      </c>
      <c r="BP188" s="13">
        <f t="shared" ref="BP188" si="1378">-($F$3*$F$2)/$B$8*AC124</f>
        <v>-1914175851.968015</v>
      </c>
      <c r="BQ188" s="13">
        <f t="shared" ref="BQ188" si="1379">-($F$3*$F$2)/$B$8*AD124</f>
        <v>-1924664707.8087933</v>
      </c>
      <c r="BR188" s="13">
        <f t="shared" ref="BR188" si="1380">-($F$3*$F$2)/$B$8*AE124</f>
        <v>-1936818908.4608366</v>
      </c>
      <c r="BS188" s="52"/>
      <c r="BT188" s="52"/>
      <c r="BU188" s="13">
        <f>$R$3</f>
        <v>650</v>
      </c>
      <c r="BV188" s="13">
        <f>$R$3</f>
        <v>650</v>
      </c>
      <c r="BW188" s="13">
        <f>$R$3</f>
        <v>650</v>
      </c>
      <c r="BX188" s="13">
        <f>$R$3</f>
        <v>650</v>
      </c>
      <c r="BY188" s="25">
        <v>5</v>
      </c>
      <c r="BZ188" s="26">
        <f t="shared" si="1110"/>
        <v>3.7037037037037035E-2</v>
      </c>
      <c r="CC188" s="84"/>
      <c r="CD188" s="85"/>
      <c r="CE188" s="25">
        <v>5</v>
      </c>
      <c r="CF188" s="26">
        <f t="shared" si="1111"/>
        <v>3.7037037037037035E-2</v>
      </c>
      <c r="CG188" s="13">
        <f>$R$2</f>
        <v>600</v>
      </c>
      <c r="CH188" s="13">
        <f>$R$2</f>
        <v>600</v>
      </c>
      <c r="CI188" s="13">
        <f>$R$2</f>
        <v>600</v>
      </c>
      <c r="CJ188" s="13">
        <f>$R$2</f>
        <v>600</v>
      </c>
      <c r="CK188" s="13">
        <v>0</v>
      </c>
      <c r="CL188" s="13">
        <v>0</v>
      </c>
      <c r="CM188" s="13">
        <f t="shared" ref="CM188" si="1381">$O$2/($O$3-$O$4*CM187)</f>
        <v>0.11511132164850782</v>
      </c>
      <c r="CN188" s="13">
        <f t="shared" ref="CN188" si="1382">$O$2/($O$3-$O$4*CN187)</f>
        <v>0.11511132164850782</v>
      </c>
      <c r="CO188" s="13">
        <f t="shared" ref="CO188" si="1383">$O$2/($O$3-$O$4*CO187)</f>
        <v>0.11665710012935292</v>
      </c>
      <c r="CP188" s="13">
        <f t="shared" ref="CP188" si="1384">$O$2/($O$3-$O$4*CP187)</f>
        <v>0.1166781402357549</v>
      </c>
      <c r="CQ188" s="13">
        <f t="shared" ref="CQ188" si="1385">$O$2/($O$3-$O$4*CQ187)</f>
        <v>0.11667842667201472</v>
      </c>
      <c r="CR188" s="13">
        <f t="shared" ref="CR188" si="1386">$O$2/($O$3-$O$4*CR187)</f>
        <v>0.1166784306246039</v>
      </c>
      <c r="CS188" s="13">
        <f t="shared" ref="CS188" si="1387">$O$2/($O$3-$O$4*CS187)</f>
        <v>0.11667843062533644</v>
      </c>
      <c r="CT188" s="13">
        <f t="shared" ref="CT188" si="1388">$O$2/($O$3-$O$4*CT187)</f>
        <v>0.11667843062533659</v>
      </c>
      <c r="CU188" s="13">
        <f t="shared" ref="CU188" si="1389">$O$2/($O$3-$O$4*CU187)</f>
        <v>0.11667843062533659</v>
      </c>
      <c r="CV188" s="13">
        <f t="shared" ref="CV188" si="1390">$O$2/($O$3-$O$4*CV187)</f>
        <v>0.11667843062533659</v>
      </c>
      <c r="CW188" s="13">
        <f t="shared" ref="CW188" si="1391">$O$2/($O$3-$O$4*CW187)</f>
        <v>0.11667843062533659</v>
      </c>
      <c r="CX188" s="13">
        <f t="shared" ref="CX188" si="1392">$O$2/($O$3-$O$4*CX187)</f>
        <v>0.11667843062533659</v>
      </c>
      <c r="CY188" s="13">
        <f t="shared" ref="CY188" si="1393">$O$2/($O$3-$O$4*CY187)</f>
        <v>0.11667843062533644</v>
      </c>
      <c r="CZ188" s="13">
        <f t="shared" ref="CZ188" si="1394">$O$2/($O$3-$O$4*CZ187)</f>
        <v>0.1166784306246039</v>
      </c>
      <c r="DA188" s="13">
        <f t="shared" ref="DA188" si="1395">$O$2/($O$3-$O$4*DA187)</f>
        <v>0.11667842667201472</v>
      </c>
      <c r="DB188" s="13">
        <f t="shared" ref="DB188" si="1396">$O$2/($O$3-$O$4*DB187)</f>
        <v>0.1166781402357549</v>
      </c>
      <c r="DC188" s="13">
        <f t="shared" ref="DC188" si="1397">$O$2/($O$3-$O$4*DC187)</f>
        <v>0.11665710012935292</v>
      </c>
      <c r="DD188" s="13">
        <f t="shared" ref="DD188" si="1398">$O$2/($O$3-$O$4*DD187)</f>
        <v>0.11511132164850782</v>
      </c>
      <c r="DE188" s="13">
        <f t="shared" ref="DE188" si="1399">$O$2/($O$3-$O$4*DE187)</f>
        <v>0.11511132164850782</v>
      </c>
      <c r="DF188" s="13">
        <v>0</v>
      </c>
      <c r="DG188" s="13">
        <v>0</v>
      </c>
      <c r="DH188" s="13">
        <f>$R$3</f>
        <v>650</v>
      </c>
      <c r="DI188" s="13">
        <f>$R$3</f>
        <v>650</v>
      </c>
      <c r="DJ188" s="13">
        <f>$R$3</f>
        <v>650</v>
      </c>
      <c r="DK188" s="13">
        <f>$R$3</f>
        <v>650</v>
      </c>
      <c r="DL188" s="25">
        <v>5</v>
      </c>
      <c r="DM188" s="26">
        <f t="shared" si="1112"/>
        <v>3.7037037037037035E-2</v>
      </c>
      <c r="DQ188" s="84"/>
      <c r="DR188" s="85"/>
      <c r="DS188" s="25">
        <v>5</v>
      </c>
      <c r="DT188" s="26">
        <f t="shared" si="1113"/>
        <v>3.7037037037037035E-2</v>
      </c>
      <c r="DU188" s="13">
        <f>$R$2</f>
        <v>600</v>
      </c>
      <c r="DV188" s="13">
        <f>$R$2</f>
        <v>600</v>
      </c>
      <c r="DW188" s="13">
        <f>$R$2</f>
        <v>600</v>
      </c>
      <c r="DX188" s="13">
        <f>$R$2</f>
        <v>600</v>
      </c>
      <c r="DY188" s="13">
        <f t="shared" ref="DX188:DY189" si="1400">K188</f>
        <v>534.69977778104658</v>
      </c>
      <c r="DZ188" s="13">
        <f t="shared" ref="DZ188" si="1401">L188</f>
        <v>531.80690345878941</v>
      </c>
      <c r="EA188" s="13">
        <f t="shared" ref="EA188" si="1402">(EA187*$O$4-AZ188)/($O$3-$O$4*CM187)</f>
        <v>468.6658691190886</v>
      </c>
      <c r="EB188" s="13">
        <f t="shared" ref="EB188" si="1403">(EB187*$O$4-BA188)/($O$3-$O$4*CN187)</f>
        <v>466.72619371109829</v>
      </c>
      <c r="EC188" s="13">
        <f t="shared" ref="EC188" si="1404">(EC187*$O$4-BB188)/($O$3-$O$4*CO187)</f>
        <v>464.55566700082323</v>
      </c>
      <c r="ED188" s="13">
        <f t="shared" ref="ED188" si="1405">(ED187*$O$4-BC188)/($O$3-$O$4*CP187)</f>
        <v>463.55075550359805</v>
      </c>
      <c r="EE188" s="13">
        <f t="shared" ref="EE188" si="1406">(EE187*$O$4-BD188)/($O$3-$O$4*CQ187)</f>
        <v>462.71783380536863</v>
      </c>
      <c r="EF188" s="13">
        <f t="shared" ref="EF188" si="1407">(EF187*$O$4-BE188)/($O$3-$O$4*CR187)</f>
        <v>462.11363962582641</v>
      </c>
      <c r="EG188" s="13">
        <f t="shared" ref="EG188" si="1408">(EG187*$O$4-BF188)/($O$3-$O$4*CS187)</f>
        <v>461.74489635981178</v>
      </c>
      <c r="EH188" s="13">
        <f t="shared" ref="EH188" si="1409">(EH187*$O$4-BG188)/($O$3-$O$4*CT187)</f>
        <v>461.62038708553024</v>
      </c>
      <c r="EI188" s="13">
        <f t="shared" ref="EI188" si="1410">(EI187*$O$4-BH188)/($O$3-$O$4*CU187)</f>
        <v>461.74654835464173</v>
      </c>
      <c r="EJ188" s="13">
        <f t="shared" ref="EJ188" si="1411">(EJ187*$O$4-BI188)/($O$3-$O$4*CV187)</f>
        <v>462.1285326857016</v>
      </c>
      <c r="EK188" s="13">
        <f t="shared" ref="EK188" si="1412">(EK187*$O$4-BJ188)/($O$3-$O$4*CW187)</f>
        <v>462.76982980133869</v>
      </c>
      <c r="EL188" s="13">
        <f t="shared" ref="EL188" si="1413">(EL187*$O$4-BK188)/($O$3-$O$4*CX187)</f>
        <v>463.67216155095218</v>
      </c>
      <c r="EM188" s="13">
        <f t="shared" ref="EM188" si="1414">(EM187*$O$4-BL188)/($O$3-$O$4*CY187)</f>
        <v>464.83561251183011</v>
      </c>
      <c r="EN188" s="13">
        <f t="shared" ref="EN188" si="1415">(EN187*$O$4-BM188)/($O$3-$O$4*CZ187)</f>
        <v>466.25900114985063</v>
      </c>
      <c r="EO188" s="13">
        <f t="shared" ref="EO188" si="1416">(EO187*$O$4-BN188)/($O$3-$O$4*DA187)</f>
        <v>467.93909087722108</v>
      </c>
      <c r="EP188" s="13">
        <f t="shared" ref="EP188" si="1417">(EP187*$O$4-BO188)/($O$3-$O$4*DB187)</f>
        <v>469.87460819130973</v>
      </c>
      <c r="EQ188" s="13">
        <f t="shared" ref="EQ188" si="1418">(EQ187*$O$4-BP188)/($O$3-$O$4*DC187)</f>
        <v>472.03445215608224</v>
      </c>
      <c r="ER188" s="13">
        <f t="shared" ref="ER188" si="1419">(ER187*$O$4-BQ188)/($O$3-$O$4*DD187)</f>
        <v>475.38587682872168</v>
      </c>
      <c r="ES188" s="13">
        <f t="shared" ref="ES188" si="1420">(ES187*$O$4-BR188)/($O$3-$O$4*DE187)</f>
        <v>478.36203410277841</v>
      </c>
      <c r="ET188" s="13">
        <f t="shared" ref="ET188" si="1421">AF188</f>
        <v>543.96232950042497</v>
      </c>
      <c r="EU188" s="13">
        <f t="shared" ref="EU188:EW191" si="1422">AG188</f>
        <v>547.65301080412905</v>
      </c>
      <c r="EV188" s="13">
        <f>$R$3</f>
        <v>650</v>
      </c>
      <c r="EW188" s="13">
        <f>$R$3</f>
        <v>650</v>
      </c>
      <c r="EX188" s="13">
        <f>$R$3</f>
        <v>650</v>
      </c>
      <c r="EY188" s="13">
        <f>$R$3</f>
        <v>650</v>
      </c>
      <c r="EZ188" s="25">
        <v>5</v>
      </c>
      <c r="FA188" s="26">
        <f t="shared" si="1114"/>
        <v>3.7037037037037035E-2</v>
      </c>
    </row>
    <row r="189" spans="3:157" ht="15" customHeight="1" x14ac:dyDescent="0.25">
      <c r="C189" s="84"/>
      <c r="D189" s="85"/>
      <c r="E189" s="25">
        <v>4</v>
      </c>
      <c r="F189" s="26">
        <f t="shared" si="1107"/>
        <v>2.7777777777777776E-2</v>
      </c>
      <c r="G189" s="13">
        <f t="shared" ref="G189:I190" si="1423">$R$2</f>
        <v>600</v>
      </c>
      <c r="H189" s="13">
        <f t="shared" si="1423"/>
        <v>600</v>
      </c>
      <c r="I189" s="13">
        <f t="shared" si="1423"/>
        <v>600</v>
      </c>
      <c r="J189" s="13">
        <f t="shared" ref="J189" si="1424">($F$5*$B$5*J61+$F$4*J126)/($F$4+$F$5*$B$5)</f>
        <v>535.58273437955086</v>
      </c>
      <c r="K189" s="13">
        <f t="shared" ref="K189" si="1425">CK189*K190+DY189</f>
        <v>531.06892750244117</v>
      </c>
      <c r="L189" s="13">
        <f t="shared" ref="L189" si="1426">CL189*L190+DZ189</f>
        <v>528.01428425502559</v>
      </c>
      <c r="M189" s="13">
        <f t="shared" ref="M189" si="1427">CM189*M190+EA189</f>
        <v>525.30472145110957</v>
      </c>
      <c r="N189" s="13">
        <f t="shared" ref="N189" si="1428">CN189*N190+EB189</f>
        <v>522.95338050007012</v>
      </c>
      <c r="O189" s="13">
        <f t="shared" ref="O189" si="1429">CO189*O190+EC189</f>
        <v>520.99233384309036</v>
      </c>
      <c r="P189" s="13">
        <f t="shared" ref="P189" si="1430">CP189*P190+ED189</f>
        <v>519.38987041585005</v>
      </c>
      <c r="Q189" s="13">
        <f t="shared" ref="Q189" si="1431">CQ189*Q190+EE189</f>
        <v>518.10866756701955</v>
      </c>
      <c r="R189" s="13">
        <f t="shared" ref="R189" si="1432">CR189*R190+EF189</f>
        <v>517.15228618831316</v>
      </c>
      <c r="S189" s="13">
        <f t="shared" si="1130"/>
        <v>516.51967989048865</v>
      </c>
      <c r="T189" s="13">
        <f t="shared" si="1130"/>
        <v>516.21161271683741</v>
      </c>
      <c r="U189" s="13">
        <f t="shared" si="1071"/>
        <v>516.22930030028829</v>
      </c>
      <c r="V189" s="13">
        <f t="shared" si="1072"/>
        <v>516.5740158647053</v>
      </c>
      <c r="W189" s="13">
        <f t="shared" si="1073"/>
        <v>517.24669504317364</v>
      </c>
      <c r="X189" s="13">
        <f t="shared" ref="X189" si="1433">CX189*X190+EL189</f>
        <v>518.24772470427604</v>
      </c>
      <c r="Y189" s="13">
        <f t="shared" ref="Y189" si="1434">CY189*Y190+EM189</f>
        <v>519.57689415548862</v>
      </c>
      <c r="Z189" s="13">
        <f t="shared" ref="Z189" si="1435">CZ189*Z190+EN189</f>
        <v>521.23349284693461</v>
      </c>
      <c r="AA189" s="13">
        <f t="shared" ref="AA189" si="1436">DA189*AA190+EO189</f>
        <v>523.21636986383817</v>
      </c>
      <c r="AB189" s="13">
        <f t="shared" ref="AB189" si="1437">DB189*AB190+EP189</f>
        <v>525.52473736350544</v>
      </c>
      <c r="AC189" s="13">
        <f t="shared" ref="AC189" si="1438">DC189*AC190+EQ189</f>
        <v>528.15344051307488</v>
      </c>
      <c r="AD189" s="13">
        <f t="shared" ref="AD189" si="1439">DD189*AD190+ER189</f>
        <v>531.12579800452318</v>
      </c>
      <c r="AE189" s="13">
        <f t="shared" ref="AE189" si="1440">DE189*AE190+ES189</f>
        <v>534.44388752376358</v>
      </c>
      <c r="AF189" s="13">
        <f t="shared" ref="AF189" si="1441">DF189*AF190+ET189</f>
        <v>538.11730823434084</v>
      </c>
      <c r="AG189" s="13">
        <f t="shared" ref="AG189" si="1442">DG189*AG190+EU189</f>
        <v>542.00561452597958</v>
      </c>
      <c r="AH189" s="13">
        <f t="shared" ref="AH189" si="1443">($F$5*$B$5*AH61+$F$4*AH126)/($F$4+$F$5*$B$5)</f>
        <v>548.21169595735728</v>
      </c>
      <c r="AI189" s="13">
        <f t="shared" ref="AI189:AK190" si="1444">$R$3</f>
        <v>650</v>
      </c>
      <c r="AJ189" s="13">
        <f t="shared" si="1444"/>
        <v>650</v>
      </c>
      <c r="AK189" s="13">
        <f t="shared" si="1444"/>
        <v>650</v>
      </c>
      <c r="AL189" s="25">
        <v>4</v>
      </c>
      <c r="AM189" s="26">
        <f t="shared" si="1108"/>
        <v>2.7777777777777776E-2</v>
      </c>
      <c r="AP189" s="87"/>
      <c r="AQ189" s="86"/>
      <c r="AR189" s="25">
        <v>4</v>
      </c>
      <c r="AS189" s="26">
        <f t="shared" si="1109"/>
        <v>2.7777777777777776E-2</v>
      </c>
      <c r="AT189" s="13">
        <f t="shared" ref="AT189:AV190" si="1445">$R$2</f>
        <v>600</v>
      </c>
      <c r="AU189" s="13">
        <f t="shared" si="1445"/>
        <v>600</v>
      </c>
      <c r="AV189" s="13">
        <f t="shared" si="1445"/>
        <v>600</v>
      </c>
      <c r="AW189" s="52"/>
      <c r="AX189" s="13">
        <f t="shared" ref="AX189" si="1446">-($F$3*$F$2)/$B$8*K125</f>
        <v>-1904920356.4568524</v>
      </c>
      <c r="AY189" s="13">
        <f t="shared" ref="AY189" si="1447">-($F$3*$F$2)/$B$8*L125</f>
        <v>-1893939005.5295644</v>
      </c>
      <c r="AZ189" s="13">
        <f t="shared" ref="AZ189" si="1448">-($F$3*$F$2)/$B$8*M125</f>
        <v>-1884264485.8366957</v>
      </c>
      <c r="BA189" s="13">
        <f t="shared" ref="BA189" si="1449">-($F$3*$F$2)/$B$8*N125</f>
        <v>-1875827204.3529463</v>
      </c>
      <c r="BB189" s="13">
        <f t="shared" ref="BB189" si="1450">-($F$3*$F$2)/$B$8*O125</f>
        <v>-1868687847.0654507</v>
      </c>
      <c r="BC189" s="13">
        <f t="shared" ref="BC189" si="1451">-($F$3*$F$2)/$B$8*P125</f>
        <v>-1862812385.9486792</v>
      </c>
      <c r="BD189" s="13">
        <f t="shared" ref="BD189" si="1452">-($F$3*$F$2)/$B$8*Q125</f>
        <v>-1858142827.8343513</v>
      </c>
      <c r="BE189" s="13">
        <f t="shared" si="1077"/>
        <v>-1854658979.9810102</v>
      </c>
      <c r="BF189" s="13">
        <f t="shared" si="1077"/>
        <v>-1852352128.7201219</v>
      </c>
      <c r="BG189" s="13">
        <f t="shared" si="1077"/>
        <v>-1851220704.4446726</v>
      </c>
      <c r="BH189" s="13">
        <f t="shared" si="1077"/>
        <v>-1851266496.0411935</v>
      </c>
      <c r="BI189" s="13">
        <f t="shared" si="1078"/>
        <v>-1852492370.4590302</v>
      </c>
      <c r="BJ189" s="13">
        <f t="shared" si="1079"/>
        <v>-1854900749.990952</v>
      </c>
      <c r="BK189" s="13">
        <f t="shared" si="1134"/>
        <v>-1858492761.2994733</v>
      </c>
      <c r="BL189" s="13">
        <f t="shared" si="1157"/>
        <v>-1863267977.1430848</v>
      </c>
      <c r="BM189" s="13">
        <f t="shared" ref="BM189" si="1453">-($F$3*$F$2)/$B$8*Z125</f>
        <v>-1869224677.4952896</v>
      </c>
      <c r="BN189" s="13">
        <f t="shared" ref="BN189" si="1454">-($F$3*$F$2)/$B$8*AA125</f>
        <v>-1876360548.4230573</v>
      </c>
      <c r="BO189" s="13">
        <f t="shared" ref="BO189" si="1455">-($F$3*$F$2)/$B$8*AB125</f>
        <v>-1884674236.8969367</v>
      </c>
      <c r="BP189" s="13">
        <f t="shared" ref="BP189" si="1456">-($F$3*$F$2)/$B$8*AC125</f>
        <v>-1894166600.7067158</v>
      </c>
      <c r="BQ189" s="13">
        <f t="shared" ref="BQ189" si="1457">-($F$3*$F$2)/$B$8*AD125</f>
        <v>-1904854999.0308678</v>
      </c>
      <c r="BR189" s="13">
        <f t="shared" ref="BR189" si="1458">-($F$3*$F$2)/$B$8*AE125</f>
        <v>-1916720115.1474419</v>
      </c>
      <c r="BS189" s="13">
        <f t="shared" ref="BS189" si="1459">-($F$3*$F$2)/$B$8*AF125</f>
        <v>-1929681002.783613</v>
      </c>
      <c r="BT189" s="13">
        <f t="shared" ref="BT189" si="1460">-($F$3*$F$2)/$B$8*AG125</f>
        <v>-1943690829.0124738</v>
      </c>
      <c r="BU189" s="52"/>
      <c r="BV189" s="13">
        <f t="shared" ref="BV189:BX190" si="1461">$R$3</f>
        <v>650</v>
      </c>
      <c r="BW189" s="13">
        <f t="shared" si="1461"/>
        <v>650</v>
      </c>
      <c r="BX189" s="13">
        <f t="shared" si="1461"/>
        <v>650</v>
      </c>
      <c r="BY189" s="25">
        <v>4</v>
      </c>
      <c r="BZ189" s="26">
        <f t="shared" si="1110"/>
        <v>2.7777777777777776E-2</v>
      </c>
      <c r="CC189" s="84"/>
      <c r="CD189" s="85"/>
      <c r="CE189" s="25">
        <v>4</v>
      </c>
      <c r="CF189" s="26">
        <f t="shared" si="1111"/>
        <v>2.7777777777777776E-2</v>
      </c>
      <c r="CG189" s="13">
        <f t="shared" ref="CG189:CI190" si="1462">$R$2</f>
        <v>600</v>
      </c>
      <c r="CH189" s="13">
        <f t="shared" si="1462"/>
        <v>600</v>
      </c>
      <c r="CI189" s="13">
        <f t="shared" si="1462"/>
        <v>600</v>
      </c>
      <c r="CJ189" s="13">
        <v>0</v>
      </c>
      <c r="CK189" s="13">
        <f t="shared" ref="CK189" si="1463">$O$2/($O$3-$O$4*CK188)</f>
        <v>0.11511132164850782</v>
      </c>
      <c r="CL189" s="13">
        <f t="shared" ref="CL189" si="1464">$O$2/($O$3-$O$4*CL188)</f>
        <v>0.11511132164850782</v>
      </c>
      <c r="CM189" s="13">
        <f t="shared" ref="CM189" si="1465">$O$2/($O$3-$O$4*CM188)</f>
        <v>0.11665710012935292</v>
      </c>
      <c r="CN189" s="13">
        <f t="shared" ref="CN189" si="1466">$O$2/($O$3-$O$4*CN188)</f>
        <v>0.11665710012935292</v>
      </c>
      <c r="CO189" s="13">
        <f t="shared" ref="CO189" si="1467">$O$2/($O$3-$O$4*CO188)</f>
        <v>0.1166781402357549</v>
      </c>
      <c r="CP189" s="13">
        <f t="shared" ref="CP189" si="1468">$O$2/($O$3-$O$4*CP188)</f>
        <v>0.11667842667201472</v>
      </c>
      <c r="CQ189" s="13">
        <f t="shared" ref="CQ189" si="1469">$O$2/($O$3-$O$4*CQ188)</f>
        <v>0.11667843057151663</v>
      </c>
      <c r="CR189" s="13">
        <f t="shared" ref="CR189" si="1470">$O$2/($O$3-$O$4*CR188)</f>
        <v>0.11667843062532661</v>
      </c>
      <c r="CS189" s="13">
        <f t="shared" ref="CS189" si="1471">$O$2/($O$3-$O$4*CS188)</f>
        <v>0.11667843062533659</v>
      </c>
      <c r="CT189" s="13">
        <f t="shared" ref="CT189" si="1472">$O$2/($O$3-$O$4*CT188)</f>
        <v>0.11667843062533659</v>
      </c>
      <c r="CU189" s="13">
        <f t="shared" si="1090"/>
        <v>0.11667843062533659</v>
      </c>
      <c r="CV189" s="13">
        <f t="shared" si="1091"/>
        <v>0.11667843062533659</v>
      </c>
      <c r="CW189" s="13">
        <f t="shared" si="1092"/>
        <v>0.11667843062533659</v>
      </c>
      <c r="CX189" s="13">
        <f t="shared" ref="CX189" si="1473">$O$2/($O$3-$O$4*CX188)</f>
        <v>0.11667843062533659</v>
      </c>
      <c r="CY189" s="13">
        <f t="shared" ref="CY189" si="1474">$O$2/($O$3-$O$4*CY188)</f>
        <v>0.11667843062533659</v>
      </c>
      <c r="CZ189" s="13">
        <f t="shared" ref="CZ189" si="1475">$O$2/($O$3-$O$4*CZ188)</f>
        <v>0.11667843062532661</v>
      </c>
      <c r="DA189" s="13">
        <f t="shared" ref="DA189" si="1476">$O$2/($O$3-$O$4*DA188)</f>
        <v>0.11667843057151663</v>
      </c>
      <c r="DB189" s="13">
        <f t="shared" ref="DB189" si="1477">$O$2/($O$3-$O$4*DB188)</f>
        <v>0.11667842667201472</v>
      </c>
      <c r="DC189" s="13">
        <f t="shared" ref="DC189" si="1478">$O$2/($O$3-$O$4*DC188)</f>
        <v>0.1166781402357549</v>
      </c>
      <c r="DD189" s="13">
        <f t="shared" ref="DD189" si="1479">$O$2/($O$3-$O$4*DD188)</f>
        <v>0.11665710012935292</v>
      </c>
      <c r="DE189" s="13">
        <f t="shared" ref="DE189" si="1480">$O$2/($O$3-$O$4*DE188)</f>
        <v>0.11665710012935292</v>
      </c>
      <c r="DF189" s="13">
        <f t="shared" ref="DF189" si="1481">$O$2/($O$3-$O$4*DF188)</f>
        <v>0.11511132164850782</v>
      </c>
      <c r="DG189" s="13">
        <f t="shared" ref="DG189:DG190" si="1482">$O$2/($O$3-$O$4*DG188)</f>
        <v>0.11511132164850782</v>
      </c>
      <c r="DH189" s="13">
        <v>0</v>
      </c>
      <c r="DI189" s="13">
        <f t="shared" ref="DI189:DK190" si="1483">$R$3</f>
        <v>650</v>
      </c>
      <c r="DJ189" s="13">
        <f t="shared" si="1483"/>
        <v>650</v>
      </c>
      <c r="DK189" s="13">
        <f t="shared" si="1483"/>
        <v>650</v>
      </c>
      <c r="DL189" s="25">
        <v>4</v>
      </c>
      <c r="DM189" s="26">
        <f t="shared" si="1112"/>
        <v>2.7777777777777776E-2</v>
      </c>
      <c r="DQ189" s="84"/>
      <c r="DR189" s="85"/>
      <c r="DS189" s="25">
        <v>4</v>
      </c>
      <c r="DT189" s="26">
        <f t="shared" si="1113"/>
        <v>2.7777777777777776E-2</v>
      </c>
      <c r="DU189" s="13">
        <f t="shared" ref="DU189:DW190" si="1484">$R$2</f>
        <v>600</v>
      </c>
      <c r="DV189" s="13">
        <f t="shared" si="1484"/>
        <v>600</v>
      </c>
      <c r="DW189" s="13">
        <f t="shared" si="1484"/>
        <v>600</v>
      </c>
      <c r="DX189" s="13">
        <f t="shared" si="1400"/>
        <v>535.58273437955086</v>
      </c>
      <c r="DY189" s="13">
        <f t="shared" ref="DY189" si="1485">(DY188*$O$4-AX189)/($O$3-$O$4*CK188)</f>
        <v>470.23577199714015</v>
      </c>
      <c r="DZ189" s="13">
        <f t="shared" ref="DZ189" si="1486">(DZ188*$O$4-AY189)/($O$3-$O$4*CL188)</f>
        <v>467.5468063977674</v>
      </c>
      <c r="EA189" s="13">
        <f t="shared" ref="EA189" si="1487">(EA188*$O$4-AZ189)/($O$3-$O$4*CM188)</f>
        <v>464.35596870037591</v>
      </c>
      <c r="EB189" s="13">
        <f t="shared" ref="EB189" si="1488">(EB188*$O$4-BA189)/($O$3-$O$4*CN188)</f>
        <v>462.29523126160115</v>
      </c>
      <c r="EC189" s="13">
        <f t="shared" ref="EC189" si="1489">(EC188*$O$4-BB189)/($O$3-$O$4*CO188)</f>
        <v>460.57281544894204</v>
      </c>
      <c r="ED189" s="13">
        <f t="shared" ref="ED189" si="1490">(ED188*$O$4-BC189)/($O$3-$O$4*CP188)</f>
        <v>459.17899967924325</v>
      </c>
      <c r="EE189" s="13">
        <f t="shared" ref="EE189" si="1491">(EE188*$O$4-BD189)/($O$3-$O$4*CQ188)</f>
        <v>458.06637523730666</v>
      </c>
      <c r="EF189" s="13">
        <f t="shared" ref="EF189" si="1492">(EF188*$O$4-BE189)/($O$3-$O$4*CR188)</f>
        <v>457.23827125601287</v>
      </c>
      <c r="EG189" s="13">
        <f t="shared" ref="EG189" si="1493">(EG188*$O$4-BF189)/($O$3-$O$4*CS188)</f>
        <v>456.69359223486384</v>
      </c>
      <c r="EH189" s="13">
        <f t="shared" ref="EH189" si="1494">(EH188*$O$4-BG189)/($O$3-$O$4*CT188)</f>
        <v>456.43302184947333</v>
      </c>
      <c r="EI189" s="13">
        <f t="shared" si="1125"/>
        <v>456.45770012313432</v>
      </c>
      <c r="EJ189" s="13">
        <f t="shared" si="1126"/>
        <v>456.76885169883218</v>
      </c>
      <c r="EK189" s="13">
        <f t="shared" si="1127"/>
        <v>457.36741051081088</v>
      </c>
      <c r="EL189" s="13">
        <f t="shared" ref="EL189" si="1495">(EL188*$O$4-BK189)/($O$3-$O$4*CX188)</f>
        <v>458.25382246908822</v>
      </c>
      <c r="EM189" s="13">
        <f t="shared" ref="EM189" si="1496">(EM188*$O$4-BL189)/($O$3-$O$4*CY188)</f>
        <v>459.42800453281876</v>
      </c>
      <c r="EN189" s="13">
        <f t="shared" ref="EN189" si="1497">(EN188*$O$4-BM189)/($O$3-$O$4*CZ188)</f>
        <v>460.88944480041334</v>
      </c>
      <c r="EO189" s="13">
        <f t="shared" ref="EO189" si="1498">(EO188*$O$4-BN189)/($O$3-$O$4*DA188)</f>
        <v>462.6372622239486</v>
      </c>
      <c r="EP189" s="13">
        <f t="shared" ref="EP189" si="1499">(EP188*$O$4-BO189)/($O$3-$O$4*DB188)</f>
        <v>464.67099887539047</v>
      </c>
      <c r="EQ189" s="13">
        <f t="shared" ref="EQ189" si="1500">(EQ188*$O$4-BP189)/($O$3-$O$4*DC188)</f>
        <v>466.98609683677643</v>
      </c>
      <c r="ER189" s="13">
        <f t="shared" ref="ER189" si="1501">(ER188*$O$4-BQ189)/($O$3-$O$4*DD188)</f>
        <v>469.61676007087272</v>
      </c>
      <c r="ES189" s="13">
        <f t="shared" ref="ES189" si="1502">(ES188*$O$4-BR189)/($O$3-$O$4*DE188)</f>
        <v>472.5437011685035</v>
      </c>
      <c r="ET189" s="13">
        <f t="shared" ref="ET189" si="1503">(ET188*$O$4-BS189)/($O$3-$O$4*DF188)</f>
        <v>476.61419971111661</v>
      </c>
      <c r="EU189" s="13">
        <f t="shared" ref="EU189" si="1504">(EU188*$O$4-BT189)/($O$3-$O$4*DG188)</f>
        <v>480.04473763236496</v>
      </c>
      <c r="EV189" s="13">
        <f t="shared" si="1422"/>
        <v>548.21169595735728</v>
      </c>
      <c r="EW189" s="13">
        <f t="shared" ref="EW189:EY190" si="1505">$R$3</f>
        <v>650</v>
      </c>
      <c r="EX189" s="13">
        <f t="shared" si="1505"/>
        <v>650</v>
      </c>
      <c r="EY189" s="13">
        <f t="shared" si="1505"/>
        <v>650</v>
      </c>
      <c r="EZ189" s="25">
        <v>4</v>
      </c>
      <c r="FA189" s="26">
        <f t="shared" si="1114"/>
        <v>2.7777777777777776E-2</v>
      </c>
    </row>
    <row r="190" spans="3:157" ht="15" customHeight="1" x14ac:dyDescent="0.25">
      <c r="C190" s="84"/>
      <c r="D190" s="85"/>
      <c r="E190" s="25">
        <v>3</v>
      </c>
      <c r="F190" s="26">
        <f t="shared" si="1107"/>
        <v>1.8518518518518517E-2</v>
      </c>
      <c r="G190" s="13">
        <f t="shared" si="1423"/>
        <v>600</v>
      </c>
      <c r="H190" s="13">
        <f t="shared" si="1423"/>
        <v>600</v>
      </c>
      <c r="I190" s="13">
        <f t="shared" si="1423"/>
        <v>600</v>
      </c>
      <c r="J190" s="13">
        <f t="shared" ref="J190" si="1506">CJ190*J191+DX190</f>
        <v>532.11785356250743</v>
      </c>
      <c r="K190" s="13">
        <f t="shared" ref="K190" si="1507">CK190*K191+DY190</f>
        <v>528.47239206457004</v>
      </c>
      <c r="L190" s="13">
        <f t="shared" ref="L190" si="1508">CL190*L191+DZ190</f>
        <v>525.29566155009036</v>
      </c>
      <c r="M190" s="13">
        <f t="shared" ref="M190" si="1509">CM190*M191+EA190</f>
        <v>522.4607219204986</v>
      </c>
      <c r="N190" s="13">
        <f t="shared" ref="N190" si="1510">CN190*N191+EB190</f>
        <v>519.96963040577327</v>
      </c>
      <c r="O190" s="13">
        <f t="shared" ref="O190" si="1511">CO190*O191+EC190</f>
        <v>517.8306602425032</v>
      </c>
      <c r="P190" s="13">
        <f t="shared" ref="P190" si="1512">CP190*P191+ED190</f>
        <v>516.04116076968239</v>
      </c>
      <c r="Q190" s="13">
        <f t="shared" ref="Q190" si="1513">CQ190*Q191+EE190</f>
        <v>514.59633143514679</v>
      </c>
      <c r="R190" s="13">
        <f t="shared" ref="R190" si="1514">CR190*R191+EF190</f>
        <v>513.49692150637406</v>
      </c>
      <c r="S190" s="13">
        <f t="shared" si="1130"/>
        <v>512.74333512190435</v>
      </c>
      <c r="T190" s="13">
        <f t="shared" si="1130"/>
        <v>512.3362608408554</v>
      </c>
      <c r="U190" s="13">
        <f t="shared" si="1071"/>
        <v>512.27634668043481</v>
      </c>
      <c r="V190" s="13">
        <f t="shared" si="1072"/>
        <v>512.56400900618985</v>
      </c>
      <c r="W190" s="13">
        <f t="shared" si="1073"/>
        <v>513.19926237814855</v>
      </c>
      <c r="X190" s="13">
        <f t="shared" ref="X190" si="1515">CX190*X191+EL190</f>
        <v>514.18160077789253</v>
      </c>
      <c r="Y190" s="13">
        <f t="shared" ref="Y190" si="1516">CY190*Y191+EM190</f>
        <v>515.50993015849292</v>
      </c>
      <c r="Z190" s="13">
        <f t="shared" ref="Z190" si="1517">CZ190*Z191+EN190</f>
        <v>517.18254799206045</v>
      </c>
      <c r="AA190" s="13">
        <f t="shared" ref="AA190" si="1518">DA190*AA191+EO190</f>
        <v>519.1971416067197</v>
      </c>
      <c r="AB190" s="13">
        <f t="shared" ref="AB190" si="1519">DB190*AB191+EP190</f>
        <v>521.55090040060293</v>
      </c>
      <c r="AC190" s="13">
        <f t="shared" ref="AC190" si="1520">DC190*AC191+EQ190</f>
        <v>524.23996091047013</v>
      </c>
      <c r="AD190" s="13">
        <f t="shared" ref="AD190" si="1521">DD190*AD191+ER190</f>
        <v>527.26356017291187</v>
      </c>
      <c r="AE190" s="13">
        <f t="shared" ref="AE190" si="1522">DE190*AE191+ES190</f>
        <v>530.61653586985562</v>
      </c>
      <c r="AF190" s="13">
        <f t="shared" ref="AF190" si="1523">DF190*AF191+ET190</f>
        <v>534.29243659475878</v>
      </c>
      <c r="AG190" s="13">
        <f t="shared" ref="AG190" si="1524">DG190*AG191+EU190</f>
        <v>538.26918157374666</v>
      </c>
      <c r="AH190" s="13">
        <f t="shared" ref="AH190" si="1525">DH190*AH191+EV190</f>
        <v>542.79046353044407</v>
      </c>
      <c r="AI190" s="13">
        <f t="shared" si="1444"/>
        <v>650</v>
      </c>
      <c r="AJ190" s="13">
        <f t="shared" si="1444"/>
        <v>650</v>
      </c>
      <c r="AK190" s="13">
        <f t="shared" si="1444"/>
        <v>650</v>
      </c>
      <c r="AL190" s="25">
        <v>3</v>
      </c>
      <c r="AM190" s="26">
        <f t="shared" si="1108"/>
        <v>1.8518518518518517E-2</v>
      </c>
      <c r="AP190" s="87"/>
      <c r="AQ190" s="86"/>
      <c r="AR190" s="25">
        <v>3</v>
      </c>
      <c r="AS190" s="26">
        <f t="shared" si="1109"/>
        <v>1.8518518518518517E-2</v>
      </c>
      <c r="AT190" s="13">
        <f t="shared" si="1445"/>
        <v>600</v>
      </c>
      <c r="AU190" s="13">
        <f t="shared" si="1445"/>
        <v>600</v>
      </c>
      <c r="AV190" s="13">
        <f t="shared" si="1445"/>
        <v>600</v>
      </c>
      <c r="AW190" s="13">
        <f t="shared" ref="AW190:AW191" si="1526">-($F$3*$F$2)/$B$8*J126</f>
        <v>-1908272059.7047746</v>
      </c>
      <c r="AX190" s="13">
        <f t="shared" ref="AX190:AX191" si="1527">-($F$3*$F$2)/$B$8*K126</f>
        <v>-1895534187.779947</v>
      </c>
      <c r="AY190" s="13">
        <f t="shared" ref="AY190:AY191" si="1528">-($F$3*$F$2)/$B$8*L126</f>
        <v>-1884042288.5882411</v>
      </c>
      <c r="AZ190" s="13">
        <f t="shared" ref="AZ190:AZ191" si="1529">-($F$3*$F$2)/$B$8*M126</f>
        <v>-1873798668.2239316</v>
      </c>
      <c r="BA190" s="13">
        <f t="shared" ref="BA190:BA191" si="1530">-($F$3*$F$2)/$B$8*N126</f>
        <v>-1864796409.066294</v>
      </c>
      <c r="BB190" s="13">
        <f t="shared" ref="BB190:BB191" si="1531">-($F$3*$F$2)/$B$8*O126</f>
        <v>-1857049405.7072031</v>
      </c>
      <c r="BC190" s="13">
        <f t="shared" ref="BC190:BC191" si="1532">-($F$3*$F$2)/$B$8*P126</f>
        <v>-1850557750.4164894</v>
      </c>
      <c r="BD190" s="13">
        <f t="shared" ref="BD190:BD191" si="1533">-($F$3*$F$2)/$B$8*Q126</f>
        <v>-1845316156.6152134</v>
      </c>
      <c r="BE190" s="13">
        <f t="shared" ref="BE190:BE191" si="1534">-($F$3*$F$2)/$B$8*R126</f>
        <v>-1841323774.9987078</v>
      </c>
      <c r="BF190" s="13">
        <f t="shared" ref="BF190:BF191" si="1535">-($F$3*$F$2)/$B$8*S126</f>
        <v>-1838581321.8675361</v>
      </c>
      <c r="BG190" s="13">
        <f t="shared" ref="BG190:BG191" si="1536">-($F$3*$F$2)/$B$8*T126</f>
        <v>-1837090371.2172053</v>
      </c>
      <c r="BH190" s="13">
        <f t="shared" ref="BH190:BH191" si="1537">-($F$3*$F$2)/$B$8*U126</f>
        <v>-1836852507.8449705</v>
      </c>
      <c r="BI190" s="13">
        <f t="shared" ref="BI190:BI191" si="1538">-($F$3*$F$2)/$B$8*V126</f>
        <v>-1837868622.1648679</v>
      </c>
      <c r="BJ190" s="13">
        <f t="shared" ref="BJ190:BJ191" si="1539">-($F$3*$F$2)/$B$8*W126</f>
        <v>-1840138332.4585049</v>
      </c>
      <c r="BK190" s="13">
        <f t="shared" ref="BK190:BK191" si="1540">-($F$3*$F$2)/$B$8*X126</f>
        <v>-1843659565.0613651</v>
      </c>
      <c r="BL190" s="13">
        <f t="shared" ref="BL190:BL191" si="1541">-($F$3*$F$2)/$B$8*Y126</f>
        <v>-1848428298.9557714</v>
      </c>
      <c r="BM190" s="13">
        <f t="shared" ref="BM190:BM191" si="1542">-($F$3*$F$2)/$B$8*Z126</f>
        <v>-1854438462.9834483</v>
      </c>
      <c r="BN190" s="13">
        <f t="shared" ref="BN190:BN191" si="1543">-($F$3*$F$2)/$B$8*AA126</f>
        <v>-1861681958.9573195</v>
      </c>
      <c r="BO190" s="13">
        <f t="shared" ref="BO190:BO191" si="1544">-($F$3*$F$2)/$B$8*AB126</f>
        <v>-1870148834.2935457</v>
      </c>
      <c r="BP190" s="13">
        <f t="shared" ref="BP190:BP191" si="1545">-($F$3*$F$2)/$B$8*AC126</f>
        <v>-1879827401.835443</v>
      </c>
      <c r="BQ190" s="13">
        <f t="shared" ref="BQ190:BQ191" si="1546">-($F$3*$F$2)/$B$8*AD126</f>
        <v>-1890705849.3687468</v>
      </c>
      <c r="BR190" s="13">
        <f t="shared" ref="BR190:BR191" si="1547">-($F$3*$F$2)/$B$8*AE126</f>
        <v>-1902764887.7364054</v>
      </c>
      <c r="BS190" s="13">
        <f t="shared" ref="BS190:BS191" si="1548">-($F$3*$F$2)/$B$8*AF126</f>
        <v>-1915976931.6335599</v>
      </c>
      <c r="BT190" s="13">
        <f t="shared" ref="BT190:BT191" si="1549">-($F$3*$F$2)/$B$8*AG126</f>
        <v>-1930325238.8308799</v>
      </c>
      <c r="BU190" s="13">
        <f t="shared" ref="BU190:BU191" si="1550">-($F$3*$F$2)/$B$8*AH126</f>
        <v>-1945811597.8541281</v>
      </c>
      <c r="BV190" s="13">
        <f t="shared" si="1461"/>
        <v>650</v>
      </c>
      <c r="BW190" s="13">
        <f t="shared" si="1461"/>
        <v>650</v>
      </c>
      <c r="BX190" s="13">
        <f t="shared" si="1461"/>
        <v>650</v>
      </c>
      <c r="BY190" s="25">
        <v>3</v>
      </c>
      <c r="BZ190" s="26">
        <f t="shared" si="1110"/>
        <v>1.8518518518518517E-2</v>
      </c>
      <c r="CC190" s="84"/>
      <c r="CD190" s="85"/>
      <c r="CE190" s="25">
        <v>3</v>
      </c>
      <c r="CF190" s="26">
        <f t="shared" si="1111"/>
        <v>1.8518518518518517E-2</v>
      </c>
      <c r="CG190" s="13">
        <f t="shared" si="1462"/>
        <v>600</v>
      </c>
      <c r="CH190" s="13">
        <f t="shared" si="1462"/>
        <v>600</v>
      </c>
      <c r="CI190" s="13">
        <f t="shared" si="1462"/>
        <v>600</v>
      </c>
      <c r="CJ190" s="13">
        <f t="shared" ref="CJ190" si="1551">$O$2/($O$3-$O$4*CJ189)</f>
        <v>0.11511132164850782</v>
      </c>
      <c r="CK190" s="13">
        <f t="shared" ref="CK190" si="1552">$O$2/($O$3-$O$4*CK189)</f>
        <v>0.11665710012935292</v>
      </c>
      <c r="CL190" s="13">
        <f t="shared" ref="CL190" si="1553">$O$2/($O$3-$O$4*CL189)</f>
        <v>0.11665710012935292</v>
      </c>
      <c r="CM190" s="13">
        <f t="shared" ref="CM190" si="1554">$O$2/($O$3-$O$4*CM189)</f>
        <v>0.1166781402357549</v>
      </c>
      <c r="CN190" s="13">
        <f t="shared" ref="CN190" si="1555">$O$2/($O$3-$O$4*CN189)</f>
        <v>0.1166781402357549</v>
      </c>
      <c r="CO190" s="13">
        <f t="shared" ref="CO190" si="1556">$O$2/($O$3-$O$4*CO189)</f>
        <v>0.11667842667201472</v>
      </c>
      <c r="CP190" s="13">
        <f t="shared" ref="CP190" si="1557">$O$2/($O$3-$O$4*CP189)</f>
        <v>0.11667843057151663</v>
      </c>
      <c r="CQ190" s="13">
        <f t="shared" ref="CQ190" si="1558">$O$2/($O$3-$O$4*CQ189)</f>
        <v>0.1166784306246039</v>
      </c>
      <c r="CR190" s="13">
        <f t="shared" ref="CR190" si="1559">$O$2/($O$3-$O$4*CR189)</f>
        <v>0.11667843062533644</v>
      </c>
      <c r="CS190" s="13">
        <f t="shared" ref="CS190" si="1560">$O$2/($O$3-$O$4*CS189)</f>
        <v>0.11667843062533659</v>
      </c>
      <c r="CT190" s="13">
        <f t="shared" ref="CT190" si="1561">$O$2/($O$3-$O$4*CT189)</f>
        <v>0.11667843062533659</v>
      </c>
      <c r="CU190" s="13">
        <f t="shared" si="1090"/>
        <v>0.11667843062533659</v>
      </c>
      <c r="CV190" s="13">
        <f t="shared" si="1091"/>
        <v>0.11667843062533659</v>
      </c>
      <c r="CW190" s="13">
        <f t="shared" si="1092"/>
        <v>0.11667843062533659</v>
      </c>
      <c r="CX190" s="13">
        <f t="shared" ref="CX190" si="1562">$O$2/($O$3-$O$4*CX189)</f>
        <v>0.11667843062533659</v>
      </c>
      <c r="CY190" s="13">
        <f t="shared" ref="CY190" si="1563">$O$2/($O$3-$O$4*CY189)</f>
        <v>0.11667843062533659</v>
      </c>
      <c r="CZ190" s="13">
        <f t="shared" ref="CZ190" si="1564">$O$2/($O$3-$O$4*CZ189)</f>
        <v>0.11667843062533644</v>
      </c>
      <c r="DA190" s="13">
        <f t="shared" ref="DA190" si="1565">$O$2/($O$3-$O$4*DA189)</f>
        <v>0.1166784306246039</v>
      </c>
      <c r="DB190" s="13">
        <f t="shared" ref="DB190" si="1566">$O$2/($O$3-$O$4*DB189)</f>
        <v>0.11667843057151663</v>
      </c>
      <c r="DC190" s="13">
        <f t="shared" ref="DC190" si="1567">$O$2/($O$3-$O$4*DC189)</f>
        <v>0.11667842667201472</v>
      </c>
      <c r="DD190" s="13">
        <f t="shared" ref="DD190" si="1568">$O$2/($O$3-$O$4*DD189)</f>
        <v>0.1166781402357549</v>
      </c>
      <c r="DE190" s="13">
        <f t="shared" ref="DE190" si="1569">$O$2/($O$3-$O$4*DE189)</f>
        <v>0.1166781402357549</v>
      </c>
      <c r="DF190" s="13">
        <f t="shared" ref="DF190" si="1570">$O$2/($O$3-$O$4*DF189)</f>
        <v>0.11665710012935292</v>
      </c>
      <c r="DG190" s="13">
        <f t="shared" si="1482"/>
        <v>0.11665710012935292</v>
      </c>
      <c r="DH190" s="13">
        <f t="shared" ref="DH190" si="1571">$O$2/($O$3-$O$4*DH189)</f>
        <v>0.11511132164850782</v>
      </c>
      <c r="DI190" s="13">
        <f t="shared" si="1483"/>
        <v>650</v>
      </c>
      <c r="DJ190" s="13">
        <f t="shared" si="1483"/>
        <v>650</v>
      </c>
      <c r="DK190" s="13">
        <f t="shared" si="1483"/>
        <v>650</v>
      </c>
      <c r="DL190" s="25">
        <v>3</v>
      </c>
      <c r="DM190" s="26">
        <f t="shared" si="1112"/>
        <v>1.8518518518518517E-2</v>
      </c>
      <c r="DQ190" s="84"/>
      <c r="DR190" s="85"/>
      <c r="DS190" s="25">
        <v>3</v>
      </c>
      <c r="DT190" s="26">
        <f t="shared" si="1113"/>
        <v>1.8518518518518517E-2</v>
      </c>
      <c r="DU190" s="13">
        <f t="shared" si="1484"/>
        <v>600</v>
      </c>
      <c r="DV190" s="13">
        <f t="shared" si="1484"/>
        <v>600</v>
      </c>
      <c r="DW190" s="13">
        <f t="shared" si="1484"/>
        <v>600</v>
      </c>
      <c r="DX190" s="13">
        <f t="shared" ref="DX190:DX191" si="1572">(DX189*$O$4-AW190)/($O$3-$O$4*CJ189)</f>
        <v>471.05649203355875</v>
      </c>
      <c r="DY190" s="13">
        <f t="shared" ref="DY190:DY191" si="1573">(DY189*$O$4-AX190)/($O$3-$O$4*CK189)</f>
        <v>466.9894033979852</v>
      </c>
      <c r="DZ190" s="13">
        <f t="shared" ref="DZ190:DZ191" si="1574">(DZ189*$O$4-AY190)/($O$3-$O$4*CL189)</f>
        <v>464.17711125715789</v>
      </c>
      <c r="EA190" s="13">
        <f t="shared" ref="EA190:EA191" si="1575">(EA189*$O$4-AZ190)/($O$3-$O$4*CM189)</f>
        <v>461.66092640334278</v>
      </c>
      <c r="EB190" s="13">
        <f t="shared" ref="EB190:EB191" si="1576">(EB189*$O$4-BA190)/($O$3-$O$4*CN189)</f>
        <v>459.46283060543163</v>
      </c>
      <c r="EC190" s="13">
        <f t="shared" ref="EC190:EC191" si="1577">(EC189*$O$4-BB190)/($O$3-$O$4*CO189)</f>
        <v>457.57830378921636</v>
      </c>
      <c r="ED190" s="13">
        <f t="shared" ref="ED190:ED191" si="1578">(ED189*$O$4-BC190)/($O$3-$O$4*CP189)</f>
        <v>456.00399646221069</v>
      </c>
      <c r="EE190" s="13">
        <f t="shared" ref="EE190:EE191" si="1579">(EE189*$O$4-BD190)/($O$3-$O$4*CQ189)</f>
        <v>454.73432504699673</v>
      </c>
      <c r="EF190" s="13">
        <f t="shared" ref="EF190:EF191" si="1580">(EF189*$O$4-BE190)/($O$3-$O$4*CR189)</f>
        <v>453.76950817059912</v>
      </c>
      <c r="EG190" s="13">
        <f t="shared" ref="EG190:EG191" si="1581">(EG189*$O$4-BF190)/($O$3-$O$4*CS189)</f>
        <v>453.10957398233347</v>
      </c>
      <c r="EH190" s="13">
        <f t="shared" ref="EH190:EH191" si="1582">(EH189*$O$4-BG190)/($O$3-$O$4*CT189)</f>
        <v>452.754944540927</v>
      </c>
      <c r="EI190" s="13">
        <f t="shared" ref="EI190:EI191" si="1583">(EI189*$O$4-BH190)/($O$3-$O$4*CU189)</f>
        <v>452.70609749716436</v>
      </c>
      <c r="EJ190" s="13">
        <f t="shared" ref="EJ190:EJ191" si="1584">(EJ189*$O$4-BI190)/($O$3-$O$4*CV189)</f>
        <v>452.963369372513</v>
      </c>
      <c r="EK190" s="13">
        <f t="shared" ref="EK190:EK191" si="1585">(EK189*$O$4-BJ190)/($O$3-$O$4*CW189)</f>
        <v>453.52678612735446</v>
      </c>
      <c r="EL190" s="13">
        <f t="shared" ref="EL190:EL191" si="1586">(EL189*$O$4-BK190)/($O$3-$O$4*CX189)</f>
        <v>454.39594884460706</v>
      </c>
      <c r="EM190" s="13">
        <f t="shared" ref="EM190:EM191" si="1587">(EM189*$O$4-BL190)/($O$3-$O$4*CY189)</f>
        <v>455.5699734129073</v>
      </c>
      <c r="EN190" s="13">
        <f t="shared" ref="EN190:EN191" si="1588">(EN189*$O$4-BM190)/($O$3-$O$4*CZ189)</f>
        <v>457.04747985250992</v>
      </c>
      <c r="EO190" s="13">
        <f t="shared" ref="EO190:EO191" si="1589">(EO189*$O$4-BN190)/($O$3-$O$4*DA189)</f>
        <v>458.82660430575243</v>
      </c>
      <c r="EP190" s="13">
        <f t="shared" ref="EP190:EP191" si="1590">(EP189*$O$4-BO190)/($O$3-$O$4*DB189)</f>
        <v>460.90512882030339</v>
      </c>
      <c r="EQ190" s="13">
        <f t="shared" ref="EQ190:EQ191" si="1591">(EQ189*$O$4-BP190)/($O$3-$O$4*DC189)</f>
        <v>463.27996499431902</v>
      </c>
      <c r="ER190" s="13">
        <f t="shared" ref="ER190:ER191" si="1592">(ER189*$O$4-BQ190)/($O$3-$O$4*DD189)</f>
        <v>465.95142176568248</v>
      </c>
      <c r="ES190" s="13">
        <f t="shared" ref="ES190:ES191" si="1593">(ES189*$O$4-BR190)/($O$3-$O$4*DE189)</f>
        <v>468.91531910632574</v>
      </c>
      <c r="ET190" s="13">
        <f t="shared" ref="ET190:ET191" si="1594">(ET189*$O$4-BS190)/($O$3-$O$4*DF189)</f>
        <v>472.17821855750083</v>
      </c>
      <c r="EU190" s="13">
        <f t="shared" ref="EU190:EU191" si="1595">(EU189*$O$4-BT190)/($O$3-$O$4*DG189)</f>
        <v>475.6980696732607</v>
      </c>
      <c r="EV190" s="13">
        <f t="shared" ref="EV190:EV191" si="1596">(EV189*$O$4-BU190)/($O$3-$O$4*DH189)</f>
        <v>480.5640429980881</v>
      </c>
      <c r="EW190" s="13">
        <f t="shared" si="1505"/>
        <v>650</v>
      </c>
      <c r="EX190" s="13">
        <f t="shared" si="1505"/>
        <v>650</v>
      </c>
      <c r="EY190" s="13">
        <f t="shared" si="1505"/>
        <v>650</v>
      </c>
      <c r="EZ190" s="25">
        <v>3</v>
      </c>
      <c r="FA190" s="26">
        <f t="shared" si="1114"/>
        <v>1.8518518518518517E-2</v>
      </c>
    </row>
    <row r="191" spans="3:157" ht="15" customHeight="1" x14ac:dyDescent="0.25">
      <c r="C191" s="84"/>
      <c r="D191" s="85"/>
      <c r="E191" s="25">
        <v>2</v>
      </c>
      <c r="F191" s="26">
        <f t="shared" si="1107"/>
        <v>9.2592592592592587E-3</v>
      </c>
      <c r="G191" s="13">
        <f>$R$2</f>
        <v>600</v>
      </c>
      <c r="H191" s="13">
        <f>$R$2</f>
        <v>600</v>
      </c>
      <c r="I191" s="13">
        <f t="shared" ref="I191" si="1597">($F$5*$B$5*I63+$F$4*I128)/($F$4+$F$5*$B$5)</f>
        <v>537.4262343461744</v>
      </c>
      <c r="J191" s="13">
        <f t="shared" ref="J191" si="1598">CJ191*J192+DX191</f>
        <v>530.45487320004406</v>
      </c>
      <c r="K191" s="13">
        <f t="shared" ref="K191" si="1599">CK191*K192+DY191</f>
        <v>527.04026243075373</v>
      </c>
      <c r="L191" s="13">
        <f t="shared" ref="L191" si="1600">CL191*L192+DZ191</f>
        <v>523.91624877664867</v>
      </c>
      <c r="M191" s="13">
        <f t="shared" ref="M191" si="1601">CM191*M192+EA191</f>
        <v>521.08985791431314</v>
      </c>
      <c r="N191" s="13">
        <f t="shared" ref="N191" si="1602">CN191*N192+EB191</f>
        <v>518.57871301414434</v>
      </c>
      <c r="O191" s="13">
        <f t="shared" ref="O191" si="1603">CO191*O192+EC191</f>
        <v>516.39671678687705</v>
      </c>
      <c r="P191" s="13">
        <f t="shared" ref="P191" si="1604">CP191*P192+ED191</f>
        <v>514.55238139042933</v>
      </c>
      <c r="Q191" s="13">
        <f t="shared" ref="Q191" si="1605">CQ191*Q192+EE191</f>
        <v>513.05117893424074</v>
      </c>
      <c r="R191" s="13">
        <f t="shared" ref="R191" si="1606">CR191*R192+EF191</f>
        <v>511.89764051219009</v>
      </c>
      <c r="S191" s="13">
        <f t="shared" ref="S191" si="1607">CS191*S192+EG191</f>
        <v>511.09498833644284</v>
      </c>
      <c r="T191" s="13">
        <f t="shared" ref="T191" si="1608">CT191*T192+EH191</f>
        <v>510.64550646253184</v>
      </c>
      <c r="U191" s="13">
        <f t="shared" si="1071"/>
        <v>510.55065502684965</v>
      </c>
      <c r="V191" s="13">
        <f t="shared" si="1072"/>
        <v>510.81111833822217</v>
      </c>
      <c r="W191" s="13">
        <f t="shared" si="1073"/>
        <v>511.42679868918572</v>
      </c>
      <c r="X191" s="13">
        <f t="shared" ref="X191" si="1609">CX191*X192+EL191</f>
        <v>512.39677816083906</v>
      </c>
      <c r="Y191" s="13">
        <f t="shared" ref="Y191" si="1610">CY191*Y192+EM191</f>
        <v>513.71925748690762</v>
      </c>
      <c r="Z191" s="13">
        <f t="shared" ref="Z191" si="1611">CZ191*Z192+EN191</f>
        <v>515.39147224776241</v>
      </c>
      <c r="AA191" s="13">
        <f t="shared" ref="AA191" si="1612">DA191*AA192+EO191</f>
        <v>517.40957585554804</v>
      </c>
      <c r="AB191" s="13">
        <f t="shared" ref="AB191" si="1613">DB191*AB192+EP191</f>
        <v>519.76848919927374</v>
      </c>
      <c r="AC191" s="13">
        <f t="shared" ref="AC191" si="1614">DC191*AC192+EQ191</f>
        <v>522.46158655799184</v>
      </c>
      <c r="AD191" s="13">
        <f t="shared" ref="AD191" si="1615">DD191*AD192+ER191</f>
        <v>525.48093656056437</v>
      </c>
      <c r="AE191" s="13">
        <f t="shared" ref="AE191" si="1616">DE191*AE192+ES191</f>
        <v>528.81556595656195</v>
      </c>
      <c r="AF191" s="13">
        <f t="shared" ref="AF191" si="1617">DF191*AF192+ET191</f>
        <v>532.45124358812097</v>
      </c>
      <c r="AG191" s="13">
        <f t="shared" ref="AG191" si="1618">DG191*AG192+EU191</f>
        <v>536.36779785461192</v>
      </c>
      <c r="AH191" s="13">
        <f t="shared" ref="AH191" si="1619">DH191*AH192+EV191</f>
        <v>540.57602363705155</v>
      </c>
      <c r="AI191" s="13">
        <f t="shared" ref="AI191" si="1620">($F$5*$B$5*AI63+$F$4*AI128)/($F$4+$F$5*$B$5)</f>
        <v>550.37705392691748</v>
      </c>
      <c r="AJ191" s="13">
        <f>$R$3</f>
        <v>650</v>
      </c>
      <c r="AK191" s="13">
        <f>$R$3</f>
        <v>650</v>
      </c>
      <c r="AL191" s="25">
        <v>2</v>
      </c>
      <c r="AM191" s="26">
        <f t="shared" si="1108"/>
        <v>9.2592592592592587E-3</v>
      </c>
      <c r="AP191" s="87"/>
      <c r="AQ191" s="86"/>
      <c r="AR191" s="25">
        <v>2</v>
      </c>
      <c r="AS191" s="26">
        <f t="shared" si="1109"/>
        <v>9.2592592592592587E-3</v>
      </c>
      <c r="AT191" s="13">
        <f>$R$2</f>
        <v>600</v>
      </c>
      <c r="AU191" s="13">
        <f>$R$2</f>
        <v>600</v>
      </c>
      <c r="AV191" s="52"/>
      <c r="AW191" s="13">
        <f t="shared" si="1526"/>
        <v>-1902379822.9061606</v>
      </c>
      <c r="AX191" s="13">
        <f t="shared" si="1527"/>
        <v>-1890252061.0392978</v>
      </c>
      <c r="AY191" s="13">
        <f t="shared" si="1528"/>
        <v>-1879071384.9635019</v>
      </c>
      <c r="AZ191" s="13">
        <f t="shared" si="1529"/>
        <v>-1868934881.3392208</v>
      </c>
      <c r="BA191" s="13">
        <f t="shared" si="1530"/>
        <v>-1859914133.9137754</v>
      </c>
      <c r="BB191" s="13">
        <f t="shared" si="1531"/>
        <v>-1852062046.0738592</v>
      </c>
      <c r="BC191" s="13">
        <f t="shared" si="1532"/>
        <v>-1845415148.7855983</v>
      </c>
      <c r="BD191" s="13">
        <f t="shared" si="1533"/>
        <v>-1839998587.7126098</v>
      </c>
      <c r="BE191" s="13">
        <f t="shared" si="1534"/>
        <v>-1835830649.5359945</v>
      </c>
      <c r="BF191" s="13">
        <f t="shared" si="1535"/>
        <v>-1832924407.5734982</v>
      </c>
      <c r="BG191" s="13">
        <f t="shared" si="1536"/>
        <v>-1831288913.070401</v>
      </c>
      <c r="BH191" s="13">
        <f t="shared" si="1537"/>
        <v>-1830929840.7337554</v>
      </c>
      <c r="BI191" s="13">
        <f t="shared" si="1538"/>
        <v>-1831849789.6269872</v>
      </c>
      <c r="BJ191" s="13">
        <f t="shared" si="1539"/>
        <v>-1834048348.9392674</v>
      </c>
      <c r="BK191" s="13">
        <f t="shared" si="1540"/>
        <v>-1837522004.1748462</v>
      </c>
      <c r="BL191" s="13">
        <f t="shared" si="1541"/>
        <v>-1842263921.1851218</v>
      </c>
      <c r="BM191" s="13">
        <f t="shared" si="1542"/>
        <v>-1848263611.480823</v>
      </c>
      <c r="BN191" s="13">
        <f t="shared" si="1543"/>
        <v>-1855506450.4913099</v>
      </c>
      <c r="BO191" s="13">
        <f t="shared" si="1544"/>
        <v>-1863972997.2113881</v>
      </c>
      <c r="BP191" s="13">
        <f t="shared" si="1545"/>
        <v>-1873637996.4814985</v>
      </c>
      <c r="BQ191" s="13">
        <f t="shared" si="1546"/>
        <v>-1884469144.3758414</v>
      </c>
      <c r="BR191" s="13">
        <f t="shared" si="1547"/>
        <v>-1896423951.0509858</v>
      </c>
      <c r="BS191" s="13">
        <f t="shared" si="1548"/>
        <v>-1909447180.9336243</v>
      </c>
      <c r="BT191" s="13">
        <f t="shared" si="1549"/>
        <v>-1923467482.6761477</v>
      </c>
      <c r="BU191" s="13">
        <f t="shared" si="1550"/>
        <v>-1938398628.3715806</v>
      </c>
      <c r="BV191" s="52"/>
      <c r="BW191" s="13">
        <f>$R$3</f>
        <v>650</v>
      </c>
      <c r="BX191" s="13">
        <f>$R$3</f>
        <v>650</v>
      </c>
      <c r="BY191" s="25">
        <v>2</v>
      </c>
      <c r="BZ191" s="26">
        <f t="shared" si="1110"/>
        <v>9.2592592592592587E-3</v>
      </c>
      <c r="CC191" s="84"/>
      <c r="CD191" s="85"/>
      <c r="CE191" s="25">
        <v>2</v>
      </c>
      <c r="CF191" s="26">
        <f t="shared" si="1111"/>
        <v>9.2592592592592587E-3</v>
      </c>
      <c r="CG191" s="13">
        <f>$R$2</f>
        <v>600</v>
      </c>
      <c r="CH191" s="13">
        <f>$R$2</f>
        <v>600</v>
      </c>
      <c r="CI191" s="13">
        <v>0</v>
      </c>
      <c r="CJ191" s="13">
        <f t="shared" ref="CJ191" si="1621">$O$2/($O$3-$O$4*CJ190)</f>
        <v>0.11665710012935292</v>
      </c>
      <c r="CK191" s="13">
        <f t="shared" ref="CK191" si="1622">$O$2/($O$3-$O$4*CK190)</f>
        <v>0.1166781402357549</v>
      </c>
      <c r="CL191" s="13">
        <f t="shared" ref="CL191" si="1623">$O$2/($O$3-$O$4*CL190)</f>
        <v>0.1166781402357549</v>
      </c>
      <c r="CM191" s="13">
        <f t="shared" ref="CM191" si="1624">$O$2/($O$3-$O$4*CM190)</f>
        <v>0.11667842667201472</v>
      </c>
      <c r="CN191" s="13">
        <f t="shared" ref="CN191" si="1625">$O$2/($O$3-$O$4*CN190)</f>
        <v>0.11667842667201472</v>
      </c>
      <c r="CO191" s="13">
        <f t="shared" ref="CO191" si="1626">$O$2/($O$3-$O$4*CO190)</f>
        <v>0.11667843057151663</v>
      </c>
      <c r="CP191" s="13">
        <f t="shared" ref="CP191" si="1627">$O$2/($O$3-$O$4*CP190)</f>
        <v>0.1166784306246039</v>
      </c>
      <c r="CQ191" s="13">
        <f t="shared" ref="CQ191" si="1628">$O$2/($O$3-$O$4*CQ190)</f>
        <v>0.11667843062532661</v>
      </c>
      <c r="CR191" s="13">
        <f t="shared" ref="CR191" si="1629">$O$2/($O$3-$O$4*CR190)</f>
        <v>0.11667843062533659</v>
      </c>
      <c r="CS191" s="13">
        <f t="shared" ref="CS191" si="1630">$O$2/($O$3-$O$4*CS190)</f>
        <v>0.11667843062533659</v>
      </c>
      <c r="CT191" s="13">
        <f t="shared" ref="CT191" si="1631">$O$2/($O$3-$O$4*CT190)</f>
        <v>0.11667843062533659</v>
      </c>
      <c r="CU191" s="13">
        <f t="shared" ref="CU191" si="1632">$O$2/($O$3-$O$4*CU190)</f>
        <v>0.11667843062533659</v>
      </c>
      <c r="CV191" s="13">
        <f t="shared" ref="CV191" si="1633">$O$2/($O$3-$O$4*CV190)</f>
        <v>0.11667843062533659</v>
      </c>
      <c r="CW191" s="13">
        <f t="shared" ref="CW191" si="1634">$O$2/($O$3-$O$4*CW190)</f>
        <v>0.11667843062533659</v>
      </c>
      <c r="CX191" s="13">
        <f t="shared" ref="CX191" si="1635">$O$2/($O$3-$O$4*CX190)</f>
        <v>0.11667843062533659</v>
      </c>
      <c r="CY191" s="13">
        <f t="shared" ref="CY191" si="1636">$O$2/($O$3-$O$4*CY190)</f>
        <v>0.11667843062533659</v>
      </c>
      <c r="CZ191" s="13">
        <f t="shared" ref="CZ191" si="1637">$O$2/($O$3-$O$4*CZ190)</f>
        <v>0.11667843062533659</v>
      </c>
      <c r="DA191" s="13">
        <f t="shared" ref="DA191" si="1638">$O$2/($O$3-$O$4*DA190)</f>
        <v>0.11667843062532661</v>
      </c>
      <c r="DB191" s="13">
        <f t="shared" ref="DB191" si="1639">$O$2/($O$3-$O$4*DB190)</f>
        <v>0.1166784306246039</v>
      </c>
      <c r="DC191" s="13">
        <f t="shared" ref="DC191" si="1640">$O$2/($O$3-$O$4*DC190)</f>
        <v>0.11667843057151663</v>
      </c>
      <c r="DD191" s="13">
        <f t="shared" ref="DD191" si="1641">$O$2/($O$3-$O$4*DD190)</f>
        <v>0.11667842667201472</v>
      </c>
      <c r="DE191" s="13">
        <f t="shared" ref="DE191" si="1642">$O$2/($O$3-$O$4*DE190)</f>
        <v>0.11667842667201472</v>
      </c>
      <c r="DF191" s="13">
        <f t="shared" ref="DF191" si="1643">$O$2/($O$3-$O$4*DF190)</f>
        <v>0.1166781402357549</v>
      </c>
      <c r="DG191" s="13">
        <f t="shared" ref="DG191" si="1644">$O$2/($O$3-$O$4*DG190)</f>
        <v>0.1166781402357549</v>
      </c>
      <c r="DH191" s="13">
        <f t="shared" ref="DH191" si="1645">$O$2/($O$3-$O$4*DH190)</f>
        <v>0.11665710012935292</v>
      </c>
      <c r="DI191" s="13">
        <v>0</v>
      </c>
      <c r="DJ191" s="13">
        <f>$R$3</f>
        <v>650</v>
      </c>
      <c r="DK191" s="13">
        <f>$R$3</f>
        <v>650</v>
      </c>
      <c r="DL191" s="25">
        <v>2</v>
      </c>
      <c r="DM191" s="26">
        <f t="shared" si="1112"/>
        <v>9.2592592592592587E-3</v>
      </c>
      <c r="DQ191" s="84"/>
      <c r="DR191" s="85"/>
      <c r="DS191" s="25">
        <v>2</v>
      </c>
      <c r="DT191" s="26">
        <f t="shared" si="1113"/>
        <v>9.2592592592592587E-3</v>
      </c>
      <c r="DU191" s="13">
        <f>$R$2</f>
        <v>600</v>
      </c>
      <c r="DV191" s="13">
        <f>$R$2</f>
        <v>600</v>
      </c>
      <c r="DW191" s="13">
        <f>I191</f>
        <v>537.4262343461744</v>
      </c>
      <c r="DX191" s="13">
        <f t="shared" si="1572"/>
        <v>468.57354594304331</v>
      </c>
      <c r="DY191" s="13">
        <f t="shared" si="1573"/>
        <v>465.54618478096916</v>
      </c>
      <c r="DZ191" s="13">
        <f t="shared" si="1574"/>
        <v>462.78667523009625</v>
      </c>
      <c r="EA191" s="13">
        <f t="shared" si="1575"/>
        <v>460.28991313812742</v>
      </c>
      <c r="EB191" s="13">
        <f t="shared" si="1576"/>
        <v>458.07176467405571</v>
      </c>
      <c r="EC191" s="13">
        <f t="shared" si="1577"/>
        <v>456.14435831990028</v>
      </c>
      <c r="ED191" s="13">
        <f t="shared" si="1578"/>
        <v>454.51521705564136</v>
      </c>
      <c r="EE191" s="13">
        <f t="shared" si="1579"/>
        <v>453.18917254571988</v>
      </c>
      <c r="EF191" s="13">
        <f t="shared" si="1580"/>
        <v>452.17022717641504</v>
      </c>
      <c r="EG191" s="13">
        <f t="shared" si="1581"/>
        <v>451.46122719687196</v>
      </c>
      <c r="EH191" s="13">
        <f t="shared" si="1582"/>
        <v>451.06419016260344</v>
      </c>
      <c r="EI191" s="13">
        <f t="shared" si="1583"/>
        <v>450.98040584357921</v>
      </c>
      <c r="EJ191" s="13">
        <f t="shared" si="1584"/>
        <v>451.21047870454532</v>
      </c>
      <c r="EK191" s="13">
        <f t="shared" si="1585"/>
        <v>451.75432243839157</v>
      </c>
      <c r="EL191" s="13">
        <f t="shared" si="1586"/>
        <v>452.6111262275536</v>
      </c>
      <c r="EM191" s="13">
        <f t="shared" si="1587"/>
        <v>453.77930074132206</v>
      </c>
      <c r="EN191" s="13">
        <f t="shared" si="1588"/>
        <v>455.25640410821177</v>
      </c>
      <c r="EO191" s="13">
        <f t="shared" si="1589"/>
        <v>457.03903855420685</v>
      </c>
      <c r="EP191" s="13">
        <f t="shared" si="1590"/>
        <v>459.1227175913811</v>
      </c>
      <c r="EQ191" s="13">
        <f t="shared" si="1591"/>
        <v>461.50158860450074</v>
      </c>
      <c r="ER191" s="13">
        <f t="shared" si="1592"/>
        <v>464.16864763654092</v>
      </c>
      <c r="ES191" s="13">
        <f t="shared" si="1593"/>
        <v>467.11419772107928</v>
      </c>
      <c r="ET191" s="13">
        <f t="shared" si="1594"/>
        <v>470.32582272004413</v>
      </c>
      <c r="EU191" s="13">
        <f t="shared" si="1595"/>
        <v>473.78540071858845</v>
      </c>
      <c r="EV191" s="13">
        <f t="shared" si="1596"/>
        <v>477.51399232009658</v>
      </c>
      <c r="EW191" s="13">
        <f t="shared" si="1422"/>
        <v>550.37705392691748</v>
      </c>
      <c r="EX191" s="13">
        <f>$R$3</f>
        <v>650</v>
      </c>
      <c r="EY191" s="13">
        <f>$R$3</f>
        <v>650</v>
      </c>
      <c r="EZ191" s="25">
        <v>2</v>
      </c>
      <c r="FA191" s="26">
        <f t="shared" si="1114"/>
        <v>9.2592592592592587E-3</v>
      </c>
    </row>
    <row r="192" spans="3:157" ht="15" customHeight="1" x14ac:dyDescent="0.25">
      <c r="C192" s="84"/>
      <c r="D192" s="85"/>
      <c r="E192" s="25">
        <v>1</v>
      </c>
      <c r="F192" s="26">
        <v>0</v>
      </c>
      <c r="G192" s="13">
        <f>$R$2</f>
        <v>600</v>
      </c>
      <c r="H192" s="13">
        <f>$R$2</f>
        <v>600</v>
      </c>
      <c r="I192" s="13">
        <f>DW191/(1-CI191)</f>
        <v>537.4262343461744</v>
      </c>
      <c r="J192" s="13">
        <f t="shared" ref="J192:AI192" si="1646">DX191/(1-CJ191)</f>
        <v>530.45487320004406</v>
      </c>
      <c r="K192" s="13">
        <f t="shared" si="1646"/>
        <v>527.04026243075361</v>
      </c>
      <c r="L192" s="13">
        <f t="shared" si="1646"/>
        <v>523.91624877664867</v>
      </c>
      <c r="M192" s="13">
        <f t="shared" si="1646"/>
        <v>521.08985791431314</v>
      </c>
      <c r="N192" s="13">
        <f t="shared" si="1646"/>
        <v>518.57871301414434</v>
      </c>
      <c r="O192" s="13">
        <f t="shared" si="1646"/>
        <v>516.39671678687705</v>
      </c>
      <c r="P192" s="13">
        <f t="shared" si="1646"/>
        <v>514.55238139042933</v>
      </c>
      <c r="Q192" s="13">
        <f t="shared" si="1646"/>
        <v>513.05117893424074</v>
      </c>
      <c r="R192" s="13">
        <f t="shared" si="1646"/>
        <v>511.89764051219009</v>
      </c>
      <c r="S192" s="13">
        <f t="shared" si="1646"/>
        <v>511.09498833644278</v>
      </c>
      <c r="T192" s="13">
        <f t="shared" si="1646"/>
        <v>510.64550646253178</v>
      </c>
      <c r="U192" s="13">
        <f t="shared" si="1646"/>
        <v>510.5506550268496</v>
      </c>
      <c r="V192" s="13">
        <f t="shared" si="1646"/>
        <v>510.81111833822217</v>
      </c>
      <c r="W192" s="13">
        <f t="shared" si="1646"/>
        <v>511.42679868918566</v>
      </c>
      <c r="X192" s="13">
        <f t="shared" si="1646"/>
        <v>512.39677816083906</v>
      </c>
      <c r="Y192" s="13">
        <f t="shared" si="1646"/>
        <v>513.71925748690762</v>
      </c>
      <c r="Z192" s="13">
        <f t="shared" si="1646"/>
        <v>515.39147224776241</v>
      </c>
      <c r="AA192" s="13">
        <f t="shared" si="1646"/>
        <v>517.40957585554804</v>
      </c>
      <c r="AB192" s="13">
        <f t="shared" si="1646"/>
        <v>519.76848919927374</v>
      </c>
      <c r="AC192" s="13">
        <f t="shared" si="1646"/>
        <v>522.46158655799184</v>
      </c>
      <c r="AD192" s="13">
        <f t="shared" si="1646"/>
        <v>525.48093656056437</v>
      </c>
      <c r="AE192" s="13">
        <f t="shared" si="1646"/>
        <v>528.81556595656195</v>
      </c>
      <c r="AF192" s="13">
        <f t="shared" si="1646"/>
        <v>532.45124358812097</v>
      </c>
      <c r="AG192" s="13">
        <f t="shared" si="1646"/>
        <v>536.36779785461181</v>
      </c>
      <c r="AH192" s="13">
        <f t="shared" si="1646"/>
        <v>540.57602363705155</v>
      </c>
      <c r="AI192" s="13">
        <f t="shared" si="1646"/>
        <v>550.37705392691748</v>
      </c>
      <c r="AJ192" s="13">
        <f>$R$3</f>
        <v>650</v>
      </c>
      <c r="AK192" s="13">
        <f>$R$3</f>
        <v>650</v>
      </c>
      <c r="AL192" s="25">
        <v>1</v>
      </c>
      <c r="AM192" s="26">
        <v>0</v>
      </c>
      <c r="AP192" s="87"/>
      <c r="AQ192" s="86"/>
      <c r="AR192" s="25">
        <v>1</v>
      </c>
      <c r="AS192" s="26">
        <v>0</v>
      </c>
      <c r="AT192" s="13">
        <f>$R$2</f>
        <v>600</v>
      </c>
      <c r="AU192" s="13">
        <f>$R$2</f>
        <v>600</v>
      </c>
      <c r="AV192" s="13">
        <f t="shared" ref="AV192" si="1647">-($F$3*$F$2)/$B$8*I128</f>
        <v>-1915269985.5780778</v>
      </c>
      <c r="AW192" s="13">
        <f t="shared" ref="AW192" si="1648">-($F$3*$F$2)/$B$8*J128</f>
        <v>-1902379822.9061606</v>
      </c>
      <c r="AX192" s="13">
        <f t="shared" ref="AX192" si="1649">-($F$3*$F$2)/$B$8*K128</f>
        <v>-1890252061.0392978</v>
      </c>
      <c r="AY192" s="13">
        <f t="shared" ref="AY192" si="1650">-($F$3*$F$2)/$B$8*L128</f>
        <v>-1879071384.9635019</v>
      </c>
      <c r="AZ192" s="13">
        <f t="shared" ref="AZ192" si="1651">-($F$3*$F$2)/$B$8*M128</f>
        <v>-1868934881.3392208</v>
      </c>
      <c r="BA192" s="13">
        <f t="shared" ref="BA192" si="1652">-($F$3*$F$2)/$B$8*N128</f>
        <v>-1859914133.9137754</v>
      </c>
      <c r="BB192" s="13">
        <f t="shared" ref="BB192" si="1653">-($F$3*$F$2)/$B$8*O128</f>
        <v>-1852062046.0738592</v>
      </c>
      <c r="BC192" s="13">
        <f t="shared" ref="BC192" si="1654">-($F$3*$F$2)/$B$8*P128</f>
        <v>-1845415148.7855983</v>
      </c>
      <c r="BD192" s="13">
        <f t="shared" ref="BD192" si="1655">-($F$3*$F$2)/$B$8*Q128</f>
        <v>-1839998587.7126098</v>
      </c>
      <c r="BE192" s="13">
        <f t="shared" si="1077"/>
        <v>-1835830649.5359945</v>
      </c>
      <c r="BF192" s="13">
        <f t="shared" si="1077"/>
        <v>-1832924407.5734982</v>
      </c>
      <c r="BG192" s="13">
        <f t="shared" si="1077"/>
        <v>-1831288913.070401</v>
      </c>
      <c r="BH192" s="13">
        <f t="shared" si="1077"/>
        <v>-1830929840.7337554</v>
      </c>
      <c r="BI192" s="13">
        <f t="shared" si="1078"/>
        <v>-1831849789.6269872</v>
      </c>
      <c r="BJ192" s="13">
        <f t="shared" si="1079"/>
        <v>-1834048348.9392674</v>
      </c>
      <c r="BK192" s="13">
        <f t="shared" si="1134"/>
        <v>-1837522004.1748462</v>
      </c>
      <c r="BL192" s="13">
        <f t="shared" si="1157"/>
        <v>-1842263921.1851218</v>
      </c>
      <c r="BM192" s="13">
        <f t="shared" ref="BM192" si="1656">-($F$3*$F$2)/$B$8*Z128</f>
        <v>-1848263611.480823</v>
      </c>
      <c r="BN192" s="13">
        <f t="shared" ref="BN192" si="1657">-($F$3*$F$2)/$B$8*AA128</f>
        <v>-1855506450.4913099</v>
      </c>
      <c r="BO192" s="13">
        <f t="shared" ref="BO192" si="1658">-($F$3*$F$2)/$B$8*AB128</f>
        <v>-1863972997.2113881</v>
      </c>
      <c r="BP192" s="13">
        <f t="shared" ref="BP192" si="1659">-($F$3*$F$2)/$B$8*AC128</f>
        <v>-1873637996.4814985</v>
      </c>
      <c r="BQ192" s="13">
        <f t="shared" ref="BQ192" si="1660">-($F$3*$F$2)/$B$8*AD128</f>
        <v>-1884469144.3758414</v>
      </c>
      <c r="BR192" s="13">
        <f t="shared" ref="BR192" si="1661">-($F$3*$F$2)/$B$8*AE128</f>
        <v>-1896423951.0509853</v>
      </c>
      <c r="BS192" s="13">
        <f t="shared" ref="BS192" si="1662">-($F$3*$F$2)/$B$8*AF128</f>
        <v>-1909447180.9336243</v>
      </c>
      <c r="BT192" s="13">
        <f t="shared" ref="BT192" si="1663">-($F$3*$F$2)/$B$8*AG128</f>
        <v>-1923467482.6761477</v>
      </c>
      <c r="BU192" s="13">
        <f t="shared" ref="BU192" si="1664">-($F$3*$F$2)/$B$8*AH128</f>
        <v>-1938398628.3715806</v>
      </c>
      <c r="BV192" s="13">
        <f t="shared" ref="BV192" si="1665">-($F$3*$F$2)/$B$8*AI128</f>
        <v>-1954031296.7065787</v>
      </c>
      <c r="BW192" s="13">
        <f>$R$3</f>
        <v>650</v>
      </c>
      <c r="BX192" s="13">
        <f>$R$3</f>
        <v>650</v>
      </c>
      <c r="BY192" s="25">
        <v>1</v>
      </c>
      <c r="BZ192" s="26">
        <v>0</v>
      </c>
      <c r="CC192" s="84"/>
      <c r="CD192" s="85"/>
      <c r="CE192" s="25">
        <v>1</v>
      </c>
      <c r="CF192" s="26">
        <v>0</v>
      </c>
      <c r="CG192" s="13">
        <f>$R$2</f>
        <v>600</v>
      </c>
      <c r="CH192" s="13">
        <f>$R$2</f>
        <v>600</v>
      </c>
      <c r="CI192" s="13">
        <f t="shared" ref="CI192" si="1666">$O$2/($O$3-$O$4*CI191)</f>
        <v>0.11511132164850782</v>
      </c>
      <c r="CJ192" s="13">
        <f t="shared" ref="CJ192" si="1667">$O$2/($O$3-$O$4*CJ191)</f>
        <v>0.1166781402357549</v>
      </c>
      <c r="CK192" s="13">
        <f t="shared" ref="CK192" si="1668">$O$2/($O$3-$O$4*CK191)</f>
        <v>0.11667842667201472</v>
      </c>
      <c r="CL192" s="13">
        <f t="shared" ref="CL192" si="1669">$O$2/($O$3-$O$4*CL191)</f>
        <v>0.11667842667201472</v>
      </c>
      <c r="CM192" s="13">
        <f t="shared" ref="CM192" si="1670">$O$2/($O$3-$O$4*CM191)</f>
        <v>0.11667843057151663</v>
      </c>
      <c r="CN192" s="13">
        <f t="shared" ref="CN192" si="1671">$O$2/($O$3-$O$4*CN191)</f>
        <v>0.11667843057151663</v>
      </c>
      <c r="CO192" s="13">
        <f t="shared" ref="CO192" si="1672">$O$2/($O$3-$O$4*CO191)</f>
        <v>0.1166784306246039</v>
      </c>
      <c r="CP192" s="13">
        <f t="shared" ref="CP192" si="1673">$O$2/($O$3-$O$4*CP191)</f>
        <v>0.11667843062532661</v>
      </c>
      <c r="CQ192" s="13">
        <f t="shared" ref="CQ192" si="1674">$O$2/($O$3-$O$4*CQ191)</f>
        <v>0.11667843062533644</v>
      </c>
      <c r="CR192" s="13">
        <f t="shared" ref="CR192" si="1675">$O$2/($O$3-$O$4*CR191)</f>
        <v>0.11667843062533659</v>
      </c>
      <c r="CS192" s="13">
        <f t="shared" ref="CS192" si="1676">$O$2/($O$3-$O$4*CS191)</f>
        <v>0.11667843062533659</v>
      </c>
      <c r="CT192" s="13">
        <f t="shared" ref="CT192" si="1677">$O$2/($O$3-$O$4*CT191)</f>
        <v>0.11667843062533659</v>
      </c>
      <c r="CU192" s="13">
        <f t="shared" si="1090"/>
        <v>0.11667843062533659</v>
      </c>
      <c r="CV192" s="13">
        <f t="shared" si="1091"/>
        <v>0.11667843062533659</v>
      </c>
      <c r="CW192" s="13">
        <f t="shared" si="1092"/>
        <v>0.11667843062533659</v>
      </c>
      <c r="CX192" s="13">
        <f t="shared" ref="CX192" si="1678">$O$2/($O$3-$O$4*CX191)</f>
        <v>0.11667843062533659</v>
      </c>
      <c r="CY192" s="13">
        <f t="shared" ref="CY192" si="1679">$O$2/($O$3-$O$4*CY191)</f>
        <v>0.11667843062533659</v>
      </c>
      <c r="CZ192" s="13">
        <f t="shared" ref="CZ192" si="1680">$O$2/($O$3-$O$4*CZ191)</f>
        <v>0.11667843062533659</v>
      </c>
      <c r="DA192" s="13">
        <f t="shared" ref="DA192" si="1681">$O$2/($O$3-$O$4*DA191)</f>
        <v>0.11667843062533644</v>
      </c>
      <c r="DB192" s="13">
        <f t="shared" ref="DB192" si="1682">$O$2/($O$3-$O$4*DB191)</f>
        <v>0.11667843062532661</v>
      </c>
      <c r="DC192" s="13">
        <f t="shared" ref="DC192" si="1683">$O$2/($O$3-$O$4*DC191)</f>
        <v>0.1166784306246039</v>
      </c>
      <c r="DD192" s="13">
        <f t="shared" ref="DD192" si="1684">$O$2/($O$3-$O$4*DD191)</f>
        <v>0.11667843057151663</v>
      </c>
      <c r="DE192" s="13">
        <f t="shared" ref="DE192" si="1685">$O$2/($O$3-$O$4*DE191)</f>
        <v>0.11667843057151663</v>
      </c>
      <c r="DF192" s="13">
        <f t="shared" ref="DF192" si="1686">$O$2/($O$3-$O$4*DF191)</f>
        <v>0.11667842667201472</v>
      </c>
      <c r="DG192" s="13">
        <f t="shared" ref="DG192" si="1687">$O$2/($O$3-$O$4*DG191)</f>
        <v>0.11667842667201472</v>
      </c>
      <c r="DH192" s="13">
        <f t="shared" ref="DH192" si="1688">$O$2/($O$3-$O$4*DH191)</f>
        <v>0.1166781402357549</v>
      </c>
      <c r="DI192" s="13">
        <f t="shared" ref="DI192" si="1689">$O$2/($O$3-$O$4*DI191)</f>
        <v>0.11511132164850782</v>
      </c>
      <c r="DJ192" s="13">
        <f>$R$3</f>
        <v>650</v>
      </c>
      <c r="DK192" s="13">
        <f>$R$3</f>
        <v>650</v>
      </c>
      <c r="DL192" s="25">
        <v>1</v>
      </c>
      <c r="DM192" s="26">
        <v>0</v>
      </c>
      <c r="DQ192" s="84"/>
      <c r="DR192" s="85"/>
      <c r="DS192" s="25">
        <v>1</v>
      </c>
      <c r="DT192" s="26">
        <v>0</v>
      </c>
      <c r="DU192" s="13">
        <f>$R$2</f>
        <v>600</v>
      </c>
      <c r="DV192" s="13">
        <f>$R$2</f>
        <v>600</v>
      </c>
      <c r="DW192" s="13">
        <f t="shared" ref="DW192" si="1690">(DW191*$O$4-AV192)/($O$3-$O$4*CI191)</f>
        <v>472.77005005250095</v>
      </c>
      <c r="DX192" s="13">
        <f t="shared" ref="DX192" si="1691">(DX191*$O$4-AW192)/($O$3-$O$4*CJ191)</f>
        <v>468.36835166012895</v>
      </c>
      <c r="DY192" s="13">
        <f t="shared" ref="DY192" si="1692">(DY191*$O$4-AX192)/($O$3-$O$4*CK191)</f>
        <v>465.37893518506354</v>
      </c>
      <c r="DZ192" s="13">
        <f t="shared" ref="DZ192" si="1693">(DZ191*$O$4-AY192)/($O$3-$O$4*CL191)</f>
        <v>462.62557744934901</v>
      </c>
      <c r="EA192" s="13">
        <f t="shared" ref="EA192" si="1694">(EA191*$O$4-AZ192)/($O$3-$O$4*CM191)</f>
        <v>460.1299608453678</v>
      </c>
      <c r="EB192" s="13">
        <f t="shared" ref="EB192" si="1695">(EB191*$O$4-BA192)/($O$3-$O$4*CN191)</f>
        <v>457.90947259354709</v>
      </c>
      <c r="EC192" s="13">
        <f t="shared" ref="EC192" si="1696">(EC191*$O$4-BB192)/($O$3-$O$4*CO191)</f>
        <v>455.97704802047929</v>
      </c>
      <c r="ED192" s="13">
        <f t="shared" ref="ED192" si="1697">(ED191*$O$4-BC192)/($O$3-$O$4*CP191)</f>
        <v>454.34150861375088</v>
      </c>
      <c r="EE192" s="13">
        <f t="shared" ref="EE192" si="1698">(EE191*$O$4-BD192)/($O$3-$O$4*CQ191)</f>
        <v>453.00888657683231</v>
      </c>
      <c r="EF192" s="13">
        <f t="shared" ref="EF192" si="1699">(EF191*$O$4-BE192)/($O$3-$O$4*CR191)</f>
        <v>451.98362557988469</v>
      </c>
      <c r="EG192" s="13">
        <f t="shared" ref="EG192" si="1700">(EG191*$O$4-BF192)/($O$3-$O$4*CS191)</f>
        <v>451.26890068081798</v>
      </c>
      <c r="EH192" s="13">
        <f t="shared" ref="EH192" si="1701">(EH191*$O$4-BG192)/($O$3-$O$4*CT191)</f>
        <v>450.86691559516771</v>
      </c>
      <c r="EI192" s="13">
        <f t="shared" si="1125"/>
        <v>450.77905484969568</v>
      </c>
      <c r="EJ192" s="13">
        <f t="shared" si="1126"/>
        <v>451.00595417234905</v>
      </c>
      <c r="EK192" s="13">
        <f t="shared" si="1127"/>
        <v>451.54751415682296</v>
      </c>
      <c r="EL192" s="13">
        <f t="shared" ref="EL192" si="1702">(EL191*$O$4-BK192)/($O$3-$O$4*CX191)</f>
        <v>452.40287592565119</v>
      </c>
      <c r="EM192" s="13">
        <f t="shared" ref="EM192" si="1703">(EM191*$O$4-BL192)/($O$3-$O$4*CY191)</f>
        <v>453.57036786423788</v>
      </c>
      <c r="EN192" s="13">
        <f t="shared" ref="EN192" si="1704">(EN191*$O$4-BM192)/($O$3-$O$4*CZ191)</f>
        <v>455.04742420123603</v>
      </c>
      <c r="EO192" s="13">
        <f t="shared" ref="EO192" si="1705">(EO191*$O$4-BN192)/($O$3-$O$4*DA191)</f>
        <v>456.83046818771538</v>
      </c>
      <c r="EP192" s="13">
        <f t="shared" ref="EP192" si="1706">(EP191*$O$4-BO192)/($O$3-$O$4*DB191)</f>
        <v>458.91474864930535</v>
      </c>
      <c r="EQ192" s="13">
        <f t="shared" ref="EQ192" si="1707">(EQ191*$O$4-BP192)/($O$3-$O$4*DC191)</f>
        <v>461.2940906482545</v>
      </c>
      <c r="ER192" s="13">
        <f t="shared" ref="ER192" si="1708">(ER191*$O$4-BQ192)/($O$3-$O$4*DD191)</f>
        <v>463.96065186203856</v>
      </c>
      <c r="ES192" s="13">
        <f t="shared" ref="ES192" si="1709">(ES191*$O$4-BR192)/($O$3-$O$4*DE191)</f>
        <v>466.90406131597223</v>
      </c>
      <c r="ET192" s="13">
        <f t="shared" ref="ET192" si="1710">(ET191*$O$4-BS192)/($O$3-$O$4*DF191)</f>
        <v>470.11084270348732</v>
      </c>
      <c r="EU192" s="13">
        <f t="shared" ref="EU192" si="1711">(EU191*$O$4-BT192)/($O$3-$O$4*DG191)</f>
        <v>473.56339662255414</v>
      </c>
      <c r="EV192" s="13">
        <f t="shared" ref="EV192" si="1712">(EV191*$O$4-BU192)/($O$3-$O$4*DH191)</f>
        <v>477.24424181461603</v>
      </c>
      <c r="EW192" s="13">
        <f t="shared" ref="EW192" si="1713">(EW191*$O$4-BV192)/($O$3-$O$4*DI191)</f>
        <v>482.57677236060391</v>
      </c>
      <c r="EX192" s="13">
        <f>$R$3</f>
        <v>650</v>
      </c>
      <c r="EY192" s="13">
        <f>$R$3</f>
        <v>650</v>
      </c>
      <c r="EZ192" s="25">
        <v>1</v>
      </c>
      <c r="FA192" s="26">
        <v>0</v>
      </c>
    </row>
    <row r="193" spans="3:157" ht="15" customHeight="1" x14ac:dyDescent="0.25">
      <c r="C193" s="84"/>
      <c r="D193" s="85"/>
      <c r="E193" s="32"/>
      <c r="F193" s="29"/>
      <c r="G193" s="25">
        <v>0</v>
      </c>
      <c r="H193" s="26">
        <f t="shared" ref="H193:AK193" si="1714">$B$5*(H194-1)</f>
        <v>3.3333333333333335E-3</v>
      </c>
      <c r="I193" s="26">
        <f t="shared" si="1714"/>
        <v>6.6666666666666671E-3</v>
      </c>
      <c r="J193" s="26">
        <f t="shared" si="1714"/>
        <v>0.01</v>
      </c>
      <c r="K193" s="26">
        <f t="shared" si="1714"/>
        <v>1.3333333333333334E-2</v>
      </c>
      <c r="L193" s="26">
        <f t="shared" si="1714"/>
        <v>1.6666666666666666E-2</v>
      </c>
      <c r="M193" s="26">
        <f t="shared" si="1714"/>
        <v>0.02</v>
      </c>
      <c r="N193" s="26">
        <f t="shared" si="1714"/>
        <v>2.3333333333333334E-2</v>
      </c>
      <c r="O193" s="26">
        <f t="shared" si="1714"/>
        <v>2.6666666666666668E-2</v>
      </c>
      <c r="P193" s="26">
        <f t="shared" si="1714"/>
        <v>3.0000000000000002E-2</v>
      </c>
      <c r="Q193" s="26">
        <f t="shared" si="1714"/>
        <v>3.3333333333333333E-2</v>
      </c>
      <c r="R193" s="26">
        <f t="shared" si="1714"/>
        <v>3.6666666666666667E-2</v>
      </c>
      <c r="S193" s="26">
        <f t="shared" si="1714"/>
        <v>0.04</v>
      </c>
      <c r="T193" s="26">
        <f t="shared" si="1714"/>
        <v>4.3333333333333335E-2</v>
      </c>
      <c r="U193" s="26">
        <f t="shared" si="1714"/>
        <v>4.6666666666666669E-2</v>
      </c>
      <c r="V193" s="26">
        <f t="shared" si="1714"/>
        <v>0.05</v>
      </c>
      <c r="W193" s="26">
        <f t="shared" si="1714"/>
        <v>5.3333333333333337E-2</v>
      </c>
      <c r="X193" s="26">
        <f t="shared" si="1714"/>
        <v>5.6666666666666671E-2</v>
      </c>
      <c r="Y193" s="26">
        <f t="shared" si="1714"/>
        <v>6.0000000000000005E-2</v>
      </c>
      <c r="Z193" s="26">
        <f t="shared" si="1714"/>
        <v>6.3333333333333339E-2</v>
      </c>
      <c r="AA193" s="26">
        <f t="shared" si="1714"/>
        <v>6.6666666666666666E-2</v>
      </c>
      <c r="AB193" s="26">
        <f t="shared" si="1714"/>
        <v>7.0000000000000007E-2</v>
      </c>
      <c r="AC193" s="26">
        <f t="shared" si="1714"/>
        <v>7.3333333333333334E-2</v>
      </c>
      <c r="AD193" s="26">
        <f t="shared" si="1714"/>
        <v>7.6666666666666675E-2</v>
      </c>
      <c r="AE193" s="26">
        <f t="shared" si="1714"/>
        <v>0.08</v>
      </c>
      <c r="AF193" s="26">
        <f t="shared" si="1714"/>
        <v>8.3333333333333343E-2</v>
      </c>
      <c r="AG193" s="26">
        <f t="shared" si="1714"/>
        <v>8.666666666666667E-2</v>
      </c>
      <c r="AH193" s="26">
        <f t="shared" si="1714"/>
        <v>9.0000000000000011E-2</v>
      </c>
      <c r="AI193" s="26">
        <f t="shared" si="1714"/>
        <v>9.3333333333333338E-2</v>
      </c>
      <c r="AJ193" s="26">
        <f t="shared" si="1714"/>
        <v>9.6666666666666679E-2</v>
      </c>
      <c r="AK193" s="26">
        <f t="shared" si="1714"/>
        <v>0.1</v>
      </c>
      <c r="AL193" s="24"/>
      <c r="AM193" s="29"/>
      <c r="AP193" s="87"/>
      <c r="AQ193" s="86"/>
      <c r="AR193" s="32"/>
      <c r="AS193" s="29"/>
      <c r="AT193" s="25">
        <v>0</v>
      </c>
      <c r="AU193" s="26">
        <f t="shared" ref="AU193:BX193" si="1715">$B$5*(AU194-1)</f>
        <v>3.3333333333333335E-3</v>
      </c>
      <c r="AV193" s="26">
        <f t="shared" si="1715"/>
        <v>6.6666666666666671E-3</v>
      </c>
      <c r="AW193" s="26">
        <f t="shared" si="1715"/>
        <v>0.01</v>
      </c>
      <c r="AX193" s="26">
        <f t="shared" si="1715"/>
        <v>1.3333333333333334E-2</v>
      </c>
      <c r="AY193" s="26">
        <f t="shared" si="1715"/>
        <v>1.6666666666666666E-2</v>
      </c>
      <c r="AZ193" s="26">
        <f t="shared" si="1715"/>
        <v>0.02</v>
      </c>
      <c r="BA193" s="26">
        <f t="shared" si="1715"/>
        <v>2.3333333333333334E-2</v>
      </c>
      <c r="BB193" s="26">
        <f t="shared" si="1715"/>
        <v>2.6666666666666668E-2</v>
      </c>
      <c r="BC193" s="26">
        <f t="shared" si="1715"/>
        <v>3.0000000000000002E-2</v>
      </c>
      <c r="BD193" s="26">
        <f t="shared" si="1715"/>
        <v>3.3333333333333333E-2</v>
      </c>
      <c r="BE193" s="26">
        <f t="shared" si="1715"/>
        <v>3.6666666666666667E-2</v>
      </c>
      <c r="BF193" s="26">
        <f t="shared" si="1715"/>
        <v>0.04</v>
      </c>
      <c r="BG193" s="26">
        <f t="shared" si="1715"/>
        <v>4.3333333333333335E-2</v>
      </c>
      <c r="BH193" s="26">
        <f t="shared" si="1715"/>
        <v>4.6666666666666669E-2</v>
      </c>
      <c r="BI193" s="26">
        <f t="shared" si="1715"/>
        <v>0.05</v>
      </c>
      <c r="BJ193" s="26">
        <f t="shared" si="1715"/>
        <v>5.3333333333333337E-2</v>
      </c>
      <c r="BK193" s="26">
        <f t="shared" si="1715"/>
        <v>5.6666666666666671E-2</v>
      </c>
      <c r="BL193" s="26">
        <f t="shared" si="1715"/>
        <v>6.0000000000000005E-2</v>
      </c>
      <c r="BM193" s="26">
        <f t="shared" si="1715"/>
        <v>6.3333333333333339E-2</v>
      </c>
      <c r="BN193" s="26">
        <f t="shared" si="1715"/>
        <v>6.6666666666666666E-2</v>
      </c>
      <c r="BO193" s="26">
        <f t="shared" si="1715"/>
        <v>7.0000000000000007E-2</v>
      </c>
      <c r="BP193" s="26">
        <f t="shared" si="1715"/>
        <v>7.3333333333333334E-2</v>
      </c>
      <c r="BQ193" s="26">
        <f t="shared" si="1715"/>
        <v>7.6666666666666675E-2</v>
      </c>
      <c r="BR193" s="26">
        <f t="shared" si="1715"/>
        <v>0.08</v>
      </c>
      <c r="BS193" s="26">
        <f t="shared" si="1715"/>
        <v>8.3333333333333343E-2</v>
      </c>
      <c r="BT193" s="26">
        <f t="shared" si="1715"/>
        <v>8.666666666666667E-2</v>
      </c>
      <c r="BU193" s="26">
        <f t="shared" si="1715"/>
        <v>9.0000000000000011E-2</v>
      </c>
      <c r="BV193" s="26">
        <f t="shared" si="1715"/>
        <v>9.3333333333333338E-2</v>
      </c>
      <c r="BW193" s="26">
        <f t="shared" si="1715"/>
        <v>9.6666666666666679E-2</v>
      </c>
      <c r="BX193" s="26">
        <f t="shared" si="1715"/>
        <v>0.1</v>
      </c>
      <c r="BY193" s="24"/>
      <c r="BZ193" s="29"/>
      <c r="CC193" s="84"/>
      <c r="CD193" s="85"/>
      <c r="CE193" s="32"/>
      <c r="CF193" s="29"/>
      <c r="CG193" s="25">
        <v>0</v>
      </c>
      <c r="CH193" s="26">
        <f t="shared" ref="CH193:DK193" si="1716">$B$5*(CH194-1)</f>
        <v>3.3333333333333335E-3</v>
      </c>
      <c r="CI193" s="26">
        <f t="shared" si="1716"/>
        <v>6.6666666666666671E-3</v>
      </c>
      <c r="CJ193" s="26">
        <f t="shared" si="1716"/>
        <v>0.01</v>
      </c>
      <c r="CK193" s="26">
        <f t="shared" si="1716"/>
        <v>1.3333333333333334E-2</v>
      </c>
      <c r="CL193" s="26">
        <f t="shared" si="1716"/>
        <v>1.6666666666666666E-2</v>
      </c>
      <c r="CM193" s="26">
        <f t="shared" si="1716"/>
        <v>0.02</v>
      </c>
      <c r="CN193" s="26">
        <f t="shared" si="1716"/>
        <v>2.3333333333333334E-2</v>
      </c>
      <c r="CO193" s="26">
        <f t="shared" si="1716"/>
        <v>2.6666666666666668E-2</v>
      </c>
      <c r="CP193" s="26">
        <f t="shared" si="1716"/>
        <v>3.0000000000000002E-2</v>
      </c>
      <c r="CQ193" s="26">
        <f t="shared" si="1716"/>
        <v>3.3333333333333333E-2</v>
      </c>
      <c r="CR193" s="26">
        <f t="shared" si="1716"/>
        <v>3.6666666666666667E-2</v>
      </c>
      <c r="CS193" s="26">
        <f t="shared" si="1716"/>
        <v>0.04</v>
      </c>
      <c r="CT193" s="26">
        <f t="shared" si="1716"/>
        <v>4.3333333333333335E-2</v>
      </c>
      <c r="CU193" s="26">
        <f t="shared" si="1716"/>
        <v>4.6666666666666669E-2</v>
      </c>
      <c r="CV193" s="26">
        <f t="shared" si="1716"/>
        <v>0.05</v>
      </c>
      <c r="CW193" s="26">
        <f t="shared" si="1716"/>
        <v>5.3333333333333337E-2</v>
      </c>
      <c r="CX193" s="26">
        <f t="shared" si="1716"/>
        <v>5.6666666666666671E-2</v>
      </c>
      <c r="CY193" s="26">
        <f t="shared" si="1716"/>
        <v>6.0000000000000005E-2</v>
      </c>
      <c r="CZ193" s="26">
        <f t="shared" si="1716"/>
        <v>6.3333333333333339E-2</v>
      </c>
      <c r="DA193" s="26">
        <f t="shared" si="1716"/>
        <v>6.6666666666666666E-2</v>
      </c>
      <c r="DB193" s="26">
        <f t="shared" si="1716"/>
        <v>7.0000000000000007E-2</v>
      </c>
      <c r="DC193" s="26">
        <f t="shared" si="1716"/>
        <v>7.3333333333333334E-2</v>
      </c>
      <c r="DD193" s="26">
        <f t="shared" si="1716"/>
        <v>7.6666666666666675E-2</v>
      </c>
      <c r="DE193" s="26">
        <f t="shared" si="1716"/>
        <v>0.08</v>
      </c>
      <c r="DF193" s="26">
        <f t="shared" si="1716"/>
        <v>8.3333333333333343E-2</v>
      </c>
      <c r="DG193" s="26">
        <f t="shared" si="1716"/>
        <v>8.666666666666667E-2</v>
      </c>
      <c r="DH193" s="26">
        <f t="shared" si="1716"/>
        <v>9.0000000000000011E-2</v>
      </c>
      <c r="DI193" s="26">
        <f t="shared" si="1716"/>
        <v>9.3333333333333338E-2</v>
      </c>
      <c r="DJ193" s="26">
        <f t="shared" si="1716"/>
        <v>9.6666666666666679E-2</v>
      </c>
      <c r="DK193" s="26">
        <f t="shared" si="1716"/>
        <v>0.1</v>
      </c>
      <c r="DL193" s="24"/>
      <c r="DM193" s="29"/>
      <c r="DQ193" s="84"/>
      <c r="DR193" s="85"/>
      <c r="DS193" s="32"/>
      <c r="DT193" s="29"/>
      <c r="DU193" s="25">
        <v>0</v>
      </c>
      <c r="DV193" s="26">
        <f t="shared" ref="DV193:EY193" si="1717">$B$5*(DV194-1)</f>
        <v>3.3333333333333335E-3</v>
      </c>
      <c r="DW193" s="26">
        <f t="shared" si="1717"/>
        <v>6.6666666666666671E-3</v>
      </c>
      <c r="DX193" s="26">
        <f t="shared" si="1717"/>
        <v>0.01</v>
      </c>
      <c r="DY193" s="26">
        <f t="shared" si="1717"/>
        <v>1.3333333333333334E-2</v>
      </c>
      <c r="DZ193" s="26">
        <f t="shared" si="1717"/>
        <v>1.6666666666666666E-2</v>
      </c>
      <c r="EA193" s="26">
        <f t="shared" si="1717"/>
        <v>0.02</v>
      </c>
      <c r="EB193" s="26">
        <f t="shared" si="1717"/>
        <v>2.3333333333333334E-2</v>
      </c>
      <c r="EC193" s="26">
        <f t="shared" si="1717"/>
        <v>2.6666666666666668E-2</v>
      </c>
      <c r="ED193" s="26">
        <f t="shared" si="1717"/>
        <v>3.0000000000000002E-2</v>
      </c>
      <c r="EE193" s="26">
        <f t="shared" si="1717"/>
        <v>3.3333333333333333E-2</v>
      </c>
      <c r="EF193" s="26">
        <f t="shared" si="1717"/>
        <v>3.6666666666666667E-2</v>
      </c>
      <c r="EG193" s="26">
        <f t="shared" si="1717"/>
        <v>0.04</v>
      </c>
      <c r="EH193" s="26">
        <f t="shared" si="1717"/>
        <v>4.3333333333333335E-2</v>
      </c>
      <c r="EI193" s="26">
        <f t="shared" si="1717"/>
        <v>4.6666666666666669E-2</v>
      </c>
      <c r="EJ193" s="26">
        <f t="shared" si="1717"/>
        <v>0.05</v>
      </c>
      <c r="EK193" s="26">
        <f t="shared" si="1717"/>
        <v>5.3333333333333337E-2</v>
      </c>
      <c r="EL193" s="26">
        <f t="shared" si="1717"/>
        <v>5.6666666666666671E-2</v>
      </c>
      <c r="EM193" s="26">
        <f t="shared" si="1717"/>
        <v>6.0000000000000005E-2</v>
      </c>
      <c r="EN193" s="26">
        <f t="shared" si="1717"/>
        <v>6.3333333333333339E-2</v>
      </c>
      <c r="EO193" s="26">
        <f t="shared" si="1717"/>
        <v>6.6666666666666666E-2</v>
      </c>
      <c r="EP193" s="26">
        <f t="shared" si="1717"/>
        <v>7.0000000000000007E-2</v>
      </c>
      <c r="EQ193" s="26">
        <f t="shared" si="1717"/>
        <v>7.3333333333333334E-2</v>
      </c>
      <c r="ER193" s="26">
        <f t="shared" si="1717"/>
        <v>7.6666666666666675E-2</v>
      </c>
      <c r="ES193" s="26">
        <f t="shared" si="1717"/>
        <v>0.08</v>
      </c>
      <c r="ET193" s="26">
        <f t="shared" si="1717"/>
        <v>8.3333333333333343E-2</v>
      </c>
      <c r="EU193" s="26">
        <f t="shared" si="1717"/>
        <v>8.666666666666667E-2</v>
      </c>
      <c r="EV193" s="26">
        <f t="shared" si="1717"/>
        <v>9.0000000000000011E-2</v>
      </c>
      <c r="EW193" s="26">
        <f t="shared" si="1717"/>
        <v>9.3333333333333338E-2</v>
      </c>
      <c r="EX193" s="26">
        <f t="shared" si="1717"/>
        <v>9.6666666666666679E-2</v>
      </c>
      <c r="EY193" s="26">
        <f t="shared" si="1717"/>
        <v>0.1</v>
      </c>
      <c r="EZ193" s="24"/>
      <c r="FA193" s="29"/>
    </row>
    <row r="194" spans="3:157" ht="15" customHeight="1" x14ac:dyDescent="0.25">
      <c r="C194" s="84"/>
      <c r="D194" s="85"/>
      <c r="E194" s="33"/>
      <c r="F194" s="30"/>
      <c r="G194" s="44">
        <v>1</v>
      </c>
      <c r="H194" s="44">
        <v>2</v>
      </c>
      <c r="I194" s="44">
        <v>3</v>
      </c>
      <c r="J194" s="44">
        <v>4</v>
      </c>
      <c r="K194" s="44">
        <v>5</v>
      </c>
      <c r="L194" s="44">
        <v>6</v>
      </c>
      <c r="M194" s="44">
        <v>7</v>
      </c>
      <c r="N194" s="44">
        <v>8</v>
      </c>
      <c r="O194" s="44">
        <v>9</v>
      </c>
      <c r="P194" s="44">
        <v>10</v>
      </c>
      <c r="Q194" s="44">
        <v>11</v>
      </c>
      <c r="R194" s="44">
        <v>12</v>
      </c>
      <c r="S194" s="44">
        <v>13</v>
      </c>
      <c r="T194" s="44">
        <v>14</v>
      </c>
      <c r="U194" s="44">
        <v>15</v>
      </c>
      <c r="V194" s="44">
        <v>16</v>
      </c>
      <c r="W194" s="44">
        <v>17</v>
      </c>
      <c r="X194" s="44">
        <v>18</v>
      </c>
      <c r="Y194" s="44">
        <v>19</v>
      </c>
      <c r="Z194" s="44">
        <v>20</v>
      </c>
      <c r="AA194" s="44">
        <v>21</v>
      </c>
      <c r="AB194" s="44">
        <v>22</v>
      </c>
      <c r="AC194" s="44">
        <v>23</v>
      </c>
      <c r="AD194" s="44">
        <v>24</v>
      </c>
      <c r="AE194" s="44">
        <v>25</v>
      </c>
      <c r="AF194" s="44">
        <v>26</v>
      </c>
      <c r="AG194" s="44">
        <v>27</v>
      </c>
      <c r="AH194" s="44">
        <v>28</v>
      </c>
      <c r="AI194" s="44">
        <v>29</v>
      </c>
      <c r="AJ194" s="44">
        <v>30</v>
      </c>
      <c r="AK194" s="44">
        <v>31</v>
      </c>
      <c r="AL194" s="34"/>
      <c r="AM194" s="30"/>
      <c r="AP194" s="87"/>
      <c r="AQ194" s="86"/>
      <c r="AR194" s="33"/>
      <c r="AS194" s="30"/>
      <c r="AT194" s="44">
        <v>1</v>
      </c>
      <c r="AU194" s="44">
        <v>2</v>
      </c>
      <c r="AV194" s="44">
        <v>3</v>
      </c>
      <c r="AW194" s="44">
        <v>4</v>
      </c>
      <c r="AX194" s="44">
        <v>5</v>
      </c>
      <c r="AY194" s="44">
        <v>6</v>
      </c>
      <c r="AZ194" s="44">
        <v>7</v>
      </c>
      <c r="BA194" s="44">
        <v>8</v>
      </c>
      <c r="BB194" s="44">
        <v>9</v>
      </c>
      <c r="BC194" s="44">
        <v>10</v>
      </c>
      <c r="BD194" s="44">
        <v>11</v>
      </c>
      <c r="BE194" s="44">
        <v>12</v>
      </c>
      <c r="BF194" s="44">
        <v>13</v>
      </c>
      <c r="BG194" s="44">
        <v>14</v>
      </c>
      <c r="BH194" s="44">
        <v>15</v>
      </c>
      <c r="BI194" s="44">
        <v>16</v>
      </c>
      <c r="BJ194" s="44">
        <v>17</v>
      </c>
      <c r="BK194" s="44">
        <v>18</v>
      </c>
      <c r="BL194" s="44">
        <v>19</v>
      </c>
      <c r="BM194" s="44">
        <v>20</v>
      </c>
      <c r="BN194" s="44">
        <v>21</v>
      </c>
      <c r="BO194" s="44">
        <v>22</v>
      </c>
      <c r="BP194" s="44">
        <v>23</v>
      </c>
      <c r="BQ194" s="44">
        <v>24</v>
      </c>
      <c r="BR194" s="44">
        <v>25</v>
      </c>
      <c r="BS194" s="44">
        <v>26</v>
      </c>
      <c r="BT194" s="44">
        <v>27</v>
      </c>
      <c r="BU194" s="44">
        <v>28</v>
      </c>
      <c r="BV194" s="44">
        <v>29</v>
      </c>
      <c r="BW194" s="44">
        <v>30</v>
      </c>
      <c r="BX194" s="44">
        <v>31</v>
      </c>
      <c r="BY194" s="34"/>
      <c r="BZ194" s="30"/>
      <c r="CC194" s="84"/>
      <c r="CD194" s="85"/>
      <c r="CE194" s="33"/>
      <c r="CF194" s="30"/>
      <c r="CG194" s="44">
        <v>1</v>
      </c>
      <c r="CH194" s="44">
        <v>2</v>
      </c>
      <c r="CI194" s="44">
        <v>3</v>
      </c>
      <c r="CJ194" s="44">
        <v>4</v>
      </c>
      <c r="CK194" s="44">
        <v>5</v>
      </c>
      <c r="CL194" s="44">
        <v>6</v>
      </c>
      <c r="CM194" s="44">
        <v>7</v>
      </c>
      <c r="CN194" s="44">
        <v>8</v>
      </c>
      <c r="CO194" s="44">
        <v>9</v>
      </c>
      <c r="CP194" s="44">
        <v>10</v>
      </c>
      <c r="CQ194" s="44">
        <v>11</v>
      </c>
      <c r="CR194" s="44">
        <v>12</v>
      </c>
      <c r="CS194" s="44">
        <v>13</v>
      </c>
      <c r="CT194" s="44">
        <v>14</v>
      </c>
      <c r="CU194" s="44">
        <v>15</v>
      </c>
      <c r="CV194" s="44">
        <v>16</v>
      </c>
      <c r="CW194" s="44">
        <v>17</v>
      </c>
      <c r="CX194" s="44">
        <v>18</v>
      </c>
      <c r="CY194" s="44">
        <v>19</v>
      </c>
      <c r="CZ194" s="44">
        <v>20</v>
      </c>
      <c r="DA194" s="44">
        <v>21</v>
      </c>
      <c r="DB194" s="44">
        <v>22</v>
      </c>
      <c r="DC194" s="44">
        <v>23</v>
      </c>
      <c r="DD194" s="44">
        <v>24</v>
      </c>
      <c r="DE194" s="44">
        <v>25</v>
      </c>
      <c r="DF194" s="44">
        <v>26</v>
      </c>
      <c r="DG194" s="44">
        <v>27</v>
      </c>
      <c r="DH194" s="44">
        <v>28</v>
      </c>
      <c r="DI194" s="44">
        <v>29</v>
      </c>
      <c r="DJ194" s="44">
        <v>30</v>
      </c>
      <c r="DK194" s="44">
        <v>31</v>
      </c>
      <c r="DL194" s="34"/>
      <c r="DM194" s="30"/>
      <c r="DQ194" s="84"/>
      <c r="DR194" s="85"/>
      <c r="DS194" s="33"/>
      <c r="DT194" s="30"/>
      <c r="DU194" s="44">
        <v>1</v>
      </c>
      <c r="DV194" s="44">
        <v>2</v>
      </c>
      <c r="DW194" s="44">
        <v>3</v>
      </c>
      <c r="DX194" s="44">
        <v>4</v>
      </c>
      <c r="DY194" s="44">
        <v>5</v>
      </c>
      <c r="DZ194" s="44">
        <v>6</v>
      </c>
      <c r="EA194" s="44">
        <v>7</v>
      </c>
      <c r="EB194" s="44">
        <v>8</v>
      </c>
      <c r="EC194" s="44">
        <v>9</v>
      </c>
      <c r="ED194" s="44">
        <v>10</v>
      </c>
      <c r="EE194" s="44">
        <v>11</v>
      </c>
      <c r="EF194" s="44">
        <v>12</v>
      </c>
      <c r="EG194" s="44">
        <v>13</v>
      </c>
      <c r="EH194" s="44">
        <v>14</v>
      </c>
      <c r="EI194" s="44">
        <v>15</v>
      </c>
      <c r="EJ194" s="44">
        <v>16</v>
      </c>
      <c r="EK194" s="44">
        <v>17</v>
      </c>
      <c r="EL194" s="44">
        <v>18</v>
      </c>
      <c r="EM194" s="44">
        <v>19</v>
      </c>
      <c r="EN194" s="44">
        <v>20</v>
      </c>
      <c r="EO194" s="44">
        <v>21</v>
      </c>
      <c r="EP194" s="44">
        <v>22</v>
      </c>
      <c r="EQ194" s="44">
        <v>23</v>
      </c>
      <c r="ER194" s="44">
        <v>24</v>
      </c>
      <c r="ES194" s="44">
        <v>25</v>
      </c>
      <c r="ET194" s="44">
        <v>26</v>
      </c>
      <c r="EU194" s="44">
        <v>27</v>
      </c>
      <c r="EV194" s="44">
        <v>28</v>
      </c>
      <c r="EW194" s="44">
        <v>29</v>
      </c>
      <c r="EX194" s="44">
        <v>30</v>
      </c>
      <c r="EY194" s="44">
        <v>31</v>
      </c>
      <c r="EZ194" s="34"/>
      <c r="FA194" s="30"/>
    </row>
    <row r="195" spans="3:157" ht="15" customHeight="1" x14ac:dyDescent="0.25"/>
    <row r="196" spans="3:157" ht="15" customHeight="1" x14ac:dyDescent="0.25"/>
    <row r="197" spans="3:157" ht="15" customHeight="1" x14ac:dyDescent="0.25"/>
    <row r="198" spans="3:157" ht="15" customHeight="1" x14ac:dyDescent="0.25"/>
    <row r="199" spans="3:157" ht="15" customHeight="1" x14ac:dyDescent="0.25"/>
    <row r="200" spans="3:157" ht="15" customHeight="1" x14ac:dyDescent="0.25"/>
    <row r="201" spans="3:157" ht="15" customHeight="1" x14ac:dyDescent="0.25"/>
    <row r="202" spans="3:157" ht="15" customHeight="1" x14ac:dyDescent="0.25"/>
    <row r="203" spans="3:157" ht="15" customHeight="1" x14ac:dyDescent="0.25"/>
  </sheetData>
  <mergeCells count="31">
    <mergeCell ref="CE72:CF72"/>
    <mergeCell ref="CE73:CF73"/>
    <mergeCell ref="CC72:CD130"/>
    <mergeCell ref="A1:B2"/>
    <mergeCell ref="E1:F1"/>
    <mergeCell ref="H1:I1"/>
    <mergeCell ref="K1:L1"/>
    <mergeCell ref="N1:O1"/>
    <mergeCell ref="E10:F10"/>
    <mergeCell ref="E9:F9"/>
    <mergeCell ref="E72:F72"/>
    <mergeCell ref="E73:F73"/>
    <mergeCell ref="AR72:AS72"/>
    <mergeCell ref="AR73:AS73"/>
    <mergeCell ref="AP72:AQ130"/>
    <mergeCell ref="DS72:DT72"/>
    <mergeCell ref="DS73:DT73"/>
    <mergeCell ref="DQ72:DR130"/>
    <mergeCell ref="C136:D194"/>
    <mergeCell ref="E136:F136"/>
    <mergeCell ref="AP136:AQ194"/>
    <mergeCell ref="AR136:AS136"/>
    <mergeCell ref="CC136:CD194"/>
    <mergeCell ref="CE136:CF136"/>
    <mergeCell ref="DQ136:DR194"/>
    <mergeCell ref="DS136:DT136"/>
    <mergeCell ref="E137:F137"/>
    <mergeCell ref="AR137:AS137"/>
    <mergeCell ref="CE137:CF137"/>
    <mergeCell ref="DS137:DT137"/>
    <mergeCell ref="C72:D130"/>
  </mergeCells>
  <conditionalFormatting sqref="G11:AK65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74:AK12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03:BH112 AT118:BD118 BK97:BX100 BH99:BH102 AT97:BG102 AT74:BX84 AT85:BH96 BJ85:BX96 BJ99:BJ100 BI85:BI112 BJ101:BX112 AT119:BE119 AT120:BX128 BF118:BX119 AT113:BX11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97:BH98 BJ97:BJ98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G74:DK128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74:EY12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38:BX19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G138:DK19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138:EY19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8:AK192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fitToWidth="0" fitToHeight="0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DISK">
                <anchor moveWithCells="1">
                  <from>
                    <xdr:col>21</xdr:col>
                    <xdr:colOff>276225</xdr:colOff>
                    <xdr:row>1</xdr:row>
                    <xdr:rowOff>104775</xdr:rowOff>
                  </from>
                  <to>
                    <xdr:col>25</xdr:col>
                    <xdr:colOff>466725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Z_0">
                <anchor moveWithCells="1">
                  <from>
                    <xdr:col>27</xdr:col>
                    <xdr:colOff>200025</xdr:colOff>
                    <xdr:row>3</xdr:row>
                    <xdr:rowOff>152400</xdr:rowOff>
                  </from>
                  <to>
                    <xdr:col>29</xdr:col>
                    <xdr:colOff>514350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ISK_up_down">
                <anchor moveWithCells="1">
                  <from>
                    <xdr:col>21</xdr:col>
                    <xdr:colOff>381000</xdr:colOff>
                    <xdr:row>4</xdr:row>
                    <xdr:rowOff>95250</xdr:rowOff>
                  </from>
                  <to>
                    <xdr:col>25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EH162"/>
  <sheetViews>
    <sheetView zoomScale="70" zoomScaleNormal="70" workbookViewId="0">
      <selection activeCell="H3" sqref="H3:AJ33"/>
    </sheetView>
  </sheetViews>
  <sheetFormatPr defaultRowHeight="15" x14ac:dyDescent="0.25"/>
  <cols>
    <col min="1" max="1" width="14.28515625" customWidth="1"/>
    <col min="2" max="2" width="13.7109375" customWidth="1"/>
    <col min="5" max="5" width="11.28515625" customWidth="1"/>
    <col min="6" max="6" width="11.85546875" customWidth="1"/>
    <col min="8" max="37" width="10.5703125" bestFit="1" customWidth="1"/>
    <col min="40" max="40" width="11.7109375" bestFit="1" customWidth="1"/>
    <col min="73" max="73" width="10.42578125" customWidth="1"/>
  </cols>
  <sheetData>
    <row r="1" spans="1:39" ht="16.5" customHeight="1" x14ac:dyDescent="0.25">
      <c r="A1" s="89" t="s">
        <v>27</v>
      </c>
      <c r="B1" s="89"/>
      <c r="E1" s="25" t="s">
        <v>38</v>
      </c>
      <c r="F1" s="25"/>
      <c r="G1" s="25">
        <v>1</v>
      </c>
      <c r="H1" s="25">
        <v>2</v>
      </c>
      <c r="I1" s="25">
        <v>3</v>
      </c>
      <c r="J1" s="25">
        <v>4</v>
      </c>
      <c r="K1" s="25">
        <v>5</v>
      </c>
      <c r="L1" s="25">
        <v>6</v>
      </c>
      <c r="M1" s="25">
        <v>7</v>
      </c>
      <c r="N1" s="25">
        <v>8</v>
      </c>
      <c r="O1" s="25">
        <v>9</v>
      </c>
      <c r="P1" s="25">
        <v>10</v>
      </c>
      <c r="Q1" s="25">
        <v>11</v>
      </c>
      <c r="R1" s="25">
        <v>12</v>
      </c>
      <c r="S1" s="25">
        <v>13</v>
      </c>
      <c r="T1" s="25">
        <v>14</v>
      </c>
      <c r="U1" s="25">
        <v>15</v>
      </c>
      <c r="V1" s="25">
        <v>16</v>
      </c>
      <c r="W1" s="25">
        <v>17</v>
      </c>
      <c r="X1" s="25">
        <v>18</v>
      </c>
      <c r="Y1" s="25">
        <v>19</v>
      </c>
      <c r="Z1" s="25">
        <v>20</v>
      </c>
      <c r="AA1" s="25">
        <v>21</v>
      </c>
      <c r="AB1" s="25">
        <v>22</v>
      </c>
      <c r="AC1" s="25">
        <v>23</v>
      </c>
      <c r="AD1" s="25">
        <v>24</v>
      </c>
      <c r="AE1" s="25">
        <v>25</v>
      </c>
      <c r="AF1" s="25">
        <v>26</v>
      </c>
      <c r="AG1" s="25">
        <v>27</v>
      </c>
      <c r="AH1" s="25">
        <v>28</v>
      </c>
      <c r="AI1" s="25">
        <v>29</v>
      </c>
      <c r="AJ1" s="25">
        <v>30</v>
      </c>
      <c r="AK1" s="25">
        <v>31</v>
      </c>
      <c r="AL1" s="24"/>
      <c r="AM1" s="35"/>
    </row>
    <row r="2" spans="1:39" x14ac:dyDescent="0.25">
      <c r="A2" s="89"/>
      <c r="B2" s="89"/>
      <c r="E2" s="25"/>
      <c r="F2" s="25" t="s">
        <v>39</v>
      </c>
      <c r="G2" s="25">
        <v>0</v>
      </c>
      <c r="H2" s="26">
        <f>$B$5*(H1-1)</f>
        <v>3.3333333333333335E-3</v>
      </c>
      <c r="I2" s="26">
        <f t="shared" ref="I2:AK2" si="0">$B$5*(I1-1)</f>
        <v>6.6666666666666671E-3</v>
      </c>
      <c r="J2" s="26">
        <f t="shared" si="0"/>
        <v>0.01</v>
      </c>
      <c r="K2" s="26">
        <f t="shared" si="0"/>
        <v>1.3333333333333334E-2</v>
      </c>
      <c r="L2" s="26">
        <f t="shared" si="0"/>
        <v>1.6666666666666666E-2</v>
      </c>
      <c r="M2" s="26">
        <f t="shared" si="0"/>
        <v>0.02</v>
      </c>
      <c r="N2" s="26">
        <f t="shared" si="0"/>
        <v>2.3333333333333334E-2</v>
      </c>
      <c r="O2" s="26">
        <f t="shared" si="0"/>
        <v>2.6666666666666668E-2</v>
      </c>
      <c r="P2" s="26">
        <f t="shared" si="0"/>
        <v>3.0000000000000002E-2</v>
      </c>
      <c r="Q2" s="26">
        <f t="shared" si="0"/>
        <v>3.3333333333333333E-2</v>
      </c>
      <c r="R2" s="26">
        <f t="shared" si="0"/>
        <v>3.6666666666666667E-2</v>
      </c>
      <c r="S2" s="26">
        <f t="shared" si="0"/>
        <v>0.04</v>
      </c>
      <c r="T2" s="26">
        <f t="shared" si="0"/>
        <v>4.3333333333333335E-2</v>
      </c>
      <c r="U2" s="26">
        <f t="shared" si="0"/>
        <v>4.6666666666666669E-2</v>
      </c>
      <c r="V2" s="26">
        <f t="shared" si="0"/>
        <v>0.05</v>
      </c>
      <c r="W2" s="26">
        <f t="shared" si="0"/>
        <v>5.3333333333333337E-2</v>
      </c>
      <c r="X2" s="26">
        <f t="shared" si="0"/>
        <v>5.6666666666666671E-2</v>
      </c>
      <c r="Y2" s="26">
        <f t="shared" si="0"/>
        <v>6.0000000000000005E-2</v>
      </c>
      <c r="Z2" s="26">
        <f t="shared" si="0"/>
        <v>6.3333333333333339E-2</v>
      </c>
      <c r="AA2" s="26">
        <f t="shared" si="0"/>
        <v>6.6666666666666666E-2</v>
      </c>
      <c r="AB2" s="26">
        <f t="shared" si="0"/>
        <v>7.0000000000000007E-2</v>
      </c>
      <c r="AC2" s="26">
        <f t="shared" si="0"/>
        <v>7.3333333333333334E-2</v>
      </c>
      <c r="AD2" s="26">
        <f t="shared" si="0"/>
        <v>7.6666666666666675E-2</v>
      </c>
      <c r="AE2" s="26">
        <f t="shared" si="0"/>
        <v>0.08</v>
      </c>
      <c r="AF2" s="26">
        <f t="shared" si="0"/>
        <v>8.3333333333333343E-2</v>
      </c>
      <c r="AG2" s="26">
        <f t="shared" si="0"/>
        <v>8.666666666666667E-2</v>
      </c>
      <c r="AH2" s="26">
        <f t="shared" si="0"/>
        <v>9.0000000000000011E-2</v>
      </c>
      <c r="AI2" s="26">
        <f t="shared" si="0"/>
        <v>9.3333333333333338E-2</v>
      </c>
      <c r="AJ2" s="26">
        <f t="shared" si="0"/>
        <v>9.6666666666666679E-2</v>
      </c>
      <c r="AK2" s="26">
        <f t="shared" si="0"/>
        <v>0.1</v>
      </c>
      <c r="AL2" s="24"/>
      <c r="AM2" s="36"/>
    </row>
    <row r="3" spans="1:39" x14ac:dyDescent="0.25">
      <c r="A3" s="16" t="s">
        <v>0</v>
      </c>
      <c r="B3" s="17">
        <v>0.1</v>
      </c>
      <c r="E3" s="25">
        <v>31</v>
      </c>
      <c r="F3" s="26">
        <f t="shared" ref="F3:F31" si="1">$B$6*(E3-1)</f>
        <v>0.1</v>
      </c>
      <c r="G3" s="13">
        <f>$B$16</f>
        <v>300</v>
      </c>
      <c r="H3" s="13">
        <v>319.44796019916237</v>
      </c>
      <c r="I3" s="13">
        <v>324.0210665524973</v>
      </c>
      <c r="J3" s="13">
        <v>325.15645198239014</v>
      </c>
      <c r="K3" s="13">
        <v>323.4031768275471</v>
      </c>
      <c r="L3" s="13">
        <v>319.14139670823658</v>
      </c>
      <c r="M3" s="13">
        <v>312.71433864686196</v>
      </c>
      <c r="N3" s="13">
        <v>304.46912808822339</v>
      </c>
      <c r="O3" s="13">
        <v>294.75854805624243</v>
      </c>
      <c r="P3" s="13">
        <v>283.92960678372327</v>
      </c>
      <c r="Q3" s="13">
        <v>272.3105783028559</v>
      </c>
      <c r="R3" s="13">
        <v>260.20092456513453</v>
      </c>
      <c r="S3" s="13">
        <v>247.86508617222219</v>
      </c>
      <c r="T3" s="13">
        <v>235.52971210294791</v>
      </c>
      <c r="U3" s="13">
        <v>223.38346377910585</v>
      </c>
      <c r="V3" s="13">
        <v>211.57852950500646</v>
      </c>
      <c r="W3" s="13">
        <v>200.23314604384888</v>
      </c>
      <c r="X3" s="13">
        <v>189.43461585181532</v>
      </c>
      <c r="Y3" s="13">
        <v>179.24247825132528</v>
      </c>
      <c r="Z3" s="13">
        <v>169.69162458564762</v>
      </c>
      <c r="AA3" s="13">
        <v>160.79524158077641</v>
      </c>
      <c r="AB3" s="13">
        <v>152.54753023438849</v>
      </c>
      <c r="AC3" s="13">
        <v>144.9261872548762</v>
      </c>
      <c r="AD3" s="13">
        <v>137.89465928473936</v>
      </c>
      <c r="AE3" s="13">
        <v>131.40419233379026</v>
      </c>
      <c r="AF3" s="13">
        <v>125.39570405571121</v>
      </c>
      <c r="AG3" s="13">
        <v>119.80150755535833</v>
      </c>
      <c r="AH3" s="13">
        <v>114.54691421384055</v>
      </c>
      <c r="AI3" s="13">
        <v>109.5517407907827</v>
      </c>
      <c r="AJ3" s="13">
        <v>104.73174356927335</v>
      </c>
      <c r="AK3" s="13">
        <f>$B$17</f>
        <v>100</v>
      </c>
      <c r="AL3" s="26">
        <f>$B$6*(AM3-1)</f>
        <v>0.1</v>
      </c>
      <c r="AM3" s="25">
        <v>31</v>
      </c>
    </row>
    <row r="4" spans="1:39" x14ac:dyDescent="0.25">
      <c r="A4" s="16" t="s">
        <v>28</v>
      </c>
      <c r="B4" s="17">
        <v>0.1</v>
      </c>
      <c r="E4" s="25">
        <v>30</v>
      </c>
      <c r="F4" s="26">
        <f t="shared" si="1"/>
        <v>9.6666666666666679E-2</v>
      </c>
      <c r="G4" s="13">
        <f t="shared" ref="G4:G33" si="2">$B$16</f>
        <v>300</v>
      </c>
      <c r="H4" s="13">
        <v>319.44796019916237</v>
      </c>
      <c r="I4" s="13">
        <v>324.0210665524973</v>
      </c>
      <c r="J4" s="13">
        <v>325.15645198239014</v>
      </c>
      <c r="K4" s="13">
        <v>323.4031768275471</v>
      </c>
      <c r="L4" s="13">
        <v>319.14139670823658</v>
      </c>
      <c r="M4" s="13">
        <v>312.71433864686196</v>
      </c>
      <c r="N4" s="13">
        <v>304.46912808822344</v>
      </c>
      <c r="O4" s="13">
        <v>294.75854805624243</v>
      </c>
      <c r="P4" s="13">
        <v>283.92960678372327</v>
      </c>
      <c r="Q4" s="13">
        <v>272.3105783028559</v>
      </c>
      <c r="R4" s="13">
        <v>260.20092456513453</v>
      </c>
      <c r="S4" s="13">
        <v>247.86508617222222</v>
      </c>
      <c r="T4" s="13">
        <v>235.52971210294794</v>
      </c>
      <c r="U4" s="13">
        <v>223.38346377910585</v>
      </c>
      <c r="V4" s="13">
        <v>211.57852950500649</v>
      </c>
      <c r="W4" s="13">
        <v>200.23314604384888</v>
      </c>
      <c r="X4" s="13">
        <v>189.43461585181535</v>
      </c>
      <c r="Y4" s="13">
        <v>179.24247825132528</v>
      </c>
      <c r="Z4" s="13">
        <v>169.69162458564762</v>
      </c>
      <c r="AA4" s="13">
        <v>160.79524158077641</v>
      </c>
      <c r="AB4" s="13">
        <v>152.54753023438849</v>
      </c>
      <c r="AC4" s="13">
        <v>144.9261872548762</v>
      </c>
      <c r="AD4" s="13">
        <v>137.89465928473936</v>
      </c>
      <c r="AE4" s="13">
        <v>131.40419233379026</v>
      </c>
      <c r="AF4" s="13">
        <v>125.39570405571121</v>
      </c>
      <c r="AG4" s="13">
        <v>119.80150755535833</v>
      </c>
      <c r="AH4" s="13">
        <v>114.54691421384055</v>
      </c>
      <c r="AI4" s="13">
        <v>109.5517407907827</v>
      </c>
      <c r="AJ4" s="13">
        <v>104.73174356927336</v>
      </c>
      <c r="AK4" s="13">
        <f t="shared" ref="AK4:AK33" si="3">$B$17</f>
        <v>100</v>
      </c>
      <c r="AL4" s="26">
        <f t="shared" ref="AL4:AL33" si="4">$B$6*(AM4-1)</f>
        <v>9.6666666666666679E-2</v>
      </c>
      <c r="AM4" s="25">
        <v>30</v>
      </c>
    </row>
    <row r="5" spans="1:39" x14ac:dyDescent="0.25">
      <c r="A5" s="16" t="s">
        <v>1</v>
      </c>
      <c r="B5" s="37">
        <f>B3/30</f>
        <v>3.3333333333333335E-3</v>
      </c>
      <c r="E5" s="25">
        <v>29</v>
      </c>
      <c r="F5" s="26">
        <f t="shared" si="1"/>
        <v>9.3333333333333338E-2</v>
      </c>
      <c r="G5" s="13">
        <f t="shared" si="2"/>
        <v>300</v>
      </c>
      <c r="H5" s="13">
        <v>325.53631982966851</v>
      </c>
      <c r="I5" s="13">
        <v>328.49729804670073</v>
      </c>
      <c r="J5" s="13">
        <v>328.75056846176733</v>
      </c>
      <c r="K5" s="13">
        <v>326.47407148154343</v>
      </c>
      <c r="L5" s="13">
        <v>321.84450838757459</v>
      </c>
      <c r="M5" s="13">
        <v>315.10830421255122</v>
      </c>
      <c r="N5" s="13">
        <v>306.57480095510954</v>
      </c>
      <c r="O5" s="13">
        <v>296.58760498318719</v>
      </c>
      <c r="P5" s="13">
        <v>285.4960238902072</v>
      </c>
      <c r="Q5" s="13">
        <v>273.63351109490986</v>
      </c>
      <c r="R5" s="13">
        <v>261.3038906607668</v>
      </c>
      <c r="S5" s="13">
        <v>248.77399539374684</v>
      </c>
      <c r="T5" s="13">
        <v>236.27091399982606</v>
      </c>
      <c r="U5" s="13">
        <v>223.98224686676582</v>
      </c>
      <c r="V5" s="13">
        <v>212.05814942897297</v>
      </c>
      <c r="W5" s="13">
        <v>200.61431060643918</v>
      </c>
      <c r="X5" s="13">
        <v>189.73531072794711</v>
      </c>
      <c r="Y5" s="13">
        <v>179.47802078319333</v>
      </c>
      <c r="Z5" s="13">
        <v>169.87485422569131</v>
      </c>
      <c r="AA5" s="13">
        <v>160.93677991587282</v>
      </c>
      <c r="AB5" s="13">
        <v>152.65606502092515</v>
      </c>
      <c r="AC5" s="13">
        <v>145.0087516708785</v>
      </c>
      <c r="AD5" s="13">
        <v>137.95688971362554</v>
      </c>
      <c r="AE5" s="13">
        <v>131.45055620733677</v>
      </c>
      <c r="AF5" s="13">
        <v>125.42969452654739</v>
      </c>
      <c r="AG5" s="13">
        <v>119.8258048777197</v>
      </c>
      <c r="AH5" s="13">
        <v>114.56351535376365</v>
      </c>
      <c r="AI5" s="13">
        <v>109.562059460494</v>
      </c>
      <c r="AJ5" s="13">
        <v>104.73668293651448</v>
      </c>
      <c r="AK5" s="13">
        <f t="shared" si="3"/>
        <v>100</v>
      </c>
      <c r="AL5" s="26">
        <f t="shared" si="4"/>
        <v>9.3333333333333338E-2</v>
      </c>
      <c r="AM5" s="25">
        <v>29</v>
      </c>
    </row>
    <row r="6" spans="1:39" x14ac:dyDescent="0.25">
      <c r="A6" s="16" t="s">
        <v>29</v>
      </c>
      <c r="B6" s="37">
        <f>B4/30</f>
        <v>3.3333333333333335E-3</v>
      </c>
      <c r="C6" s="15" t="s">
        <v>34</v>
      </c>
      <c r="E6" s="25">
        <v>28</v>
      </c>
      <c r="F6" s="26">
        <f t="shared" si="1"/>
        <v>9.0000000000000011E-2</v>
      </c>
      <c r="G6" s="13">
        <v>350</v>
      </c>
      <c r="H6" s="13">
        <v>340.295928056913</v>
      </c>
      <c r="I6" s="13">
        <v>338.18030974707727</v>
      </c>
      <c r="J6" s="13">
        <v>336.08287599366452</v>
      </c>
      <c r="K6" s="13">
        <v>332.60943469517451</v>
      </c>
      <c r="L6" s="13">
        <v>327.2230388253775</v>
      </c>
      <c r="M6" s="13">
        <v>319.87420340336587</v>
      </c>
      <c r="N6" s="13">
        <v>310.76888299422433</v>
      </c>
      <c r="O6" s="13">
        <v>300.22852739576774</v>
      </c>
      <c r="P6" s="13">
        <v>288.6091139228177</v>
      </c>
      <c r="Q6" s="13">
        <v>276.25674486311772</v>
      </c>
      <c r="R6" s="13">
        <v>263.48525797591884</v>
      </c>
      <c r="S6" s="13">
        <v>250.5666778041591</v>
      </c>
      <c r="T6" s="13">
        <v>237.72886573455355</v>
      </c>
      <c r="U6" s="13">
        <v>225.15697810880027</v>
      </c>
      <c r="V6" s="13">
        <v>212.9967467703861</v>
      </c>
      <c r="W6" s="13">
        <v>201.35845704414635</v>
      </c>
      <c r="X6" s="13">
        <v>190.32101547999255</v>
      </c>
      <c r="Y6" s="13">
        <v>179.93580406814684</v>
      </c>
      <c r="Z6" s="13">
        <v>170.23019182533037</v>
      </c>
      <c r="AA6" s="13">
        <v>161.21067046957432</v>
      </c>
      <c r="AB6" s="13">
        <v>152.86563038174768</v>
      </c>
      <c r="AC6" s="13">
        <v>145.16781577821121</v>
      </c>
      <c r="AD6" s="13">
        <v>138.07650581712616</v>
      </c>
      <c r="AE6" s="13">
        <v>131.5394682682456</v>
      </c>
      <c r="AF6" s="13">
        <v>125.4947285006715</v>
      </c>
      <c r="AG6" s="13">
        <v>119.87219121956147</v>
      </c>
      <c r="AH6" s="13">
        <v>114.59514688534502</v>
      </c>
      <c r="AI6" s="13">
        <v>109.58168972962102</v>
      </c>
      <c r="AJ6" s="13">
        <v>104.74607003744779</v>
      </c>
      <c r="AK6" s="13">
        <f t="shared" si="3"/>
        <v>100</v>
      </c>
      <c r="AL6" s="26">
        <f t="shared" si="4"/>
        <v>9.0000000000000011E-2</v>
      </c>
      <c r="AM6" s="25">
        <v>28</v>
      </c>
    </row>
    <row r="7" spans="1:39" x14ac:dyDescent="0.25">
      <c r="A7" s="16" t="s">
        <v>3</v>
      </c>
      <c r="B7" s="17">
        <v>120</v>
      </c>
      <c r="C7">
        <v>121</v>
      </c>
      <c r="E7" s="25">
        <v>27</v>
      </c>
      <c r="F7" s="26">
        <f t="shared" si="1"/>
        <v>8.666666666666667E-2</v>
      </c>
      <c r="G7" s="13">
        <v>450</v>
      </c>
      <c r="H7" s="13">
        <v>352.63126648098688</v>
      </c>
      <c r="I7" s="13">
        <v>347.40495079282999</v>
      </c>
      <c r="J7" s="13">
        <v>344.37132532728219</v>
      </c>
      <c r="K7" s="13">
        <v>340.49927041908336</v>
      </c>
      <c r="L7" s="13">
        <v>334.68532362601934</v>
      </c>
      <c r="M7" s="13">
        <v>326.75112110717771</v>
      </c>
      <c r="N7" s="13">
        <v>316.93071068614978</v>
      </c>
      <c r="O7" s="13">
        <v>305.6127893178994</v>
      </c>
      <c r="P7" s="13">
        <v>293.21537180307837</v>
      </c>
      <c r="Q7" s="13">
        <v>280.12868649798747</v>
      </c>
      <c r="R7" s="13">
        <v>266.69259513132675</v>
      </c>
      <c r="S7" s="13">
        <v>253.19090527012582</v>
      </c>
      <c r="T7" s="13">
        <v>239.85344395882203</v>
      </c>
      <c r="U7" s="13">
        <v>226.86125604084771</v>
      </c>
      <c r="V7" s="13">
        <v>214.35265580767654</v>
      </c>
      <c r="W7" s="13">
        <v>202.42909066861446</v>
      </c>
      <c r="X7" s="13">
        <v>191.16040166336359</v>
      </c>
      <c r="Y7" s="13">
        <v>180.5893725388367</v>
      </c>
      <c r="Z7" s="13">
        <v>170.73559946052703</v>
      </c>
      <c r="AA7" s="13">
        <v>161.59876885497221</v>
      </c>
      <c r="AB7" s="13">
        <v>153.16144468778018</v>
      </c>
      <c r="AC7" s="13">
        <v>145.39146132179147</v>
      </c>
      <c r="AD7" s="13">
        <v>138.24400554055896</v>
      </c>
      <c r="AE7" s="13">
        <v>131.66345703814247</v>
      </c>
      <c r="AF7" s="13">
        <v>125.58504325491924</v>
      </c>
      <c r="AG7" s="13">
        <v>119.93635289146755</v>
      </c>
      <c r="AH7" s="13">
        <v>114.6387429974513</v>
      </c>
      <c r="AI7" s="13">
        <v>109.60866709980768</v>
      </c>
      <c r="AJ7" s="13">
        <v>104.75894616306898</v>
      </c>
      <c r="AK7" s="13">
        <f t="shared" si="3"/>
        <v>100</v>
      </c>
      <c r="AL7" s="26">
        <f t="shared" si="4"/>
        <v>8.666666666666667E-2</v>
      </c>
      <c r="AM7" s="25">
        <v>27</v>
      </c>
    </row>
    <row r="8" spans="1:39" x14ac:dyDescent="0.25">
      <c r="A8" s="16" t="s">
        <v>2</v>
      </c>
      <c r="B8" s="17">
        <v>1</v>
      </c>
      <c r="E8" s="25">
        <v>26</v>
      </c>
      <c r="F8" s="26">
        <f t="shared" si="1"/>
        <v>8.3333333333333343E-2</v>
      </c>
      <c r="G8" s="13">
        <f t="shared" si="2"/>
        <v>300</v>
      </c>
      <c r="H8" s="13">
        <v>332.41608374009184</v>
      </c>
      <c r="I8" s="13">
        <v>343.08947157029672</v>
      </c>
      <c r="J8" s="13">
        <v>348.1258602934609</v>
      </c>
      <c r="K8" s="13">
        <v>347.95327082679904</v>
      </c>
      <c r="L8" s="13">
        <v>343.41772367292646</v>
      </c>
      <c r="M8" s="13">
        <v>335.4604854752165</v>
      </c>
      <c r="N8" s="13">
        <v>324.96330678570956</v>
      </c>
      <c r="O8" s="13">
        <v>312.68724996755043</v>
      </c>
      <c r="P8" s="13">
        <v>299.25953891435455</v>
      </c>
      <c r="Q8" s="13">
        <v>285.18245305448943</v>
      </c>
      <c r="R8" s="13">
        <v>270.85040254017565</v>
      </c>
      <c r="S8" s="13">
        <v>256.56834142668657</v>
      </c>
      <c r="T8" s="13">
        <v>242.56852164234823</v>
      </c>
      <c r="U8" s="13">
        <v>229.02457484315315</v>
      </c>
      <c r="V8" s="13">
        <v>216.06285429911208</v>
      </c>
      <c r="W8" s="13">
        <v>203.77136177805733</v>
      </c>
      <c r="X8" s="13">
        <v>192.20670065397871</v>
      </c>
      <c r="Y8" s="13">
        <v>181.39948576187328</v>
      </c>
      <c r="Z8" s="13">
        <v>171.35858029091813</v>
      </c>
      <c r="AA8" s="13">
        <v>162.07445792961022</v>
      </c>
      <c r="AB8" s="13">
        <v>153.52192115613713</v>
      </c>
      <c r="AC8" s="13">
        <v>145.66234996652884</v>
      </c>
      <c r="AD8" s="13">
        <v>138.44561039199792</v>
      </c>
      <c r="AE8" s="13">
        <v>131.81171770851762</v>
      </c>
      <c r="AF8" s="13">
        <v>125.6923234491482</v>
      </c>
      <c r="AG8" s="13">
        <v>120.0120763406733</v>
      </c>
      <c r="AH8" s="13">
        <v>114.68989349179039</v>
      </c>
      <c r="AI8" s="13">
        <v>109.64016826351764</v>
      </c>
      <c r="AJ8" s="13">
        <v>104.77393425529092</v>
      </c>
      <c r="AK8" s="13">
        <f t="shared" si="3"/>
        <v>100</v>
      </c>
      <c r="AL8" s="26">
        <f t="shared" si="4"/>
        <v>8.3333333333333343E-2</v>
      </c>
      <c r="AM8" s="25">
        <v>26</v>
      </c>
    </row>
    <row r="9" spans="1:39" x14ac:dyDescent="0.25">
      <c r="E9" s="25">
        <v>25</v>
      </c>
      <c r="F9" s="26">
        <f t="shared" si="1"/>
        <v>0.08</v>
      </c>
      <c r="G9" s="13">
        <f t="shared" si="2"/>
        <v>300</v>
      </c>
      <c r="H9" s="13">
        <v>321.21755086484433</v>
      </c>
      <c r="I9" s="13">
        <v>345.69275465067716</v>
      </c>
      <c r="J9" s="13">
        <v>357.64255640107149</v>
      </c>
      <c r="K9" s="13">
        <v>360.24042896721255</v>
      </c>
      <c r="L9" s="13">
        <v>356.13070541548143</v>
      </c>
      <c r="M9" s="13">
        <v>347.37582875034491</v>
      </c>
      <c r="N9" s="13">
        <v>335.52760231436491</v>
      </c>
      <c r="O9" s="13">
        <v>321.72976946780074</v>
      </c>
      <c r="P9" s="13">
        <v>306.81531600852884</v>
      </c>
      <c r="Q9" s="13">
        <v>291.38672407035347</v>
      </c>
      <c r="R9" s="13">
        <v>275.87777924610521</v>
      </c>
      <c r="S9" s="13">
        <v>260.59933976761943</v>
      </c>
      <c r="T9" s="13">
        <v>245.77242518028805</v>
      </c>
      <c r="U9" s="13">
        <v>231.55178961412597</v>
      </c>
      <c r="V9" s="13">
        <v>218.04258352810302</v>
      </c>
      <c r="W9" s="13">
        <v>205.31210426166825</v>
      </c>
      <c r="X9" s="13">
        <v>193.39811102450346</v>
      </c>
      <c r="Y9" s="13">
        <v>182.3147645840811</v>
      </c>
      <c r="Z9" s="13">
        <v>172.05693971842527</v>
      </c>
      <c r="AA9" s="13">
        <v>162.60343132718268</v>
      </c>
      <c r="AB9" s="13">
        <v>153.91941332414572</v>
      </c>
      <c r="AC9" s="13">
        <v>145.95839597309441</v>
      </c>
      <c r="AD9" s="13">
        <v>138.66384862242001</v>
      </c>
      <c r="AE9" s="13">
        <v>131.97060064800999</v>
      </c>
      <c r="AF9" s="13">
        <v>125.8060964084608</v>
      </c>
      <c r="AG9" s="13">
        <v>120.09155486855904</v>
      </c>
      <c r="AH9" s="13">
        <v>114.74306755141298</v>
      </c>
      <c r="AI9" s="13">
        <v>109.67265706812273</v>
      </c>
      <c r="AJ9" s="13">
        <v>104.78931088264184</v>
      </c>
      <c r="AK9" s="13">
        <f t="shared" si="3"/>
        <v>100</v>
      </c>
      <c r="AL9" s="26">
        <f t="shared" si="4"/>
        <v>0.08</v>
      </c>
      <c r="AM9" s="25">
        <v>25</v>
      </c>
    </row>
    <row r="10" spans="1:39" x14ac:dyDescent="0.25">
      <c r="A10" s="90" t="s">
        <v>30</v>
      </c>
      <c r="B10" s="90"/>
      <c r="E10" s="25">
        <v>24</v>
      </c>
      <c r="F10" s="26">
        <f t="shared" si="1"/>
        <v>7.6666666666666675E-2</v>
      </c>
      <c r="G10" s="13">
        <v>75</v>
      </c>
      <c r="H10" s="13">
        <v>311.52558807062292</v>
      </c>
      <c r="I10" s="13">
        <v>355.35298609777738</v>
      </c>
      <c r="J10" s="13">
        <v>374.85790113396263</v>
      </c>
      <c r="K10" s="13">
        <v>379.18359717658257</v>
      </c>
      <c r="L10" s="13">
        <v>374.08170741765002</v>
      </c>
      <c r="M10" s="13">
        <v>363.21915682166468</v>
      </c>
      <c r="N10" s="13">
        <v>348.95691461167223</v>
      </c>
      <c r="O10" s="13">
        <v>332.8265988203778</v>
      </c>
      <c r="P10" s="13">
        <v>315.82778882675137</v>
      </c>
      <c r="Q10" s="13">
        <v>298.61588684054453</v>
      </c>
      <c r="R10" s="13">
        <v>281.6217908081627</v>
      </c>
      <c r="S10" s="13">
        <v>265.12850477416265</v>
      </c>
      <c r="T10" s="13">
        <v>249.32032572916188</v>
      </c>
      <c r="U10" s="13">
        <v>234.31448663417518</v>
      </c>
      <c r="V10" s="13">
        <v>220.18155601114813</v>
      </c>
      <c r="W10" s="13">
        <v>206.95863413015093</v>
      </c>
      <c r="X10" s="13">
        <v>194.65794361565364</v>
      </c>
      <c r="Y10" s="13">
        <v>183.27248635926929</v>
      </c>
      <c r="Z10" s="13">
        <v>172.77984209067941</v>
      </c>
      <c r="AA10" s="13">
        <v>163.14479900935993</v>
      </c>
      <c r="AB10" s="13">
        <v>154.32125836471221</v>
      </c>
      <c r="AC10" s="13">
        <v>146.25369450834643</v>
      </c>
      <c r="AD10" s="13">
        <v>138.87834858283216</v>
      </c>
      <c r="AE10" s="13">
        <v>132.12426752019471</v>
      </c>
      <c r="AF10" s="13">
        <v>125.91425736916884</v>
      </c>
      <c r="AG10" s="13">
        <v>120.16579271488402</v>
      </c>
      <c r="AH10" s="13">
        <v>114.79190663397097</v>
      </c>
      <c r="AI10" s="13">
        <v>109.70207470413946</v>
      </c>
      <c r="AJ10" s="13">
        <v>104.80309977185314</v>
      </c>
      <c r="AK10" s="13">
        <f t="shared" si="3"/>
        <v>100</v>
      </c>
      <c r="AL10" s="26">
        <f t="shared" si="4"/>
        <v>7.6666666666666675E-2</v>
      </c>
      <c r="AM10" s="25">
        <v>24</v>
      </c>
    </row>
    <row r="11" spans="1:39" x14ac:dyDescent="0.25">
      <c r="A11" s="18" t="s">
        <v>4</v>
      </c>
      <c r="B11" s="19">
        <v>460</v>
      </c>
      <c r="E11" s="25">
        <v>23</v>
      </c>
      <c r="F11" s="26">
        <f t="shared" si="1"/>
        <v>7.3333333333333334E-2</v>
      </c>
      <c r="G11" s="13">
        <f t="shared" si="2"/>
        <v>300</v>
      </c>
      <c r="H11" s="13">
        <v>374.47475641003882</v>
      </c>
      <c r="I11" s="13">
        <v>406.16097696793838</v>
      </c>
      <c r="J11" s="13">
        <v>416.14045319853267</v>
      </c>
      <c r="K11" s="13">
        <v>412.56524141123657</v>
      </c>
      <c r="L11" s="13">
        <v>400.85509900965849</v>
      </c>
      <c r="M11" s="13">
        <v>384.51705624087583</v>
      </c>
      <c r="N11" s="13">
        <v>365.77833599093208</v>
      </c>
      <c r="O11" s="13">
        <v>346.03365464611323</v>
      </c>
      <c r="P11" s="13">
        <v>326.14613579585858</v>
      </c>
      <c r="Q11" s="13">
        <v>306.64358900933541</v>
      </c>
      <c r="R11" s="13">
        <v>287.84386581942442</v>
      </c>
      <c r="S11" s="13">
        <v>269.9336818952994</v>
      </c>
      <c r="T11" s="13">
        <v>253.01756442345931</v>
      </c>
      <c r="U11" s="13">
        <v>237.14792057047964</v>
      </c>
      <c r="V11" s="13">
        <v>222.34332605701263</v>
      </c>
      <c r="W11" s="13">
        <v>208.59954769177983</v>
      </c>
      <c r="X11" s="13">
        <v>195.89613780149932</v>
      </c>
      <c r="Y11" s="13">
        <v>184.20036857137734</v>
      </c>
      <c r="Z11" s="13">
        <v>173.46959851052287</v>
      </c>
      <c r="AA11" s="13">
        <v>163.65273973482704</v>
      </c>
      <c r="AB11" s="13">
        <v>154.69123100166473</v>
      </c>
      <c r="AC11" s="13">
        <v>146.51975809829938</v>
      </c>
      <c r="AD11" s="13">
        <v>139.06686263884734</v>
      </c>
      <c r="AE11" s="13">
        <v>132.25551886159329</v>
      </c>
      <c r="AF11" s="13">
        <v>126.0037207878281</v>
      </c>
      <c r="AG11" s="13">
        <v>120.22509982927129</v>
      </c>
      <c r="AH11" s="13">
        <v>114.82957983251279</v>
      </c>
      <c r="AI11" s="13">
        <v>109.72406902863419</v>
      </c>
      <c r="AJ11" s="13">
        <v>104.81318417991004</v>
      </c>
      <c r="AK11" s="13">
        <f t="shared" si="3"/>
        <v>100</v>
      </c>
      <c r="AL11" s="26">
        <f t="shared" si="4"/>
        <v>7.3333333333333334E-2</v>
      </c>
      <c r="AM11" s="25">
        <v>23</v>
      </c>
    </row>
    <row r="12" spans="1:39" x14ac:dyDescent="0.25">
      <c r="A12" s="18" t="s">
        <v>5</v>
      </c>
      <c r="B12" s="19">
        <v>7800</v>
      </c>
      <c r="E12" s="25">
        <v>22</v>
      </c>
      <c r="F12" s="26">
        <f t="shared" si="1"/>
        <v>7.0000000000000007E-2</v>
      </c>
      <c r="G12" s="13">
        <f t="shared" si="2"/>
        <v>300</v>
      </c>
      <c r="H12" s="13">
        <v>456.73881269934697</v>
      </c>
      <c r="I12" s="13">
        <v>475.17001687500579</v>
      </c>
      <c r="J12" s="13">
        <v>471.30316382583197</v>
      </c>
      <c r="K12" s="13">
        <v>455.53757750534476</v>
      </c>
      <c r="L12" s="13">
        <v>433.86184242632044</v>
      </c>
      <c r="M12" s="13">
        <v>409.67785676040523</v>
      </c>
      <c r="N12" s="13">
        <v>384.88478213768406</v>
      </c>
      <c r="O12" s="13">
        <v>360.51709858292662</v>
      </c>
      <c r="P12" s="13">
        <v>337.11707952626256</v>
      </c>
      <c r="Q12" s="13">
        <v>314.95042576479244</v>
      </c>
      <c r="R12" s="13">
        <v>294.12990991587435</v>
      </c>
      <c r="S12" s="13">
        <v>274.68540661351182</v>
      </c>
      <c r="T12" s="13">
        <v>256.60288535276027</v>
      </c>
      <c r="U12" s="13">
        <v>239.84558655383887</v>
      </c>
      <c r="V12" s="13">
        <v>224.36508907356674</v>
      </c>
      <c r="W12" s="13">
        <v>210.10674189623938</v>
      </c>
      <c r="X12" s="13">
        <v>197.01203921648704</v>
      </c>
      <c r="Y12" s="13">
        <v>185.01941299266764</v>
      </c>
      <c r="Z12" s="13">
        <v>174.06427406463936</v>
      </c>
      <c r="AA12" s="13">
        <v>164.07876041881383</v>
      </c>
      <c r="AB12" s="13">
        <v>154.99143672898501</v>
      </c>
      <c r="AC12" s="13">
        <v>146.72706703424177</v>
      </c>
      <c r="AD12" s="13">
        <v>139.20651375979222</v>
      </c>
      <c r="AE12" s="13">
        <v>132.34677866031129</v>
      </c>
      <c r="AF12" s="13">
        <v>126.0611814560113</v>
      </c>
      <c r="AG12" s="13">
        <v>120.25966221677064</v>
      </c>
      <c r="AH12" s="13">
        <v>114.8491894240112</v>
      </c>
      <c r="AI12" s="13">
        <v>109.73425448259752</v>
      </c>
      <c r="AJ12" s="13">
        <v>104.81743374763529</v>
      </c>
      <c r="AK12" s="13">
        <f t="shared" si="3"/>
        <v>100</v>
      </c>
      <c r="AL12" s="26">
        <f t="shared" si="4"/>
        <v>7.0000000000000007E-2</v>
      </c>
      <c r="AM12" s="25">
        <v>22</v>
      </c>
    </row>
    <row r="13" spans="1:39" x14ac:dyDescent="0.25">
      <c r="A13" s="18" t="s">
        <v>35</v>
      </c>
      <c r="B13" s="19">
        <v>46</v>
      </c>
      <c r="E13" s="25">
        <v>21</v>
      </c>
      <c r="F13" s="26">
        <f t="shared" si="1"/>
        <v>6.6666666666666666E-2</v>
      </c>
      <c r="G13" s="13">
        <f t="shared" si="2"/>
        <v>300</v>
      </c>
      <c r="H13" s="13">
        <v>591.87155966264015</v>
      </c>
      <c r="I13" s="13">
        <v>575.78464906085571</v>
      </c>
      <c r="J13" s="13">
        <v>544.70645776806748</v>
      </c>
      <c r="K13" s="13">
        <v>508.63161402397606</v>
      </c>
      <c r="L13" s="13">
        <v>472.19254758746922</v>
      </c>
      <c r="M13" s="13">
        <v>437.40147814411148</v>
      </c>
      <c r="N13" s="13">
        <v>405.01241415955076</v>
      </c>
      <c r="O13" s="13">
        <v>375.19559814948985</v>
      </c>
      <c r="P13" s="13">
        <v>347.86827722994502</v>
      </c>
      <c r="Q13" s="13">
        <v>322.85359249884164</v>
      </c>
      <c r="R13" s="13">
        <v>299.95382280629946</v>
      </c>
      <c r="S13" s="13">
        <v>278.98140059765541</v>
      </c>
      <c r="T13" s="13">
        <v>259.76956524221737</v>
      </c>
      <c r="U13" s="13">
        <v>242.17362178372088</v>
      </c>
      <c r="V13" s="13">
        <v>226.06824826322799</v>
      </c>
      <c r="W13" s="13">
        <v>211.34349411685886</v>
      </c>
      <c r="X13" s="13">
        <v>197.9006985038003</v>
      </c>
      <c r="Y13" s="13">
        <v>185.64885154664461</v>
      </c>
      <c r="Z13" s="13">
        <v>174.50157655109109</v>
      </c>
      <c r="AA13" s="13">
        <v>164.374749566064</v>
      </c>
      <c r="AB13" s="13">
        <v>155.18470288898567</v>
      </c>
      <c r="AC13" s="13">
        <v>146.84693451099383</v>
      </c>
      <c r="AD13" s="13">
        <v>139.2752421538305</v>
      </c>
      <c r="AE13" s="13">
        <v>132.38120642765364</v>
      </c>
      <c r="AF13" s="13">
        <v>126.07395678673313</v>
      </c>
      <c r="AG13" s="13">
        <v>120.26016354737126</v>
      </c>
      <c r="AH13" s="13">
        <v>114.84420800408546</v>
      </c>
      <c r="AI13" s="13">
        <v>109.72849015611681</v>
      </c>
      <c r="AJ13" s="13">
        <v>104.81383962059726</v>
      </c>
      <c r="AK13" s="13">
        <f t="shared" si="3"/>
        <v>100</v>
      </c>
      <c r="AL13" s="26">
        <f t="shared" si="4"/>
        <v>6.6666666666666666E-2</v>
      </c>
      <c r="AM13" s="25">
        <v>21</v>
      </c>
    </row>
    <row r="14" spans="1:39" x14ac:dyDescent="0.25">
      <c r="A14" s="12"/>
      <c r="B14" s="12"/>
      <c r="E14" s="25">
        <v>20</v>
      </c>
      <c r="F14" s="26">
        <f t="shared" si="1"/>
        <v>6.3333333333333339E-2</v>
      </c>
      <c r="G14" s="13">
        <v>1100</v>
      </c>
      <c r="H14" s="13">
        <v>838.00093366137992</v>
      </c>
      <c r="I14" s="13">
        <v>727.60773322213129</v>
      </c>
      <c r="J14" s="13">
        <v>640.75017837867119</v>
      </c>
      <c r="K14" s="13">
        <v>570.83973647436665</v>
      </c>
      <c r="L14" s="13">
        <v>513.36607812478849</v>
      </c>
      <c r="M14" s="13">
        <v>465.18592384167596</v>
      </c>
      <c r="N14" s="13">
        <v>424.08064714625817</v>
      </c>
      <c r="O14" s="13">
        <v>388.46861168706846</v>
      </c>
      <c r="P14" s="13">
        <v>357.21233789797765</v>
      </c>
      <c r="Q14" s="13">
        <v>329.48658034839002</v>
      </c>
      <c r="R14" s="13">
        <v>304.68680747065736</v>
      </c>
      <c r="S14" s="13">
        <v>282.36505241559155</v>
      </c>
      <c r="T14" s="13">
        <v>262.18457180280893</v>
      </c>
      <c r="U14" s="13">
        <v>243.88756397528647</v>
      </c>
      <c r="V14" s="13">
        <v>227.27203565430915</v>
      </c>
      <c r="W14" s="13">
        <v>212.17513144035766</v>
      </c>
      <c r="X14" s="13">
        <v>198.46106863640983</v>
      </c>
      <c r="Y14" s="13">
        <v>186.01238372359569</v>
      </c>
      <c r="Z14" s="13">
        <v>174.72358291366177</v>
      </c>
      <c r="AA14" s="13">
        <v>164.49655487126131</v>
      </c>
      <c r="AB14" s="13">
        <v>155.23728744261777</v>
      </c>
      <c r="AC14" s="13">
        <v>146.85355804938266</v>
      </c>
      <c r="AD14" s="13">
        <v>139.25335691716305</v>
      </c>
      <c r="AE14" s="13">
        <v>132.34386544975939</v>
      </c>
      <c r="AF14" s="13">
        <v>126.03085694193447</v>
      </c>
      <c r="AG14" s="13">
        <v>120.21841895975325</v>
      </c>
      <c r="AH14" s="13">
        <v>114.80891986341064</v>
      </c>
      <c r="AI14" s="13">
        <v>109.70315866309809</v>
      </c>
      <c r="AJ14" s="13">
        <v>104.80064942841858</v>
      </c>
      <c r="AK14" s="13">
        <f t="shared" si="3"/>
        <v>100</v>
      </c>
      <c r="AL14" s="26">
        <f t="shared" si="4"/>
        <v>6.3333333333333339E-2</v>
      </c>
      <c r="AM14" s="25">
        <v>20</v>
      </c>
    </row>
    <row r="15" spans="1:39" x14ac:dyDescent="0.25">
      <c r="A15" s="91" t="s">
        <v>31</v>
      </c>
      <c r="B15" s="91"/>
      <c r="E15" s="25">
        <v>19</v>
      </c>
      <c r="F15" s="26">
        <f t="shared" si="1"/>
        <v>6.0000000000000005E-2</v>
      </c>
      <c r="G15" s="13">
        <v>1500</v>
      </c>
      <c r="H15" s="13">
        <v>1026.0386076624809</v>
      </c>
      <c r="I15" s="13">
        <v>844.20869440654735</v>
      </c>
      <c r="J15" s="13">
        <v>714.14541380075161</v>
      </c>
      <c r="K15" s="13">
        <v>617.78283929433826</v>
      </c>
      <c r="L15" s="13">
        <v>543.87957498093715</v>
      </c>
      <c r="M15" s="13">
        <v>485.32918224318894</v>
      </c>
      <c r="N15" s="13">
        <v>437.56420317855157</v>
      </c>
      <c r="O15" s="13">
        <v>397.59850931328049</v>
      </c>
      <c r="P15" s="13">
        <v>363.44553083724219</v>
      </c>
      <c r="Q15" s="13">
        <v>333.76004109538968</v>
      </c>
      <c r="R15" s="13">
        <v>307.6143799944241</v>
      </c>
      <c r="S15" s="13">
        <v>284.35651064982068</v>
      </c>
      <c r="T15" s="13">
        <v>263.51854730945769</v>
      </c>
      <c r="U15" s="13">
        <v>244.75685496867737</v>
      </c>
      <c r="V15" s="13">
        <v>227.8121981487555</v>
      </c>
      <c r="W15" s="13">
        <v>212.48282590988569</v>
      </c>
      <c r="X15" s="13">
        <v>198.60604364364394</v>
      </c>
      <c r="Y15" s="13">
        <v>186.0454489128764</v>
      </c>
      <c r="Z15" s="13">
        <v>174.68201383262817</v>
      </c>
      <c r="AA15" s="13">
        <v>164.40782534779504</v>
      </c>
      <c r="AB15" s="13">
        <v>155.12169326703801</v>
      </c>
      <c r="AC15" s="13">
        <v>146.72609184036241</v>
      </c>
      <c r="AD15" s="13">
        <v>139.12506731387771</v>
      </c>
      <c r="AE15" s="13">
        <v>132.22285394230852</v>
      </c>
      <c r="AF15" s="13">
        <v>125.92301463639423</v>
      </c>
      <c r="AG15" s="13">
        <v>120.12797244230458</v>
      </c>
      <c r="AH15" s="13">
        <v>114.73883340555511</v>
      </c>
      <c r="AI15" s="13">
        <v>109.65542517384273</v>
      </c>
      <c r="AJ15" s="13">
        <v>104.7764922263907</v>
      </c>
      <c r="AK15" s="13">
        <f t="shared" si="3"/>
        <v>100</v>
      </c>
      <c r="AL15" s="26">
        <f t="shared" si="4"/>
        <v>6.0000000000000005E-2</v>
      </c>
      <c r="AM15" s="25">
        <v>19</v>
      </c>
    </row>
    <row r="16" spans="1:39" x14ac:dyDescent="0.25">
      <c r="A16" s="20" t="s">
        <v>36</v>
      </c>
      <c r="B16" s="14">
        <v>300</v>
      </c>
      <c r="E16" s="25">
        <v>18</v>
      </c>
      <c r="F16" s="26">
        <f t="shared" si="1"/>
        <v>5.6666666666666671E-2</v>
      </c>
      <c r="G16" s="13">
        <v>1700</v>
      </c>
      <c r="H16" s="13">
        <v>1101.1482569935729</v>
      </c>
      <c r="I16" s="13">
        <v>890.17915151018542</v>
      </c>
      <c r="J16" s="13">
        <v>742.69175200736709</v>
      </c>
      <c r="K16" s="13">
        <v>635.74854697117087</v>
      </c>
      <c r="L16" s="13">
        <v>555.31167606012627</v>
      </c>
      <c r="M16" s="13">
        <v>492.65488034089299</v>
      </c>
      <c r="N16" s="13">
        <v>442.26252299218902</v>
      </c>
      <c r="O16" s="13">
        <v>400.58667977425057</v>
      </c>
      <c r="P16" s="13">
        <v>365.30328467381668</v>
      </c>
      <c r="Q16" s="13">
        <v>334.86118187248286</v>
      </c>
      <c r="R16" s="13">
        <v>308.20487091861929</v>
      </c>
      <c r="S16" s="13">
        <v>284.60144266791247</v>
      </c>
      <c r="T16" s="13">
        <v>263.53081201332157</v>
      </c>
      <c r="U16" s="13">
        <v>244.61493968545685</v>
      </c>
      <c r="V16" s="13">
        <v>227.57143186797691</v>
      </c>
      <c r="W16" s="13">
        <v>212.18262740494964</v>
      </c>
      <c r="X16" s="13">
        <v>198.27469194329154</v>
      </c>
      <c r="Y16" s="13">
        <v>185.70329252120703</v>
      </c>
      <c r="Z16" s="13">
        <v>174.3436781384471</v>
      </c>
      <c r="AA16" s="13">
        <v>164.08376441316744</v>
      </c>
      <c r="AB16" s="13">
        <v>154.81930336962787</v>
      </c>
      <c r="AC16" s="13">
        <v>146.45052541036262</v>
      </c>
      <c r="AD16" s="13">
        <v>138.8798371689584</v>
      </c>
      <c r="AE16" s="13">
        <v>132.01028713266368</v>
      </c>
      <c r="AF16" s="13">
        <v>125.74459570829544</v>
      </c>
      <c r="AG16" s="13">
        <v>119.98460326695712</v>
      </c>
      <c r="AH16" s="13">
        <v>114.63102832035304</v>
      </c>
      <c r="AI16" s="13">
        <v>109.58345445968729</v>
      </c>
      <c r="AJ16" s="13">
        <v>104.74048291018019</v>
      </c>
      <c r="AK16" s="13">
        <f t="shared" si="3"/>
        <v>100</v>
      </c>
      <c r="AL16" s="26">
        <f t="shared" si="4"/>
        <v>5.6666666666666671E-2</v>
      </c>
      <c r="AM16" s="25">
        <v>18</v>
      </c>
    </row>
    <row r="17" spans="1:39" x14ac:dyDescent="0.25">
      <c r="A17" s="20" t="s">
        <v>37</v>
      </c>
      <c r="B17" s="14">
        <v>100</v>
      </c>
      <c r="E17" s="25">
        <v>17</v>
      </c>
      <c r="F17" s="26">
        <f t="shared" si="1"/>
        <v>5.3333333333333337E-2</v>
      </c>
      <c r="G17" s="13">
        <v>1500</v>
      </c>
      <c r="H17" s="13">
        <v>1027.3961965883454</v>
      </c>
      <c r="I17" s="13">
        <v>845.49377437829548</v>
      </c>
      <c r="J17" s="13">
        <v>715.07045175673306</v>
      </c>
      <c r="K17" s="13">
        <v>618.24683246386644</v>
      </c>
      <c r="L17" s="13">
        <v>543.88468975156445</v>
      </c>
      <c r="M17" s="13">
        <v>484.92833145724956</v>
      </c>
      <c r="N17" s="13">
        <v>436.83029868515735</v>
      </c>
      <c r="O17" s="13">
        <v>396.60764593671541</v>
      </c>
      <c r="P17" s="13">
        <v>362.26858365490523</v>
      </c>
      <c r="Q17" s="13">
        <v>332.45907625390305</v>
      </c>
      <c r="R17" s="13">
        <v>306.24166894366175</v>
      </c>
      <c r="S17" s="13">
        <v>282.95485553469143</v>
      </c>
      <c r="T17" s="13">
        <v>262.12219539570879</v>
      </c>
      <c r="U17" s="13">
        <v>243.39261767277213</v>
      </c>
      <c r="V17" s="13">
        <v>226.50058206890463</v>
      </c>
      <c r="W17" s="13">
        <v>211.23908781390844</v>
      </c>
      <c r="X17" s="13">
        <v>197.4411358065712</v>
      </c>
      <c r="Y17" s="13">
        <v>184.96684794682801</v>
      </c>
      <c r="Z17" s="13">
        <v>173.69443822054103</v>
      </c>
      <c r="AA17" s="13">
        <v>163.51385153930943</v>
      </c>
      <c r="AB17" s="13">
        <v>154.32228131144791</v>
      </c>
      <c r="AC17" s="13">
        <v>146.02103111188802</v>
      </c>
      <c r="AD17" s="13">
        <v>138.5133518924905</v>
      </c>
      <c r="AE17" s="13">
        <v>131.70299607775615</v>
      </c>
      <c r="AF17" s="13">
        <v>125.4933036097122</v>
      </c>
      <c r="AG17" s="13">
        <v>119.78668509398651</v>
      </c>
      <c r="AH17" s="13">
        <v>114.48440162071975</v>
      </c>
      <c r="AI17" s="13">
        <v>109.48656468566523</v>
      </c>
      <c r="AJ17" s="13">
        <v>104.69229620258621</v>
      </c>
      <c r="AK17" s="13">
        <f t="shared" si="3"/>
        <v>100</v>
      </c>
      <c r="AL17" s="26">
        <f t="shared" si="4"/>
        <v>5.3333333333333337E-2</v>
      </c>
      <c r="AM17" s="25">
        <v>17</v>
      </c>
    </row>
    <row r="18" spans="1:39" x14ac:dyDescent="0.25">
      <c r="A18" s="12"/>
      <c r="B18" s="12"/>
      <c r="E18" s="25">
        <v>16</v>
      </c>
      <c r="F18" s="26">
        <f t="shared" si="1"/>
        <v>0.05</v>
      </c>
      <c r="G18" s="13">
        <v>1100</v>
      </c>
      <c r="H18" s="13">
        <v>841.26538129228709</v>
      </c>
      <c r="I18" s="13">
        <v>730.51351694574669</v>
      </c>
      <c r="J18" s="13">
        <v>642.76484201965582</v>
      </c>
      <c r="K18" s="13">
        <v>571.81776397172757</v>
      </c>
      <c r="L18" s="13">
        <v>513.35886539699618</v>
      </c>
      <c r="M18" s="13">
        <v>464.33226605126129</v>
      </c>
      <c r="N18" s="13">
        <v>422.54714226815116</v>
      </c>
      <c r="O18" s="13">
        <v>386.41942713676048</v>
      </c>
      <c r="P18" s="13">
        <v>354.79546766615118</v>
      </c>
      <c r="Q18" s="13">
        <v>326.82892806939901</v>
      </c>
      <c r="R18" s="13">
        <v>301.89372023309778</v>
      </c>
      <c r="S18" s="13">
        <v>279.52190606593189</v>
      </c>
      <c r="T18" s="13">
        <v>259.35914818382093</v>
      </c>
      <c r="U18" s="13">
        <v>241.13259394800284</v>
      </c>
      <c r="V18" s="13">
        <v>224.62762067726317</v>
      </c>
      <c r="W18" s="13">
        <v>209.67093014078893</v>
      </c>
      <c r="X18" s="13">
        <v>196.11821896587719</v>
      </c>
      <c r="Y18" s="13">
        <v>183.84516883552288</v>
      </c>
      <c r="Z18" s="13">
        <v>172.74086329441073</v>
      </c>
      <c r="AA18" s="13">
        <v>162.70299286336433</v>
      </c>
      <c r="AB18" s="13">
        <v>153.63438934989065</v>
      </c>
      <c r="AC18" s="13">
        <v>145.44055646845098</v>
      </c>
      <c r="AD18" s="13">
        <v>138.0279530845547</v>
      </c>
      <c r="AE18" s="13">
        <v>131.30284870359932</v>
      </c>
      <c r="AF18" s="13">
        <v>125.17061598553303</v>
      </c>
      <c r="AG18" s="13">
        <v>119.53535745330328</v>
      </c>
      <c r="AH18" s="13">
        <v>114.2997868929555</v>
      </c>
      <c r="AI18" s="13">
        <v>109.36530277881647</v>
      </c>
      <c r="AJ18" s="13">
        <v>104.63220315853474</v>
      </c>
      <c r="AK18" s="13">
        <f t="shared" si="3"/>
        <v>100</v>
      </c>
      <c r="AL18" s="26">
        <f t="shared" si="4"/>
        <v>0.05</v>
      </c>
      <c r="AM18" s="25">
        <v>16</v>
      </c>
    </row>
    <row r="19" spans="1:39" x14ac:dyDescent="0.25">
      <c r="A19" s="92" t="s">
        <v>32</v>
      </c>
      <c r="B19" s="92"/>
      <c r="E19" s="25">
        <v>15</v>
      </c>
      <c r="F19" s="26">
        <f t="shared" si="1"/>
        <v>4.6666666666666669E-2</v>
      </c>
      <c r="G19" s="13">
        <f t="shared" si="2"/>
        <v>300</v>
      </c>
      <c r="H19" s="13">
        <v>598.39924320869579</v>
      </c>
      <c r="I19" s="13">
        <v>581.06032003138512</v>
      </c>
      <c r="J19" s="13">
        <v>548.14241994564145</v>
      </c>
      <c r="K19" s="13">
        <v>510.20192424555859</v>
      </c>
      <c r="L19" s="13">
        <v>472.11380356106042</v>
      </c>
      <c r="M19" s="13">
        <v>435.97176942044371</v>
      </c>
      <c r="N19" s="13">
        <v>402.53479596934699</v>
      </c>
      <c r="O19" s="13">
        <v>371.94524351169946</v>
      </c>
      <c r="P19" s="13">
        <v>344.08128753143399</v>
      </c>
      <c r="Q19" s="13">
        <v>318.72593672049703</v>
      </c>
      <c r="R19" s="13">
        <v>295.64456716086494</v>
      </c>
      <c r="S19" s="13">
        <v>274.61739693634547</v>
      </c>
      <c r="T19" s="13">
        <v>255.45030827073737</v>
      </c>
      <c r="U19" s="13">
        <v>237.97574731241809</v>
      </c>
      <c r="V19" s="13">
        <v>222.04950331370776</v>
      </c>
      <c r="W19" s="13">
        <v>207.54616611164306</v>
      </c>
      <c r="X19" s="13">
        <v>194.35455016902236</v>
      </c>
      <c r="Y19" s="13">
        <v>182.37362387105412</v>
      </c>
      <c r="Z19" s="13">
        <v>171.50912014395931</v>
      </c>
      <c r="AA19" s="13">
        <v>161.67083700683133</v>
      </c>
      <c r="AB19" s="13">
        <v>152.77056619495099</v>
      </c>
      <c r="AC19" s="13">
        <v>144.72056443460755</v>
      </c>
      <c r="AD19" s="13">
        <v>137.43248000598197</v>
      </c>
      <c r="AE19" s="13">
        <v>130.8166543207889</v>
      </c>
      <c r="AF19" s="13">
        <v>124.78172827866277</v>
      </c>
      <c r="AG19" s="13">
        <v>119.23449334337835</v>
      </c>
      <c r="AH19" s="13">
        <v>114.07993641304944</v>
      </c>
      <c r="AI19" s="13">
        <v>109.22143524038539</v>
      </c>
      <c r="AJ19" s="13">
        <v>104.56106733205851</v>
      </c>
      <c r="AK19" s="13">
        <f t="shared" si="3"/>
        <v>100</v>
      </c>
      <c r="AL19" s="26">
        <f t="shared" si="4"/>
        <v>4.6666666666666669E-2</v>
      </c>
      <c r="AM19" s="25">
        <v>15</v>
      </c>
    </row>
    <row r="20" spans="1:39" x14ac:dyDescent="0.25">
      <c r="A20" s="21" t="s">
        <v>19</v>
      </c>
      <c r="B20" s="22">
        <f>B13/(B5^2)</f>
        <v>4139999.9999999991</v>
      </c>
      <c r="E20" s="25">
        <v>14</v>
      </c>
      <c r="F20" s="26">
        <f t="shared" si="1"/>
        <v>4.3333333333333335E-2</v>
      </c>
      <c r="G20" s="13">
        <f t="shared" si="2"/>
        <v>300</v>
      </c>
      <c r="H20" s="13">
        <v>469.34457390677886</v>
      </c>
      <c r="I20" s="13">
        <v>484.14377058587945</v>
      </c>
      <c r="J20" s="13">
        <v>476.64649417470389</v>
      </c>
      <c r="K20" s="13">
        <v>457.74697923623188</v>
      </c>
      <c r="L20" s="13">
        <v>433.55277319194107</v>
      </c>
      <c r="M20" s="13">
        <v>407.43501353367412</v>
      </c>
      <c r="N20" s="13">
        <v>381.21257988289557</v>
      </c>
      <c r="O20" s="13">
        <v>355.83189447446796</v>
      </c>
      <c r="P20" s="13">
        <v>331.75488836313798</v>
      </c>
      <c r="Q20" s="13">
        <v>309.17891178139325</v>
      </c>
      <c r="R20" s="13">
        <v>288.16026584485002</v>
      </c>
      <c r="S20" s="13">
        <v>268.68269676565012</v>
      </c>
      <c r="T20" s="13">
        <v>250.69462756063297</v>
      </c>
      <c r="U20" s="13">
        <v>234.12876676997422</v>
      </c>
      <c r="V20" s="13">
        <v>218.91189895632675</v>
      </c>
      <c r="W20" s="13">
        <v>204.96930780577475</v>
      </c>
      <c r="X20" s="13">
        <v>192.22635689039333</v>
      </c>
      <c r="Y20" s="13">
        <v>180.60864875290136</v>
      </c>
      <c r="Z20" s="13">
        <v>170.04155073944349</v>
      </c>
      <c r="AA20" s="13">
        <v>160.4495151504355</v>
      </c>
      <c r="AB20" s="13">
        <v>151.75541636089037</v>
      </c>
      <c r="AC20" s="13">
        <v>143.8800121850287</v>
      </c>
      <c r="AD20" s="13">
        <v>136.74157271502816</v>
      </c>
      <c r="AE20" s="13">
        <v>130.25568514626221</v>
      </c>
      <c r="AF20" s="13">
        <v>124.33522503249304</v>
      </c>
      <c r="AG20" s="13">
        <v>118.89047568617055</v>
      </c>
      <c r="AH20" s="13">
        <v>113.82937383890189</v>
      </c>
      <c r="AI20" s="13">
        <v>109.05785877847561</v>
      </c>
      <c r="AJ20" s="13">
        <v>104.48030258515632</v>
      </c>
      <c r="AK20" s="13">
        <f t="shared" si="3"/>
        <v>100</v>
      </c>
      <c r="AL20" s="26">
        <f t="shared" si="4"/>
        <v>4.3333333333333335E-2</v>
      </c>
      <c r="AM20" s="25">
        <v>14</v>
      </c>
    </row>
    <row r="21" spans="1:39" x14ac:dyDescent="0.25">
      <c r="A21" s="21" t="s">
        <v>20</v>
      </c>
      <c r="B21" s="22">
        <f>(2*B13)/(B5^2)+(B12*B11)/B8</f>
        <v>11867999.999999998</v>
      </c>
      <c r="E21" s="25">
        <v>13</v>
      </c>
      <c r="F21" s="26">
        <f t="shared" si="1"/>
        <v>0.04</v>
      </c>
      <c r="G21" s="13">
        <f t="shared" si="2"/>
        <v>300</v>
      </c>
      <c r="H21" s="13">
        <v>398.82442937201154</v>
      </c>
      <c r="I21" s="13">
        <v>421.00396286697713</v>
      </c>
      <c r="J21" s="13">
        <v>423.95427878726326</v>
      </c>
      <c r="K21" s="13">
        <v>415.29256163654856</v>
      </c>
      <c r="L21" s="13">
        <v>399.94568517524772</v>
      </c>
      <c r="M21" s="13">
        <v>381.03694349559998</v>
      </c>
      <c r="N21" s="13">
        <v>360.51304871851949</v>
      </c>
      <c r="O21" s="13">
        <v>339.56775639989581</v>
      </c>
      <c r="P21" s="13">
        <v>318.91981612461007</v>
      </c>
      <c r="Q21" s="13">
        <v>298.99164103154499</v>
      </c>
      <c r="R21" s="13">
        <v>280.02238822753736</v>
      </c>
      <c r="S21" s="13">
        <v>262.13860980918076</v>
      </c>
      <c r="T21" s="13">
        <v>245.39787135135839</v>
      </c>
      <c r="U21" s="13">
        <v>229.81535308965795</v>
      </c>
      <c r="V21" s="13">
        <v>215.37985159236052</v>
      </c>
      <c r="W21" s="13">
        <v>202.06325025422694</v>
      </c>
      <c r="X21" s="13">
        <v>189.82601611548429</v>
      </c>
      <c r="Y21" s="13">
        <v>178.6203192068553</v>
      </c>
      <c r="Z21" s="13">
        <v>168.39176348602618</v>
      </c>
      <c r="AA21" s="13">
        <v>159.08033703698663</v>
      </c>
      <c r="AB21" s="13">
        <v>150.62095062795382</v>
      </c>
      <c r="AC21" s="13">
        <v>142.94378505729836</v>
      </c>
      <c r="AD21" s="13">
        <v>135.97457546564976</v>
      </c>
      <c r="AE21" s="13">
        <v>129.6349038571544</v>
      </c>
      <c r="AF21" s="13">
        <v>123.84253620029878</v>
      </c>
      <c r="AG21" s="13">
        <v>118.5118193536195</v>
      </c>
      <c r="AH21" s="13">
        <v>113.55414046703271</v>
      </c>
      <c r="AI21" s="13">
        <v>108.87844416983438</v>
      </c>
      <c r="AJ21" s="13">
        <v>104.39179871355674</v>
      </c>
      <c r="AK21" s="13">
        <f t="shared" si="3"/>
        <v>100</v>
      </c>
      <c r="AL21" s="26">
        <f t="shared" si="4"/>
        <v>0.04</v>
      </c>
      <c r="AM21" s="25">
        <v>13</v>
      </c>
    </row>
    <row r="22" spans="1:39" x14ac:dyDescent="0.25">
      <c r="A22" s="21" t="s">
        <v>21</v>
      </c>
      <c r="B22" s="22">
        <f>B20</f>
        <v>4139999.9999999991</v>
      </c>
      <c r="E22" s="25">
        <v>12</v>
      </c>
      <c r="F22" s="26">
        <f t="shared" si="1"/>
        <v>3.6666666666666667E-2</v>
      </c>
      <c r="G22" s="13">
        <f t="shared" si="2"/>
        <v>300</v>
      </c>
      <c r="H22" s="13">
        <v>359.02660503705965</v>
      </c>
      <c r="I22" s="13">
        <v>379.42657505473522</v>
      </c>
      <c r="J22" s="13">
        <v>385.52236904210531</v>
      </c>
      <c r="K22" s="13">
        <v>381.84747445463569</v>
      </c>
      <c r="L22" s="13">
        <v>371.79039970604049</v>
      </c>
      <c r="M22" s="13">
        <v>357.7772621492245</v>
      </c>
      <c r="N22" s="13">
        <v>341.49645488366957</v>
      </c>
      <c r="O22" s="13">
        <v>324.09935621908352</v>
      </c>
      <c r="P22" s="13">
        <v>306.35877851728674</v>
      </c>
      <c r="Q22" s="13">
        <v>288.786143617378</v>
      </c>
      <c r="R22" s="13">
        <v>271.71473166700184</v>
      </c>
      <c r="S22" s="13">
        <v>255.35725212842269</v>
      </c>
      <c r="T22" s="13">
        <v>239.84489114124119</v>
      </c>
      <c r="U22" s="13">
        <v>225.2534076786265</v>
      </c>
      <c r="V22" s="13">
        <v>211.62037372169064</v>
      </c>
      <c r="W22" s="13">
        <v>198.95646220249341</v>
      </c>
      <c r="X22" s="13">
        <v>187.25279291979334</v>
      </c>
      <c r="Y22" s="13">
        <v>176.48570440385924</v>
      </c>
      <c r="Z22" s="13">
        <v>166.61987046164342</v>
      </c>
      <c r="AA22" s="13">
        <v>157.61037158156378</v>
      </c>
      <c r="AB22" s="13">
        <v>149.40412217480923</v>
      </c>
      <c r="AC22" s="13">
        <v>141.94091413639563</v>
      </c>
      <c r="AD22" s="13">
        <v>135.15424356746954</v>
      </c>
      <c r="AE22" s="13">
        <v>128.97202549414482</v>
      </c>
      <c r="AF22" s="13">
        <v>123.31726062165413</v>
      </c>
      <c r="AG22" s="13">
        <v>118.10869150772143</v>
      </c>
      <c r="AH22" s="13">
        <v>113.26146826780803</v>
      </c>
      <c r="AI22" s="13">
        <v>108.68783285004824</v>
      </c>
      <c r="AJ22" s="13">
        <v>104.29782391345726</v>
      </c>
      <c r="AK22" s="13">
        <f t="shared" si="3"/>
        <v>100</v>
      </c>
      <c r="AL22" s="26">
        <f t="shared" si="4"/>
        <v>3.6666666666666667E-2</v>
      </c>
      <c r="AM22" s="25">
        <v>12</v>
      </c>
    </row>
    <row r="23" spans="1:39" x14ac:dyDescent="0.25">
      <c r="A23" s="12"/>
      <c r="B23" s="12"/>
      <c r="E23" s="25">
        <v>11</v>
      </c>
      <c r="F23" s="26">
        <f t="shared" si="1"/>
        <v>3.3333333333333333E-2</v>
      </c>
      <c r="G23" s="13">
        <f t="shared" si="2"/>
        <v>300</v>
      </c>
      <c r="H23" s="13">
        <v>335.7464391497133</v>
      </c>
      <c r="I23" s="13">
        <v>351.64097803380378</v>
      </c>
      <c r="J23" s="13">
        <v>357.5484732209776</v>
      </c>
      <c r="K23" s="13">
        <v>355.87898929080421</v>
      </c>
      <c r="L23" s="13">
        <v>348.75890656509114</v>
      </c>
      <c r="M23" s="13">
        <v>337.90791404972015</v>
      </c>
      <c r="N23" s="13">
        <v>324.64888368400773</v>
      </c>
      <c r="O23" s="13">
        <v>309.96748299200539</v>
      </c>
      <c r="P23" s="13">
        <v>294.58225920409154</v>
      </c>
      <c r="Q23" s="13">
        <v>279.00860810410268</v>
      </c>
      <c r="R23" s="13">
        <v>263.61117231212336</v>
      </c>
      <c r="S23" s="13">
        <v>248.64426765097227</v>
      </c>
      <c r="T23" s="13">
        <v>234.28192347858237</v>
      </c>
      <c r="U23" s="13">
        <v>220.63965011446135</v>
      </c>
      <c r="V23" s="13">
        <v>207.78994146460514</v>
      </c>
      <c r="W23" s="13">
        <v>195.77319100857625</v>
      </c>
      <c r="X23" s="13">
        <v>184.60533176905656</v>
      </c>
      <c r="Y23" s="13">
        <v>174.28318209800966</v>
      </c>
      <c r="Z23" s="13">
        <v>164.78821231471363</v>
      </c>
      <c r="AA23" s="13">
        <v>156.08924222031953</v>
      </c>
      <c r="AB23" s="13">
        <v>148.14442730364971</v>
      </c>
      <c r="AC23" s="13">
        <v>140.90278105979834</v>
      </c>
      <c r="AD23" s="13">
        <v>134.30540212570259</v>
      </c>
      <c r="AE23" s="13">
        <v>128.28651953597731</v>
      </c>
      <c r="AF23" s="13">
        <v>122.774430831373</v>
      </c>
      <c r="AG23" s="13">
        <v>117.69238115889738</v>
      </c>
      <c r="AH23" s="13">
        <v>112.95941334353428</v>
      </c>
      <c r="AI23" s="13">
        <v>108.49120664290027</v>
      </c>
      <c r="AJ23" s="13">
        <v>104.20091371715631</v>
      </c>
      <c r="AK23" s="13">
        <f t="shared" si="3"/>
        <v>100</v>
      </c>
      <c r="AL23" s="26">
        <f t="shared" si="4"/>
        <v>3.3333333333333333E-2</v>
      </c>
      <c r="AM23" s="25">
        <v>11</v>
      </c>
    </row>
    <row r="24" spans="1:39" x14ac:dyDescent="0.25">
      <c r="A24" s="93" t="s">
        <v>33</v>
      </c>
      <c r="B24" s="93"/>
      <c r="E24" s="25">
        <v>10</v>
      </c>
      <c r="F24" s="26">
        <f t="shared" si="1"/>
        <v>3.0000000000000002E-2</v>
      </c>
      <c r="G24" s="13">
        <f t="shared" si="2"/>
        <v>300</v>
      </c>
      <c r="H24" s="13">
        <v>321.60114475905465</v>
      </c>
      <c r="I24" s="13">
        <v>332.75485230805805</v>
      </c>
      <c r="J24" s="13">
        <v>337.1327067978275</v>
      </c>
      <c r="K24" s="13">
        <v>335.86832558557569</v>
      </c>
      <c r="L24" s="13">
        <v>330.20552640947608</v>
      </c>
      <c r="M24" s="13">
        <v>321.29297284414417</v>
      </c>
      <c r="N24" s="13">
        <v>310.10600558130784</v>
      </c>
      <c r="O24" s="13">
        <v>297.43319103897954</v>
      </c>
      <c r="P24" s="13">
        <v>283.89227716853952</v>
      </c>
      <c r="Q24" s="13">
        <v>269.95668374610796</v>
      </c>
      <c r="R24" s="13">
        <v>255.9831660561992</v>
      </c>
      <c r="S24" s="13">
        <v>242.23654815890742</v>
      </c>
      <c r="T24" s="13">
        <v>228.91017252269501</v>
      </c>
      <c r="U24" s="13">
        <v>216.14204386037204</v>
      </c>
      <c r="V24" s="13">
        <v>204.02720642394945</v>
      </c>
      <c r="W24" s="13">
        <v>192.62706064618749</v>
      </c>
      <c r="X24" s="13">
        <v>181.97630530664674</v>
      </c>
      <c r="Y24" s="13">
        <v>172.08809641562561</v>
      </c>
      <c r="Z24" s="13">
        <v>162.95789964021918</v>
      </c>
      <c r="AA24" s="13">
        <v>154.56640503920215</v>
      </c>
      <c r="AB24" s="13">
        <v>146.88178099648195</v>
      </c>
      <c r="AC24" s="13">
        <v>139.86147060422303</v>
      </c>
      <c r="AD24" s="13">
        <v>133.453676915024</v>
      </c>
      <c r="AE24" s="13">
        <v>127.59864076678718</v>
      </c>
      <c r="AF24" s="13">
        <v>122.22978341196769</v>
      </c>
      <c r="AG24" s="13">
        <v>117.27476336771829</v>
      </c>
      <c r="AH24" s="13">
        <v>112.65648059959582</v>
      </c>
      <c r="AI24" s="13">
        <v>108.29404966517504</v>
      </c>
      <c r="AJ24" s="13">
        <v>104.10375548306477</v>
      </c>
      <c r="AK24" s="13">
        <f t="shared" si="3"/>
        <v>100</v>
      </c>
      <c r="AL24" s="26">
        <f t="shared" si="4"/>
        <v>3.0000000000000002E-2</v>
      </c>
      <c r="AM24" s="25">
        <v>10</v>
      </c>
    </row>
    <row r="25" spans="1:39" x14ac:dyDescent="0.25">
      <c r="A25" s="23" t="s">
        <v>19</v>
      </c>
      <c r="B25" s="23">
        <f>B13/(B6^2)</f>
        <v>4139999.9999999991</v>
      </c>
      <c r="E25" s="25">
        <v>9</v>
      </c>
      <c r="F25" s="26">
        <f t="shared" si="1"/>
        <v>2.6666666666666668E-2</v>
      </c>
      <c r="G25" s="13">
        <f t="shared" si="2"/>
        <v>300</v>
      </c>
      <c r="H25" s="13">
        <v>312.67534551453275</v>
      </c>
      <c r="I25" s="13">
        <v>319.69487454645878</v>
      </c>
      <c r="J25" s="13">
        <v>322.16372349838747</v>
      </c>
      <c r="K25" s="13">
        <v>320.51371004561042</v>
      </c>
      <c r="L25" s="13">
        <v>315.42260182926213</v>
      </c>
      <c r="M25" s="13">
        <v>307.6236457191236</v>
      </c>
      <c r="N25" s="13">
        <v>297.80731119270797</v>
      </c>
      <c r="O25" s="13">
        <v>286.57819748938181</v>
      </c>
      <c r="P25" s="13">
        <v>274.44277209586608</v>
      </c>
      <c r="Q25" s="13">
        <v>261.81287335427072</v>
      </c>
      <c r="R25" s="13">
        <v>249.01614940186712</v>
      </c>
      <c r="S25" s="13">
        <v>236.30857410866491</v>
      </c>
      <c r="T25" s="13">
        <v>223.8865840121619</v>
      </c>
      <c r="U25" s="13">
        <v>211.89776567732588</v>
      </c>
      <c r="V25" s="13">
        <v>200.44977619809563</v>
      </c>
      <c r="W25" s="13">
        <v>189.61755658904275</v>
      </c>
      <c r="X25" s="13">
        <v>179.44906076662292</v>
      </c>
      <c r="Y25" s="13">
        <v>169.96977054698363</v>
      </c>
      <c r="Z25" s="13">
        <v>161.18625761647922</v>
      </c>
      <c r="AA25" s="13">
        <v>153.08901942115989</v>
      </c>
      <c r="AB25" s="13">
        <v>145.6547747999264</v>
      </c>
      <c r="AC25" s="13">
        <v>138.84836554343067</v>
      </c>
      <c r="AD25" s="13">
        <v>132.62437556022928</v>
      </c>
      <c r="AE25" s="13">
        <v>126.92855102694955</v>
      </c>
      <c r="AF25" s="13">
        <v>121.69908256656717</v>
      </c>
      <c r="AG25" s="13">
        <v>116.86779337399858</v>
      </c>
      <c r="AH25" s="13">
        <v>112.36126437442972</v>
      </c>
      <c r="AI25" s="13">
        <v>108.10191807823286</v>
      </c>
      <c r="AJ25" s="13">
        <v>104.00907602760238</v>
      </c>
      <c r="AK25" s="13">
        <f t="shared" si="3"/>
        <v>100</v>
      </c>
      <c r="AL25" s="26">
        <f t="shared" si="4"/>
        <v>2.6666666666666668E-2</v>
      </c>
      <c r="AM25" s="25">
        <v>9</v>
      </c>
    </row>
    <row r="26" spans="1:39" x14ac:dyDescent="0.25">
      <c r="A26" s="23" t="s">
        <v>20</v>
      </c>
      <c r="B26" s="23">
        <f>(2*B13)/(B6^2)+(B12*B11)/B8</f>
        <v>11867999.999999998</v>
      </c>
      <c r="D26" t="s">
        <v>48</v>
      </c>
      <c r="E26" s="25">
        <v>8</v>
      </c>
      <c r="F26" s="26">
        <f t="shared" si="1"/>
        <v>2.3333333333333334E-2</v>
      </c>
      <c r="G26" s="13">
        <f t="shared" si="2"/>
        <v>300</v>
      </c>
      <c r="H26" s="13">
        <v>306.84464325666022</v>
      </c>
      <c r="I26" s="13">
        <v>310.52404698164469</v>
      </c>
      <c r="J26" s="13">
        <v>311.14208655930338</v>
      </c>
      <c r="K26" s="13">
        <v>308.77461869848474</v>
      </c>
      <c r="L26" s="13">
        <v>303.75721162012087</v>
      </c>
      <c r="M26" s="13">
        <v>296.53937950487898</v>
      </c>
      <c r="N26" s="13">
        <v>287.59604661504574</v>
      </c>
      <c r="O26" s="13">
        <v>277.37832151791099</v>
      </c>
      <c r="P26" s="13">
        <v>266.28950270771384</v>
      </c>
      <c r="Q26" s="13">
        <v>254.67627385826273</v>
      </c>
      <c r="R26" s="13">
        <v>242.82839305901348</v>
      </c>
      <c r="S26" s="13">
        <v>230.98265648989894</v>
      </c>
      <c r="T26" s="13">
        <v>219.32862238700193</v>
      </c>
      <c r="U26" s="13">
        <v>208.01469340761923</v>
      </c>
      <c r="V26" s="13">
        <v>197.15384665959454</v>
      </c>
      <c r="W26" s="13">
        <v>186.82870922431914</v>
      </c>
      <c r="X26" s="13">
        <v>177.09590437822598</v>
      </c>
      <c r="Y26" s="13">
        <v>167.98970973250513</v>
      </c>
      <c r="Z26" s="13">
        <v>159.52511909455657</v>
      </c>
      <c r="AA26" s="13">
        <v>151.70041406105051</v>
      </c>
      <c r="AB26" s="13">
        <v>144.49934688382615</v>
      </c>
      <c r="AC26" s="13">
        <v>137.89302336135853</v>
      </c>
      <c r="AD26" s="13">
        <v>131.84155915869417</v>
      </c>
      <c r="AE26" s="13">
        <v>126.29556802542571</v>
      </c>
      <c r="AF26" s="13">
        <v>121.19752722176085</v>
      </c>
      <c r="AG26" s="13">
        <v>116.48305453333965</v>
      </c>
      <c r="AH26" s="13">
        <v>112.08212254471491</v>
      </c>
      <c r="AI26" s="13">
        <v>107.92022912280618</v>
      </c>
      <c r="AJ26" s="13">
        <v>103.91953803549956</v>
      </c>
      <c r="AK26" s="13">
        <f t="shared" si="3"/>
        <v>100</v>
      </c>
      <c r="AL26" s="26">
        <f t="shared" si="4"/>
        <v>2.3333333333333334E-2</v>
      </c>
      <c r="AM26" s="25">
        <v>8</v>
      </c>
    </row>
    <row r="27" spans="1:39" x14ac:dyDescent="0.25">
      <c r="A27" s="23" t="s">
        <v>21</v>
      </c>
      <c r="B27" s="23">
        <f>B25</f>
        <v>4139999.9999999991</v>
      </c>
      <c r="E27" s="25">
        <v>7</v>
      </c>
      <c r="F27" s="26">
        <f t="shared" si="1"/>
        <v>0.02</v>
      </c>
      <c r="G27" s="13">
        <f t="shared" si="2"/>
        <v>300</v>
      </c>
      <c r="H27" s="13">
        <v>302.92727710022012</v>
      </c>
      <c r="I27" s="13">
        <v>304.01334252175661</v>
      </c>
      <c r="J27" s="13">
        <v>303.01745885694578</v>
      </c>
      <c r="K27" s="13">
        <v>299.85190616666296</v>
      </c>
      <c r="L27" s="13">
        <v>294.65520423771216</v>
      </c>
      <c r="M27" s="13">
        <v>287.69140957888828</v>
      </c>
      <c r="N27" s="13">
        <v>279.28057714116528</v>
      </c>
      <c r="O27" s="13">
        <v>269.75409638189086</v>
      </c>
      <c r="P27" s="13">
        <v>259.42813411205594</v>
      </c>
      <c r="Q27" s="13">
        <v>248.58940401811049</v>
      </c>
      <c r="R27" s="13">
        <v>237.48885386040217</v>
      </c>
      <c r="S27" s="13">
        <v>226.34014334360546</v>
      </c>
      <c r="T27" s="13">
        <v>215.32081581601912</v>
      </c>
      <c r="U27" s="13">
        <v>204.57482671055453</v>
      </c>
      <c r="V27" s="13">
        <v>194.21561961100397</v>
      </c>
      <c r="W27" s="13">
        <v>184.32929056465397</v>
      </c>
      <c r="X27" s="13">
        <v>174.97760293462278</v>
      </c>
      <c r="Y27" s="13">
        <v>166.20074920583141</v>
      </c>
      <c r="Z27" s="13">
        <v>158.01983285828311</v>
      </c>
      <c r="AA27" s="13">
        <v>150.43908390612228</v>
      </c>
      <c r="AB27" s="13">
        <v>143.44784027772155</v>
      </c>
      <c r="AC27" s="13">
        <v>137.02233319012578</v>
      </c>
      <c r="AD27" s="13">
        <v>131.12731390198707</v>
      </c>
      <c r="AE27" s="13">
        <v>125.71755525686513</v>
      </c>
      <c r="AF27" s="13">
        <v>120.73925630652965</v>
      </c>
      <c r="AG27" s="13">
        <v>116.13137315054698</v>
      </c>
      <c r="AH27" s="13">
        <v>111.82689449710361</v>
      </c>
      <c r="AI27" s="13">
        <v>107.75407656558173</v>
      </c>
      <c r="AJ27" s="13">
        <v>103.83764885974128</v>
      </c>
      <c r="AK27" s="13">
        <f t="shared" si="3"/>
        <v>100</v>
      </c>
      <c r="AL27" s="26">
        <f t="shared" si="4"/>
        <v>0.02</v>
      </c>
      <c r="AM27" s="25">
        <v>7</v>
      </c>
    </row>
    <row r="28" spans="1:39" x14ac:dyDescent="0.25">
      <c r="E28" s="25">
        <v>6</v>
      </c>
      <c r="F28" s="26">
        <f t="shared" si="1"/>
        <v>1.6666666666666666E-2</v>
      </c>
      <c r="G28" s="13">
        <f t="shared" si="2"/>
        <v>300</v>
      </c>
      <c r="H28" s="13">
        <v>300.24871919004846</v>
      </c>
      <c r="I28" s="13">
        <v>299.37677184066007</v>
      </c>
      <c r="J28" s="13">
        <v>297.06035593437372</v>
      </c>
      <c r="K28" s="13">
        <v>293.1479238739534</v>
      </c>
      <c r="L28" s="13">
        <v>287.66973459142173</v>
      </c>
      <c r="M28" s="13">
        <v>280.77277450674183</v>
      </c>
      <c r="N28" s="13">
        <v>272.67005409754358</v>
      </c>
      <c r="O28" s="13">
        <v>263.60401498520366</v>
      </c>
      <c r="P28" s="13">
        <v>253.82175735278571</v>
      </c>
      <c r="Q28" s="13">
        <v>243.55931920889338</v>
      </c>
      <c r="R28" s="13">
        <v>233.0324680991047</v>
      </c>
      <c r="S28" s="13">
        <v>222.43194812821466</v>
      </c>
      <c r="T28" s="13">
        <v>211.92163657374402</v>
      </c>
      <c r="U28" s="13">
        <v>201.6385097095567</v>
      </c>
      <c r="V28" s="13">
        <v>191.69366834869808</v>
      </c>
      <c r="W28" s="13">
        <v>182.17393298074671</v>
      </c>
      <c r="X28" s="13">
        <v>173.14370126140193</v>
      </c>
      <c r="Y28" s="13">
        <v>164.64688461918416</v>
      </c>
      <c r="Z28" s="13">
        <v>156.70882184821423</v>
      </c>
      <c r="AA28" s="13">
        <v>149.3381186679114</v>
      </c>
      <c r="AB28" s="13">
        <v>142.52839309649372</v>
      </c>
      <c r="AC28" s="13">
        <v>136.25992412337843</v>
      </c>
      <c r="AD28" s="13">
        <v>130.50121044842911</v>
      </c>
      <c r="AE28" s="13">
        <v>125.21045026317341</v>
      </c>
      <c r="AF28" s="13">
        <v>120.33695432533169</v>
      </c>
      <c r="AG28" s="13">
        <v>115.82250428483012</v>
      </c>
      <c r="AH28" s="13">
        <v>111.60266719303584</v>
      </c>
      <c r="AI28" s="13">
        <v>107.60807586018645</v>
      </c>
      <c r="AJ28" s="13">
        <v>103.76568349423754</v>
      </c>
      <c r="AK28" s="13">
        <f t="shared" si="3"/>
        <v>100</v>
      </c>
      <c r="AL28" s="26">
        <f t="shared" si="4"/>
        <v>1.6666666666666666E-2</v>
      </c>
      <c r="AM28" s="25">
        <v>6</v>
      </c>
    </row>
    <row r="29" spans="1:39" x14ac:dyDescent="0.25">
      <c r="E29" s="25">
        <v>5</v>
      </c>
      <c r="F29" s="26">
        <f t="shared" si="1"/>
        <v>1.3333333333333334E-2</v>
      </c>
      <c r="G29" s="13">
        <f t="shared" si="2"/>
        <v>300</v>
      </c>
      <c r="H29" s="13">
        <v>298.41470297231791</v>
      </c>
      <c r="I29" s="13">
        <v>296.10871942529809</v>
      </c>
      <c r="J29" s="13">
        <v>292.76838019880358</v>
      </c>
      <c r="K29" s="13">
        <v>288.22566810968431</v>
      </c>
      <c r="L29" s="13">
        <v>282.45434974673657</v>
      </c>
      <c r="M29" s="13">
        <v>275.52987110807243</v>
      </c>
      <c r="N29" s="13">
        <v>267.59383811483468</v>
      </c>
      <c r="O29" s="13">
        <v>258.82543715149848</v>
      </c>
      <c r="P29" s="13">
        <v>249.41993828855317</v>
      </c>
      <c r="Q29" s="13">
        <v>239.57340907912362</v>
      </c>
      <c r="R29" s="13">
        <v>229.47242982108023</v>
      </c>
      <c r="S29" s="13">
        <v>219.2876117254097</v>
      </c>
      <c r="T29" s="13">
        <v>209.16988229092365</v>
      </c>
      <c r="U29" s="13">
        <v>199.2487103681016</v>
      </c>
      <c r="V29" s="13">
        <v>189.63164386968404</v>
      </c>
      <c r="W29" s="13">
        <v>180.40470375193132</v>
      </c>
      <c r="X29" s="13">
        <v>171.63331311046937</v>
      </c>
      <c r="Y29" s="13">
        <v>163.36354225703604</v>
      </c>
      <c r="Z29" s="13">
        <v>155.6235248182262</v>
      </c>
      <c r="AA29" s="13">
        <v>148.42495219865742</v>
      </c>
      <c r="AB29" s="13">
        <v>141.76458963239651</v>
      </c>
      <c r="AC29" s="13">
        <v>135.62578102121441</v>
      </c>
      <c r="AD29" s="13">
        <v>129.97992534462085</v>
      </c>
      <c r="AE29" s="13">
        <v>124.78791725567501</v>
      </c>
      <c r="AF29" s="13">
        <v>120.00155045398785</v>
      </c>
      <c r="AG29" s="13">
        <v>115.56488589719959</v>
      </c>
      <c r="AH29" s="13">
        <v>111.41558880002208</v>
      </c>
      <c r="AI29" s="13">
        <v>107.48623929828332</v>
      </c>
      <c r="AJ29" s="13">
        <v>103.70562203320941</v>
      </c>
      <c r="AK29" s="13">
        <f t="shared" si="3"/>
        <v>100</v>
      </c>
      <c r="AL29" s="26">
        <f t="shared" si="4"/>
        <v>1.3333333333333334E-2</v>
      </c>
      <c r="AM29" s="25">
        <v>5</v>
      </c>
    </row>
    <row r="30" spans="1:39" x14ac:dyDescent="0.25">
      <c r="E30" s="25">
        <v>4</v>
      </c>
      <c r="F30" s="26">
        <f t="shared" si="1"/>
        <v>0.01</v>
      </c>
      <c r="G30" s="13">
        <f t="shared" si="2"/>
        <v>300</v>
      </c>
      <c r="H30" s="13">
        <v>297.19099806499946</v>
      </c>
      <c r="I30" s="13">
        <v>293.88449124756079</v>
      </c>
      <c r="J30" s="13">
        <v>289.80063628928883</v>
      </c>
      <c r="K30" s="13">
        <v>284.7741024040397</v>
      </c>
      <c r="L30" s="13">
        <v>278.75095845818669</v>
      </c>
      <c r="M30" s="13">
        <v>271.76462670193462</v>
      </c>
      <c r="N30" s="13">
        <v>263.91117658367489</v>
      </c>
      <c r="O30" s="13">
        <v>255.32717612615704</v>
      </c>
      <c r="P30" s="13">
        <v>246.17141859075087</v>
      </c>
      <c r="Q30" s="13">
        <v>236.61073920919003</v>
      </c>
      <c r="R30" s="13">
        <v>226.80956791190937</v>
      </c>
      <c r="S30" s="13">
        <v>216.92262644861142</v>
      </c>
      <c r="T30" s="13">
        <v>207.09013017376196</v>
      </c>
      <c r="U30" s="13">
        <v>197.43490377944863</v>
      </c>
      <c r="V30" s="13">
        <v>188.06091028565953</v>
      </c>
      <c r="W30" s="13">
        <v>179.0527919630411</v>
      </c>
      <c r="X30" s="13">
        <v>170.47611440856812</v>
      </c>
      <c r="Y30" s="13">
        <v>162.37808385486824</v>
      </c>
      <c r="Z30" s="13">
        <v>154.78857129583849</v>
      </c>
      <c r="AA30" s="13">
        <v>147.72132611668462</v>
      </c>
      <c r="AB30" s="13">
        <v>141.17529871220904</v>
      </c>
      <c r="AC30" s="13">
        <v>135.13601843704595</v>
      </c>
      <c r="AD30" s="13">
        <v>129.57699239359053</v>
      </c>
      <c r="AE30" s="13">
        <v>124.46110394809999</v>
      </c>
      <c r="AF30" s="13">
        <v>119.74199902758332</v>
      </c>
      <c r="AG30" s="13">
        <v>115.36545439743648</v>
      </c>
      <c r="AH30" s="13">
        <v>111.27072616100691</v>
      </c>
      <c r="AI30" s="13">
        <v>107.39187932272915</v>
      </c>
      <c r="AJ30" s="13">
        <v>103.65910089135872</v>
      </c>
      <c r="AK30" s="13">
        <f t="shared" si="3"/>
        <v>100</v>
      </c>
      <c r="AL30" s="26">
        <f t="shared" si="4"/>
        <v>0.01</v>
      </c>
      <c r="AM30" s="25">
        <v>4</v>
      </c>
    </row>
    <row r="31" spans="1:39" x14ac:dyDescent="0.25">
      <c r="E31" s="25">
        <v>3</v>
      </c>
      <c r="F31" s="26">
        <f t="shared" si="1"/>
        <v>6.6666666666666671E-3</v>
      </c>
      <c r="G31" s="13">
        <f t="shared" si="2"/>
        <v>300</v>
      </c>
      <c r="H31" s="13">
        <v>296.43887114319205</v>
      </c>
      <c r="I31" s="13">
        <v>292.49989864310498</v>
      </c>
      <c r="J31" s="13">
        <v>287.93343434435252</v>
      </c>
      <c r="K31" s="13">
        <v>282.58150314371653</v>
      </c>
      <c r="L31" s="13">
        <v>276.37771972631157</v>
      </c>
      <c r="M31" s="13">
        <v>269.33255554537357</v>
      </c>
      <c r="N31" s="13">
        <v>261.51539465561729</v>
      </c>
      <c r="O31" s="13">
        <v>253.03672443631763</v>
      </c>
      <c r="P31" s="13">
        <v>244.0322736160133</v>
      </c>
      <c r="Q31" s="13">
        <v>234.64987333314295</v>
      </c>
      <c r="R31" s="13">
        <v>225.03917791262222</v>
      </c>
      <c r="S31" s="13">
        <v>215.34402956277873</v>
      </c>
      <c r="T31" s="13">
        <v>205.69708907865319</v>
      </c>
      <c r="U31" s="13">
        <v>196.21630933892578</v>
      </c>
      <c r="V31" s="13">
        <v>187.00284824366545</v>
      </c>
      <c r="W31" s="13">
        <v>178.14006891027441</v>
      </c>
      <c r="X31" s="13">
        <v>169.6933367383233</v>
      </c>
      <c r="Y31" s="13">
        <v>161.71038374779675</v>
      </c>
      <c r="Z31" s="13">
        <v>154.22206464145074</v>
      </c>
      <c r="AA31" s="13">
        <v>147.24337417038765</v>
      </c>
      <c r="AB31" s="13">
        <v>140.77463144362457</v>
      </c>
      <c r="AC31" s="13">
        <v>134.80276468933212</v>
      </c>
      <c r="AD31" s="13">
        <v>129.3026509328331</v>
      </c>
      <c r="AE31" s="13">
        <v>124.23848045795197</v>
      </c>
      <c r="AF31" s="13">
        <v>119.56512700839644</v>
      </c>
      <c r="AG31" s="13">
        <v>115.22951252417812</v>
      </c>
      <c r="AH31" s="13">
        <v>111.17196065157214</v>
      </c>
      <c r="AI31" s="13">
        <v>107.32753698032272</v>
      </c>
      <c r="AJ31" s="13">
        <v>103.6273764505172</v>
      </c>
      <c r="AK31" s="13">
        <f t="shared" si="3"/>
        <v>100</v>
      </c>
      <c r="AL31" s="26">
        <f t="shared" si="4"/>
        <v>6.6666666666666671E-3</v>
      </c>
      <c r="AM31" s="25">
        <v>3</v>
      </c>
    </row>
    <row r="32" spans="1:39" x14ac:dyDescent="0.25">
      <c r="C32">
        <v>0</v>
      </c>
      <c r="E32" s="25">
        <v>2</v>
      </c>
      <c r="F32" s="26">
        <f>$B$6*(E32-1)</f>
        <v>3.3333333333333335E-3</v>
      </c>
      <c r="G32" s="13">
        <f t="shared" si="2"/>
        <v>300</v>
      </c>
      <c r="H32" s="13">
        <v>296.08037625352841</v>
      </c>
      <c r="I32" s="13">
        <v>291.83526338775778</v>
      </c>
      <c r="J32" s="13">
        <v>287.03163835624434</v>
      </c>
      <c r="K32" s="13">
        <v>281.5165873967369</v>
      </c>
      <c r="L32" s="13">
        <v>275.21911624951076</v>
      </c>
      <c r="M32" s="13">
        <v>268.13964447805677</v>
      </c>
      <c r="N32" s="13">
        <v>260.33528098402599</v>
      </c>
      <c r="O32" s="13">
        <v>251.90417404944492</v>
      </c>
      <c r="P32" s="13">
        <v>242.97091462070651</v>
      </c>
      <c r="Q32" s="13">
        <v>233.67400027401317</v>
      </c>
      <c r="R32" s="13">
        <v>224.15571655335003</v>
      </c>
      <c r="S32" s="13">
        <v>214.55439725927704</v>
      </c>
      <c r="T32" s="13">
        <v>204.99881447415112</v>
      </c>
      <c r="U32" s="13">
        <v>195.60436066942424</v>
      </c>
      <c r="V32" s="13">
        <v>186.47067147255697</v>
      </c>
      <c r="W32" s="13">
        <v>177.6803648503778</v>
      </c>
      <c r="X32" s="13">
        <v>169.29861838946027</v>
      </c>
      <c r="Y32" s="13">
        <v>161.37335744171554</v>
      </c>
      <c r="Z32" s="13">
        <v>153.93587557840931</v>
      </c>
      <c r="AA32" s="13">
        <v>147.00175140649134</v>
      </c>
      <c r="AB32" s="13">
        <v>140.57196109869483</v>
      </c>
      <c r="AC32" s="13">
        <v>134.63411408123474</v>
      </c>
      <c r="AD32" s="13">
        <v>129.16376099492979</v>
      </c>
      <c r="AE32" s="13">
        <v>124.12573934229709</v>
      </c>
      <c r="AF32" s="13">
        <v>119.47553422248539</v>
      </c>
      <c r="AG32" s="13">
        <v>115.160640206647</v>
      </c>
      <c r="AH32" s="13">
        <v>111.12191653738026</v>
      </c>
      <c r="AI32" s="13">
        <v>107.29493210595584</v>
      </c>
      <c r="AJ32" s="13">
        <v>103.61129957974315</v>
      </c>
      <c r="AK32" s="13">
        <f t="shared" si="3"/>
        <v>100</v>
      </c>
      <c r="AL32" s="26">
        <f t="shared" si="4"/>
        <v>3.3333333333333335E-3</v>
      </c>
      <c r="AM32" s="25">
        <v>2</v>
      </c>
    </row>
    <row r="33" spans="5:138" x14ac:dyDescent="0.25">
      <c r="E33" s="25">
        <v>1</v>
      </c>
      <c r="F33" s="26">
        <v>0</v>
      </c>
      <c r="G33" s="13">
        <f t="shared" si="2"/>
        <v>300</v>
      </c>
      <c r="H33" s="13">
        <v>296.08037625352841</v>
      </c>
      <c r="I33" s="13">
        <v>291.83526338775778</v>
      </c>
      <c r="J33" s="13">
        <v>287.03163835624434</v>
      </c>
      <c r="K33" s="13">
        <v>281.5165873967369</v>
      </c>
      <c r="L33" s="13">
        <v>275.21911624951076</v>
      </c>
      <c r="M33" s="13">
        <v>268.13964447805677</v>
      </c>
      <c r="N33" s="13">
        <v>260.33528098402599</v>
      </c>
      <c r="O33" s="13">
        <v>251.90417404944492</v>
      </c>
      <c r="P33" s="13">
        <v>242.97091462070651</v>
      </c>
      <c r="Q33" s="13">
        <v>233.67400027401317</v>
      </c>
      <c r="R33" s="13">
        <v>224.15571655335003</v>
      </c>
      <c r="S33" s="13">
        <v>214.55439725927704</v>
      </c>
      <c r="T33" s="13">
        <v>204.99881447415112</v>
      </c>
      <c r="U33" s="13">
        <v>195.60436066942424</v>
      </c>
      <c r="V33" s="13">
        <v>186.47067147255697</v>
      </c>
      <c r="W33" s="13">
        <v>177.6803648503778</v>
      </c>
      <c r="X33" s="13">
        <v>169.29861838946027</v>
      </c>
      <c r="Y33" s="13">
        <v>161.37335744171554</v>
      </c>
      <c r="Z33" s="13">
        <v>153.93587557840931</v>
      </c>
      <c r="AA33" s="13">
        <v>147.00175140649134</v>
      </c>
      <c r="AB33" s="13">
        <v>140.57196109869483</v>
      </c>
      <c r="AC33" s="13">
        <v>134.63411408123474</v>
      </c>
      <c r="AD33" s="13">
        <v>129.16376099492979</v>
      </c>
      <c r="AE33" s="13">
        <v>124.12573934229709</v>
      </c>
      <c r="AF33" s="13">
        <v>119.47553422248539</v>
      </c>
      <c r="AG33" s="13">
        <v>115.160640206647</v>
      </c>
      <c r="AH33" s="13">
        <v>111.12191653738026</v>
      </c>
      <c r="AI33" s="13">
        <v>107.29493210595584</v>
      </c>
      <c r="AJ33" s="13">
        <v>103.61129957974315</v>
      </c>
      <c r="AK33" s="13">
        <f t="shared" si="3"/>
        <v>100</v>
      </c>
      <c r="AL33" s="26">
        <f t="shared" si="4"/>
        <v>0</v>
      </c>
      <c r="AM33" s="25">
        <v>1</v>
      </c>
    </row>
    <row r="34" spans="5:138" x14ac:dyDescent="0.25">
      <c r="E34" s="32"/>
      <c r="F34" s="29"/>
      <c r="G34" s="25">
        <v>0</v>
      </c>
      <c r="H34" s="26">
        <f>$B$5*(H35-1)</f>
        <v>3.3333333333333335E-3</v>
      </c>
      <c r="I34" s="26">
        <f t="shared" ref="I34:AK34" si="5">$B$5*(I35-1)</f>
        <v>6.6666666666666671E-3</v>
      </c>
      <c r="J34" s="26">
        <f t="shared" si="5"/>
        <v>0.01</v>
      </c>
      <c r="K34" s="26">
        <f t="shared" si="5"/>
        <v>1.3333333333333334E-2</v>
      </c>
      <c r="L34" s="26">
        <f t="shared" si="5"/>
        <v>1.6666666666666666E-2</v>
      </c>
      <c r="M34" s="26">
        <f t="shared" si="5"/>
        <v>0.02</v>
      </c>
      <c r="N34" s="26">
        <f t="shared" si="5"/>
        <v>2.3333333333333334E-2</v>
      </c>
      <c r="O34" s="26">
        <f t="shared" si="5"/>
        <v>2.6666666666666668E-2</v>
      </c>
      <c r="P34" s="26">
        <f t="shared" si="5"/>
        <v>3.0000000000000002E-2</v>
      </c>
      <c r="Q34" s="26">
        <f t="shared" si="5"/>
        <v>3.3333333333333333E-2</v>
      </c>
      <c r="R34" s="26">
        <f t="shared" si="5"/>
        <v>3.6666666666666667E-2</v>
      </c>
      <c r="S34" s="26">
        <f t="shared" si="5"/>
        <v>0.04</v>
      </c>
      <c r="T34" s="26">
        <f t="shared" si="5"/>
        <v>4.3333333333333335E-2</v>
      </c>
      <c r="U34" s="26">
        <f t="shared" si="5"/>
        <v>4.6666666666666669E-2</v>
      </c>
      <c r="V34" s="26">
        <f t="shared" si="5"/>
        <v>0.05</v>
      </c>
      <c r="W34" s="26">
        <f t="shared" si="5"/>
        <v>5.3333333333333337E-2</v>
      </c>
      <c r="X34" s="26">
        <f t="shared" si="5"/>
        <v>5.6666666666666671E-2</v>
      </c>
      <c r="Y34" s="26">
        <f t="shared" si="5"/>
        <v>6.0000000000000005E-2</v>
      </c>
      <c r="Z34" s="26">
        <f t="shared" si="5"/>
        <v>6.3333333333333339E-2</v>
      </c>
      <c r="AA34" s="26">
        <f t="shared" si="5"/>
        <v>6.6666666666666666E-2</v>
      </c>
      <c r="AB34" s="26">
        <f t="shared" si="5"/>
        <v>7.0000000000000007E-2</v>
      </c>
      <c r="AC34" s="26">
        <f t="shared" si="5"/>
        <v>7.3333333333333334E-2</v>
      </c>
      <c r="AD34" s="26">
        <f t="shared" si="5"/>
        <v>7.6666666666666675E-2</v>
      </c>
      <c r="AE34" s="26">
        <f t="shared" si="5"/>
        <v>0.08</v>
      </c>
      <c r="AF34" s="26">
        <f t="shared" si="5"/>
        <v>8.3333333333333343E-2</v>
      </c>
      <c r="AG34" s="26">
        <f t="shared" si="5"/>
        <v>8.666666666666667E-2</v>
      </c>
      <c r="AH34" s="26">
        <f t="shared" si="5"/>
        <v>9.0000000000000011E-2</v>
      </c>
      <c r="AI34" s="26">
        <f t="shared" si="5"/>
        <v>9.3333333333333338E-2</v>
      </c>
      <c r="AJ34" s="26">
        <f t="shared" si="5"/>
        <v>9.6666666666666679E-2</v>
      </c>
      <c r="AK34" s="26">
        <f t="shared" si="5"/>
        <v>0.1</v>
      </c>
      <c r="AL34" s="24"/>
      <c r="AM34" s="29"/>
      <c r="AN34" s="28"/>
    </row>
    <row r="35" spans="5:138" x14ac:dyDescent="0.25">
      <c r="E35" s="33"/>
      <c r="F35" s="30"/>
      <c r="G35" s="25">
        <v>1</v>
      </c>
      <c r="H35" s="25">
        <v>2</v>
      </c>
      <c r="I35" s="25">
        <v>3</v>
      </c>
      <c r="J35" s="25">
        <v>4</v>
      </c>
      <c r="K35" s="25">
        <v>5</v>
      </c>
      <c r="L35" s="25">
        <v>6</v>
      </c>
      <c r="M35" s="25">
        <v>7</v>
      </c>
      <c r="N35" s="25">
        <v>8</v>
      </c>
      <c r="O35" s="25">
        <v>9</v>
      </c>
      <c r="P35" s="25">
        <v>10</v>
      </c>
      <c r="Q35" s="25">
        <v>11</v>
      </c>
      <c r="R35" s="25">
        <v>12</v>
      </c>
      <c r="S35" s="25">
        <v>13</v>
      </c>
      <c r="T35" s="25">
        <v>14</v>
      </c>
      <c r="U35" s="25">
        <v>15</v>
      </c>
      <c r="V35" s="25">
        <v>16</v>
      </c>
      <c r="W35" s="25">
        <v>17</v>
      </c>
      <c r="X35" s="25">
        <v>18</v>
      </c>
      <c r="Y35" s="25">
        <v>19</v>
      </c>
      <c r="Z35" s="25">
        <v>20</v>
      </c>
      <c r="AA35" s="25">
        <v>21</v>
      </c>
      <c r="AB35" s="25">
        <v>22</v>
      </c>
      <c r="AC35" s="25">
        <v>23</v>
      </c>
      <c r="AD35" s="25">
        <v>24</v>
      </c>
      <c r="AE35" s="25">
        <v>25</v>
      </c>
      <c r="AF35" s="25">
        <v>26</v>
      </c>
      <c r="AG35" s="25">
        <v>27</v>
      </c>
      <c r="AH35" s="25">
        <v>28</v>
      </c>
      <c r="AI35" s="25">
        <v>29</v>
      </c>
      <c r="AJ35" s="25">
        <v>30</v>
      </c>
      <c r="AK35" s="25">
        <v>31</v>
      </c>
      <c r="AL35" s="34"/>
      <c r="AM35" s="30"/>
      <c r="AN35" s="28"/>
    </row>
    <row r="36" spans="5:138" x14ac:dyDescent="0.25"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28"/>
      <c r="AM36" s="31"/>
    </row>
    <row r="37" spans="5:138" x14ac:dyDescent="0.25">
      <c r="AL37" s="28"/>
      <c r="AM37" s="31"/>
    </row>
    <row r="38" spans="5:138" x14ac:dyDescent="0.25">
      <c r="E38" s="94" t="s">
        <v>40</v>
      </c>
      <c r="F38" s="25" t="s">
        <v>39</v>
      </c>
      <c r="G38" s="25">
        <v>0</v>
      </c>
      <c r="H38" s="26">
        <v>3.3333333333333335E-3</v>
      </c>
      <c r="I38" s="26">
        <v>6.6666666666666671E-3</v>
      </c>
      <c r="J38" s="26">
        <v>0.01</v>
      </c>
      <c r="K38" s="26">
        <v>1.3333333333333334E-2</v>
      </c>
      <c r="L38" s="26">
        <v>1.6666666666666666E-2</v>
      </c>
      <c r="M38" s="26">
        <v>0.02</v>
      </c>
      <c r="N38" s="26">
        <v>2.3333333333333334E-2</v>
      </c>
      <c r="O38" s="26">
        <v>2.6666666666666668E-2</v>
      </c>
      <c r="P38" s="26">
        <v>3.0000000000000002E-2</v>
      </c>
      <c r="Q38" s="26">
        <v>3.3333333333333333E-2</v>
      </c>
      <c r="R38" s="26">
        <v>3.6666666666666667E-2</v>
      </c>
      <c r="S38" s="26">
        <v>0.04</v>
      </c>
      <c r="T38" s="26">
        <v>4.3333333333333335E-2</v>
      </c>
      <c r="U38" s="26">
        <v>4.6666666666666669E-2</v>
      </c>
      <c r="V38" s="26">
        <v>0.05</v>
      </c>
      <c r="W38" s="26">
        <v>5.3333333333333337E-2</v>
      </c>
      <c r="X38" s="26">
        <v>5.6666666666666671E-2</v>
      </c>
      <c r="Y38" s="26">
        <v>6.0000000000000005E-2</v>
      </c>
      <c r="Z38" s="26">
        <v>6.3333333333333339E-2</v>
      </c>
      <c r="AA38" s="26">
        <v>6.6666666666666666E-2</v>
      </c>
      <c r="AB38" s="26">
        <v>7.0000000000000007E-2</v>
      </c>
      <c r="AC38" s="26">
        <v>7.3333333333333334E-2</v>
      </c>
      <c r="AD38" s="26">
        <v>7.6666666666666675E-2</v>
      </c>
      <c r="AE38" s="26">
        <v>0.08</v>
      </c>
      <c r="AF38" s="26">
        <v>8.3333333333333343E-2</v>
      </c>
      <c r="AG38" s="26">
        <v>8.666666666666667E-2</v>
      </c>
      <c r="AH38" s="26">
        <v>9.0000000000000011E-2</v>
      </c>
      <c r="AI38" s="26">
        <v>9.3333333333333338E-2</v>
      </c>
      <c r="AJ38" s="26">
        <v>9.6666666666666679E-2</v>
      </c>
      <c r="AK38" s="26">
        <v>0.1</v>
      </c>
      <c r="AL38" s="86" t="s">
        <v>41</v>
      </c>
      <c r="AM38" s="25" t="s">
        <v>39</v>
      </c>
      <c r="AN38" s="25">
        <v>0</v>
      </c>
      <c r="AO38" s="26">
        <v>3.3333333333333335E-3</v>
      </c>
      <c r="AP38" s="26">
        <v>6.6666666666666671E-3</v>
      </c>
      <c r="AQ38" s="26">
        <v>0.01</v>
      </c>
      <c r="AR38" s="26">
        <v>1.3333333333333334E-2</v>
      </c>
      <c r="AS38" s="26">
        <v>1.6666666666666666E-2</v>
      </c>
      <c r="AT38" s="26">
        <v>0.02</v>
      </c>
      <c r="AU38" s="26">
        <v>2.3333333333333334E-2</v>
      </c>
      <c r="AV38" s="26">
        <v>2.6666666666666668E-2</v>
      </c>
      <c r="AW38" s="26">
        <v>3.0000000000000002E-2</v>
      </c>
      <c r="AX38" s="26">
        <v>3.3333333333333333E-2</v>
      </c>
      <c r="AY38" s="26">
        <v>3.6666666666666667E-2</v>
      </c>
      <c r="AZ38" s="26">
        <v>0.04</v>
      </c>
      <c r="BA38" s="26">
        <v>4.3333333333333335E-2</v>
      </c>
      <c r="BB38" s="26">
        <v>4.6666666666666669E-2</v>
      </c>
      <c r="BC38" s="26">
        <v>0.05</v>
      </c>
      <c r="BD38" s="26">
        <v>5.3333333333333337E-2</v>
      </c>
      <c r="BE38" s="26">
        <v>5.6666666666666671E-2</v>
      </c>
      <c r="BF38" s="26">
        <v>6.0000000000000005E-2</v>
      </c>
      <c r="BG38" s="26">
        <v>6.3333333333333339E-2</v>
      </c>
      <c r="BH38" s="26">
        <v>6.6666666666666666E-2</v>
      </c>
      <c r="BI38" s="26">
        <v>7.0000000000000007E-2</v>
      </c>
      <c r="BJ38" s="26">
        <v>7.3333333333333334E-2</v>
      </c>
      <c r="BK38" s="26">
        <v>7.6666666666666675E-2</v>
      </c>
      <c r="BL38" s="26">
        <v>0.08</v>
      </c>
      <c r="BM38" s="26">
        <v>8.3333333333333343E-2</v>
      </c>
      <c r="BN38" s="26">
        <v>8.666666666666667E-2</v>
      </c>
      <c r="BO38" s="26">
        <v>9.0000000000000011E-2</v>
      </c>
      <c r="BP38" s="26">
        <v>9.3333333333333338E-2</v>
      </c>
      <c r="BQ38" s="26">
        <v>9.6666666666666679E-2</v>
      </c>
      <c r="BR38" s="26">
        <v>0.1</v>
      </c>
      <c r="BT38" s="86" t="s">
        <v>43</v>
      </c>
      <c r="BU38" s="25" t="s">
        <v>39</v>
      </c>
      <c r="BV38" s="25">
        <v>0</v>
      </c>
      <c r="BW38" s="26">
        <v>3.3333333333333335E-3</v>
      </c>
      <c r="BX38" s="26">
        <v>6.6666666666666671E-3</v>
      </c>
      <c r="BY38" s="26">
        <v>0.01</v>
      </c>
      <c r="BZ38" s="26">
        <v>1.3333333333333334E-2</v>
      </c>
      <c r="CA38" s="26">
        <v>1.6666666666666666E-2</v>
      </c>
      <c r="CB38" s="26">
        <v>0.02</v>
      </c>
      <c r="CC38" s="26">
        <v>2.3333333333333334E-2</v>
      </c>
      <c r="CD38" s="26">
        <v>2.6666666666666668E-2</v>
      </c>
      <c r="CE38" s="26">
        <v>3.0000000000000002E-2</v>
      </c>
      <c r="CF38" s="26">
        <v>3.3333333333333333E-2</v>
      </c>
      <c r="CG38" s="26">
        <v>3.6666666666666667E-2</v>
      </c>
      <c r="CH38" s="26">
        <v>0.04</v>
      </c>
      <c r="CI38" s="26">
        <v>4.3333333333333335E-2</v>
      </c>
      <c r="CJ38" s="26">
        <v>4.6666666666666669E-2</v>
      </c>
      <c r="CK38" s="26">
        <v>0.05</v>
      </c>
      <c r="CL38" s="26">
        <v>5.3333333333333337E-2</v>
      </c>
      <c r="CM38" s="26">
        <v>5.6666666666666671E-2</v>
      </c>
      <c r="CN38" s="26">
        <v>6.0000000000000005E-2</v>
      </c>
      <c r="CO38" s="26">
        <v>6.3333333333333339E-2</v>
      </c>
      <c r="CP38" s="26">
        <v>6.6666666666666666E-2</v>
      </c>
      <c r="CQ38" s="26">
        <v>7.0000000000000007E-2</v>
      </c>
      <c r="CR38" s="26">
        <v>7.3333333333333334E-2</v>
      </c>
      <c r="CS38" s="26">
        <v>7.6666666666666675E-2</v>
      </c>
      <c r="CT38" s="26">
        <v>0.08</v>
      </c>
      <c r="CU38" s="26">
        <v>8.3333333333333343E-2</v>
      </c>
      <c r="CV38" s="26">
        <v>8.666666666666667E-2</v>
      </c>
      <c r="CW38" s="26">
        <v>9.0000000000000011E-2</v>
      </c>
      <c r="CX38" s="26">
        <v>9.3333333333333338E-2</v>
      </c>
      <c r="CY38" s="26">
        <v>9.6666666666666679E-2</v>
      </c>
      <c r="CZ38" s="26">
        <v>0.1</v>
      </c>
      <c r="DB38" s="86" t="s">
        <v>42</v>
      </c>
      <c r="DC38" s="25" t="s">
        <v>39</v>
      </c>
      <c r="DD38" s="25">
        <v>0</v>
      </c>
      <c r="DE38" s="26">
        <v>3.3333333333333335E-3</v>
      </c>
      <c r="DF38" s="26">
        <v>6.6666666666666671E-3</v>
      </c>
      <c r="DG38" s="26">
        <v>0.01</v>
      </c>
      <c r="DH38" s="26">
        <v>1.3333333333333334E-2</v>
      </c>
      <c r="DI38" s="26">
        <v>1.6666666666666666E-2</v>
      </c>
      <c r="DJ38" s="26">
        <v>0.02</v>
      </c>
      <c r="DK38" s="26">
        <v>2.3333333333333334E-2</v>
      </c>
      <c r="DL38" s="26">
        <v>2.6666666666666668E-2</v>
      </c>
      <c r="DM38" s="26">
        <v>3.0000000000000002E-2</v>
      </c>
      <c r="DN38" s="26">
        <v>3.3333333333333333E-2</v>
      </c>
      <c r="DO38" s="26">
        <v>3.6666666666666667E-2</v>
      </c>
      <c r="DP38" s="26">
        <v>0.04</v>
      </c>
      <c r="DQ38" s="26">
        <v>4.3333333333333335E-2</v>
      </c>
      <c r="DR38" s="26">
        <v>4.6666666666666669E-2</v>
      </c>
      <c r="DS38" s="26">
        <v>0.05</v>
      </c>
      <c r="DT38" s="26">
        <v>5.3333333333333337E-2</v>
      </c>
      <c r="DU38" s="26">
        <v>5.6666666666666671E-2</v>
      </c>
      <c r="DV38" s="26">
        <v>6.0000000000000005E-2</v>
      </c>
      <c r="DW38" s="26">
        <v>6.3333333333333339E-2</v>
      </c>
      <c r="DX38" s="26">
        <v>6.6666666666666666E-2</v>
      </c>
      <c r="DY38" s="26">
        <v>7.0000000000000007E-2</v>
      </c>
      <c r="DZ38" s="26">
        <v>7.3333333333333334E-2</v>
      </c>
      <c r="EA38" s="26">
        <v>7.6666666666666675E-2</v>
      </c>
      <c r="EB38" s="26">
        <v>0.08</v>
      </c>
      <c r="EC38" s="26">
        <v>8.3333333333333343E-2</v>
      </c>
      <c r="ED38" s="26">
        <v>8.666666666666667E-2</v>
      </c>
      <c r="EE38" s="26">
        <v>9.0000000000000011E-2</v>
      </c>
      <c r="EF38" s="26">
        <v>9.3333333333333338E-2</v>
      </c>
      <c r="EG38" s="26">
        <v>9.6666666666666679E-2</v>
      </c>
      <c r="EH38" s="26">
        <v>0.1</v>
      </c>
    </row>
    <row r="39" spans="5:138" x14ac:dyDescent="0.25">
      <c r="E39" s="95"/>
      <c r="F39" s="26">
        <v>0.1</v>
      </c>
      <c r="G39">
        <f>$B$16</f>
        <v>300</v>
      </c>
      <c r="H39">
        <f>BW39*I39+DE39</f>
        <v>312.53525061136929</v>
      </c>
      <c r="I39">
        <f t="shared" ref="I39:AI39" si="6">BX39*J39+DF39</f>
        <v>319.0794862466513</v>
      </c>
      <c r="J39">
        <f t="shared" si="6"/>
        <v>321.34101895020012</v>
      </c>
      <c r="K39">
        <f t="shared" si="6"/>
        <v>320.2958430258509</v>
      </c>
      <c r="L39">
        <f t="shared" si="6"/>
        <v>316.55764447336514</v>
      </c>
      <c r="M39">
        <f t="shared" si="6"/>
        <v>310.5801939839908</v>
      </c>
      <c r="N39">
        <f t="shared" si="6"/>
        <v>302.75315145346144</v>
      </c>
      <c r="O39">
        <f t="shared" si="6"/>
        <v>293.43892917280499</v>
      </c>
      <c r="P39">
        <f t="shared" si="6"/>
        <v>282.98103719316947</v>
      </c>
      <c r="Q39">
        <f t="shared" si="6"/>
        <v>271.70105156838736</v>
      </c>
      <c r="R39">
        <f t="shared" si="6"/>
        <v>259.89280944039916</v>
      </c>
      <c r="S39">
        <f t="shared" si="6"/>
        <v>247.8175342043069</v>
      </c>
      <c r="T39">
        <f t="shared" si="6"/>
        <v>235.70104726268815</v>
      </c>
      <c r="U39">
        <f t="shared" si="6"/>
        <v>223.7330507928443</v>
      </c>
      <c r="V39">
        <f t="shared" si="6"/>
        <v>212.06802973490704</v>
      </c>
      <c r="W39">
        <f t="shared" si="6"/>
        <v>200.82724220955029</v>
      </c>
      <c r="X39">
        <f t="shared" si="6"/>
        <v>190.10133802780149</v>
      </c>
      <c r="Y39">
        <f t="shared" si="6"/>
        <v>179.95325973190739</v>
      </c>
      <c r="Z39">
        <f t="shared" si="6"/>
        <v>170.42119205251788</v>
      </c>
      <c r="AA39">
        <f t="shared" si="6"/>
        <v>161.52141617774922</v>
      </c>
      <c r="AB39">
        <f t="shared" si="6"/>
        <v>153.25099162035698</v>
      </c>
      <c r="AC39">
        <f t="shared" si="6"/>
        <v>145.59023359747081</v>
      </c>
      <c r="AD39">
        <f t="shared" si="6"/>
        <v>138.50498240483336</v>
      </c>
      <c r="AE39">
        <f t="shared" si="6"/>
        <v>131.94867791627738</v>
      </c>
      <c r="AF39">
        <f t="shared" si="6"/>
        <v>125.8642609325436</v>
      </c>
      <c r="AG39">
        <f t="shared" si="6"/>
        <v>120.18592657539797</v>
      </c>
      <c r="AH39">
        <f t="shared" si="6"/>
        <v>114.84075536895344</v>
      </c>
      <c r="AI39">
        <f t="shared" si="6"/>
        <v>109.75024649694015</v>
      </c>
      <c r="AJ39">
        <f>CY39*AK39+EG39</f>
        <v>104.83177590359665</v>
      </c>
      <c r="AK39">
        <f>$B$17</f>
        <v>100</v>
      </c>
      <c r="AL39" s="86"/>
      <c r="AM39" s="26">
        <v>0.1</v>
      </c>
      <c r="AN39" s="27">
        <f>-($B$12*$B$11)/$B$8*G3</f>
        <v>-1076400000</v>
      </c>
      <c r="AO39" s="27">
        <f t="shared" ref="AO39:BR39" si="7">-($B$12*$B$11)/$B$8*H3</f>
        <v>-1146179281.1945946</v>
      </c>
      <c r="AP39" s="27">
        <f t="shared" si="7"/>
        <v>-1162587586.7903602</v>
      </c>
      <c r="AQ39" s="27">
        <f t="shared" si="7"/>
        <v>-1166661349.7128158</v>
      </c>
      <c r="AR39" s="27">
        <f t="shared" si="7"/>
        <v>-1160370598.4572389</v>
      </c>
      <c r="AS39" s="27">
        <f t="shared" si="7"/>
        <v>-1145079331.3891528</v>
      </c>
      <c r="AT39" s="27">
        <f t="shared" si="7"/>
        <v>-1122019047.0649407</v>
      </c>
      <c r="AU39" s="27">
        <f t="shared" si="7"/>
        <v>-1092435231.5805454</v>
      </c>
      <c r="AV39" s="27">
        <f t="shared" si="7"/>
        <v>-1057593670.4257978</v>
      </c>
      <c r="AW39" s="27">
        <f t="shared" si="7"/>
        <v>-1018739429.1399992</v>
      </c>
      <c r="AX39" s="27">
        <f t="shared" si="7"/>
        <v>-977050354.950647</v>
      </c>
      <c r="AY39" s="27">
        <f t="shared" si="7"/>
        <v>-933600917.33970273</v>
      </c>
      <c r="AZ39" s="27">
        <f t="shared" si="7"/>
        <v>-889339929.18593323</v>
      </c>
      <c r="BA39" s="27">
        <f t="shared" si="7"/>
        <v>-845080607.02537715</v>
      </c>
      <c r="BB39" s="27">
        <f t="shared" si="7"/>
        <v>-801499868.03943181</v>
      </c>
      <c r="BC39" s="27">
        <f t="shared" si="7"/>
        <v>-759143763.86396313</v>
      </c>
      <c r="BD39" s="27">
        <f t="shared" si="7"/>
        <v>-718436528.00532973</v>
      </c>
      <c r="BE39" s="27">
        <f t="shared" si="7"/>
        <v>-679691401.6763134</v>
      </c>
      <c r="BF39" s="27">
        <f t="shared" si="7"/>
        <v>-643122011.96575511</v>
      </c>
      <c r="BG39" s="27">
        <f t="shared" si="7"/>
        <v>-608853549.01330364</v>
      </c>
      <c r="BH39" s="27">
        <f t="shared" si="7"/>
        <v>-576933326.79182577</v>
      </c>
      <c r="BI39" s="27">
        <f t="shared" si="7"/>
        <v>-547340538.48098588</v>
      </c>
      <c r="BJ39" s="27">
        <f t="shared" si="7"/>
        <v>-519995159.8704958</v>
      </c>
      <c r="BK39" s="27">
        <f t="shared" si="7"/>
        <v>-494766037.51364481</v>
      </c>
      <c r="BL39" s="27">
        <f t="shared" si="7"/>
        <v>-471478242.09363949</v>
      </c>
      <c r="BM39" s="27">
        <f t="shared" si="7"/>
        <v>-449919786.15189183</v>
      </c>
      <c r="BN39" s="27">
        <f t="shared" si="7"/>
        <v>-429847809.10862565</v>
      </c>
      <c r="BO39" s="27">
        <f t="shared" si="7"/>
        <v>-410994328.19925988</v>
      </c>
      <c r="BP39" s="27">
        <f t="shared" si="7"/>
        <v>-393071645.95732832</v>
      </c>
      <c r="BQ39" s="27">
        <f t="shared" si="7"/>
        <v>-375777495.92655277</v>
      </c>
      <c r="BR39" s="27">
        <f t="shared" si="7"/>
        <v>-358800000</v>
      </c>
      <c r="BT39" s="86"/>
      <c r="BU39" s="26">
        <v>0.1</v>
      </c>
      <c r="BV39" s="13">
        <v>0</v>
      </c>
      <c r="BW39" s="13">
        <f>$B$20/($B$21-$B$22*BV39)</f>
        <v>0.34883720930232553</v>
      </c>
      <c r="BX39" s="13">
        <f t="shared" ref="BX39:CY39" si="8">$B$20/($B$21-$B$22*BW39)</f>
        <v>0.39716748768472904</v>
      </c>
      <c r="BY39" s="13">
        <f t="shared" si="8"/>
        <v>0.40494040593779607</v>
      </c>
      <c r="BZ39" s="13">
        <f t="shared" si="8"/>
        <v>0.4062190081621499</v>
      </c>
      <c r="CA39" s="13">
        <f t="shared" si="8"/>
        <v>0.40643010492156101</v>
      </c>
      <c r="CB39" s="13">
        <f t="shared" si="8"/>
        <v>0.40646497802255066</v>
      </c>
      <c r="CC39" s="13">
        <f t="shared" si="8"/>
        <v>0.40647073962099717</v>
      </c>
      <c r="CD39" s="13">
        <f t="shared" si="8"/>
        <v>0.40647169154566137</v>
      </c>
      <c r="CE39" s="13">
        <f t="shared" si="8"/>
        <v>0.40647184882198806</v>
      </c>
      <c r="CF39" s="13">
        <f t="shared" si="8"/>
        <v>0.40647187480708435</v>
      </c>
      <c r="CG39" s="13">
        <f t="shared" si="8"/>
        <v>0.40647187910032606</v>
      </c>
      <c r="CH39" s="13">
        <f t="shared" si="8"/>
        <v>0.40647187980965277</v>
      </c>
      <c r="CI39" s="13">
        <f t="shared" si="8"/>
        <v>0.4064718799268473</v>
      </c>
      <c r="CJ39" s="13">
        <f t="shared" si="8"/>
        <v>0.40647187994621015</v>
      </c>
      <c r="CK39" s="13">
        <f t="shared" si="8"/>
        <v>0.40647187994940925</v>
      </c>
      <c r="CL39" s="13">
        <f t="shared" si="8"/>
        <v>0.40647187994993778</v>
      </c>
      <c r="CM39" s="13">
        <f t="shared" si="8"/>
        <v>0.40647187995002515</v>
      </c>
      <c r="CN39" s="13">
        <f t="shared" si="8"/>
        <v>0.40647187995003953</v>
      </c>
      <c r="CO39" s="13">
        <f t="shared" si="8"/>
        <v>0.40647187995004191</v>
      </c>
      <c r="CP39" s="13">
        <f t="shared" si="8"/>
        <v>0.40647187995004236</v>
      </c>
      <c r="CQ39" s="13">
        <f t="shared" si="8"/>
        <v>0.40647187995004236</v>
      </c>
      <c r="CR39" s="13">
        <f t="shared" si="8"/>
        <v>0.40647187995004236</v>
      </c>
      <c r="CS39" s="13">
        <f t="shared" si="8"/>
        <v>0.40647187995004236</v>
      </c>
      <c r="CT39" s="13">
        <f t="shared" si="8"/>
        <v>0.40647187995004236</v>
      </c>
      <c r="CU39" s="13">
        <f t="shared" si="8"/>
        <v>0.40647187995004236</v>
      </c>
      <c r="CV39" s="13">
        <f t="shared" si="8"/>
        <v>0.40647187995004236</v>
      </c>
      <c r="CW39" s="13">
        <f t="shared" si="8"/>
        <v>0.40647187995004236</v>
      </c>
      <c r="CX39" s="13">
        <f t="shared" si="8"/>
        <v>0.40647187995004236</v>
      </c>
      <c r="CY39" s="13">
        <f t="shared" si="8"/>
        <v>0.40647187995004236</v>
      </c>
      <c r="CZ39" s="13">
        <f>$B$17</f>
        <v>100</v>
      </c>
      <c r="DB39" s="86"/>
      <c r="DC39" s="26">
        <v>0.1</v>
      </c>
      <c r="DD39" s="13">
        <f>G3</f>
        <v>300</v>
      </c>
      <c r="DE39" s="13">
        <f>(DD39*$B$22-AO39)/($B$21-$B$22*BV39)</f>
        <v>201.22845308346771</v>
      </c>
      <c r="DF39" s="13">
        <f t="shared" ref="DF39:EH39" si="9">(DE39*$B$22-AP39)/($B$21-$B$22*BW39)</f>
        <v>191.45328106014944</v>
      </c>
      <c r="DG39" s="13">
        <f t="shared" si="9"/>
        <v>191.64029025512343</v>
      </c>
      <c r="DH39" s="13">
        <f t="shared" si="9"/>
        <v>191.70411066173406</v>
      </c>
      <c r="DI39" s="13">
        <f t="shared" si="9"/>
        <v>190.32850364589297</v>
      </c>
      <c r="DJ39" s="13">
        <f t="shared" si="9"/>
        <v>187.52164093220165</v>
      </c>
      <c r="DK39" s="13">
        <f t="shared" si="9"/>
        <v>183.47881287899801</v>
      </c>
      <c r="DL39" s="13">
        <f t="shared" si="9"/>
        <v>178.41514830955168</v>
      </c>
      <c r="DM39" s="13">
        <f t="shared" si="9"/>
        <v>172.54220843528876</v>
      </c>
      <c r="DN39" s="13">
        <f t="shared" si="9"/>
        <v>166.06193406626798</v>
      </c>
      <c r="DO39" s="13">
        <f t="shared" si="9"/>
        <v>159.1619506383652</v>
      </c>
      <c r="DP39" s="13">
        <f t="shared" si="9"/>
        <v>152.01168645033823</v>
      </c>
      <c r="DQ39" s="13">
        <f t="shared" si="9"/>
        <v>144.75985350515191</v>
      </c>
      <c r="DR39" s="13">
        <f t="shared" si="9"/>
        <v>137.53336007000783</v>
      </c>
      <c r="DS39" s="13">
        <f t="shared" si="9"/>
        <v>130.43740304893578</v>
      </c>
      <c r="DT39" s="13">
        <f t="shared" si="9"/>
        <v>123.55639396039122</v>
      </c>
      <c r="DU39" s="13">
        <f t="shared" si="9"/>
        <v>116.95539824143795</v>
      </c>
      <c r="DV39" s="13">
        <f t="shared" si="9"/>
        <v>110.68183741499374</v>
      </c>
      <c r="DW39" s="13">
        <f t="shared" si="9"/>
        <v>104.76727836655503</v>
      </c>
      <c r="DX39" s="13">
        <f t="shared" si="9"/>
        <v>99.229197509614522</v>
      </c>
      <c r="DY39" s="13">
        <f t="shared" si="9"/>
        <v>94.072655667627203</v>
      </c>
      <c r="DZ39" s="13">
        <f t="shared" si="9"/>
        <v>89.291853016930659</v>
      </c>
      <c r="EA39" s="13">
        <f t="shared" si="9"/>
        <v>84.871555235281448</v>
      </c>
      <c r="EB39" s="13">
        <f t="shared" si="9"/>
        <v>80.788395156503711</v>
      </c>
      <c r="EC39" s="13">
        <f t="shared" si="9"/>
        <v>77.012061413903837</v>
      </c>
      <c r="ED39" s="13">
        <f t="shared" si="9"/>
        <v>73.506388845696549</v>
      </c>
      <c r="EE39" s="13">
        <f t="shared" si="9"/>
        <v>70.230366350361635</v>
      </c>
      <c r="EF39" s="13">
        <f t="shared" si="9"/>
        <v>67.139077466903672</v>
      </c>
      <c r="EG39" s="13">
        <f t="shared" si="9"/>
        <v>64.184587908592405</v>
      </c>
      <c r="EH39" s="13">
        <f t="shared" si="9"/>
        <v>61.316793040027989</v>
      </c>
    </row>
    <row r="40" spans="5:138" x14ac:dyDescent="0.25">
      <c r="E40" s="95"/>
      <c r="F40" s="26">
        <v>9.6666666666666679E-2</v>
      </c>
      <c r="G40">
        <f t="shared" ref="G40:G69" si="10">$B$16</f>
        <v>300</v>
      </c>
      <c r="H40">
        <f t="shared" ref="H40:H69" si="11">BW40*I40+DE40</f>
        <v>312.53525061136929</v>
      </c>
      <c r="I40">
        <f t="shared" ref="I40:I69" si="12">BX40*J40+DF40</f>
        <v>319.0794862466513</v>
      </c>
      <c r="J40">
        <f t="shared" ref="J40:J69" si="13">BY40*K40+DG40</f>
        <v>321.34101895020012</v>
      </c>
      <c r="K40">
        <f t="shared" ref="K40:K69" si="14">BZ40*L40+DH40</f>
        <v>320.2958430258509</v>
      </c>
      <c r="L40">
        <f t="shared" ref="L40:L69" si="15">CA40*M40+DI40</f>
        <v>316.55764447336514</v>
      </c>
      <c r="M40">
        <f t="shared" ref="M40:M69" si="16">CB40*N40+DJ40</f>
        <v>310.5801939839908</v>
      </c>
      <c r="N40">
        <f t="shared" ref="N40:N69" si="17">CC40*O40+DK40</f>
        <v>302.75315145346144</v>
      </c>
      <c r="O40">
        <f t="shared" ref="O40:O69" si="18">CD40*P40+DL40</f>
        <v>293.43892917280499</v>
      </c>
      <c r="P40">
        <f t="shared" ref="P40:P69" si="19">CE40*Q40+DM40</f>
        <v>282.98103719316947</v>
      </c>
      <c r="Q40">
        <f t="shared" ref="Q40:Q69" si="20">CF40*R40+DN40</f>
        <v>271.70105156838736</v>
      </c>
      <c r="R40">
        <f t="shared" ref="R40:R69" si="21">CG40*S40+DO40</f>
        <v>259.89280944039916</v>
      </c>
      <c r="S40">
        <f t="shared" ref="S40:S69" si="22">CH40*T40+DP40</f>
        <v>247.81753420430692</v>
      </c>
      <c r="T40">
        <f t="shared" ref="T40:T69" si="23">CI40*U40+DQ40</f>
        <v>235.70104726268815</v>
      </c>
      <c r="U40">
        <f t="shared" ref="U40:U69" si="24">CJ40*V40+DR40</f>
        <v>223.7330507928443</v>
      </c>
      <c r="V40">
        <f t="shared" ref="V40:V69" si="25">CK40*W40+DS40</f>
        <v>212.06802973490704</v>
      </c>
      <c r="W40">
        <f t="shared" ref="W40:W69" si="26">CL40*X40+DT40</f>
        <v>200.82724220955029</v>
      </c>
      <c r="X40">
        <f t="shared" ref="X40:X69" si="27">CM40*Y40+DU40</f>
        <v>190.10133802780149</v>
      </c>
      <c r="Y40">
        <f t="shared" ref="Y40:Y69" si="28">CN40*Z40+DV40</f>
        <v>179.95325973190739</v>
      </c>
      <c r="Z40">
        <f t="shared" ref="Z40:Z69" si="29">CO40*AA40+DW40</f>
        <v>170.42119205251788</v>
      </c>
      <c r="AA40">
        <f t="shared" ref="AA40:AA69" si="30">CP40*AB40+DX40</f>
        <v>161.52141617774922</v>
      </c>
      <c r="AB40">
        <f t="shared" ref="AB40:AB69" si="31">CQ40*AC40+DY40</f>
        <v>153.25099162035698</v>
      </c>
      <c r="AC40">
        <f t="shared" ref="AC40:AC69" si="32">CR40*AD40+DZ40</f>
        <v>145.59023359747081</v>
      </c>
      <c r="AD40">
        <f t="shared" ref="AD40:AD69" si="33">CS40*AE40+EA40</f>
        <v>138.50498240483336</v>
      </c>
      <c r="AE40">
        <f t="shared" ref="AE40:AE69" si="34">CT40*AF40+EB40</f>
        <v>131.94867791627738</v>
      </c>
      <c r="AF40">
        <f t="shared" ref="AF40:AF69" si="35">CU40*AG40+EC40</f>
        <v>125.8642609325436</v>
      </c>
      <c r="AG40">
        <f t="shared" ref="AG40:AG69" si="36">CV40*AH40+ED40</f>
        <v>120.18592657539797</v>
      </c>
      <c r="AH40">
        <f t="shared" ref="AH40:AH69" si="37">CW40*AI40+EE40</f>
        <v>114.84075536895344</v>
      </c>
      <c r="AI40">
        <f t="shared" ref="AI40:AJ55" si="38">CX40*AJ40+EF40</f>
        <v>109.75024649694015</v>
      </c>
      <c r="AJ40">
        <f t="shared" si="38"/>
        <v>104.83177590359665</v>
      </c>
      <c r="AK40">
        <f t="shared" ref="AK40:AK69" si="39">$B$17</f>
        <v>100</v>
      </c>
      <c r="AL40" s="86"/>
      <c r="AM40" s="26">
        <v>9.6666666666666679E-2</v>
      </c>
      <c r="AN40" s="27">
        <f t="shared" ref="AN40:AN69" si="40">-($B$12*$B$11)/$B$8*G4</f>
        <v>-1076400000</v>
      </c>
      <c r="AO40" s="27">
        <f>-($B$12*$B$11)/$B$8*H4</f>
        <v>-1146179281.1945946</v>
      </c>
      <c r="AP40" s="27">
        <f t="shared" ref="AP40:AP69" si="41">-($B$12*$B$11)/$B$8*I4</f>
        <v>-1162587586.7903602</v>
      </c>
      <c r="AQ40" s="27">
        <f t="shared" ref="AQ40:AQ69" si="42">-($B$12*$B$11)/$B$8*J4</f>
        <v>-1166661349.7128158</v>
      </c>
      <c r="AR40" s="27">
        <f t="shared" ref="AR40:AR69" si="43">-($B$12*$B$11)/$B$8*K4</f>
        <v>-1160370598.4572389</v>
      </c>
      <c r="AS40" s="27">
        <f t="shared" ref="AS40:AS69" si="44">-($B$12*$B$11)/$B$8*L4</f>
        <v>-1145079331.3891528</v>
      </c>
      <c r="AT40" s="27">
        <f t="shared" ref="AT40:AT69" si="45">-($B$12*$B$11)/$B$8*M4</f>
        <v>-1122019047.0649407</v>
      </c>
      <c r="AU40" s="27">
        <f t="shared" ref="AU40:AU69" si="46">-($B$12*$B$11)/$B$8*N4</f>
        <v>-1092435231.5805457</v>
      </c>
      <c r="AV40" s="27">
        <f t="shared" ref="AV40:AV69" si="47">-($B$12*$B$11)/$B$8*O4</f>
        <v>-1057593670.4257978</v>
      </c>
      <c r="AW40" s="27">
        <f t="shared" ref="AW40:AW69" si="48">-($B$12*$B$11)/$B$8*P4</f>
        <v>-1018739429.1399992</v>
      </c>
      <c r="AX40" s="27">
        <f t="shared" ref="AX40:AX69" si="49">-($B$12*$B$11)/$B$8*Q4</f>
        <v>-977050354.950647</v>
      </c>
      <c r="AY40" s="27">
        <f t="shared" ref="AY40:AY69" si="50">-($B$12*$B$11)/$B$8*R4</f>
        <v>-933600917.33970273</v>
      </c>
      <c r="AZ40" s="27">
        <f t="shared" ref="AZ40:AZ69" si="51">-($B$12*$B$11)/$B$8*S4</f>
        <v>-889339929.18593335</v>
      </c>
      <c r="BA40" s="27">
        <f t="shared" ref="BA40:BA69" si="52">-($B$12*$B$11)/$B$8*T4</f>
        <v>-845080607.02537715</v>
      </c>
      <c r="BB40" s="27">
        <f t="shared" ref="BB40:BB69" si="53">-($B$12*$B$11)/$B$8*U4</f>
        <v>-801499868.03943181</v>
      </c>
      <c r="BC40" s="27">
        <f t="shared" ref="BC40:BC69" si="54">-($B$12*$B$11)/$B$8*V4</f>
        <v>-759143763.86396325</v>
      </c>
      <c r="BD40" s="27">
        <f t="shared" ref="BD40:BD69" si="55">-($B$12*$B$11)/$B$8*W4</f>
        <v>-718436528.00532973</v>
      </c>
      <c r="BE40" s="27">
        <f t="shared" ref="BE40:BE69" si="56">-($B$12*$B$11)/$B$8*X4</f>
        <v>-679691401.67631352</v>
      </c>
      <c r="BF40" s="27">
        <f t="shared" ref="BF40:BF69" si="57">-($B$12*$B$11)/$B$8*Y4</f>
        <v>-643122011.96575511</v>
      </c>
      <c r="BG40" s="27">
        <f t="shared" ref="BG40:BG69" si="58">-($B$12*$B$11)/$B$8*Z4</f>
        <v>-608853549.01330364</v>
      </c>
      <c r="BH40" s="27">
        <f t="shared" ref="BH40:BH69" si="59">-($B$12*$B$11)/$B$8*AA4</f>
        <v>-576933326.79182577</v>
      </c>
      <c r="BI40" s="27">
        <f t="shared" ref="BI40:BI69" si="60">-($B$12*$B$11)/$B$8*AB4</f>
        <v>-547340538.48098588</v>
      </c>
      <c r="BJ40" s="27">
        <f t="shared" ref="BJ40:BJ69" si="61">-($B$12*$B$11)/$B$8*AC4</f>
        <v>-519995159.8704958</v>
      </c>
      <c r="BK40" s="27">
        <f t="shared" ref="BK40:BK69" si="62">-($B$12*$B$11)/$B$8*AD4</f>
        <v>-494766037.51364481</v>
      </c>
      <c r="BL40" s="27">
        <f t="shared" ref="BL40:BL69" si="63">-($B$12*$B$11)/$B$8*AE4</f>
        <v>-471478242.09363949</v>
      </c>
      <c r="BM40" s="27">
        <f t="shared" ref="BM40:BM69" si="64">-($B$12*$B$11)/$B$8*AF4</f>
        <v>-449919786.15189183</v>
      </c>
      <c r="BN40" s="27">
        <f t="shared" ref="BN40:BN69" si="65">-($B$12*$B$11)/$B$8*AG4</f>
        <v>-429847809.10862565</v>
      </c>
      <c r="BO40" s="27">
        <f t="shared" ref="BO40:BO69" si="66">-($B$12*$B$11)/$B$8*AH4</f>
        <v>-410994328.19925988</v>
      </c>
      <c r="BP40" s="27">
        <f t="shared" ref="BP40:BP69" si="67">-($B$12*$B$11)/$B$8*AI4</f>
        <v>-393071645.95732832</v>
      </c>
      <c r="BQ40" s="27">
        <f t="shared" ref="BQ40:BQ69" si="68">-($B$12*$B$11)/$B$8*AJ4</f>
        <v>-375777495.92655283</v>
      </c>
      <c r="BR40" s="27">
        <f t="shared" ref="BR40:BR69" si="69">-($B$12*$B$11)/$B$8*AK4</f>
        <v>-358800000</v>
      </c>
      <c r="BT40" s="86"/>
      <c r="BU40" s="26">
        <v>9.6666666666666679E-2</v>
      </c>
      <c r="BV40" s="13">
        <v>0</v>
      </c>
      <c r="BW40" s="13">
        <f t="shared" ref="BW40:CY40" si="70">$B$20/($B$21-$B$22*BV40)</f>
        <v>0.34883720930232553</v>
      </c>
      <c r="BX40" s="13">
        <f t="shared" si="70"/>
        <v>0.39716748768472904</v>
      </c>
      <c r="BY40" s="13">
        <f t="shared" si="70"/>
        <v>0.40494040593779607</v>
      </c>
      <c r="BZ40" s="13">
        <f t="shared" si="70"/>
        <v>0.4062190081621499</v>
      </c>
      <c r="CA40" s="13">
        <f t="shared" si="70"/>
        <v>0.40643010492156101</v>
      </c>
      <c r="CB40" s="13">
        <f t="shared" si="70"/>
        <v>0.40646497802255066</v>
      </c>
      <c r="CC40" s="13">
        <f t="shared" si="70"/>
        <v>0.40647073962099717</v>
      </c>
      <c r="CD40" s="13">
        <f t="shared" si="70"/>
        <v>0.40647169154566137</v>
      </c>
      <c r="CE40" s="13">
        <f t="shared" si="70"/>
        <v>0.40647184882198806</v>
      </c>
      <c r="CF40" s="13">
        <f t="shared" si="70"/>
        <v>0.40647187480708435</v>
      </c>
      <c r="CG40" s="13">
        <f t="shared" si="70"/>
        <v>0.40647187910032606</v>
      </c>
      <c r="CH40" s="13">
        <f t="shared" si="70"/>
        <v>0.40647187980965277</v>
      </c>
      <c r="CI40" s="13">
        <f t="shared" si="70"/>
        <v>0.4064718799268473</v>
      </c>
      <c r="CJ40" s="13">
        <f t="shared" si="70"/>
        <v>0.40647187994621015</v>
      </c>
      <c r="CK40" s="13">
        <f t="shared" si="70"/>
        <v>0.40647187994940925</v>
      </c>
      <c r="CL40" s="13">
        <f t="shared" si="70"/>
        <v>0.40647187994993778</v>
      </c>
      <c r="CM40" s="13">
        <f t="shared" si="70"/>
        <v>0.40647187995002515</v>
      </c>
      <c r="CN40" s="13">
        <f t="shared" si="70"/>
        <v>0.40647187995003953</v>
      </c>
      <c r="CO40" s="13">
        <f t="shared" si="70"/>
        <v>0.40647187995004191</v>
      </c>
      <c r="CP40" s="13">
        <f t="shared" si="70"/>
        <v>0.40647187995004236</v>
      </c>
      <c r="CQ40" s="13">
        <f t="shared" si="70"/>
        <v>0.40647187995004236</v>
      </c>
      <c r="CR40" s="13">
        <f t="shared" si="70"/>
        <v>0.40647187995004236</v>
      </c>
      <c r="CS40" s="13">
        <f t="shared" si="70"/>
        <v>0.40647187995004236</v>
      </c>
      <c r="CT40" s="13">
        <f t="shared" si="70"/>
        <v>0.40647187995004236</v>
      </c>
      <c r="CU40" s="13">
        <f t="shared" si="70"/>
        <v>0.40647187995004236</v>
      </c>
      <c r="CV40" s="13">
        <f t="shared" si="70"/>
        <v>0.40647187995004236</v>
      </c>
      <c r="CW40" s="13">
        <f t="shared" si="70"/>
        <v>0.40647187995004236</v>
      </c>
      <c r="CX40" s="13">
        <f t="shared" si="70"/>
        <v>0.40647187995004236</v>
      </c>
      <c r="CY40" s="13">
        <f t="shared" si="70"/>
        <v>0.40647187995004236</v>
      </c>
      <c r="CZ40" s="13">
        <f t="shared" ref="CZ40:CZ69" si="71">$B$17</f>
        <v>100</v>
      </c>
      <c r="DB40" s="86"/>
      <c r="DC40" s="26">
        <v>9.6666666666666679E-2</v>
      </c>
      <c r="DD40" s="13">
        <f t="shared" ref="DD40:DD69" si="72">G4</f>
        <v>300</v>
      </c>
      <c r="DE40" s="13">
        <f t="shared" ref="DE40:DE69" si="73">(DD40*$B$22-AO40)/($B$21-$B$22*BV40)</f>
        <v>201.22845308346771</v>
      </c>
      <c r="DF40" s="13">
        <f t="shared" ref="DF40:DF69" si="74">(DE40*$B$22-AP40)/($B$21-$B$22*BW40)</f>
        <v>191.45328106014944</v>
      </c>
      <c r="DG40" s="13">
        <f t="shared" ref="DG40:DG69" si="75">(DF40*$B$22-AQ40)/($B$21-$B$22*BX40)</f>
        <v>191.64029025512343</v>
      </c>
      <c r="DH40" s="13">
        <f t="shared" ref="DH40:DH69" si="76">(DG40*$B$22-AR40)/($B$21-$B$22*BY40)</f>
        <v>191.70411066173406</v>
      </c>
      <c r="DI40" s="13">
        <f t="shared" ref="DI40:DI69" si="77">(DH40*$B$22-AS40)/($B$21-$B$22*BZ40)</f>
        <v>190.32850364589297</v>
      </c>
      <c r="DJ40" s="13">
        <f t="shared" ref="DJ40:DJ69" si="78">(DI40*$B$22-AT40)/($B$21-$B$22*CA40)</f>
        <v>187.52164093220165</v>
      </c>
      <c r="DK40" s="13">
        <f t="shared" ref="DK40:DK69" si="79">(DJ40*$B$22-AU40)/($B$21-$B$22*CB40)</f>
        <v>183.47881287899801</v>
      </c>
      <c r="DL40" s="13">
        <f t="shared" ref="DL40:DL69" si="80">(DK40*$B$22-AV40)/($B$21-$B$22*CC40)</f>
        <v>178.41514830955168</v>
      </c>
      <c r="DM40" s="13">
        <f t="shared" ref="DM40:DM69" si="81">(DL40*$B$22-AW40)/($B$21-$B$22*CD40)</f>
        <v>172.54220843528876</v>
      </c>
      <c r="DN40" s="13">
        <f t="shared" ref="DN40:DN69" si="82">(DM40*$B$22-AX40)/($B$21-$B$22*CE40)</f>
        <v>166.06193406626798</v>
      </c>
      <c r="DO40" s="13">
        <f t="shared" ref="DO40:DO69" si="83">(DN40*$B$22-AY40)/($B$21-$B$22*CF40)</f>
        <v>159.1619506383652</v>
      </c>
      <c r="DP40" s="13">
        <f t="shared" ref="DP40:DP69" si="84">(DO40*$B$22-AZ40)/($B$21-$B$22*CG40)</f>
        <v>152.01168645033826</v>
      </c>
      <c r="DQ40" s="13">
        <f t="shared" ref="DQ40:DQ69" si="85">(DP40*$B$22-BA40)/($B$21-$B$22*CH40)</f>
        <v>144.75985350515191</v>
      </c>
      <c r="DR40" s="13">
        <f t="shared" ref="DR40:DR69" si="86">(DQ40*$B$22-BB40)/($B$21-$B$22*CI40)</f>
        <v>137.53336007000783</v>
      </c>
      <c r="DS40" s="13">
        <f t="shared" ref="DS40:DS69" si="87">(DR40*$B$22-BC40)/($B$21-$B$22*CJ40)</f>
        <v>130.43740304893578</v>
      </c>
      <c r="DT40" s="13">
        <f t="shared" ref="DT40:DT69" si="88">(DS40*$B$22-BD40)/($B$21-$B$22*CK40)</f>
        <v>123.55639396039122</v>
      </c>
      <c r="DU40" s="13">
        <f t="shared" ref="DU40:DU69" si="89">(DT40*$B$22-BE40)/($B$21-$B$22*CL40)</f>
        <v>116.95539824143795</v>
      </c>
      <c r="DV40" s="13">
        <f t="shared" ref="DV40:DV69" si="90">(DU40*$B$22-BF40)/($B$21-$B$22*CM40)</f>
        <v>110.68183741499374</v>
      </c>
      <c r="DW40" s="13">
        <f t="shared" ref="DW40:DW69" si="91">(DV40*$B$22-BG40)/($B$21-$B$22*CN40)</f>
        <v>104.76727836655503</v>
      </c>
      <c r="DX40" s="13">
        <f t="shared" ref="DX40:DX69" si="92">(DW40*$B$22-BH40)/($B$21-$B$22*CO40)</f>
        <v>99.229197509614522</v>
      </c>
      <c r="DY40" s="13">
        <f t="shared" ref="DY40:DY69" si="93">(DX40*$B$22-BI40)/($B$21-$B$22*CP40)</f>
        <v>94.072655667627203</v>
      </c>
      <c r="DZ40" s="13">
        <f t="shared" ref="DZ40:DZ69" si="94">(DY40*$B$22-BJ40)/($B$21-$B$22*CQ40)</f>
        <v>89.291853016930659</v>
      </c>
      <c r="EA40" s="13">
        <f t="shared" ref="EA40:EA69" si="95">(DZ40*$B$22-BK40)/($B$21-$B$22*CR40)</f>
        <v>84.871555235281448</v>
      </c>
      <c r="EB40" s="13">
        <f t="shared" ref="EB40:EB69" si="96">(EA40*$B$22-BL40)/($B$21-$B$22*CS40)</f>
        <v>80.788395156503711</v>
      </c>
      <c r="EC40" s="13">
        <f t="shared" ref="EC40:EC69" si="97">(EB40*$B$22-BM40)/($B$21-$B$22*CT40)</f>
        <v>77.012061413903837</v>
      </c>
      <c r="ED40" s="13">
        <f t="shared" ref="ED40:ED69" si="98">(EC40*$B$22-BN40)/($B$21-$B$22*CU40)</f>
        <v>73.506388845696549</v>
      </c>
      <c r="EE40" s="13">
        <f t="shared" ref="EE40:EE69" si="99">(ED40*$B$22-BO40)/($B$21-$B$22*CV40)</f>
        <v>70.230366350361635</v>
      </c>
      <c r="EF40" s="13">
        <f t="shared" ref="EF40:EF69" si="100">(EE40*$B$22-BP40)/($B$21-$B$22*CW40)</f>
        <v>67.139077466903672</v>
      </c>
      <c r="EG40" s="13">
        <f t="shared" ref="EG40:EG69" si="101">(EF40*$B$22-BQ40)/($B$21-$B$22*CX40)</f>
        <v>64.184587908592405</v>
      </c>
      <c r="EH40" s="13">
        <f t="shared" ref="EH40:EH69" si="102">(EG40*$B$22-BR40)/($B$21-$B$22*CY40)</f>
        <v>61.316793040027989</v>
      </c>
    </row>
    <row r="41" spans="5:138" x14ac:dyDescent="0.25">
      <c r="E41" s="95"/>
      <c r="F41" s="26">
        <v>9.3333333333333338E-2</v>
      </c>
      <c r="G41">
        <f t="shared" si="10"/>
        <v>300</v>
      </c>
      <c r="H41">
        <f t="shared" si="11"/>
        <v>315.64332345615878</v>
      </c>
      <c r="I41">
        <f t="shared" si="12"/>
        <v>322.71271672194268</v>
      </c>
      <c r="J41">
        <f t="shared" si="13"/>
        <v>324.76880617293625</v>
      </c>
      <c r="K41">
        <f t="shared" si="14"/>
        <v>323.37403497360958</v>
      </c>
      <c r="L41">
        <f t="shared" si="15"/>
        <v>319.29256546740703</v>
      </c>
      <c r="M41">
        <f t="shared" si="16"/>
        <v>312.99941209705923</v>
      </c>
      <c r="N41">
        <f t="shared" si="17"/>
        <v>304.87855222661841</v>
      </c>
      <c r="O41">
        <f t="shared" si="18"/>
        <v>295.28761012481851</v>
      </c>
      <c r="P41">
        <f t="shared" si="19"/>
        <v>284.5700058124325</v>
      </c>
      <c r="Q41">
        <f t="shared" si="20"/>
        <v>273.04985249930837</v>
      </c>
      <c r="R41">
        <f t="shared" si="21"/>
        <v>261.02386173666287</v>
      </c>
      <c r="S41">
        <f t="shared" si="22"/>
        <v>248.75517923979385</v>
      </c>
      <c r="T41">
        <f t="shared" si="23"/>
        <v>236.470189409499</v>
      </c>
      <c r="U41">
        <f t="shared" si="24"/>
        <v>224.35790493425407</v>
      </c>
      <c r="V41">
        <f t="shared" si="25"/>
        <v>212.57119078416565</v>
      </c>
      <c r="W41">
        <f t="shared" si="26"/>
        <v>201.22911247524411</v>
      </c>
      <c r="X41">
        <f t="shared" si="27"/>
        <v>190.41986245262024</v>
      </c>
      <c r="Y41">
        <f t="shared" si="28"/>
        <v>180.20389059137969</v>
      </c>
      <c r="Z41">
        <f t="shared" si="29"/>
        <v>170.61700589723404</v>
      </c>
      <c r="AA41">
        <f t="shared" si="30"/>
        <v>161.67331931842546</v>
      </c>
      <c r="AB41">
        <f t="shared" si="31"/>
        <v>153.3679668884958</v>
      </c>
      <c r="AC41">
        <f t="shared" si="32"/>
        <v>145.67959607712743</v>
      </c>
      <c r="AD41">
        <f t="shared" si="33"/>
        <v>138.57262375117486</v>
      </c>
      <c r="AE41">
        <f t="shared" si="34"/>
        <v>131.99928759109838</v>
      </c>
      <c r="AF41">
        <f t="shared" si="35"/>
        <v>125.90151863028197</v>
      </c>
      <c r="AG41">
        <f t="shared" si="36"/>
        <v>120.21266389270221</v>
      </c>
      <c r="AH41">
        <f t="shared" si="37"/>
        <v>114.85908696810729</v>
      </c>
      <c r="AI41">
        <f t="shared" si="38"/>
        <v>109.76167210927687</v>
      </c>
      <c r="AJ41">
        <f t="shared" ref="AJ41:AJ69" si="103">CY41*AK41+EG41</f>
        <v>104.83725487939165</v>
      </c>
      <c r="AK41">
        <f t="shared" si="39"/>
        <v>100</v>
      </c>
      <c r="AL41" s="86"/>
      <c r="AM41" s="26">
        <v>9.3333333333333338E-2</v>
      </c>
      <c r="AN41" s="27">
        <f t="shared" si="40"/>
        <v>-1076400000</v>
      </c>
      <c r="AO41" s="27">
        <f t="shared" ref="AO41:AO69" si="104">-($B$12*$B$11)/$B$8*H5</f>
        <v>-1168024315.5488505</v>
      </c>
      <c r="AP41" s="27">
        <f t="shared" si="41"/>
        <v>-1178648305.3915622</v>
      </c>
      <c r="AQ41" s="27">
        <f t="shared" si="42"/>
        <v>-1179557039.6408212</v>
      </c>
      <c r="AR41" s="27">
        <f t="shared" si="43"/>
        <v>-1171388968.4757779</v>
      </c>
      <c r="AS41" s="27">
        <f t="shared" si="44"/>
        <v>-1154778096.0946176</v>
      </c>
      <c r="AT41" s="27">
        <f t="shared" si="45"/>
        <v>-1130608595.5146337</v>
      </c>
      <c r="AU41" s="27">
        <f t="shared" si="46"/>
        <v>-1099990385.8269329</v>
      </c>
      <c r="AV41" s="27">
        <f t="shared" si="47"/>
        <v>-1064156326.6796757</v>
      </c>
      <c r="AW41" s="27">
        <f t="shared" si="48"/>
        <v>-1024359733.7180635</v>
      </c>
      <c r="AX41" s="27">
        <f t="shared" si="49"/>
        <v>-981797037.80853665</v>
      </c>
      <c r="AY41" s="27">
        <f t="shared" si="50"/>
        <v>-937558359.6908313</v>
      </c>
      <c r="AZ41" s="27">
        <f t="shared" si="51"/>
        <v>-892601095.47276366</v>
      </c>
      <c r="BA41" s="27">
        <f t="shared" si="52"/>
        <v>-847740039.43137586</v>
      </c>
      <c r="BB41" s="27">
        <f t="shared" si="53"/>
        <v>-803648301.75795579</v>
      </c>
      <c r="BC41" s="27">
        <f t="shared" si="54"/>
        <v>-760864640.15115499</v>
      </c>
      <c r="BD41" s="27">
        <f t="shared" si="55"/>
        <v>-719804146.45590377</v>
      </c>
      <c r="BE41" s="27">
        <f t="shared" si="56"/>
        <v>-680770294.89187419</v>
      </c>
      <c r="BF41" s="27">
        <f t="shared" si="57"/>
        <v>-643967138.57009768</v>
      </c>
      <c r="BG41" s="27">
        <f t="shared" si="58"/>
        <v>-609510976.96178043</v>
      </c>
      <c r="BH41" s="27">
        <f t="shared" si="59"/>
        <v>-577441166.33815169</v>
      </c>
      <c r="BI41" s="27">
        <f t="shared" si="60"/>
        <v>-547729961.29507947</v>
      </c>
      <c r="BJ41" s="27">
        <f t="shared" si="61"/>
        <v>-520291400.99511206</v>
      </c>
      <c r="BK41" s="27">
        <f t="shared" si="62"/>
        <v>-494989320.29248846</v>
      </c>
      <c r="BL41" s="27">
        <f t="shared" si="63"/>
        <v>-471644595.67192435</v>
      </c>
      <c r="BM41" s="27">
        <f t="shared" si="64"/>
        <v>-450041743.96125203</v>
      </c>
      <c r="BN41" s="27">
        <f t="shared" si="65"/>
        <v>-429934987.90125829</v>
      </c>
      <c r="BO41" s="27">
        <f t="shared" si="66"/>
        <v>-411053893.08930397</v>
      </c>
      <c r="BP41" s="27">
        <f t="shared" si="67"/>
        <v>-393108669.34425247</v>
      </c>
      <c r="BQ41" s="27">
        <f t="shared" si="68"/>
        <v>-375795218.37621397</v>
      </c>
      <c r="BR41" s="27">
        <f t="shared" si="69"/>
        <v>-358800000</v>
      </c>
      <c r="BT41" s="86"/>
      <c r="BU41" s="26">
        <v>9.3333333333333338E-2</v>
      </c>
      <c r="BV41" s="13">
        <v>0</v>
      </c>
      <c r="BW41" s="13">
        <f t="shared" ref="BW41:CY41" si="105">$B$20/($B$21-$B$22*BV41)</f>
        <v>0.34883720930232553</v>
      </c>
      <c r="BX41" s="13">
        <f t="shared" si="105"/>
        <v>0.39716748768472904</v>
      </c>
      <c r="BY41" s="13">
        <f t="shared" si="105"/>
        <v>0.40494040593779607</v>
      </c>
      <c r="BZ41" s="13">
        <f t="shared" si="105"/>
        <v>0.4062190081621499</v>
      </c>
      <c r="CA41" s="13">
        <f t="shared" si="105"/>
        <v>0.40643010492156101</v>
      </c>
      <c r="CB41" s="13">
        <f t="shared" si="105"/>
        <v>0.40646497802255066</v>
      </c>
      <c r="CC41" s="13">
        <f t="shared" si="105"/>
        <v>0.40647073962099717</v>
      </c>
      <c r="CD41" s="13">
        <f t="shared" si="105"/>
        <v>0.40647169154566137</v>
      </c>
      <c r="CE41" s="13">
        <f t="shared" si="105"/>
        <v>0.40647184882198806</v>
      </c>
      <c r="CF41" s="13">
        <f t="shared" si="105"/>
        <v>0.40647187480708435</v>
      </c>
      <c r="CG41" s="13">
        <f t="shared" si="105"/>
        <v>0.40647187910032606</v>
      </c>
      <c r="CH41" s="13">
        <f t="shared" si="105"/>
        <v>0.40647187980965277</v>
      </c>
      <c r="CI41" s="13">
        <f t="shared" si="105"/>
        <v>0.4064718799268473</v>
      </c>
      <c r="CJ41" s="13">
        <f t="shared" si="105"/>
        <v>0.40647187994621015</v>
      </c>
      <c r="CK41" s="13">
        <f t="shared" si="105"/>
        <v>0.40647187994940925</v>
      </c>
      <c r="CL41" s="13">
        <f t="shared" si="105"/>
        <v>0.40647187994993778</v>
      </c>
      <c r="CM41" s="13">
        <f t="shared" si="105"/>
        <v>0.40647187995002515</v>
      </c>
      <c r="CN41" s="13">
        <f t="shared" si="105"/>
        <v>0.40647187995003953</v>
      </c>
      <c r="CO41" s="13">
        <f t="shared" si="105"/>
        <v>0.40647187995004191</v>
      </c>
      <c r="CP41" s="13">
        <f t="shared" si="105"/>
        <v>0.40647187995004236</v>
      </c>
      <c r="CQ41" s="13">
        <f t="shared" si="105"/>
        <v>0.40647187995004236</v>
      </c>
      <c r="CR41" s="13">
        <f t="shared" si="105"/>
        <v>0.40647187995004236</v>
      </c>
      <c r="CS41" s="13">
        <f t="shared" si="105"/>
        <v>0.40647187995004236</v>
      </c>
      <c r="CT41" s="13">
        <f t="shared" si="105"/>
        <v>0.40647187995004236</v>
      </c>
      <c r="CU41" s="13">
        <f t="shared" si="105"/>
        <v>0.40647187995004236</v>
      </c>
      <c r="CV41" s="13">
        <f t="shared" si="105"/>
        <v>0.40647187995004236</v>
      </c>
      <c r="CW41" s="13">
        <f t="shared" si="105"/>
        <v>0.40647187995004236</v>
      </c>
      <c r="CX41" s="13">
        <f t="shared" si="105"/>
        <v>0.40647187995004236</v>
      </c>
      <c r="CY41" s="13">
        <f t="shared" si="105"/>
        <v>0.40647187995004236</v>
      </c>
      <c r="CZ41" s="13">
        <f t="shared" si="71"/>
        <v>100</v>
      </c>
      <c r="DB41" s="86"/>
      <c r="DC41" s="26">
        <v>9.3333333333333338E-2</v>
      </c>
      <c r="DD41" s="13">
        <f t="shared" si="72"/>
        <v>300</v>
      </c>
      <c r="DE41" s="13">
        <f t="shared" si="73"/>
        <v>203.06911994850441</v>
      </c>
      <c r="DF41" s="13">
        <f t="shared" si="74"/>
        <v>193.72510589586886</v>
      </c>
      <c r="DG41" s="13">
        <f t="shared" si="75"/>
        <v>193.82159318097976</v>
      </c>
      <c r="DH41" s="13">
        <f t="shared" si="76"/>
        <v>193.67132571589121</v>
      </c>
      <c r="DI41" s="13">
        <f t="shared" si="77"/>
        <v>192.08018156841231</v>
      </c>
      <c r="DJ41" s="13">
        <f t="shared" si="78"/>
        <v>189.07695806671973</v>
      </c>
      <c r="DK41" s="13">
        <f t="shared" si="79"/>
        <v>184.85277893826677</v>
      </c>
      <c r="DL41" s="13">
        <f t="shared" si="80"/>
        <v>179.61795849908037</v>
      </c>
      <c r="DM41" s="13">
        <f t="shared" si="81"/>
        <v>173.58292744646749</v>
      </c>
      <c r="DN41" s="13">
        <f t="shared" si="82"/>
        <v>166.95099404982182</v>
      </c>
      <c r="DO41" s="13">
        <f t="shared" si="83"/>
        <v>159.91187659512542</v>
      </c>
      <c r="DP41" s="13">
        <f t="shared" si="84"/>
        <v>152.63669683157016</v>
      </c>
      <c r="DQ41" s="13">
        <f t="shared" si="85"/>
        <v>145.27501001442386</v>
      </c>
      <c r="DR41" s="13">
        <f t="shared" si="86"/>
        <v>137.95369339380977</v>
      </c>
      <c r="DS41" s="13">
        <f t="shared" si="87"/>
        <v>130.77721513580204</v>
      </c>
      <c r="DT41" s="13">
        <f t="shared" si="88"/>
        <v>123.82879300431898</v>
      </c>
      <c r="DU41" s="13">
        <f t="shared" si="89"/>
        <v>117.17204826963346</v>
      </c>
      <c r="DV41" s="13">
        <f t="shared" si="90"/>
        <v>110.85287545288399</v>
      </c>
      <c r="DW41" s="13">
        <f t="shared" si="91"/>
        <v>104.90134785611022</v>
      </c>
      <c r="DX41" s="13">
        <f t="shared" si="92"/>
        <v>99.333553493142716</v>
      </c>
      <c r="DY41" s="13">
        <f t="shared" si="93"/>
        <v>94.153307600663013</v>
      </c>
      <c r="DZ41" s="13">
        <f t="shared" si="94"/>
        <v>89.353721191377502</v>
      </c>
      <c r="EA41" s="13">
        <f t="shared" si="95"/>
        <v>84.918625171954801</v>
      </c>
      <c r="EB41" s="13">
        <f t="shared" si="96"/>
        <v>80.823860624882386</v>
      </c>
      <c r="EC41" s="13">
        <f t="shared" si="97"/>
        <v>77.038451144012726</v>
      </c>
      <c r="ED41" s="13">
        <f t="shared" si="98"/>
        <v>73.525674883430227</v>
      </c>
      <c r="EE41" s="13">
        <f t="shared" si="99"/>
        <v>70.244053759389388</v>
      </c>
      <c r="EF41" s="13">
        <f t="shared" si="100"/>
        <v>67.148276029648798</v>
      </c>
      <c r="EG41" s="13">
        <f t="shared" si="101"/>
        <v>64.190066884387406</v>
      </c>
      <c r="EH41" s="13">
        <f t="shared" si="102"/>
        <v>61.319020089619592</v>
      </c>
    </row>
    <row r="42" spans="5:138" x14ac:dyDescent="0.25">
      <c r="E42" s="95"/>
      <c r="F42" s="26">
        <v>9.0000000000000011E-2</v>
      </c>
      <c r="G42">
        <f t="shared" si="10"/>
        <v>300</v>
      </c>
      <c r="H42">
        <f t="shared" si="11"/>
        <v>343.2053925264965</v>
      </c>
      <c r="I42">
        <f t="shared" si="12"/>
        <v>338.93232092663197</v>
      </c>
      <c r="J42">
        <f t="shared" si="13"/>
        <v>335.31099234904821</v>
      </c>
      <c r="K42">
        <f t="shared" si="14"/>
        <v>331.02069794613033</v>
      </c>
      <c r="L42">
        <f t="shared" si="15"/>
        <v>325.35349836070759</v>
      </c>
      <c r="M42">
        <f t="shared" si="16"/>
        <v>318.06603037257105</v>
      </c>
      <c r="N42">
        <f t="shared" si="17"/>
        <v>309.2114790910789</v>
      </c>
      <c r="O42">
        <f t="shared" si="18"/>
        <v>299.007177760194</v>
      </c>
      <c r="P42">
        <f t="shared" si="19"/>
        <v>287.74437341181198</v>
      </c>
      <c r="Q42">
        <f t="shared" si="20"/>
        <v>275.73212728722496</v>
      </c>
      <c r="R42">
        <f t="shared" si="21"/>
        <v>263.26521259686422</v>
      </c>
      <c r="S42">
        <f t="shared" si="22"/>
        <v>250.60759191132277</v>
      </c>
      <c r="T42">
        <f t="shared" si="23"/>
        <v>237.98543011865661</v>
      </c>
      <c r="U42">
        <f t="shared" si="24"/>
        <v>225.58562412554647</v>
      </c>
      <c r="V42">
        <f t="shared" si="25"/>
        <v>213.55731134694969</v>
      </c>
      <c r="W42">
        <f t="shared" si="26"/>
        <v>202.01482120137462</v>
      </c>
      <c r="X42">
        <f t="shared" si="27"/>
        <v>191.04117999206409</v>
      </c>
      <c r="Y42">
        <f t="shared" si="28"/>
        <v>180.69168135988224</v>
      </c>
      <c r="Z42">
        <f t="shared" si="29"/>
        <v>170.99727638053781</v>
      </c>
      <c r="AA42">
        <f t="shared" si="30"/>
        <v>161.96767801570653</v>
      </c>
      <c r="AB42">
        <f t="shared" si="31"/>
        <v>153.59415285752311</v>
      </c>
      <c r="AC42">
        <f t="shared" si="32"/>
        <v>145.85201384501181</v>
      </c>
      <c r="AD42">
        <f t="shared" si="33"/>
        <v>138.70284649039439</v>
      </c>
      <c r="AE42">
        <f t="shared" si="34"/>
        <v>132.09650771927613</v>
      </c>
      <c r="AF42">
        <f t="shared" si="35"/>
        <v>125.97293647238436</v>
      </c>
      <c r="AG42">
        <f t="shared" si="36"/>
        <v>120.26381213431043</v>
      </c>
      <c r="AH42">
        <f t="shared" si="37"/>
        <v>114.89409258901892</v>
      </c>
      <c r="AI42">
        <f t="shared" si="38"/>
        <v>109.78345932024487</v>
      </c>
      <c r="AJ42">
        <f t="shared" si="103"/>
        <v>104.8476930300115</v>
      </c>
      <c r="AK42">
        <f t="shared" si="39"/>
        <v>100</v>
      </c>
      <c r="AL42" s="86"/>
      <c r="AM42" s="26">
        <v>9.0000000000000011E-2</v>
      </c>
      <c r="AN42" s="27">
        <f t="shared" si="40"/>
        <v>-1255800000</v>
      </c>
      <c r="AO42" s="27">
        <f t="shared" si="104"/>
        <v>-1220981789.8682039</v>
      </c>
      <c r="AP42" s="27">
        <f t="shared" si="41"/>
        <v>-1213390951.3725133</v>
      </c>
      <c r="AQ42" s="27">
        <f t="shared" si="42"/>
        <v>-1205865359.0652683</v>
      </c>
      <c r="AR42" s="27">
        <f t="shared" si="43"/>
        <v>-1193402651.6862862</v>
      </c>
      <c r="AS42" s="27">
        <f t="shared" si="44"/>
        <v>-1174076263.3054545</v>
      </c>
      <c r="AT42" s="27">
        <f t="shared" si="45"/>
        <v>-1147708641.8112767</v>
      </c>
      <c r="AU42" s="27">
        <f t="shared" si="46"/>
        <v>-1115038752.1832769</v>
      </c>
      <c r="AV42" s="27">
        <f t="shared" si="47"/>
        <v>-1077219956.2960145</v>
      </c>
      <c r="AW42" s="27">
        <f t="shared" si="48"/>
        <v>-1035529500.7550699</v>
      </c>
      <c r="AX42" s="27">
        <f t="shared" si="49"/>
        <v>-991209200.56886637</v>
      </c>
      <c r="AY42" s="27">
        <f t="shared" si="50"/>
        <v>-945385105.61759675</v>
      </c>
      <c r="AZ42" s="27">
        <f t="shared" si="51"/>
        <v>-899033239.9613229</v>
      </c>
      <c r="BA42" s="27">
        <f t="shared" si="52"/>
        <v>-852971170.25557816</v>
      </c>
      <c r="BB42" s="27">
        <f t="shared" si="53"/>
        <v>-807863237.45437539</v>
      </c>
      <c r="BC42" s="27">
        <f t="shared" si="54"/>
        <v>-764232327.41214526</v>
      </c>
      <c r="BD42" s="27">
        <f t="shared" si="55"/>
        <v>-722474143.87439704</v>
      </c>
      <c r="BE42" s="27">
        <f t="shared" si="56"/>
        <v>-682871803.54221332</v>
      </c>
      <c r="BF42" s="27">
        <f t="shared" si="57"/>
        <v>-645609664.99651086</v>
      </c>
      <c r="BG42" s="27">
        <f t="shared" si="58"/>
        <v>-610785928.26928532</v>
      </c>
      <c r="BH42" s="27">
        <f t="shared" si="59"/>
        <v>-578423885.64483273</v>
      </c>
      <c r="BI42" s="27">
        <f t="shared" si="60"/>
        <v>-548481881.80971062</v>
      </c>
      <c r="BJ42" s="27">
        <f t="shared" si="61"/>
        <v>-520862123.01222181</v>
      </c>
      <c r="BK42" s="27">
        <f t="shared" si="62"/>
        <v>-495418502.87184864</v>
      </c>
      <c r="BL42" s="27">
        <f t="shared" si="63"/>
        <v>-471963612.14646518</v>
      </c>
      <c r="BM42" s="27">
        <f t="shared" si="64"/>
        <v>-450275085.86040932</v>
      </c>
      <c r="BN42" s="27">
        <f t="shared" si="65"/>
        <v>-430101422.09578657</v>
      </c>
      <c r="BO42" s="27">
        <f t="shared" si="66"/>
        <v>-411167387.02461791</v>
      </c>
      <c r="BP42" s="27">
        <f t="shared" si="67"/>
        <v>-393179102.74988019</v>
      </c>
      <c r="BQ42" s="27">
        <f t="shared" si="68"/>
        <v>-375828899.29436266</v>
      </c>
      <c r="BR42" s="27">
        <f t="shared" si="69"/>
        <v>-358800000</v>
      </c>
      <c r="BT42" s="86"/>
      <c r="BU42" s="26">
        <v>9.0000000000000011E-2</v>
      </c>
      <c r="BV42" s="13">
        <v>0</v>
      </c>
      <c r="BW42" s="13">
        <f t="shared" ref="BW42:CY42" si="106">$B$20/($B$21-$B$22*BV42)</f>
        <v>0.34883720930232553</v>
      </c>
      <c r="BX42" s="13">
        <f t="shared" si="106"/>
        <v>0.39716748768472904</v>
      </c>
      <c r="BY42" s="13">
        <f t="shared" si="106"/>
        <v>0.40494040593779607</v>
      </c>
      <c r="BZ42" s="13">
        <f t="shared" si="106"/>
        <v>0.4062190081621499</v>
      </c>
      <c r="CA42" s="13">
        <f t="shared" si="106"/>
        <v>0.40643010492156101</v>
      </c>
      <c r="CB42" s="13">
        <f t="shared" si="106"/>
        <v>0.40646497802255066</v>
      </c>
      <c r="CC42" s="13">
        <f t="shared" si="106"/>
        <v>0.40647073962099717</v>
      </c>
      <c r="CD42" s="13">
        <f t="shared" si="106"/>
        <v>0.40647169154566137</v>
      </c>
      <c r="CE42" s="13">
        <f t="shared" si="106"/>
        <v>0.40647184882198806</v>
      </c>
      <c r="CF42" s="13">
        <f t="shared" si="106"/>
        <v>0.40647187480708435</v>
      </c>
      <c r="CG42" s="13">
        <f t="shared" si="106"/>
        <v>0.40647187910032606</v>
      </c>
      <c r="CH42" s="13">
        <f t="shared" si="106"/>
        <v>0.40647187980965277</v>
      </c>
      <c r="CI42" s="13">
        <f t="shared" si="106"/>
        <v>0.4064718799268473</v>
      </c>
      <c r="CJ42" s="13">
        <f t="shared" si="106"/>
        <v>0.40647187994621015</v>
      </c>
      <c r="CK42" s="13">
        <f t="shared" si="106"/>
        <v>0.40647187994940925</v>
      </c>
      <c r="CL42" s="13">
        <f t="shared" si="106"/>
        <v>0.40647187994993778</v>
      </c>
      <c r="CM42" s="13">
        <f t="shared" si="106"/>
        <v>0.40647187995002515</v>
      </c>
      <c r="CN42" s="13">
        <f t="shared" si="106"/>
        <v>0.40647187995003953</v>
      </c>
      <c r="CO42" s="13">
        <f t="shared" si="106"/>
        <v>0.40647187995004191</v>
      </c>
      <c r="CP42" s="13">
        <f t="shared" si="106"/>
        <v>0.40647187995004236</v>
      </c>
      <c r="CQ42" s="13">
        <f t="shared" si="106"/>
        <v>0.40647187995004236</v>
      </c>
      <c r="CR42" s="13">
        <f t="shared" si="106"/>
        <v>0.40647187995004236</v>
      </c>
      <c r="CS42" s="13">
        <f t="shared" si="106"/>
        <v>0.40647187995004236</v>
      </c>
      <c r="CT42" s="13">
        <f t="shared" si="106"/>
        <v>0.40647187995004236</v>
      </c>
      <c r="CU42" s="13">
        <f t="shared" si="106"/>
        <v>0.40647187995004236</v>
      </c>
      <c r="CV42" s="13">
        <f t="shared" si="106"/>
        <v>0.40647187995004236</v>
      </c>
      <c r="CW42" s="13">
        <f t="shared" si="106"/>
        <v>0.40647187995004236</v>
      </c>
      <c r="CX42" s="13">
        <f t="shared" si="106"/>
        <v>0.40647187995004236</v>
      </c>
      <c r="CY42" s="13">
        <f t="shared" si="106"/>
        <v>0.40647187995004236</v>
      </c>
      <c r="CZ42" s="13">
        <f t="shared" si="71"/>
        <v>100</v>
      </c>
      <c r="DB42" s="86"/>
      <c r="DC42" s="26">
        <v>9.0000000000000011E-2</v>
      </c>
      <c r="DD42" s="13">
        <f t="shared" si="72"/>
        <v>350</v>
      </c>
      <c r="DE42" s="13">
        <f t="shared" si="73"/>
        <v>224.97318755209</v>
      </c>
      <c r="DF42" s="13">
        <f t="shared" si="74"/>
        <v>205.75769650228713</v>
      </c>
      <c r="DG42" s="13">
        <f t="shared" si="75"/>
        <v>201.26733654892965</v>
      </c>
      <c r="DH42" s="13">
        <f t="shared" si="76"/>
        <v>198.85592253995804</v>
      </c>
      <c r="DI42" s="13">
        <f t="shared" si="77"/>
        <v>196.08188826439917</v>
      </c>
      <c r="DJ42" s="13">
        <f t="shared" si="78"/>
        <v>192.38239331949529</v>
      </c>
      <c r="DK42" s="13">
        <f t="shared" si="79"/>
        <v>187.67381039490587</v>
      </c>
      <c r="DL42" s="13">
        <f t="shared" si="80"/>
        <v>182.04723556674836</v>
      </c>
      <c r="DM42" s="13">
        <f t="shared" si="81"/>
        <v>175.6670258537539</v>
      </c>
      <c r="DN42" s="13">
        <f t="shared" si="82"/>
        <v>168.7222227514919</v>
      </c>
      <c r="DO42" s="13">
        <f t="shared" si="83"/>
        <v>161.40027379586115</v>
      </c>
      <c r="DP42" s="13">
        <f t="shared" si="84"/>
        <v>153.87320676368367</v>
      </c>
      <c r="DQ42" s="13">
        <f t="shared" si="85"/>
        <v>146.29121739587458</v>
      </c>
      <c r="DR42" s="13">
        <f t="shared" si="86"/>
        <v>138.78058230609372</v>
      </c>
      <c r="DS42" s="13">
        <f t="shared" si="87"/>
        <v>131.44396719558316</v>
      </c>
      <c r="DT42" s="13">
        <f t="shared" si="88"/>
        <v>124.36195362214589</v>
      </c>
      <c r="DU42" s="13">
        <f t="shared" si="89"/>
        <v>117.59509257838184</v>
      </c>
      <c r="DV42" s="13">
        <f t="shared" si="90"/>
        <v>111.18609696314856</v>
      </c>
      <c r="DW42" s="13">
        <f t="shared" si="91"/>
        <v>105.16196980635051</v>
      </c>
      <c r="DX42" s="13">
        <f t="shared" si="92"/>
        <v>99.535973954374938</v>
      </c>
      <c r="DY42" s="13">
        <f t="shared" si="93"/>
        <v>94.309410595441562</v>
      </c>
      <c r="DZ42" s="13">
        <f t="shared" si="94"/>
        <v>89.473207077639074</v>
      </c>
      <c r="EA42" s="13">
        <f t="shared" si="95"/>
        <v>85.009330662904929</v>
      </c>
      <c r="EB42" s="13">
        <f t="shared" si="96"/>
        <v>80.892051408518796</v>
      </c>
      <c r="EC42" s="13">
        <f t="shared" si="97"/>
        <v>77.089078664192485</v>
      </c>
      <c r="ED42" s="13">
        <f t="shared" si="98"/>
        <v>73.562594324497667</v>
      </c>
      <c r="EE42" s="13">
        <f t="shared" si="99"/>
        <v>70.270203491700002</v>
      </c>
      <c r="EF42" s="13">
        <f t="shared" si="100"/>
        <v>67.165820425911136</v>
      </c>
      <c r="EG42" s="13">
        <f t="shared" si="101"/>
        <v>64.200505035007254</v>
      </c>
      <c r="EH42" s="13">
        <f t="shared" si="102"/>
        <v>61.323262904325233</v>
      </c>
    </row>
    <row r="43" spans="5:138" x14ac:dyDescent="0.25">
      <c r="E43" s="95"/>
      <c r="F43" s="26">
        <v>8.666666666666667E-2</v>
      </c>
      <c r="G43">
        <f t="shared" si="10"/>
        <v>300</v>
      </c>
      <c r="H43">
        <f t="shared" si="11"/>
        <v>390.30170010080224</v>
      </c>
      <c r="I43">
        <f t="shared" si="12"/>
        <v>363.25110933877784</v>
      </c>
      <c r="J43">
        <f t="shared" si="13"/>
        <v>349.93385598324147</v>
      </c>
      <c r="K43">
        <f t="shared" si="14"/>
        <v>341.43746252953656</v>
      </c>
      <c r="L43">
        <f t="shared" si="15"/>
        <v>333.75416890489112</v>
      </c>
      <c r="M43">
        <f t="shared" si="16"/>
        <v>325.26387452193467</v>
      </c>
      <c r="N43">
        <f t="shared" si="17"/>
        <v>315.48463309843413</v>
      </c>
      <c r="O43">
        <f t="shared" si="18"/>
        <v>304.45212443224659</v>
      </c>
      <c r="P43">
        <f t="shared" si="19"/>
        <v>292.4137061984934</v>
      </c>
      <c r="Q43">
        <f t="shared" si="20"/>
        <v>279.68051110743318</v>
      </c>
      <c r="R43">
        <f t="shared" si="21"/>
        <v>266.5588973445594</v>
      </c>
      <c r="S43">
        <f t="shared" si="22"/>
        <v>253.32141216648728</v>
      </c>
      <c r="T43">
        <f t="shared" si="23"/>
        <v>240.19703296526183</v>
      </c>
      <c r="U43">
        <f t="shared" si="24"/>
        <v>227.37043090295083</v>
      </c>
      <c r="V43">
        <f t="shared" si="25"/>
        <v>214.98511372112915</v>
      </c>
      <c r="W43">
        <f t="shared" si="26"/>
        <v>203.14792673096645</v>
      </c>
      <c r="X43">
        <f t="shared" si="27"/>
        <v>191.93373099484211</v>
      </c>
      <c r="Y43">
        <f t="shared" si="28"/>
        <v>181.38975401266583</v>
      </c>
      <c r="Z43">
        <f t="shared" si="29"/>
        <v>171.53944097447487</v>
      </c>
      <c r="AA43">
        <f t="shared" si="30"/>
        <v>162.38579058170541</v>
      </c>
      <c r="AB43">
        <f t="shared" si="31"/>
        <v>153.914225685438</v>
      </c>
      <c r="AC43">
        <f t="shared" si="32"/>
        <v>146.09507098714079</v>
      </c>
      <c r="AD43">
        <f t="shared" si="33"/>
        <v>138.88571133214634</v>
      </c>
      <c r="AE43">
        <f t="shared" si="34"/>
        <v>132.23249669652765</v>
      </c>
      <c r="AF43">
        <f t="shared" si="35"/>
        <v>126.07244976484279</v>
      </c>
      <c r="AG43">
        <f t="shared" si="36"/>
        <v>120.334821808425</v>
      </c>
      <c r="AH43">
        <f t="shared" si="37"/>
        <v>114.94253358003704</v>
      </c>
      <c r="AI43">
        <f t="shared" si="38"/>
        <v>109.81353052322339</v>
      </c>
      <c r="AJ43">
        <f t="shared" si="103"/>
        <v>104.86207576670341</v>
      </c>
      <c r="AK43">
        <f t="shared" si="39"/>
        <v>100</v>
      </c>
      <c r="AL43" s="86"/>
      <c r="AM43" s="26">
        <v>8.666666666666667E-2</v>
      </c>
      <c r="AN43" s="27">
        <f t="shared" si="40"/>
        <v>-1614600000</v>
      </c>
      <c r="AO43" s="27">
        <f t="shared" si="104"/>
        <v>-1265240984.133781</v>
      </c>
      <c r="AP43" s="27">
        <f t="shared" si="41"/>
        <v>-1246488963.444674</v>
      </c>
      <c r="AQ43" s="27">
        <f t="shared" si="42"/>
        <v>-1235604315.2742884</v>
      </c>
      <c r="AR43" s="27">
        <f t="shared" si="43"/>
        <v>-1221711382.2636712</v>
      </c>
      <c r="AS43" s="27">
        <f t="shared" si="44"/>
        <v>-1200850941.1701574</v>
      </c>
      <c r="AT43" s="27">
        <f t="shared" si="45"/>
        <v>-1172383022.5325537</v>
      </c>
      <c r="AU43" s="27">
        <f t="shared" si="46"/>
        <v>-1137147389.9419055</v>
      </c>
      <c r="AV43" s="27">
        <f t="shared" si="47"/>
        <v>-1096538688.072623</v>
      </c>
      <c r="AW43" s="27">
        <f t="shared" si="48"/>
        <v>-1052056754.0294452</v>
      </c>
      <c r="AX43" s="27">
        <f t="shared" si="49"/>
        <v>-1005101727.1547791</v>
      </c>
      <c r="AY43" s="27">
        <f t="shared" si="50"/>
        <v>-956893031.33120036</v>
      </c>
      <c r="AZ43" s="27">
        <f t="shared" si="51"/>
        <v>-908448968.10921144</v>
      </c>
      <c r="BA43" s="27">
        <f t="shared" si="52"/>
        <v>-860594156.92425346</v>
      </c>
      <c r="BB43" s="27">
        <f t="shared" si="53"/>
        <v>-813978186.67456162</v>
      </c>
      <c r="BC43" s="27">
        <f t="shared" si="54"/>
        <v>-769097329.03794348</v>
      </c>
      <c r="BD43" s="27">
        <f t="shared" si="55"/>
        <v>-726315577.31898868</v>
      </c>
      <c r="BE43" s="27">
        <f t="shared" si="56"/>
        <v>-685883521.16814852</v>
      </c>
      <c r="BF43" s="27">
        <f t="shared" si="57"/>
        <v>-647954668.66934609</v>
      </c>
      <c r="BG43" s="27">
        <f t="shared" si="58"/>
        <v>-612599330.86437094</v>
      </c>
      <c r="BH43" s="27">
        <f t="shared" si="59"/>
        <v>-579816382.6516403</v>
      </c>
      <c r="BI43" s="27">
        <f t="shared" si="60"/>
        <v>-549543263.53975523</v>
      </c>
      <c r="BJ43" s="27">
        <f t="shared" si="61"/>
        <v>-521664563.22258776</v>
      </c>
      <c r="BK43" s="27">
        <f t="shared" si="62"/>
        <v>-496019491.87952554</v>
      </c>
      <c r="BL43" s="27">
        <f t="shared" si="63"/>
        <v>-472408483.85285515</v>
      </c>
      <c r="BM43" s="27">
        <f t="shared" si="64"/>
        <v>-450599135.19865024</v>
      </c>
      <c r="BN43" s="27">
        <f t="shared" si="65"/>
        <v>-430331634.17458558</v>
      </c>
      <c r="BO43" s="27">
        <f t="shared" si="66"/>
        <v>-411323809.87485528</v>
      </c>
      <c r="BP43" s="27">
        <f t="shared" si="67"/>
        <v>-393275897.55410993</v>
      </c>
      <c r="BQ43" s="27">
        <f t="shared" si="68"/>
        <v>-375875098.8330915</v>
      </c>
      <c r="BR43" s="27">
        <f t="shared" si="69"/>
        <v>-358800000</v>
      </c>
      <c r="BT43" s="86"/>
      <c r="BU43" s="26">
        <v>8.666666666666667E-2</v>
      </c>
      <c r="BV43" s="13">
        <v>0</v>
      </c>
      <c r="BW43" s="13">
        <f t="shared" ref="BW43:CY43" si="107">$B$20/($B$21-$B$22*BV43)</f>
        <v>0.34883720930232553</v>
      </c>
      <c r="BX43" s="13">
        <f t="shared" si="107"/>
        <v>0.39716748768472904</v>
      </c>
      <c r="BY43" s="13">
        <f t="shared" si="107"/>
        <v>0.40494040593779607</v>
      </c>
      <c r="BZ43" s="13">
        <f t="shared" si="107"/>
        <v>0.4062190081621499</v>
      </c>
      <c r="CA43" s="13">
        <f t="shared" si="107"/>
        <v>0.40643010492156101</v>
      </c>
      <c r="CB43" s="13">
        <f t="shared" si="107"/>
        <v>0.40646497802255066</v>
      </c>
      <c r="CC43" s="13">
        <f t="shared" si="107"/>
        <v>0.40647073962099717</v>
      </c>
      <c r="CD43" s="13">
        <f t="shared" si="107"/>
        <v>0.40647169154566137</v>
      </c>
      <c r="CE43" s="13">
        <f t="shared" si="107"/>
        <v>0.40647184882198806</v>
      </c>
      <c r="CF43" s="13">
        <f t="shared" si="107"/>
        <v>0.40647187480708435</v>
      </c>
      <c r="CG43" s="13">
        <f t="shared" si="107"/>
        <v>0.40647187910032606</v>
      </c>
      <c r="CH43" s="13">
        <f t="shared" si="107"/>
        <v>0.40647187980965277</v>
      </c>
      <c r="CI43" s="13">
        <f t="shared" si="107"/>
        <v>0.4064718799268473</v>
      </c>
      <c r="CJ43" s="13">
        <f t="shared" si="107"/>
        <v>0.40647187994621015</v>
      </c>
      <c r="CK43" s="13">
        <f t="shared" si="107"/>
        <v>0.40647187994940925</v>
      </c>
      <c r="CL43" s="13">
        <f t="shared" si="107"/>
        <v>0.40647187994993778</v>
      </c>
      <c r="CM43" s="13">
        <f t="shared" si="107"/>
        <v>0.40647187995002515</v>
      </c>
      <c r="CN43" s="13">
        <f t="shared" si="107"/>
        <v>0.40647187995003953</v>
      </c>
      <c r="CO43" s="13">
        <f t="shared" si="107"/>
        <v>0.40647187995004191</v>
      </c>
      <c r="CP43" s="13">
        <f t="shared" si="107"/>
        <v>0.40647187995004236</v>
      </c>
      <c r="CQ43" s="13">
        <f t="shared" si="107"/>
        <v>0.40647187995004236</v>
      </c>
      <c r="CR43" s="13">
        <f t="shared" si="107"/>
        <v>0.40647187995004236</v>
      </c>
      <c r="CS43" s="13">
        <f t="shared" si="107"/>
        <v>0.40647187995004236</v>
      </c>
      <c r="CT43" s="13">
        <f t="shared" si="107"/>
        <v>0.40647187995004236</v>
      </c>
      <c r="CU43" s="13">
        <f t="shared" si="107"/>
        <v>0.40647187995004236</v>
      </c>
      <c r="CV43" s="13">
        <f t="shared" si="107"/>
        <v>0.40647187995004236</v>
      </c>
      <c r="CW43" s="13">
        <f t="shared" si="107"/>
        <v>0.40647187995004236</v>
      </c>
      <c r="CX43" s="13">
        <f t="shared" si="107"/>
        <v>0.40647187995004236</v>
      </c>
      <c r="CY43" s="13">
        <f t="shared" si="107"/>
        <v>0.40647187995004236</v>
      </c>
      <c r="CZ43" s="13">
        <f t="shared" si="71"/>
        <v>100</v>
      </c>
      <c r="DB43" s="86"/>
      <c r="DC43" s="26">
        <v>8.666666666666667E-2</v>
      </c>
      <c r="DD43" s="13">
        <f t="shared" si="72"/>
        <v>450</v>
      </c>
      <c r="DE43" s="13">
        <f t="shared" si="73"/>
        <v>263.58619684308906</v>
      </c>
      <c r="DF43" s="13">
        <f t="shared" si="74"/>
        <v>224.26875890208402</v>
      </c>
      <c r="DG43" s="13">
        <f t="shared" si="75"/>
        <v>211.6720313041599</v>
      </c>
      <c r="DH43" s="13">
        <f t="shared" si="76"/>
        <v>205.86017506700904</v>
      </c>
      <c r="DI43" s="13">
        <f t="shared" si="77"/>
        <v>201.55713825574779</v>
      </c>
      <c r="DJ43" s="13">
        <f t="shared" si="78"/>
        <v>197.03042006312717</v>
      </c>
      <c r="DK43" s="13">
        <f t="shared" si="79"/>
        <v>191.73375290127498</v>
      </c>
      <c r="DL43" s="13">
        <f t="shared" si="80"/>
        <v>185.59423064260895</v>
      </c>
      <c r="DM43" s="13">
        <f t="shared" si="81"/>
        <v>178.73145176917646</v>
      </c>
      <c r="DN43" s="13">
        <f t="shared" si="82"/>
        <v>171.33181635728101</v>
      </c>
      <c r="DO43" s="13">
        <f t="shared" si="83"/>
        <v>163.59086692489913</v>
      </c>
      <c r="DP43" s="13">
        <f t="shared" si="84"/>
        <v>155.68807265239619</v>
      </c>
      <c r="DQ43" s="13">
        <f t="shared" si="85"/>
        <v>147.77734647636206</v>
      </c>
      <c r="DR43" s="13">
        <f t="shared" si="86"/>
        <v>139.98502756827367</v>
      </c>
      <c r="DS43" s="13">
        <f t="shared" si="87"/>
        <v>132.41119403496839</v>
      </c>
      <c r="DT43" s="13">
        <f t="shared" si="88"/>
        <v>125.13226226768734</v>
      </c>
      <c r="DU43" s="13">
        <f t="shared" si="89"/>
        <v>118.20389667764121</v>
      </c>
      <c r="DV43" s="13">
        <f t="shared" si="90"/>
        <v>111.66379495419221</v>
      </c>
      <c r="DW43" s="13">
        <f t="shared" si="91"/>
        <v>105.53418339955527</v>
      </c>
      <c r="DX43" s="13">
        <f t="shared" si="92"/>
        <v>99.823985916290326</v>
      </c>
      <c r="DY43" s="13">
        <f t="shared" si="93"/>
        <v>94.530687529860003</v>
      </c>
      <c r="DZ43" s="13">
        <f t="shared" si="94"/>
        <v>89.641934803764357</v>
      </c>
      <c r="EA43" s="13">
        <f t="shared" si="95"/>
        <v>85.136919809420974</v>
      </c>
      <c r="EB43" s="13">
        <f t="shared" si="96"/>
        <v>80.987591030704721</v>
      </c>
      <c r="EC43" s="13">
        <f t="shared" si="97"/>
        <v>77.159728520918918</v>
      </c>
      <c r="ED43" s="13">
        <f t="shared" si="98"/>
        <v>73.613914097926468</v>
      </c>
      <c r="EE43" s="13">
        <f t="shared" si="99"/>
        <v>70.306421384311065</v>
      </c>
      <c r="EF43" s="13">
        <f t="shared" si="100"/>
        <v>67.190045450867672</v>
      </c>
      <c r="EG43" s="13">
        <f t="shared" si="101"/>
        <v>64.214887771699182</v>
      </c>
      <c r="EH43" s="13">
        <f t="shared" si="102"/>
        <v>61.32910908234723</v>
      </c>
    </row>
    <row r="44" spans="5:138" x14ac:dyDescent="0.25">
      <c r="E44" s="95"/>
      <c r="F44" s="26">
        <v>8.3333333333333343E-2</v>
      </c>
      <c r="G44">
        <f t="shared" si="10"/>
        <v>300</v>
      </c>
      <c r="H44">
        <f t="shared" si="11"/>
        <v>322.12427767817343</v>
      </c>
      <c r="I44">
        <f t="shared" si="12"/>
        <v>335.32899010268432</v>
      </c>
      <c r="J44">
        <f t="shared" si="13"/>
        <v>341.80795192193114</v>
      </c>
      <c r="K44">
        <f t="shared" si="14"/>
        <v>342.8113931525188</v>
      </c>
      <c r="L44">
        <f t="shared" si="15"/>
        <v>339.35854039873021</v>
      </c>
      <c r="M44">
        <f t="shared" si="16"/>
        <v>332.38772880730494</v>
      </c>
      <c r="N44">
        <f t="shared" si="17"/>
        <v>322.75386143702298</v>
      </c>
      <c r="O44">
        <f t="shared" si="18"/>
        <v>311.20514143121255</v>
      </c>
      <c r="P44">
        <f t="shared" si="19"/>
        <v>298.37192736057602</v>
      </c>
      <c r="Q44">
        <f t="shared" si="20"/>
        <v>284.76944994333144</v>
      </c>
      <c r="R44">
        <f t="shared" si="21"/>
        <v>270.80903649641658</v>
      </c>
      <c r="S44">
        <f t="shared" si="22"/>
        <v>256.8127724782438</v>
      </c>
      <c r="T44">
        <f t="shared" si="23"/>
        <v>243.02834870475408</v>
      </c>
      <c r="U44">
        <f t="shared" si="24"/>
        <v>229.64244171868273</v>
      </c>
      <c r="V44">
        <f t="shared" si="25"/>
        <v>216.79201935807035</v>
      </c>
      <c r="W44">
        <f t="shared" si="26"/>
        <v>204.57354004855517</v>
      </c>
      <c r="X44">
        <f t="shared" si="27"/>
        <v>193.05028190680486</v>
      </c>
      <c r="Y44">
        <f t="shared" si="28"/>
        <v>182.25812751750385</v>
      </c>
      <c r="Z44">
        <f t="shared" si="29"/>
        <v>172.21012931641604</v>
      </c>
      <c r="AA44">
        <f t="shared" si="30"/>
        <v>162.90014027075983</v>
      </c>
      <c r="AB44">
        <f t="shared" si="31"/>
        <v>154.30574258743323</v>
      </c>
      <c r="AC44">
        <f t="shared" si="32"/>
        <v>146.39065681122997</v>
      </c>
      <c r="AD44">
        <f t="shared" si="33"/>
        <v>139.10677030043436</v>
      </c>
      <c r="AE44">
        <f t="shared" si="34"/>
        <v>132.39588904361705</v>
      </c>
      <c r="AF44">
        <f t="shared" si="35"/>
        <v>126.19128961055257</v>
      </c>
      <c r="AG44">
        <f t="shared" si="36"/>
        <v>120.41912751737192</v>
      </c>
      <c r="AH44">
        <f t="shared" si="37"/>
        <v>114.99974311066342</v>
      </c>
      <c r="AI44">
        <f t="shared" si="38"/>
        <v>109.84889504031156</v>
      </c>
      <c r="AJ44">
        <f t="shared" si="103"/>
        <v>104.8789435098478</v>
      </c>
      <c r="AK44">
        <f t="shared" si="39"/>
        <v>100</v>
      </c>
      <c r="AL44" s="86"/>
      <c r="AM44" s="26">
        <v>8.3333333333333343E-2</v>
      </c>
      <c r="AN44" s="27">
        <f t="shared" si="40"/>
        <v>-1076400000</v>
      </c>
      <c r="AO44" s="27">
        <f t="shared" si="104"/>
        <v>-1192708908.4594495</v>
      </c>
      <c r="AP44" s="27">
        <f t="shared" si="41"/>
        <v>-1231005023.9942245</v>
      </c>
      <c r="AQ44" s="27">
        <f t="shared" si="42"/>
        <v>-1249075586.7329378</v>
      </c>
      <c r="AR44" s="27">
        <f t="shared" si="43"/>
        <v>-1248456335.7265549</v>
      </c>
      <c r="AS44" s="27">
        <f t="shared" si="44"/>
        <v>-1232182792.53846</v>
      </c>
      <c r="AT44" s="27">
        <f t="shared" si="45"/>
        <v>-1203632221.8850768</v>
      </c>
      <c r="AU44" s="27">
        <f t="shared" si="46"/>
        <v>-1165968344.7471259</v>
      </c>
      <c r="AV44" s="27">
        <f t="shared" si="47"/>
        <v>-1121921852.8835709</v>
      </c>
      <c r="AW44" s="27">
        <f t="shared" si="48"/>
        <v>-1073743225.6247041</v>
      </c>
      <c r="AX44" s="27">
        <f t="shared" si="49"/>
        <v>-1023234641.5595081</v>
      </c>
      <c r="AY44" s="27">
        <f t="shared" si="50"/>
        <v>-971811244.31415021</v>
      </c>
      <c r="AZ44" s="27">
        <f t="shared" si="51"/>
        <v>-920567209.0389514</v>
      </c>
      <c r="BA44" s="27">
        <f t="shared" si="52"/>
        <v>-870335855.65274549</v>
      </c>
      <c r="BB44" s="27">
        <f t="shared" si="53"/>
        <v>-821740174.53723347</v>
      </c>
      <c r="BC44" s="27">
        <f t="shared" si="54"/>
        <v>-775233521.22521412</v>
      </c>
      <c r="BD44" s="27">
        <f t="shared" si="55"/>
        <v>-731131646.05966973</v>
      </c>
      <c r="BE44" s="27">
        <f t="shared" si="56"/>
        <v>-689637641.94647563</v>
      </c>
      <c r="BF44" s="27">
        <f t="shared" si="57"/>
        <v>-650861354.91360128</v>
      </c>
      <c r="BG44" s="27">
        <f t="shared" si="58"/>
        <v>-614834586.08381426</v>
      </c>
      <c r="BH44" s="27">
        <f t="shared" si="59"/>
        <v>-581523155.05144143</v>
      </c>
      <c r="BI44" s="27">
        <f t="shared" si="60"/>
        <v>-550836653.10821998</v>
      </c>
      <c r="BJ44" s="27">
        <f t="shared" si="61"/>
        <v>-522636511.67990547</v>
      </c>
      <c r="BK44" s="27">
        <f t="shared" si="62"/>
        <v>-496742850.08648854</v>
      </c>
      <c r="BL44" s="27">
        <f t="shared" si="63"/>
        <v>-472940443.13816124</v>
      </c>
      <c r="BM44" s="27">
        <f t="shared" si="64"/>
        <v>-450984056.53554374</v>
      </c>
      <c r="BN44" s="27">
        <f t="shared" si="65"/>
        <v>-430603329.91033584</v>
      </c>
      <c r="BO44" s="27">
        <f t="shared" si="66"/>
        <v>-411507337.84854388</v>
      </c>
      <c r="BP44" s="27">
        <f t="shared" si="67"/>
        <v>-393388923.72950131</v>
      </c>
      <c r="BQ44" s="27">
        <f t="shared" si="68"/>
        <v>-375928876.10798383</v>
      </c>
      <c r="BR44" s="27">
        <f t="shared" si="69"/>
        <v>-358800000</v>
      </c>
      <c r="BT44" s="86"/>
      <c r="BU44" s="26">
        <v>8.3333333333333343E-2</v>
      </c>
      <c r="BV44" s="13">
        <v>0</v>
      </c>
      <c r="BW44" s="13">
        <f t="shared" ref="BW44:CY44" si="108">$B$20/($B$21-$B$22*BV44)</f>
        <v>0.34883720930232553</v>
      </c>
      <c r="BX44" s="13">
        <f t="shared" si="108"/>
        <v>0.39716748768472904</v>
      </c>
      <c r="BY44" s="13">
        <f t="shared" si="108"/>
        <v>0.40494040593779607</v>
      </c>
      <c r="BZ44" s="13">
        <f t="shared" si="108"/>
        <v>0.4062190081621499</v>
      </c>
      <c r="CA44" s="13">
        <f t="shared" si="108"/>
        <v>0.40643010492156101</v>
      </c>
      <c r="CB44" s="13">
        <f t="shared" si="108"/>
        <v>0.40646497802255066</v>
      </c>
      <c r="CC44" s="13">
        <f t="shared" si="108"/>
        <v>0.40647073962099717</v>
      </c>
      <c r="CD44" s="13">
        <f t="shared" si="108"/>
        <v>0.40647169154566137</v>
      </c>
      <c r="CE44" s="13">
        <f t="shared" si="108"/>
        <v>0.40647184882198806</v>
      </c>
      <c r="CF44" s="13">
        <f t="shared" si="108"/>
        <v>0.40647187480708435</v>
      </c>
      <c r="CG44" s="13">
        <f t="shared" si="108"/>
        <v>0.40647187910032606</v>
      </c>
      <c r="CH44" s="13">
        <f t="shared" si="108"/>
        <v>0.40647187980965277</v>
      </c>
      <c r="CI44" s="13">
        <f t="shared" si="108"/>
        <v>0.4064718799268473</v>
      </c>
      <c r="CJ44" s="13">
        <f t="shared" si="108"/>
        <v>0.40647187994621015</v>
      </c>
      <c r="CK44" s="13">
        <f t="shared" si="108"/>
        <v>0.40647187994940925</v>
      </c>
      <c r="CL44" s="13">
        <f t="shared" si="108"/>
        <v>0.40647187994993778</v>
      </c>
      <c r="CM44" s="13">
        <f t="shared" si="108"/>
        <v>0.40647187995002515</v>
      </c>
      <c r="CN44" s="13">
        <f t="shared" si="108"/>
        <v>0.40647187995003953</v>
      </c>
      <c r="CO44" s="13">
        <f t="shared" si="108"/>
        <v>0.40647187995004191</v>
      </c>
      <c r="CP44" s="13">
        <f t="shared" si="108"/>
        <v>0.40647187995004236</v>
      </c>
      <c r="CQ44" s="13">
        <f t="shared" si="108"/>
        <v>0.40647187995004236</v>
      </c>
      <c r="CR44" s="13">
        <f t="shared" si="108"/>
        <v>0.40647187995004236</v>
      </c>
      <c r="CS44" s="13">
        <f t="shared" si="108"/>
        <v>0.40647187995004236</v>
      </c>
      <c r="CT44" s="13">
        <f t="shared" si="108"/>
        <v>0.40647187995004236</v>
      </c>
      <c r="CU44" s="13">
        <f t="shared" si="108"/>
        <v>0.40647187995004236</v>
      </c>
      <c r="CV44" s="13">
        <f t="shared" si="108"/>
        <v>0.40647187995004236</v>
      </c>
      <c r="CW44" s="13">
        <f t="shared" si="108"/>
        <v>0.40647187995004236</v>
      </c>
      <c r="CX44" s="13">
        <f t="shared" si="108"/>
        <v>0.40647187995004236</v>
      </c>
      <c r="CY44" s="13">
        <f t="shared" si="108"/>
        <v>0.40647187995004236</v>
      </c>
      <c r="CZ44" s="13">
        <f t="shared" si="71"/>
        <v>100</v>
      </c>
      <c r="DB44" s="86"/>
      <c r="DC44" s="26">
        <v>8.3333333333333343E-2</v>
      </c>
      <c r="DD44" s="13">
        <f t="shared" si="72"/>
        <v>300</v>
      </c>
      <c r="DE44" s="13">
        <f t="shared" si="73"/>
        <v>205.14904857258591</v>
      </c>
      <c r="DF44" s="13">
        <f t="shared" si="74"/>
        <v>199.57398456718832</v>
      </c>
      <c r="DG44" s="13">
        <f t="shared" si="75"/>
        <v>202.98976721864881</v>
      </c>
      <c r="DH44" s="13">
        <f t="shared" si="76"/>
        <v>204.95750346039171</v>
      </c>
      <c r="DI44" s="13">
        <f t="shared" si="77"/>
        <v>204.26616090493789</v>
      </c>
      <c r="DJ44" s="13">
        <f t="shared" si="78"/>
        <v>201.19958761161203</v>
      </c>
      <c r="DK44" s="13">
        <f t="shared" si="79"/>
        <v>196.25807742562097</v>
      </c>
      <c r="DL44" s="13">
        <f t="shared" si="80"/>
        <v>189.92539940722</v>
      </c>
      <c r="DM44" s="13">
        <f t="shared" si="81"/>
        <v>182.62116255408952</v>
      </c>
      <c r="DN44" s="13">
        <f t="shared" si="82"/>
        <v>174.69319316393285</v>
      </c>
      <c r="DO44" s="13">
        <f t="shared" si="83"/>
        <v>166.42186629022032</v>
      </c>
      <c r="DP44" s="13">
        <f t="shared" si="84"/>
        <v>158.02858273318665</v>
      </c>
      <c r="DQ44" s="13">
        <f t="shared" si="85"/>
        <v>149.68515370836963</v>
      </c>
      <c r="DR44" s="13">
        <f t="shared" si="86"/>
        <v>141.52258205287268</v>
      </c>
      <c r="DS44" s="13">
        <f t="shared" si="87"/>
        <v>133.63862794662836</v>
      </c>
      <c r="DT44" s="13">
        <f t="shared" si="88"/>
        <v>126.10402903703074</v>
      </c>
      <c r="DU44" s="13">
        <f t="shared" si="89"/>
        <v>118.96747817859367</v>
      </c>
      <c r="DV44" s="13">
        <f t="shared" si="90"/>
        <v>112.25955250782081</v>
      </c>
      <c r="DW44" s="13">
        <f t="shared" si="91"/>
        <v>105.99580305643478</v>
      </c>
      <c r="DX44" s="13">
        <f t="shared" si="92"/>
        <v>100.17919499415852</v>
      </c>
      <c r="DY44" s="13">
        <f t="shared" si="93"/>
        <v>94.802057106251112</v>
      </c>
      <c r="DZ44" s="13">
        <f t="shared" si="94"/>
        <v>89.847666373433682</v>
      </c>
      <c r="EA44" s="13">
        <f t="shared" si="95"/>
        <v>85.29156438321813</v>
      </c>
      <c r="EB44" s="13">
        <f t="shared" si="96"/>
        <v>81.102678322295489</v>
      </c>
      <c r="EC44" s="13">
        <f t="shared" si="97"/>
        <v>77.244300466622533</v>
      </c>
      <c r="ED44" s="13">
        <f t="shared" si="98"/>
        <v>73.674965741408627</v>
      </c>
      <c r="EE44" s="13">
        <f t="shared" si="99"/>
        <v>70.349256233193088</v>
      </c>
      <c r="EF44" s="13">
        <f t="shared" si="100"/>
        <v>67.218553704689441</v>
      </c>
      <c r="EG44" s="13">
        <f t="shared" si="101"/>
        <v>64.231755514843556</v>
      </c>
      <c r="EH44" s="13">
        <f t="shared" si="102"/>
        <v>61.335965345613644</v>
      </c>
    </row>
    <row r="45" spans="5:138" x14ac:dyDescent="0.25">
      <c r="E45" s="95"/>
      <c r="F45" s="26">
        <v>0.08</v>
      </c>
      <c r="G45">
        <f t="shared" si="10"/>
        <v>300</v>
      </c>
      <c r="H45">
        <f t="shared" si="11"/>
        <v>319.59107386223172</v>
      </c>
      <c r="I45">
        <f t="shared" si="12"/>
        <v>337.77253432219925</v>
      </c>
      <c r="J45">
        <f t="shared" si="13"/>
        <v>349.08980383081916</v>
      </c>
      <c r="K45">
        <f t="shared" si="14"/>
        <v>352.99468777855384</v>
      </c>
      <c r="L45">
        <f t="shared" si="15"/>
        <v>350.61992936278432</v>
      </c>
      <c r="M45">
        <f t="shared" si="16"/>
        <v>343.46916503467736</v>
      </c>
      <c r="N45">
        <f t="shared" si="17"/>
        <v>332.93262548632515</v>
      </c>
      <c r="O45">
        <f t="shared" si="18"/>
        <v>320.14710602033836</v>
      </c>
      <c r="P45">
        <f t="shared" si="19"/>
        <v>305.98994489988422</v>
      </c>
      <c r="Q45">
        <f t="shared" si="20"/>
        <v>291.11746215193801</v>
      </c>
      <c r="R45">
        <f t="shared" si="21"/>
        <v>276.0116190746985</v>
      </c>
      <c r="S45">
        <f t="shared" si="22"/>
        <v>261.02177051557311</v>
      </c>
      <c r="T45">
        <f t="shared" si="23"/>
        <v>246.39802860467435</v>
      </c>
      <c r="U45">
        <f t="shared" si="24"/>
        <v>232.31647632824377</v>
      </c>
      <c r="V45">
        <f t="shared" si="25"/>
        <v>218.89765253738202</v>
      </c>
      <c r="W45">
        <f t="shared" si="26"/>
        <v>206.21988855456203</v>
      </c>
      <c r="X45">
        <f t="shared" si="27"/>
        <v>194.3288709589167</v>
      </c>
      <c r="Y45">
        <f t="shared" si="28"/>
        <v>183.24451197309611</v>
      </c>
      <c r="Z45">
        <f t="shared" si="29"/>
        <v>172.96593405775522</v>
      </c>
      <c r="AA45">
        <f t="shared" si="30"/>
        <v>163.47515123650032</v>
      </c>
      <c r="AB45">
        <f t="shared" si="31"/>
        <v>154.73985900332067</v>
      </c>
      <c r="AC45">
        <f t="shared" si="32"/>
        <v>146.71561969209267</v>
      </c>
      <c r="AD45">
        <f t="shared" si="33"/>
        <v>139.34764093732988</v>
      </c>
      <c r="AE45">
        <f t="shared" si="34"/>
        <v>132.57228218882233</v>
      </c>
      <c r="AF45">
        <f t="shared" si="35"/>
        <v>126.31838077568554</v>
      </c>
      <c r="AG45">
        <f t="shared" si="36"/>
        <v>120.50845914747688</v>
      </c>
      <c r="AH45">
        <f t="shared" si="37"/>
        <v>115.05985456099711</v>
      </c>
      <c r="AI45">
        <f t="shared" si="38"/>
        <v>109.88579871615693</v>
      </c>
      <c r="AJ45">
        <f t="shared" si="103"/>
        <v>104.89646563294644</v>
      </c>
      <c r="AK45">
        <f t="shared" si="39"/>
        <v>100</v>
      </c>
      <c r="AL45" s="86"/>
      <c r="AM45" s="26">
        <v>0.08</v>
      </c>
      <c r="AN45" s="27">
        <f t="shared" si="40"/>
        <v>-1076400000</v>
      </c>
      <c r="AO45" s="27">
        <f t="shared" si="104"/>
        <v>-1152528572.5030615</v>
      </c>
      <c r="AP45" s="27">
        <f t="shared" si="41"/>
        <v>-1240345603.6866295</v>
      </c>
      <c r="AQ45" s="27">
        <f t="shared" si="42"/>
        <v>-1283221492.3670444</v>
      </c>
      <c r="AR45" s="27">
        <f t="shared" si="43"/>
        <v>-1292542659.1343586</v>
      </c>
      <c r="AS45" s="27">
        <f t="shared" si="44"/>
        <v>-1277796971.0307474</v>
      </c>
      <c r="AT45" s="27">
        <f t="shared" si="45"/>
        <v>-1246384473.5562375</v>
      </c>
      <c r="AU45" s="27">
        <f t="shared" si="46"/>
        <v>-1203873037.1039412</v>
      </c>
      <c r="AV45" s="27">
        <f t="shared" si="47"/>
        <v>-1154366412.8504691</v>
      </c>
      <c r="AW45" s="27">
        <f t="shared" si="48"/>
        <v>-1100853353.8386016</v>
      </c>
      <c r="AX45" s="27">
        <f t="shared" si="49"/>
        <v>-1045495565.9644282</v>
      </c>
      <c r="AY45" s="27">
        <f t="shared" si="50"/>
        <v>-989849471.93502545</v>
      </c>
      <c r="AZ45" s="27">
        <f t="shared" si="51"/>
        <v>-935030431.08621848</v>
      </c>
      <c r="BA45" s="27">
        <f t="shared" si="52"/>
        <v>-881831461.54687357</v>
      </c>
      <c r="BB45" s="27">
        <f t="shared" si="53"/>
        <v>-830807821.13548398</v>
      </c>
      <c r="BC45" s="27">
        <f t="shared" si="54"/>
        <v>-782336789.6988337</v>
      </c>
      <c r="BD45" s="27">
        <f t="shared" si="55"/>
        <v>-736659830.09086573</v>
      </c>
      <c r="BE45" s="27">
        <f t="shared" si="56"/>
        <v>-693912422.35591841</v>
      </c>
      <c r="BF45" s="27">
        <f t="shared" si="57"/>
        <v>-654145375.32768297</v>
      </c>
      <c r="BG45" s="27">
        <f t="shared" si="58"/>
        <v>-617340299.70970988</v>
      </c>
      <c r="BH45" s="27">
        <f t="shared" si="59"/>
        <v>-583421111.60193145</v>
      </c>
      <c r="BI45" s="27">
        <f t="shared" si="60"/>
        <v>-552262855.0070349</v>
      </c>
      <c r="BJ45" s="27">
        <f t="shared" si="61"/>
        <v>-523698724.75146276</v>
      </c>
      <c r="BK45" s="27">
        <f t="shared" si="62"/>
        <v>-497525888.857243</v>
      </c>
      <c r="BL45" s="27">
        <f t="shared" si="63"/>
        <v>-473510515.12505984</v>
      </c>
      <c r="BM45" s="27">
        <f t="shared" si="64"/>
        <v>-451392273.91355735</v>
      </c>
      <c r="BN45" s="27">
        <f t="shared" si="65"/>
        <v>-430888498.86838984</v>
      </c>
      <c r="BO45" s="27">
        <f t="shared" si="66"/>
        <v>-411698126.37446976</v>
      </c>
      <c r="BP45" s="27">
        <f t="shared" si="67"/>
        <v>-393505493.56042439</v>
      </c>
      <c r="BQ45" s="27">
        <f t="shared" si="68"/>
        <v>-375984047.4469189</v>
      </c>
      <c r="BR45" s="27">
        <f t="shared" si="69"/>
        <v>-358800000</v>
      </c>
      <c r="BT45" s="86"/>
      <c r="BU45" s="26">
        <v>0.08</v>
      </c>
      <c r="BV45" s="13">
        <v>0</v>
      </c>
      <c r="BW45" s="13">
        <f t="shared" ref="BW45:CY45" si="109">$B$20/($B$21-$B$22*BV45)</f>
        <v>0.34883720930232553</v>
      </c>
      <c r="BX45" s="13">
        <f t="shared" si="109"/>
        <v>0.39716748768472904</v>
      </c>
      <c r="BY45" s="13">
        <f t="shared" si="109"/>
        <v>0.40494040593779607</v>
      </c>
      <c r="BZ45" s="13">
        <f t="shared" si="109"/>
        <v>0.4062190081621499</v>
      </c>
      <c r="CA45" s="13">
        <f t="shared" si="109"/>
        <v>0.40643010492156101</v>
      </c>
      <c r="CB45" s="13">
        <f t="shared" si="109"/>
        <v>0.40646497802255066</v>
      </c>
      <c r="CC45" s="13">
        <f t="shared" si="109"/>
        <v>0.40647073962099717</v>
      </c>
      <c r="CD45" s="13">
        <f t="shared" si="109"/>
        <v>0.40647169154566137</v>
      </c>
      <c r="CE45" s="13">
        <f t="shared" si="109"/>
        <v>0.40647184882198806</v>
      </c>
      <c r="CF45" s="13">
        <f t="shared" si="109"/>
        <v>0.40647187480708435</v>
      </c>
      <c r="CG45" s="13">
        <f t="shared" si="109"/>
        <v>0.40647187910032606</v>
      </c>
      <c r="CH45" s="13">
        <f t="shared" si="109"/>
        <v>0.40647187980965277</v>
      </c>
      <c r="CI45" s="13">
        <f t="shared" si="109"/>
        <v>0.4064718799268473</v>
      </c>
      <c r="CJ45" s="13">
        <f t="shared" si="109"/>
        <v>0.40647187994621015</v>
      </c>
      <c r="CK45" s="13">
        <f t="shared" si="109"/>
        <v>0.40647187994940925</v>
      </c>
      <c r="CL45" s="13">
        <f t="shared" si="109"/>
        <v>0.40647187994993778</v>
      </c>
      <c r="CM45" s="13">
        <f t="shared" si="109"/>
        <v>0.40647187995002515</v>
      </c>
      <c r="CN45" s="13">
        <f t="shared" si="109"/>
        <v>0.40647187995003953</v>
      </c>
      <c r="CO45" s="13">
        <f t="shared" si="109"/>
        <v>0.40647187995004191</v>
      </c>
      <c r="CP45" s="13">
        <f t="shared" si="109"/>
        <v>0.40647187995004236</v>
      </c>
      <c r="CQ45" s="13">
        <f t="shared" si="109"/>
        <v>0.40647187995004236</v>
      </c>
      <c r="CR45" s="13">
        <f t="shared" si="109"/>
        <v>0.40647187995004236</v>
      </c>
      <c r="CS45" s="13">
        <f t="shared" si="109"/>
        <v>0.40647187995004236</v>
      </c>
      <c r="CT45" s="13">
        <f t="shared" si="109"/>
        <v>0.40647187995004236</v>
      </c>
      <c r="CU45" s="13">
        <f t="shared" si="109"/>
        <v>0.40647187995004236</v>
      </c>
      <c r="CV45" s="13">
        <f t="shared" si="109"/>
        <v>0.40647187995004236</v>
      </c>
      <c r="CW45" s="13">
        <f t="shared" si="109"/>
        <v>0.40647187995004236</v>
      </c>
      <c r="CX45" s="13">
        <f t="shared" si="109"/>
        <v>0.40647187995004236</v>
      </c>
      <c r="CY45" s="13">
        <f t="shared" si="109"/>
        <v>0.40647187995004236</v>
      </c>
      <c r="CZ45" s="13">
        <f t="shared" si="71"/>
        <v>100</v>
      </c>
      <c r="DB45" s="86"/>
      <c r="DC45" s="26">
        <v>0.08</v>
      </c>
      <c r="DD45" s="13">
        <f t="shared" si="72"/>
        <v>300</v>
      </c>
      <c r="DE45" s="13">
        <f t="shared" si="73"/>
        <v>201.7634456103018</v>
      </c>
      <c r="DF45" s="13">
        <f t="shared" si="74"/>
        <v>199.12541395835791</v>
      </c>
      <c r="DG45" s="13">
        <f t="shared" si="75"/>
        <v>206.14799166788603</v>
      </c>
      <c r="DH45" s="13">
        <f t="shared" si="76"/>
        <v>210.56620783092055</v>
      </c>
      <c r="DI45" s="13">
        <f t="shared" si="77"/>
        <v>211.02372058041948</v>
      </c>
      <c r="DJ45" s="13">
        <f t="shared" si="78"/>
        <v>208.14371273338813</v>
      </c>
      <c r="DK45" s="13">
        <f t="shared" si="79"/>
        <v>202.8021945147164</v>
      </c>
      <c r="DL45" s="13">
        <f t="shared" si="80"/>
        <v>195.7708555209187</v>
      </c>
      <c r="DM45" s="13">
        <f t="shared" si="81"/>
        <v>187.65889183462082</v>
      </c>
      <c r="DN45" s="13">
        <f t="shared" si="82"/>
        <v>178.92650187810651</v>
      </c>
      <c r="DO45" s="13">
        <f t="shared" si="83"/>
        <v>169.91360952713941</v>
      </c>
      <c r="DP45" s="13">
        <f t="shared" si="84"/>
        <v>160.86790064723854</v>
      </c>
      <c r="DQ45" s="13">
        <f t="shared" si="85"/>
        <v>151.96791373355219</v>
      </c>
      <c r="DR45" s="13">
        <f t="shared" si="86"/>
        <v>143.34073598556182</v>
      </c>
      <c r="DS45" s="13">
        <f t="shared" si="87"/>
        <v>135.07506675365153</v>
      </c>
      <c r="DT45" s="13">
        <f t="shared" si="88"/>
        <v>127.23066704734231</v>
      </c>
      <c r="DU45" s="13">
        <f t="shared" si="89"/>
        <v>119.84512968668741</v>
      </c>
      <c r="DV45" s="13">
        <f t="shared" si="90"/>
        <v>112.93872358932578</v>
      </c>
      <c r="DW45" s="13">
        <f t="shared" si="91"/>
        <v>106.51788200953752</v>
      </c>
      <c r="DX45" s="13">
        <f t="shared" si="92"/>
        <v>100.57774984421607</v>
      </c>
      <c r="DY45" s="13">
        <f t="shared" si="93"/>
        <v>95.10408524904031</v>
      </c>
      <c r="DZ45" s="13">
        <f t="shared" si="94"/>
        <v>90.074722113692729</v>
      </c>
      <c r="EA45" s="13">
        <f t="shared" si="95"/>
        <v>85.460736166771753</v>
      </c>
      <c r="EB45" s="13">
        <f t="shared" si="96"/>
        <v>81.227412482684144</v>
      </c>
      <c r="EC45" s="13">
        <f t="shared" si="97"/>
        <v>77.33508083612773</v>
      </c>
      <c r="ED45" s="13">
        <f t="shared" si="98"/>
        <v>73.739863757289939</v>
      </c>
      <c r="EE45" s="13">
        <f t="shared" si="99"/>
        <v>70.394367377028843</v>
      </c>
      <c r="EF45" s="13">
        <f t="shared" si="100"/>
        <v>67.24833513021818</v>
      </c>
      <c r="EG45" s="13">
        <f t="shared" si="101"/>
        <v>64.249277637942214</v>
      </c>
      <c r="EH45" s="13">
        <f t="shared" si="102"/>
        <v>61.343087595930271</v>
      </c>
    </row>
    <row r="46" spans="5:138" x14ac:dyDescent="0.25">
      <c r="E46" s="95"/>
      <c r="F46" s="26">
        <v>7.6666666666666675E-2</v>
      </c>
      <c r="G46">
        <f t="shared" si="10"/>
        <v>300</v>
      </c>
      <c r="H46">
        <f t="shared" si="11"/>
        <v>227.82059645463767</v>
      </c>
      <c r="I46">
        <f t="shared" si="12"/>
        <v>308.09686684208805</v>
      </c>
      <c r="J46">
        <f t="shared" si="13"/>
        <v>347.4178338746076</v>
      </c>
      <c r="K46">
        <f t="shared" si="14"/>
        <v>362.95740928235284</v>
      </c>
      <c r="L46">
        <f t="shared" si="15"/>
        <v>364.43428851509884</v>
      </c>
      <c r="M46">
        <f t="shared" si="16"/>
        <v>357.55007136563393</v>
      </c>
      <c r="N46">
        <f t="shared" si="17"/>
        <v>345.75264682094229</v>
      </c>
      <c r="O46">
        <f t="shared" si="18"/>
        <v>331.17819019095134</v>
      </c>
      <c r="P46">
        <f t="shared" si="19"/>
        <v>315.17511274879081</v>
      </c>
      <c r="Q46">
        <f t="shared" si="20"/>
        <v>298.60638270573099</v>
      </c>
      <c r="R46">
        <f t="shared" si="21"/>
        <v>282.02941574583281</v>
      </c>
      <c r="S46">
        <f t="shared" si="22"/>
        <v>265.80572373191535</v>
      </c>
      <c r="T46">
        <f t="shared" si="23"/>
        <v>250.16895481471687</v>
      </c>
      <c r="U46">
        <f t="shared" si="24"/>
        <v>235.26766443833276</v>
      </c>
      <c r="V46">
        <f t="shared" si="25"/>
        <v>221.19246149221863</v>
      </c>
      <c r="W46">
        <f t="shared" si="26"/>
        <v>207.9933766296989</v>
      </c>
      <c r="X46">
        <f t="shared" si="27"/>
        <v>195.69106860012081</v>
      </c>
      <c r="Y46">
        <f t="shared" si="28"/>
        <v>184.2841355570809</v>
      </c>
      <c r="Z46">
        <f t="shared" si="29"/>
        <v>173.75396515214445</v>
      </c>
      <c r="AA46">
        <f t="shared" si="30"/>
        <v>164.06803473381103</v>
      </c>
      <c r="AB46">
        <f t="shared" si="31"/>
        <v>155.18224194333516</v>
      </c>
      <c r="AC46">
        <f t="shared" si="32"/>
        <v>147.04263492099926</v>
      </c>
      <c r="AD46">
        <f t="shared" si="33"/>
        <v>139.58677625629579</v>
      </c>
      <c r="AE46">
        <f t="shared" si="34"/>
        <v>132.7448882419275</v>
      </c>
      <c r="AF46">
        <f t="shared" si="35"/>
        <v>126.44087151972765</v>
      </c>
      <c r="AG46">
        <f t="shared" si="36"/>
        <v>120.59325372801214</v>
      </c>
      <c r="AH46">
        <f t="shared" si="37"/>
        <v>115.1161021476744</v>
      </c>
      <c r="AI46">
        <f t="shared" si="38"/>
        <v>109.91992001254636</v>
      </c>
      <c r="AJ46">
        <f t="shared" si="103"/>
        <v>104.91253714470432</v>
      </c>
      <c r="AK46">
        <f t="shared" si="39"/>
        <v>100</v>
      </c>
      <c r="AL46" s="86"/>
      <c r="AM46" s="26">
        <v>7.6666666666666675E-2</v>
      </c>
      <c r="AN46" s="27">
        <f t="shared" si="40"/>
        <v>-269100000</v>
      </c>
      <c r="AO46" s="27">
        <f t="shared" si="104"/>
        <v>-1117753809.997395</v>
      </c>
      <c r="AP46" s="27">
        <f t="shared" si="41"/>
        <v>-1275006514.1188252</v>
      </c>
      <c r="AQ46" s="27">
        <f t="shared" si="42"/>
        <v>-1344990149.2686579</v>
      </c>
      <c r="AR46" s="27">
        <f t="shared" si="43"/>
        <v>-1360510746.6695783</v>
      </c>
      <c r="AS46" s="27">
        <f t="shared" si="44"/>
        <v>-1342205166.2145283</v>
      </c>
      <c r="AT46" s="27">
        <f t="shared" si="45"/>
        <v>-1303230334.6761329</v>
      </c>
      <c r="AU46" s="27">
        <f t="shared" si="46"/>
        <v>-1252057409.6266799</v>
      </c>
      <c r="AV46" s="27">
        <f t="shared" si="47"/>
        <v>-1194181836.5675156</v>
      </c>
      <c r="AW46" s="27">
        <f t="shared" si="48"/>
        <v>-1133190106.310384</v>
      </c>
      <c r="AX46" s="27">
        <f t="shared" si="49"/>
        <v>-1071433801.9838738</v>
      </c>
      <c r="AY46" s="27">
        <f t="shared" si="50"/>
        <v>-1010458985.4196877</v>
      </c>
      <c r="AZ46" s="27">
        <f t="shared" si="51"/>
        <v>-951281075.12969553</v>
      </c>
      <c r="BA46" s="27">
        <f t="shared" si="52"/>
        <v>-894561328.71623278</v>
      </c>
      <c r="BB46" s="27">
        <f t="shared" si="53"/>
        <v>-840720378.04342055</v>
      </c>
      <c r="BC46" s="27">
        <f t="shared" si="54"/>
        <v>-790011422.96799946</v>
      </c>
      <c r="BD46" s="27">
        <f t="shared" si="55"/>
        <v>-742567579.25898147</v>
      </c>
      <c r="BE46" s="27">
        <f t="shared" si="56"/>
        <v>-698432701.69296527</v>
      </c>
      <c r="BF46" s="27">
        <f t="shared" si="57"/>
        <v>-657581681.05705822</v>
      </c>
      <c r="BG46" s="27">
        <f t="shared" si="58"/>
        <v>-619934073.42135775</v>
      </c>
      <c r="BH46" s="27">
        <f t="shared" si="59"/>
        <v>-585363538.84558344</v>
      </c>
      <c r="BI46" s="27">
        <f t="shared" si="60"/>
        <v>-553704675.01258743</v>
      </c>
      <c r="BJ46" s="27">
        <f t="shared" si="61"/>
        <v>-524758255.89594698</v>
      </c>
      <c r="BK46" s="27">
        <f t="shared" si="62"/>
        <v>-498295514.7152018</v>
      </c>
      <c r="BL46" s="27">
        <f t="shared" si="63"/>
        <v>-474061871.86245859</v>
      </c>
      <c r="BM46" s="27">
        <f t="shared" si="64"/>
        <v>-451780355.44057781</v>
      </c>
      <c r="BN46" s="27">
        <f t="shared" si="65"/>
        <v>-431154864.26100385</v>
      </c>
      <c r="BO46" s="27">
        <f t="shared" si="66"/>
        <v>-411873361.00268781</v>
      </c>
      <c r="BP46" s="27">
        <f t="shared" si="67"/>
        <v>-393611044.03845239</v>
      </c>
      <c r="BQ46" s="27">
        <f t="shared" si="68"/>
        <v>-376033521.98140907</v>
      </c>
      <c r="BR46" s="27">
        <f t="shared" si="69"/>
        <v>-358800000</v>
      </c>
      <c r="BT46" s="86"/>
      <c r="BU46" s="26">
        <v>7.6666666666666675E-2</v>
      </c>
      <c r="BV46" s="13">
        <v>0</v>
      </c>
      <c r="BW46" s="13">
        <f t="shared" ref="BW46:CY46" si="110">$B$20/($B$21-$B$22*BV46)</f>
        <v>0.34883720930232553</v>
      </c>
      <c r="BX46" s="13">
        <f t="shared" si="110"/>
        <v>0.39716748768472904</v>
      </c>
      <c r="BY46" s="13">
        <f t="shared" si="110"/>
        <v>0.40494040593779607</v>
      </c>
      <c r="BZ46" s="13">
        <f t="shared" si="110"/>
        <v>0.4062190081621499</v>
      </c>
      <c r="CA46" s="13">
        <f t="shared" si="110"/>
        <v>0.40643010492156101</v>
      </c>
      <c r="CB46" s="13">
        <f t="shared" si="110"/>
        <v>0.40646497802255066</v>
      </c>
      <c r="CC46" s="13">
        <f t="shared" si="110"/>
        <v>0.40647073962099717</v>
      </c>
      <c r="CD46" s="13">
        <f t="shared" si="110"/>
        <v>0.40647169154566137</v>
      </c>
      <c r="CE46" s="13">
        <f t="shared" si="110"/>
        <v>0.40647184882198806</v>
      </c>
      <c r="CF46" s="13">
        <f t="shared" si="110"/>
        <v>0.40647187480708435</v>
      </c>
      <c r="CG46" s="13">
        <f t="shared" si="110"/>
        <v>0.40647187910032606</v>
      </c>
      <c r="CH46" s="13">
        <f t="shared" si="110"/>
        <v>0.40647187980965277</v>
      </c>
      <c r="CI46" s="13">
        <f t="shared" si="110"/>
        <v>0.4064718799268473</v>
      </c>
      <c r="CJ46" s="13">
        <f t="shared" si="110"/>
        <v>0.40647187994621015</v>
      </c>
      <c r="CK46" s="13">
        <f t="shared" si="110"/>
        <v>0.40647187994940925</v>
      </c>
      <c r="CL46" s="13">
        <f t="shared" si="110"/>
        <v>0.40647187994993778</v>
      </c>
      <c r="CM46" s="13">
        <f t="shared" si="110"/>
        <v>0.40647187995002515</v>
      </c>
      <c r="CN46" s="13">
        <f t="shared" si="110"/>
        <v>0.40647187995003953</v>
      </c>
      <c r="CO46" s="13">
        <f t="shared" si="110"/>
        <v>0.40647187995004191</v>
      </c>
      <c r="CP46" s="13">
        <f t="shared" si="110"/>
        <v>0.40647187995004236</v>
      </c>
      <c r="CQ46" s="13">
        <f t="shared" si="110"/>
        <v>0.40647187995004236</v>
      </c>
      <c r="CR46" s="13">
        <f t="shared" si="110"/>
        <v>0.40647187995004236</v>
      </c>
      <c r="CS46" s="13">
        <f t="shared" si="110"/>
        <v>0.40647187995004236</v>
      </c>
      <c r="CT46" s="13">
        <f t="shared" si="110"/>
        <v>0.40647187995004236</v>
      </c>
      <c r="CU46" s="13">
        <f t="shared" si="110"/>
        <v>0.40647187995004236</v>
      </c>
      <c r="CV46" s="13">
        <f t="shared" si="110"/>
        <v>0.40647187995004236</v>
      </c>
      <c r="CW46" s="13">
        <f t="shared" si="110"/>
        <v>0.40647187995004236</v>
      </c>
      <c r="CX46" s="13">
        <f t="shared" si="110"/>
        <v>0.40647187995004236</v>
      </c>
      <c r="CY46" s="13">
        <f t="shared" si="110"/>
        <v>0.40647187995004236</v>
      </c>
      <c r="CZ46" s="13">
        <f t="shared" si="71"/>
        <v>100</v>
      </c>
      <c r="DB46" s="86"/>
      <c r="DC46" s="26">
        <v>7.6666666666666675E-2</v>
      </c>
      <c r="DD46" s="13">
        <f t="shared" si="72"/>
        <v>75</v>
      </c>
      <c r="DE46" s="13">
        <f t="shared" si="73"/>
        <v>120.34494523065347</v>
      </c>
      <c r="DF46" s="13">
        <f t="shared" si="74"/>
        <v>170.11379858523958</v>
      </c>
      <c r="DG46" s="13">
        <f t="shared" si="75"/>
        <v>200.44171322168089</v>
      </c>
      <c r="DH46" s="13">
        <f t="shared" si="76"/>
        <v>214.91727406147058</v>
      </c>
      <c r="DI46" s="13">
        <f t="shared" si="77"/>
        <v>219.11517549525263</v>
      </c>
      <c r="DJ46" s="13">
        <f t="shared" si="78"/>
        <v>217.01372937432089</v>
      </c>
      <c r="DK46" s="13">
        <f t="shared" si="79"/>
        <v>211.13840290768303</v>
      </c>
      <c r="DL46" s="13">
        <f t="shared" si="80"/>
        <v>203.06842897885579</v>
      </c>
      <c r="DM46" s="13">
        <f t="shared" si="81"/>
        <v>193.80002430034619</v>
      </c>
      <c r="DN46" s="13">
        <f t="shared" si="82"/>
        <v>183.96935733677569</v>
      </c>
      <c r="DO46" s="13">
        <f t="shared" si="83"/>
        <v>173.98686374489904</v>
      </c>
      <c r="DP46" s="13">
        <f t="shared" si="84"/>
        <v>164.11907839836127</v>
      </c>
      <c r="DQ46" s="13">
        <f t="shared" si="85"/>
        <v>154.53926496446906</v>
      </c>
      <c r="DR46" s="13">
        <f t="shared" si="86"/>
        <v>145.35914878566098</v>
      </c>
      <c r="DS46" s="13">
        <f t="shared" si="87"/>
        <v>136.64900267651939</v>
      </c>
      <c r="DT46" s="13">
        <f t="shared" si="88"/>
        <v>128.45046008639557</v>
      </c>
      <c r="DU46" s="13">
        <f t="shared" si="89"/>
        <v>120.78474957526886</v>
      </c>
      <c r="DV46" s="13">
        <f t="shared" si="90"/>
        <v>113.65803469291511</v>
      </c>
      <c r="DW46" s="13">
        <f t="shared" si="91"/>
        <v>107.0649226341835</v>
      </c>
      <c r="DX46" s="13">
        <f t="shared" si="92"/>
        <v>100.99081711624126</v>
      </c>
      <c r="DY46" s="13">
        <f t="shared" si="93"/>
        <v>95.413545694188855</v>
      </c>
      <c r="DZ46" s="13">
        <f t="shared" si="94"/>
        <v>90.304535559936767</v>
      </c>
      <c r="EA46" s="13">
        <f t="shared" si="95"/>
        <v>85.629711978841243</v>
      </c>
      <c r="EB46" s="13">
        <f t="shared" si="96"/>
        <v>81.35022949278202</v>
      </c>
      <c r="EC46" s="13">
        <f t="shared" si="97"/>
        <v>77.423104967610101</v>
      </c>
      <c r="ED46" s="13">
        <f t="shared" si="98"/>
        <v>73.801795275525819</v>
      </c>
      <c r="EE46" s="13">
        <f t="shared" si="99"/>
        <v>70.436745616216399</v>
      </c>
      <c r="EF46" s="13">
        <f t="shared" si="100"/>
        <v>67.27592380900974</v>
      </c>
      <c r="EG46" s="13">
        <f t="shared" si="101"/>
        <v>64.265349149700072</v>
      </c>
      <c r="EH46" s="13">
        <f t="shared" si="102"/>
        <v>61.349620213528127</v>
      </c>
    </row>
    <row r="47" spans="5:138" x14ac:dyDescent="0.25">
      <c r="E47" s="95"/>
      <c r="F47" s="26">
        <v>7.3333333333333334E-2</v>
      </c>
      <c r="G47">
        <f t="shared" si="10"/>
        <v>300</v>
      </c>
      <c r="H47">
        <f t="shared" si="11"/>
        <v>352.29984441997544</v>
      </c>
      <c r="I47">
        <f t="shared" si="12"/>
        <v>385.38143178189591</v>
      </c>
      <c r="J47">
        <f t="shared" si="13"/>
        <v>400.45407998257951</v>
      </c>
      <c r="K47">
        <f t="shared" si="14"/>
        <v>401.9318713961037</v>
      </c>
      <c r="L47">
        <f t="shared" si="15"/>
        <v>394.1940754631795</v>
      </c>
      <c r="M47">
        <f t="shared" si="16"/>
        <v>380.68339245664015</v>
      </c>
      <c r="N47">
        <f t="shared" si="17"/>
        <v>363.85020083709651</v>
      </c>
      <c r="O47">
        <f t="shared" si="18"/>
        <v>345.34595875089531</v>
      </c>
      <c r="P47">
        <f t="shared" si="19"/>
        <v>326.24571355550529</v>
      </c>
      <c r="Q47">
        <f t="shared" si="20"/>
        <v>307.23176908514233</v>
      </c>
      <c r="R47">
        <f t="shared" si="21"/>
        <v>288.7275806804787</v>
      </c>
      <c r="S47">
        <f t="shared" si="22"/>
        <v>270.9892784887287</v>
      </c>
      <c r="T47">
        <f t="shared" si="23"/>
        <v>254.16582667795089</v>
      </c>
      <c r="U47">
        <f t="shared" si="24"/>
        <v>238.33753548773248</v>
      </c>
      <c r="V47">
        <f t="shared" si="25"/>
        <v>223.54024389246655</v>
      </c>
      <c r="W47">
        <f t="shared" si="26"/>
        <v>209.78028108792739</v>
      </c>
      <c r="X47">
        <f t="shared" si="27"/>
        <v>197.04362056004953</v>
      </c>
      <c r="Y47">
        <f t="shared" si="28"/>
        <v>185.30144508958179</v>
      </c>
      <c r="Z47">
        <f t="shared" si="29"/>
        <v>174.51353593489125</v>
      </c>
      <c r="AA47">
        <f t="shared" si="30"/>
        <v>164.63037254798661</v>
      </c>
      <c r="AB47">
        <f t="shared" si="31"/>
        <v>155.59449093248691</v>
      </c>
      <c r="AC47">
        <f t="shared" si="32"/>
        <v>147.3414345903665</v>
      </c>
      <c r="AD47">
        <f t="shared" si="33"/>
        <v>139.80049787470432</v>
      </c>
      <c r="AE47">
        <f t="shared" si="34"/>
        <v>132.89537836345158</v>
      </c>
      <c r="AF47">
        <f t="shared" si="35"/>
        <v>126.54480375380942</v>
      </c>
      <c r="AG47">
        <f t="shared" si="36"/>
        <v>120.66316771468443</v>
      </c>
      <c r="AH47">
        <f t="shared" si="37"/>
        <v>115.1611905095842</v>
      </c>
      <c r="AI47">
        <f t="shared" si="38"/>
        <v>109.94660922461254</v>
      </c>
      <c r="AJ47">
        <f t="shared" si="103"/>
        <v>104.9248961094888</v>
      </c>
      <c r="AK47">
        <f t="shared" si="39"/>
        <v>100</v>
      </c>
      <c r="AL47" s="86"/>
      <c r="AM47" s="26">
        <v>7.3333333333333334E-2</v>
      </c>
      <c r="AN47" s="27">
        <f t="shared" si="40"/>
        <v>-1076400000</v>
      </c>
      <c r="AO47" s="27">
        <f t="shared" si="104"/>
        <v>-1343615425.9992192</v>
      </c>
      <c r="AP47" s="27">
        <f t="shared" si="41"/>
        <v>-1457305585.3609629</v>
      </c>
      <c r="AQ47" s="27">
        <f t="shared" si="42"/>
        <v>-1493111946.0763352</v>
      </c>
      <c r="AR47" s="27">
        <f t="shared" si="43"/>
        <v>-1480284086.1835167</v>
      </c>
      <c r="AS47" s="27">
        <f t="shared" si="44"/>
        <v>-1438268095.2466547</v>
      </c>
      <c r="AT47" s="27">
        <f t="shared" si="45"/>
        <v>-1379647197.7922626</v>
      </c>
      <c r="AU47" s="27">
        <f t="shared" si="46"/>
        <v>-1312412669.5354643</v>
      </c>
      <c r="AV47" s="27">
        <f t="shared" si="47"/>
        <v>-1241568752.8702543</v>
      </c>
      <c r="AW47" s="27">
        <f t="shared" si="48"/>
        <v>-1170212335.2355406</v>
      </c>
      <c r="AX47" s="27">
        <f t="shared" si="49"/>
        <v>-1100237197.3654954</v>
      </c>
      <c r="AY47" s="27">
        <f t="shared" si="50"/>
        <v>-1032783790.5600948</v>
      </c>
      <c r="AZ47" s="27">
        <f t="shared" si="51"/>
        <v>-968522050.64033425</v>
      </c>
      <c r="BA47" s="27">
        <f t="shared" si="52"/>
        <v>-907827021.15137196</v>
      </c>
      <c r="BB47" s="27">
        <f t="shared" si="53"/>
        <v>-850886739.006881</v>
      </c>
      <c r="BC47" s="27">
        <f t="shared" si="54"/>
        <v>-797767853.89256132</v>
      </c>
      <c r="BD47" s="27">
        <f t="shared" si="55"/>
        <v>-748455177.11810601</v>
      </c>
      <c r="BE47" s="27">
        <f t="shared" si="56"/>
        <v>-702875342.43177962</v>
      </c>
      <c r="BF47" s="27">
        <f t="shared" si="57"/>
        <v>-660910922.43410194</v>
      </c>
      <c r="BG47" s="27">
        <f t="shared" si="58"/>
        <v>-622408919.45575607</v>
      </c>
      <c r="BH47" s="27">
        <f t="shared" si="59"/>
        <v>-587186030.16855943</v>
      </c>
      <c r="BI47" s="27">
        <f t="shared" si="60"/>
        <v>-555032136.83397305</v>
      </c>
      <c r="BJ47" s="27">
        <f t="shared" si="61"/>
        <v>-525712892.05669814</v>
      </c>
      <c r="BK47" s="27">
        <f t="shared" si="62"/>
        <v>-498971903.14818424</v>
      </c>
      <c r="BL47" s="27">
        <f t="shared" si="63"/>
        <v>-474532801.67539674</v>
      </c>
      <c r="BM47" s="27">
        <f t="shared" si="64"/>
        <v>-452101350.18672723</v>
      </c>
      <c r="BN47" s="27">
        <f t="shared" si="65"/>
        <v>-431367658.18742537</v>
      </c>
      <c r="BO47" s="27">
        <f t="shared" si="66"/>
        <v>-412008532.43905592</v>
      </c>
      <c r="BP47" s="27">
        <f t="shared" si="67"/>
        <v>-393689959.67473948</v>
      </c>
      <c r="BQ47" s="27">
        <f t="shared" si="68"/>
        <v>-376069704.8375172</v>
      </c>
      <c r="BR47" s="27">
        <f t="shared" si="69"/>
        <v>-358800000</v>
      </c>
      <c r="BT47" s="86"/>
      <c r="BU47" s="26">
        <v>7.3333333333333334E-2</v>
      </c>
      <c r="BV47" s="13">
        <v>0</v>
      </c>
      <c r="BW47" s="13">
        <f t="shared" ref="BW47:CY47" si="111">$B$20/($B$21-$B$22*BV47)</f>
        <v>0.34883720930232553</v>
      </c>
      <c r="BX47" s="13">
        <f t="shared" si="111"/>
        <v>0.39716748768472904</v>
      </c>
      <c r="BY47" s="13">
        <f t="shared" si="111"/>
        <v>0.40494040593779607</v>
      </c>
      <c r="BZ47" s="13">
        <f t="shared" si="111"/>
        <v>0.4062190081621499</v>
      </c>
      <c r="CA47" s="13">
        <f t="shared" si="111"/>
        <v>0.40643010492156101</v>
      </c>
      <c r="CB47" s="13">
        <f t="shared" si="111"/>
        <v>0.40646497802255066</v>
      </c>
      <c r="CC47" s="13">
        <f t="shared" si="111"/>
        <v>0.40647073962099717</v>
      </c>
      <c r="CD47" s="13">
        <f t="shared" si="111"/>
        <v>0.40647169154566137</v>
      </c>
      <c r="CE47" s="13">
        <f t="shared" si="111"/>
        <v>0.40647184882198806</v>
      </c>
      <c r="CF47" s="13">
        <f t="shared" si="111"/>
        <v>0.40647187480708435</v>
      </c>
      <c r="CG47" s="13">
        <f t="shared" si="111"/>
        <v>0.40647187910032606</v>
      </c>
      <c r="CH47" s="13">
        <f t="shared" si="111"/>
        <v>0.40647187980965277</v>
      </c>
      <c r="CI47" s="13">
        <f t="shared" si="111"/>
        <v>0.4064718799268473</v>
      </c>
      <c r="CJ47" s="13">
        <f t="shared" si="111"/>
        <v>0.40647187994621015</v>
      </c>
      <c r="CK47" s="13">
        <f t="shared" si="111"/>
        <v>0.40647187994940925</v>
      </c>
      <c r="CL47" s="13">
        <f t="shared" si="111"/>
        <v>0.40647187994993778</v>
      </c>
      <c r="CM47" s="13">
        <f t="shared" si="111"/>
        <v>0.40647187995002515</v>
      </c>
      <c r="CN47" s="13">
        <f t="shared" si="111"/>
        <v>0.40647187995003953</v>
      </c>
      <c r="CO47" s="13">
        <f t="shared" si="111"/>
        <v>0.40647187995004191</v>
      </c>
      <c r="CP47" s="13">
        <f t="shared" si="111"/>
        <v>0.40647187995004236</v>
      </c>
      <c r="CQ47" s="13">
        <f t="shared" si="111"/>
        <v>0.40647187995004236</v>
      </c>
      <c r="CR47" s="13">
        <f t="shared" si="111"/>
        <v>0.40647187995004236</v>
      </c>
      <c r="CS47" s="13">
        <f t="shared" si="111"/>
        <v>0.40647187995004236</v>
      </c>
      <c r="CT47" s="13">
        <f t="shared" si="111"/>
        <v>0.40647187995004236</v>
      </c>
      <c r="CU47" s="13">
        <f t="shared" si="111"/>
        <v>0.40647187995004236</v>
      </c>
      <c r="CV47" s="13">
        <f t="shared" si="111"/>
        <v>0.40647187995004236</v>
      </c>
      <c r="CW47" s="13">
        <f t="shared" si="111"/>
        <v>0.40647187995004236</v>
      </c>
      <c r="CX47" s="13">
        <f t="shared" si="111"/>
        <v>0.40647187995004236</v>
      </c>
      <c r="CY47" s="13">
        <f t="shared" si="111"/>
        <v>0.40647187995004236</v>
      </c>
      <c r="CZ47" s="13">
        <f t="shared" si="71"/>
        <v>100</v>
      </c>
      <c r="DB47" s="86"/>
      <c r="DC47" s="26">
        <v>7.3333333333333334E-2</v>
      </c>
      <c r="DD47" s="13">
        <f t="shared" si="72"/>
        <v>300</v>
      </c>
      <c r="DE47" s="13">
        <f t="shared" si="73"/>
        <v>217.86446124024431</v>
      </c>
      <c r="DF47" s="13">
        <f t="shared" si="74"/>
        <v>226.33409090211524</v>
      </c>
      <c r="DG47" s="13">
        <f t="shared" si="75"/>
        <v>237.69562482010321</v>
      </c>
      <c r="DH47" s="13">
        <f t="shared" si="76"/>
        <v>241.80274503805524</v>
      </c>
      <c r="DI47" s="13">
        <f t="shared" si="77"/>
        <v>239.47288432513142</v>
      </c>
      <c r="DJ47" s="13">
        <f t="shared" si="78"/>
        <v>232.79102856988908</v>
      </c>
      <c r="DK47" s="13">
        <f t="shared" si="79"/>
        <v>223.47717355849775</v>
      </c>
      <c r="DL47" s="13">
        <f t="shared" si="80"/>
        <v>212.73631170246779</v>
      </c>
      <c r="DM47" s="13">
        <f t="shared" si="81"/>
        <v>201.36464835861736</v>
      </c>
      <c r="DN47" s="13">
        <f t="shared" si="82"/>
        <v>189.87212805743442</v>
      </c>
      <c r="DO47" s="13">
        <f t="shared" si="83"/>
        <v>178.57805943712356</v>
      </c>
      <c r="DP47" s="13">
        <f t="shared" si="84"/>
        <v>167.67801713556761</v>
      </c>
      <c r="DQ47" s="13">
        <f t="shared" si="85"/>
        <v>157.28832057112058</v>
      </c>
      <c r="DR47" s="13">
        <f t="shared" si="86"/>
        <v>147.47471230912728</v>
      </c>
      <c r="DS47" s="13">
        <f t="shared" si="87"/>
        <v>138.27045866234121</v>
      </c>
      <c r="DT47" s="13">
        <f t="shared" si="88"/>
        <v>129.68759020674185</v>
      </c>
      <c r="DU47" s="13">
        <f t="shared" si="89"/>
        <v>121.72379381703085</v>
      </c>
      <c r="DV47" s="13">
        <f t="shared" si="90"/>
        <v>114.36660006139776</v>
      </c>
      <c r="DW47" s="13">
        <f t="shared" si="91"/>
        <v>107.59591890843535</v>
      </c>
      <c r="DX47" s="13">
        <f t="shared" si="92"/>
        <v>101.38558730878884</v>
      </c>
      <c r="DY47" s="13">
        <f t="shared" si="93"/>
        <v>95.704341020004449</v>
      </c>
      <c r="DZ47" s="13">
        <f t="shared" si="94"/>
        <v>90.516463401283545</v>
      </c>
      <c r="EA47" s="13">
        <f t="shared" si="95"/>
        <v>85.782263594639986</v>
      </c>
      <c r="EB47" s="13">
        <f t="shared" si="96"/>
        <v>81.458474083731502</v>
      </c>
      <c r="EC47" s="13">
        <f t="shared" si="97"/>
        <v>77.49861913209439</v>
      </c>
      <c r="ED47" s="13">
        <f t="shared" si="98"/>
        <v>73.853382110968766</v>
      </c>
      <c r="EE47" s="13">
        <f t="shared" si="99"/>
        <v>70.470985563923279</v>
      </c>
      <c r="EF47" s="13">
        <f t="shared" si="100"/>
        <v>67.297589449425743</v>
      </c>
      <c r="EG47" s="13">
        <f t="shared" si="101"/>
        <v>64.277708114484554</v>
      </c>
      <c r="EH47" s="13">
        <f t="shared" si="102"/>
        <v>61.354643785178311</v>
      </c>
    </row>
    <row r="48" spans="5:138" x14ac:dyDescent="0.25">
      <c r="E48" s="95"/>
      <c r="F48" s="26">
        <v>7.0000000000000007E-2</v>
      </c>
      <c r="G48">
        <f t="shared" si="10"/>
        <v>300</v>
      </c>
      <c r="H48">
        <f t="shared" si="11"/>
        <v>395.84774905140807</v>
      </c>
      <c r="I48">
        <f t="shared" si="12"/>
        <v>438.92324294126911</v>
      </c>
      <c r="J48">
        <f t="shared" si="13"/>
        <v>450.58486608855833</v>
      </c>
      <c r="K48">
        <f t="shared" si="14"/>
        <v>444.29063119687692</v>
      </c>
      <c r="L48">
        <f t="shared" si="15"/>
        <v>428.2490428378569</v>
      </c>
      <c r="M48">
        <f t="shared" si="16"/>
        <v>407.34302816883525</v>
      </c>
      <c r="N48">
        <f t="shared" si="17"/>
        <v>384.41349538711938</v>
      </c>
      <c r="O48">
        <f t="shared" si="18"/>
        <v>361.07551408824742</v>
      </c>
      <c r="P48">
        <f t="shared" si="19"/>
        <v>338.22149289398692</v>
      </c>
      <c r="Q48">
        <f t="shared" si="20"/>
        <v>316.32462995175422</v>
      </c>
      <c r="R48">
        <f t="shared" si="21"/>
        <v>295.61874397155503</v>
      </c>
      <c r="S48">
        <f t="shared" si="22"/>
        <v>276.2031808396124</v>
      </c>
      <c r="T48">
        <f t="shared" si="23"/>
        <v>258.10302203695693</v>
      </c>
      <c r="U48">
        <f t="shared" si="24"/>
        <v>241.30298169393868</v>
      </c>
      <c r="V48">
        <f t="shared" si="25"/>
        <v>225.76601713900689</v>
      </c>
      <c r="W48">
        <f t="shared" si="26"/>
        <v>211.44319024078987</v>
      </c>
      <c r="X48">
        <f t="shared" si="27"/>
        <v>198.27861857451671</v>
      </c>
      <c r="Y48">
        <f t="shared" si="28"/>
        <v>186.21174901853595</v>
      </c>
      <c r="Z48">
        <f t="shared" si="29"/>
        <v>175.17823735164103</v>
      </c>
      <c r="AA48">
        <f t="shared" si="30"/>
        <v>165.11016053348089</v>
      </c>
      <c r="AB48">
        <f t="shared" si="31"/>
        <v>155.93596381469885</v>
      </c>
      <c r="AC48">
        <f t="shared" si="32"/>
        <v>147.58035723686882</v>
      </c>
      <c r="AD48">
        <f t="shared" si="33"/>
        <v>139.96426883464895</v>
      </c>
      <c r="AE48">
        <f t="shared" si="34"/>
        <v>133.00490149730493</v>
      </c>
      <c r="AF48">
        <f t="shared" si="35"/>
        <v>126.61590728535548</v>
      </c>
      <c r="AG48">
        <f t="shared" si="36"/>
        <v>120.70767545883766</v>
      </c>
      <c r="AH48">
        <f t="shared" si="37"/>
        <v>115.18772177544461</v>
      </c>
      <c r="AI48">
        <f t="shared" si="38"/>
        <v>109.96116279662724</v>
      </c>
      <c r="AJ48">
        <f t="shared" si="103"/>
        <v>104.93125768996899</v>
      </c>
      <c r="AK48">
        <f t="shared" si="39"/>
        <v>100</v>
      </c>
      <c r="AL48" s="86"/>
      <c r="AM48" s="26">
        <v>7.0000000000000007E-2</v>
      </c>
      <c r="AN48" s="27">
        <f t="shared" si="40"/>
        <v>-1076400000</v>
      </c>
      <c r="AO48" s="27">
        <f t="shared" si="104"/>
        <v>-1638778859.9652569</v>
      </c>
      <c r="AP48" s="27">
        <f t="shared" si="41"/>
        <v>-1704910020.5475209</v>
      </c>
      <c r="AQ48" s="27">
        <f t="shared" si="42"/>
        <v>-1691035751.807085</v>
      </c>
      <c r="AR48" s="27">
        <f t="shared" si="43"/>
        <v>-1634468828.0891769</v>
      </c>
      <c r="AS48" s="27">
        <f t="shared" si="44"/>
        <v>-1556696290.6256378</v>
      </c>
      <c r="AT48" s="27">
        <f t="shared" si="45"/>
        <v>-1469924150.056334</v>
      </c>
      <c r="AU48" s="27">
        <f t="shared" si="46"/>
        <v>-1380966598.3100104</v>
      </c>
      <c r="AV48" s="27">
        <f t="shared" si="47"/>
        <v>-1293535349.7155406</v>
      </c>
      <c r="AW48" s="27">
        <f t="shared" si="48"/>
        <v>-1209576081.34023</v>
      </c>
      <c r="AX48" s="27">
        <f t="shared" si="49"/>
        <v>-1130042127.6440754</v>
      </c>
      <c r="AY48" s="27">
        <f t="shared" si="50"/>
        <v>-1055338116.7781571</v>
      </c>
      <c r="AZ48" s="27">
        <f t="shared" si="51"/>
        <v>-985571238.9292804</v>
      </c>
      <c r="BA48" s="27">
        <f t="shared" si="52"/>
        <v>-920691152.64570379</v>
      </c>
      <c r="BB48" s="27">
        <f t="shared" si="53"/>
        <v>-860565964.55517387</v>
      </c>
      <c r="BC48" s="27">
        <f t="shared" si="54"/>
        <v>-805021939.5959574</v>
      </c>
      <c r="BD48" s="27">
        <f t="shared" si="55"/>
        <v>-753862989.92370689</v>
      </c>
      <c r="BE48" s="27">
        <f t="shared" si="56"/>
        <v>-706879196.70875549</v>
      </c>
      <c r="BF48" s="27">
        <f t="shared" si="57"/>
        <v>-663849653.81769145</v>
      </c>
      <c r="BG48" s="27">
        <f t="shared" si="58"/>
        <v>-624542615.34392607</v>
      </c>
      <c r="BH48" s="27">
        <f t="shared" si="59"/>
        <v>-588714592.38270402</v>
      </c>
      <c r="BI48" s="27">
        <f t="shared" si="60"/>
        <v>-556109274.98359823</v>
      </c>
      <c r="BJ48" s="27">
        <f t="shared" si="61"/>
        <v>-526456716.51885945</v>
      </c>
      <c r="BK48" s="27">
        <f t="shared" si="62"/>
        <v>-499472971.37013447</v>
      </c>
      <c r="BL48" s="27">
        <f t="shared" si="63"/>
        <v>-474860241.83319688</v>
      </c>
      <c r="BM48" s="27">
        <f t="shared" si="64"/>
        <v>-452307519.06416851</v>
      </c>
      <c r="BN48" s="27">
        <f t="shared" si="65"/>
        <v>-431491668.03377306</v>
      </c>
      <c r="BO48" s="27">
        <f t="shared" si="66"/>
        <v>-412078891.6533522</v>
      </c>
      <c r="BP48" s="27">
        <f t="shared" si="67"/>
        <v>-393726505.08355993</v>
      </c>
      <c r="BQ48" s="27">
        <f t="shared" si="68"/>
        <v>-376084952.28651541</v>
      </c>
      <c r="BR48" s="27">
        <f t="shared" si="69"/>
        <v>-358800000</v>
      </c>
      <c r="BT48" s="86"/>
      <c r="BU48" s="26">
        <v>7.0000000000000007E-2</v>
      </c>
      <c r="BV48" s="13">
        <v>0</v>
      </c>
      <c r="BW48" s="13">
        <f t="shared" ref="BW48:CY48" si="112">$B$20/($B$21-$B$22*BV48)</f>
        <v>0.34883720930232553</v>
      </c>
      <c r="BX48" s="13">
        <f t="shared" si="112"/>
        <v>0.39716748768472904</v>
      </c>
      <c r="BY48" s="13">
        <f t="shared" si="112"/>
        <v>0.40494040593779607</v>
      </c>
      <c r="BZ48" s="13">
        <f t="shared" si="112"/>
        <v>0.4062190081621499</v>
      </c>
      <c r="CA48" s="13">
        <f t="shared" si="112"/>
        <v>0.40643010492156101</v>
      </c>
      <c r="CB48" s="13">
        <f t="shared" si="112"/>
        <v>0.40646497802255066</v>
      </c>
      <c r="CC48" s="13">
        <f t="shared" si="112"/>
        <v>0.40647073962099717</v>
      </c>
      <c r="CD48" s="13">
        <f t="shared" si="112"/>
        <v>0.40647169154566137</v>
      </c>
      <c r="CE48" s="13">
        <f t="shared" si="112"/>
        <v>0.40647184882198806</v>
      </c>
      <c r="CF48" s="13">
        <f t="shared" si="112"/>
        <v>0.40647187480708435</v>
      </c>
      <c r="CG48" s="13">
        <f t="shared" si="112"/>
        <v>0.40647187910032606</v>
      </c>
      <c r="CH48" s="13">
        <f t="shared" si="112"/>
        <v>0.40647187980965277</v>
      </c>
      <c r="CI48" s="13">
        <f t="shared" si="112"/>
        <v>0.4064718799268473</v>
      </c>
      <c r="CJ48" s="13">
        <f t="shared" si="112"/>
        <v>0.40647187994621015</v>
      </c>
      <c r="CK48" s="13">
        <f t="shared" si="112"/>
        <v>0.40647187994940925</v>
      </c>
      <c r="CL48" s="13">
        <f t="shared" si="112"/>
        <v>0.40647187994993778</v>
      </c>
      <c r="CM48" s="13">
        <f t="shared" si="112"/>
        <v>0.40647187995002515</v>
      </c>
      <c r="CN48" s="13">
        <f t="shared" si="112"/>
        <v>0.40647187995003953</v>
      </c>
      <c r="CO48" s="13">
        <f t="shared" si="112"/>
        <v>0.40647187995004191</v>
      </c>
      <c r="CP48" s="13">
        <f t="shared" si="112"/>
        <v>0.40647187995004236</v>
      </c>
      <c r="CQ48" s="13">
        <f t="shared" si="112"/>
        <v>0.40647187995004236</v>
      </c>
      <c r="CR48" s="13">
        <f t="shared" si="112"/>
        <v>0.40647187995004236</v>
      </c>
      <c r="CS48" s="13">
        <f t="shared" si="112"/>
        <v>0.40647187995004236</v>
      </c>
      <c r="CT48" s="13">
        <f t="shared" si="112"/>
        <v>0.40647187995004236</v>
      </c>
      <c r="CU48" s="13">
        <f t="shared" si="112"/>
        <v>0.40647187995004236</v>
      </c>
      <c r="CV48" s="13">
        <f t="shared" si="112"/>
        <v>0.40647187995004236</v>
      </c>
      <c r="CW48" s="13">
        <f t="shared" si="112"/>
        <v>0.40647187995004236</v>
      </c>
      <c r="CX48" s="13">
        <f t="shared" si="112"/>
        <v>0.40647187995004236</v>
      </c>
      <c r="CY48" s="13">
        <f t="shared" si="112"/>
        <v>0.40647187995004236</v>
      </c>
      <c r="CZ48" s="13">
        <f t="shared" si="71"/>
        <v>100</v>
      </c>
      <c r="DB48" s="86"/>
      <c r="DC48" s="26">
        <v>7.0000000000000007E-2</v>
      </c>
      <c r="DD48" s="13">
        <f t="shared" si="72"/>
        <v>300</v>
      </c>
      <c r="DE48" s="13">
        <f t="shared" si="73"/>
        <v>242.7349898858491</v>
      </c>
      <c r="DF48" s="13">
        <f t="shared" si="74"/>
        <v>259.96558368811634</v>
      </c>
      <c r="DG48" s="13">
        <f t="shared" si="75"/>
        <v>270.67363753733531</v>
      </c>
      <c r="DH48" s="13">
        <f t="shared" si="76"/>
        <v>270.32772976889265</v>
      </c>
      <c r="DI48" s="13">
        <f t="shared" si="77"/>
        <v>262.69257316013085</v>
      </c>
      <c r="DJ48" s="13">
        <f t="shared" si="78"/>
        <v>251.09240521473788</v>
      </c>
      <c r="DK48" s="13">
        <f t="shared" si="79"/>
        <v>237.64686411663769</v>
      </c>
      <c r="DL48" s="13">
        <f t="shared" si="80"/>
        <v>223.59805175452968</v>
      </c>
      <c r="DM48" s="13">
        <f t="shared" si="81"/>
        <v>209.6444357295662</v>
      </c>
      <c r="DN48" s="13">
        <f t="shared" si="82"/>
        <v>196.1639248615208</v>
      </c>
      <c r="DO48" s="13">
        <f t="shared" si="83"/>
        <v>183.34991804219061</v>
      </c>
      <c r="DP48" s="13">
        <f t="shared" si="84"/>
        <v>171.29156028769827</v>
      </c>
      <c r="DQ48" s="13">
        <f t="shared" si="85"/>
        <v>160.02014543586807</v>
      </c>
      <c r="DR48" s="13">
        <f t="shared" si="86"/>
        <v>149.53544427947824</v>
      </c>
      <c r="DS48" s="13">
        <f t="shared" si="87"/>
        <v>139.82030609933244</v>
      </c>
      <c r="DT48" s="13">
        <f t="shared" si="88"/>
        <v>130.84850739492941</v>
      </c>
      <c r="DU48" s="13">
        <f t="shared" si="89"/>
        <v>122.58877888217016</v>
      </c>
      <c r="DV48" s="13">
        <f t="shared" si="90"/>
        <v>115.00672155588018</v>
      </c>
      <c r="DW48" s="13">
        <f t="shared" si="91"/>
        <v>108.06560000074383</v>
      </c>
      <c r="DX48" s="13">
        <f t="shared" si="92"/>
        <v>101.72657616989848</v>
      </c>
      <c r="DY48" s="13">
        <f t="shared" si="93"/>
        <v>95.948698564929941</v>
      </c>
      <c r="DZ48" s="13">
        <f t="shared" si="94"/>
        <v>90.68881775781594</v>
      </c>
      <c r="EA48" s="13">
        <f t="shared" si="95"/>
        <v>85.901516480469212</v>
      </c>
      <c r="EB48" s="13">
        <f t="shared" si="96"/>
        <v>81.53909563144623</v>
      </c>
      <c r="EC48" s="13">
        <f t="shared" si="97"/>
        <v>77.551631517202139</v>
      </c>
      <c r="ED48" s="13">
        <f t="shared" si="98"/>
        <v>73.887105641610248</v>
      </c>
      <c r="EE48" s="13">
        <f t="shared" si="99"/>
        <v>70.491601212006884</v>
      </c>
      <c r="EF48" s="13">
        <f t="shared" si="100"/>
        <v>67.309557217863201</v>
      </c>
      <c r="EG48" s="13">
        <f t="shared" si="101"/>
        <v>64.284069694964757</v>
      </c>
      <c r="EH48" s="13">
        <f t="shared" si="102"/>
        <v>61.357229588755544</v>
      </c>
    </row>
    <row r="49" spans="5:138" x14ac:dyDescent="0.25">
      <c r="E49" s="95"/>
      <c r="F49" s="26">
        <v>6.6666666666666666E-2</v>
      </c>
      <c r="G49">
        <f t="shared" si="10"/>
        <v>300</v>
      </c>
      <c r="H49">
        <f t="shared" si="11"/>
        <v>463.90955217092676</v>
      </c>
      <c r="I49">
        <f t="shared" si="12"/>
        <v>516.9186978490352</v>
      </c>
      <c r="J49">
        <f t="shared" si="13"/>
        <v>518.91068581023251</v>
      </c>
      <c r="K49">
        <f t="shared" si="14"/>
        <v>498.54633807463938</v>
      </c>
      <c r="L49">
        <f t="shared" si="15"/>
        <v>469.4414178496213</v>
      </c>
      <c r="M49">
        <f t="shared" si="16"/>
        <v>437.95218518513508</v>
      </c>
      <c r="N49">
        <f t="shared" si="17"/>
        <v>406.94023195620252</v>
      </c>
      <c r="O49">
        <f t="shared" si="18"/>
        <v>377.59905415103481</v>
      </c>
      <c r="P49">
        <f t="shared" si="19"/>
        <v>350.34087154720601</v>
      </c>
      <c r="Q49">
        <f t="shared" si="20"/>
        <v>325.22560401833687</v>
      </c>
      <c r="R49">
        <f t="shared" si="21"/>
        <v>302.16607980636354</v>
      </c>
      <c r="S49">
        <f t="shared" si="22"/>
        <v>281.02384499444571</v>
      </c>
      <c r="T49">
        <f t="shared" si="23"/>
        <v>261.65172865974625</v>
      </c>
      <c r="U49">
        <f t="shared" si="24"/>
        <v>243.91082062023855</v>
      </c>
      <c r="V49">
        <f t="shared" si="25"/>
        <v>227.67548490571286</v>
      </c>
      <c r="W49">
        <f t="shared" si="26"/>
        <v>212.83308761467404</v>
      </c>
      <c r="X49">
        <f t="shared" si="27"/>
        <v>199.2816713550751</v>
      </c>
      <c r="Y49">
        <f t="shared" si="28"/>
        <v>186.92709823324765</v>
      </c>
      <c r="Z49">
        <f t="shared" si="29"/>
        <v>175.68033890647618</v>
      </c>
      <c r="AA49">
        <f t="shared" si="30"/>
        <v>165.45517362103854</v>
      </c>
      <c r="AB49">
        <f t="shared" si="31"/>
        <v>156.16637584991213</v>
      </c>
      <c r="AC49">
        <f t="shared" si="32"/>
        <v>147.72836131158869</v>
      </c>
      <c r="AD49">
        <f t="shared" si="33"/>
        <v>140.0542500004475</v>
      </c>
      <c r="AE49">
        <f t="shared" si="34"/>
        <v>133.05527882304111</v>
      </c>
      <c r="AF49">
        <f t="shared" si="35"/>
        <v>126.64050372163724</v>
      </c>
      <c r="AG49">
        <f t="shared" si="36"/>
        <v>120.71673596381696</v>
      </c>
      <c r="AH49">
        <f t="shared" si="37"/>
        <v>115.18866430024966</v>
      </c>
      <c r="AI49">
        <f t="shared" si="38"/>
        <v>109.95912142669135</v>
      </c>
      <c r="AJ49">
        <f t="shared" si="103"/>
        <v>104.92945898763102</v>
      </c>
      <c r="AK49">
        <f t="shared" si="39"/>
        <v>100</v>
      </c>
      <c r="AL49" s="86"/>
      <c r="AM49" s="26">
        <v>6.6666666666666666E-2</v>
      </c>
      <c r="AN49" s="27">
        <f t="shared" si="40"/>
        <v>-1076400000</v>
      </c>
      <c r="AO49" s="27">
        <f t="shared" si="104"/>
        <v>-2123635156.0695529</v>
      </c>
      <c r="AP49" s="27">
        <f t="shared" si="41"/>
        <v>-2065915320.8303504</v>
      </c>
      <c r="AQ49" s="27">
        <f t="shared" si="42"/>
        <v>-1954406770.4718261</v>
      </c>
      <c r="AR49" s="27">
        <f t="shared" si="43"/>
        <v>-1824970231.118026</v>
      </c>
      <c r="AS49" s="27">
        <f t="shared" si="44"/>
        <v>-1694226860.7438395</v>
      </c>
      <c r="AT49" s="27">
        <f t="shared" si="45"/>
        <v>-1569396503.5810721</v>
      </c>
      <c r="AU49" s="27">
        <f t="shared" si="46"/>
        <v>-1453184542.0044682</v>
      </c>
      <c r="AV49" s="27">
        <f t="shared" si="47"/>
        <v>-1346201806.1603696</v>
      </c>
      <c r="AW49" s="27">
        <f t="shared" si="48"/>
        <v>-1248151378.7010427</v>
      </c>
      <c r="AX49" s="27">
        <f t="shared" si="49"/>
        <v>-1158398689.8858438</v>
      </c>
      <c r="AY49" s="27">
        <f t="shared" si="50"/>
        <v>-1076234316.2290025</v>
      </c>
      <c r="AZ49" s="27">
        <f t="shared" si="51"/>
        <v>-1000985265.3443877</v>
      </c>
      <c r="BA49" s="27">
        <f t="shared" si="52"/>
        <v>-932053200.08907592</v>
      </c>
      <c r="BB49" s="27">
        <f t="shared" si="53"/>
        <v>-868918954.9599905</v>
      </c>
      <c r="BC49" s="27">
        <f t="shared" si="54"/>
        <v>-811132874.76846206</v>
      </c>
      <c r="BD49" s="27">
        <f t="shared" si="55"/>
        <v>-758300456.89128959</v>
      </c>
      <c r="BE49" s="27">
        <f t="shared" si="56"/>
        <v>-710067706.23163545</v>
      </c>
      <c r="BF49" s="27">
        <f t="shared" si="57"/>
        <v>-666108079.34936082</v>
      </c>
      <c r="BG49" s="27">
        <f t="shared" si="58"/>
        <v>-626111656.66531479</v>
      </c>
      <c r="BH49" s="27">
        <f t="shared" si="59"/>
        <v>-589776601.44303763</v>
      </c>
      <c r="BI49" s="27">
        <f t="shared" si="60"/>
        <v>-556802713.9656806</v>
      </c>
      <c r="BJ49" s="27">
        <f t="shared" si="61"/>
        <v>-526886801.02544588</v>
      </c>
      <c r="BK49" s="27">
        <f t="shared" si="62"/>
        <v>-499719568.84794384</v>
      </c>
      <c r="BL49" s="27">
        <f t="shared" si="63"/>
        <v>-474983768.66242123</v>
      </c>
      <c r="BM49" s="27">
        <f t="shared" si="64"/>
        <v>-452353356.95079851</v>
      </c>
      <c r="BN49" s="27">
        <f t="shared" si="65"/>
        <v>-431493466.80796808</v>
      </c>
      <c r="BO49" s="27">
        <f t="shared" si="66"/>
        <v>-412061018.31865865</v>
      </c>
      <c r="BP49" s="27">
        <f t="shared" si="67"/>
        <v>-393705822.68014711</v>
      </c>
      <c r="BQ49" s="27">
        <f t="shared" si="68"/>
        <v>-376072056.55870301</v>
      </c>
      <c r="BR49" s="27">
        <f t="shared" si="69"/>
        <v>-358800000</v>
      </c>
      <c r="BT49" s="86"/>
      <c r="BU49" s="26">
        <v>6.6666666666666666E-2</v>
      </c>
      <c r="BV49" s="13">
        <v>0</v>
      </c>
      <c r="BW49" s="13">
        <f t="shared" ref="BW49:CY49" si="113">$B$20/($B$21-$B$22*BV49)</f>
        <v>0.34883720930232553</v>
      </c>
      <c r="BX49" s="13">
        <f t="shared" si="113"/>
        <v>0.39716748768472904</v>
      </c>
      <c r="BY49" s="13">
        <f t="shared" si="113"/>
        <v>0.40494040593779607</v>
      </c>
      <c r="BZ49" s="13">
        <f t="shared" si="113"/>
        <v>0.4062190081621499</v>
      </c>
      <c r="CA49" s="13">
        <f t="shared" si="113"/>
        <v>0.40643010492156101</v>
      </c>
      <c r="CB49" s="13">
        <f t="shared" si="113"/>
        <v>0.40646497802255066</v>
      </c>
      <c r="CC49" s="13">
        <f t="shared" si="113"/>
        <v>0.40647073962099717</v>
      </c>
      <c r="CD49" s="13">
        <f t="shared" si="113"/>
        <v>0.40647169154566137</v>
      </c>
      <c r="CE49" s="13">
        <f t="shared" si="113"/>
        <v>0.40647184882198806</v>
      </c>
      <c r="CF49" s="13">
        <f t="shared" si="113"/>
        <v>0.40647187480708435</v>
      </c>
      <c r="CG49" s="13">
        <f t="shared" si="113"/>
        <v>0.40647187910032606</v>
      </c>
      <c r="CH49" s="13">
        <f t="shared" si="113"/>
        <v>0.40647187980965277</v>
      </c>
      <c r="CI49" s="13">
        <f t="shared" si="113"/>
        <v>0.4064718799268473</v>
      </c>
      <c r="CJ49" s="13">
        <f t="shared" si="113"/>
        <v>0.40647187994621015</v>
      </c>
      <c r="CK49" s="13">
        <f t="shared" si="113"/>
        <v>0.40647187994940925</v>
      </c>
      <c r="CL49" s="13">
        <f t="shared" si="113"/>
        <v>0.40647187994993778</v>
      </c>
      <c r="CM49" s="13">
        <f t="shared" si="113"/>
        <v>0.40647187995002515</v>
      </c>
      <c r="CN49" s="13">
        <f t="shared" si="113"/>
        <v>0.40647187995003953</v>
      </c>
      <c r="CO49" s="13">
        <f t="shared" si="113"/>
        <v>0.40647187995004191</v>
      </c>
      <c r="CP49" s="13">
        <f t="shared" si="113"/>
        <v>0.40647187995004236</v>
      </c>
      <c r="CQ49" s="13">
        <f t="shared" si="113"/>
        <v>0.40647187995004236</v>
      </c>
      <c r="CR49" s="13">
        <f t="shared" si="113"/>
        <v>0.40647187995004236</v>
      </c>
      <c r="CS49" s="13">
        <f t="shared" si="113"/>
        <v>0.40647187995004236</v>
      </c>
      <c r="CT49" s="13">
        <f t="shared" si="113"/>
        <v>0.40647187995004236</v>
      </c>
      <c r="CU49" s="13">
        <f t="shared" si="113"/>
        <v>0.40647187995004236</v>
      </c>
      <c r="CV49" s="13">
        <f t="shared" si="113"/>
        <v>0.40647187995004236</v>
      </c>
      <c r="CW49" s="13">
        <f t="shared" si="113"/>
        <v>0.40647187995004236</v>
      </c>
      <c r="CX49" s="13">
        <f t="shared" si="113"/>
        <v>0.40647187995004236</v>
      </c>
      <c r="CY49" s="13">
        <f t="shared" si="113"/>
        <v>0.40647187995004236</v>
      </c>
      <c r="CZ49" s="13">
        <f t="shared" si="71"/>
        <v>100</v>
      </c>
      <c r="DB49" s="86"/>
      <c r="DC49" s="26">
        <v>6.6666666666666666E-2</v>
      </c>
      <c r="DD49" s="13">
        <f t="shared" si="72"/>
        <v>300</v>
      </c>
      <c r="DE49" s="13">
        <f t="shared" si="73"/>
        <v>283.58907617707729</v>
      </c>
      <c r="DF49" s="13">
        <f t="shared" si="74"/>
        <v>310.8242444330254</v>
      </c>
      <c r="DG49" s="13">
        <f t="shared" si="75"/>
        <v>317.0291292914863</v>
      </c>
      <c r="DH49" s="13">
        <f t="shared" si="76"/>
        <v>307.85031092553288</v>
      </c>
      <c r="DI49" s="13">
        <f t="shared" si="77"/>
        <v>291.44446527419996</v>
      </c>
      <c r="DJ49" s="13">
        <f t="shared" si="78"/>
        <v>272.54523274656555</v>
      </c>
      <c r="DK49" s="13">
        <f t="shared" si="79"/>
        <v>253.45726513524247</v>
      </c>
      <c r="DL49" s="13">
        <f t="shared" si="80"/>
        <v>235.19540747566069</v>
      </c>
      <c r="DM49" s="13">
        <f t="shared" si="81"/>
        <v>218.14581899762487</v>
      </c>
      <c r="DN49" s="13">
        <f t="shared" si="82"/>
        <v>202.40359105633718</v>
      </c>
      <c r="DO49" s="13">
        <f t="shared" si="83"/>
        <v>187.93778945947241</v>
      </c>
      <c r="DP49" s="13">
        <f t="shared" si="84"/>
        <v>174.66977499067346</v>
      </c>
      <c r="DQ49" s="13">
        <f t="shared" si="85"/>
        <v>162.50883886773786</v>
      </c>
      <c r="DR49" s="13">
        <f t="shared" si="86"/>
        <v>151.36713825294845</v>
      </c>
      <c r="DS49" s="13">
        <f t="shared" si="87"/>
        <v>141.16481966753898</v>
      </c>
      <c r="DT49" s="13">
        <f t="shared" si="88"/>
        <v>131.830692019411</v>
      </c>
      <c r="DU49" s="13">
        <f t="shared" si="89"/>
        <v>123.30106232260391</v>
      </c>
      <c r="DV49" s="13">
        <f t="shared" si="90"/>
        <v>115.5179806076722</v>
      </c>
      <c r="DW49" s="13">
        <f t="shared" si="91"/>
        <v>108.42746343727207</v>
      </c>
      <c r="DX49" s="13">
        <f t="shared" si="92"/>
        <v>101.97793324433987</v>
      </c>
      <c r="DY49" s="13">
        <f t="shared" si="93"/>
        <v>96.118951105651576</v>
      </c>
      <c r="DZ49" s="13">
        <f t="shared" si="94"/>
        <v>90.800247018913566</v>
      </c>
      <c r="EA49" s="13">
        <f t="shared" si="95"/>
        <v>85.971020679968916</v>
      </c>
      <c r="EB49" s="13">
        <f t="shared" si="96"/>
        <v>81.579475197486886</v>
      </c>
      <c r="EC49" s="13">
        <f t="shared" si="97"/>
        <v>77.572545112991676</v>
      </c>
      <c r="ED49" s="13">
        <f t="shared" si="98"/>
        <v>73.89578303676015</v>
      </c>
      <c r="EE49" s="13">
        <f t="shared" si="99"/>
        <v>70.493373496287433</v>
      </c>
      <c r="EF49" s="13">
        <f t="shared" si="100"/>
        <v>67.308246969848099</v>
      </c>
      <c r="EG49" s="13">
        <f t="shared" si="101"/>
        <v>64.282270992626792</v>
      </c>
      <c r="EH49" s="13">
        <f t="shared" si="102"/>
        <v>61.356498466834765</v>
      </c>
    </row>
    <row r="50" spans="5:138" x14ac:dyDescent="0.25">
      <c r="E50" s="95"/>
      <c r="F50" s="26">
        <v>6.3333333333333339E-2</v>
      </c>
      <c r="G50">
        <f t="shared" si="10"/>
        <v>300</v>
      </c>
      <c r="H50">
        <f t="shared" si="11"/>
        <v>905.14057350446558</v>
      </c>
      <c r="I50">
        <f t="shared" si="12"/>
        <v>768.46883487293894</v>
      </c>
      <c r="J50">
        <f t="shared" si="13"/>
        <v>667.21005100544551</v>
      </c>
      <c r="K50">
        <f t="shared" si="14"/>
        <v>588.88315674782314</v>
      </c>
      <c r="L50">
        <f t="shared" si="15"/>
        <v>526.19389339386316</v>
      </c>
      <c r="M50">
        <f t="shared" si="16"/>
        <v>474.62206993976781</v>
      </c>
      <c r="N50">
        <f t="shared" si="17"/>
        <v>431.22823977068538</v>
      </c>
      <c r="O50">
        <f t="shared" si="18"/>
        <v>394.02898987610655</v>
      </c>
      <c r="P50">
        <f t="shared" si="19"/>
        <v>361.64873441202747</v>
      </c>
      <c r="Q50">
        <f t="shared" si="20"/>
        <v>333.11335592679166</v>
      </c>
      <c r="R50">
        <f t="shared" si="21"/>
        <v>307.72118294283734</v>
      </c>
      <c r="S50">
        <f t="shared" si="22"/>
        <v>284.95880203477225</v>
      </c>
      <c r="T50">
        <f t="shared" si="23"/>
        <v>264.44433746333038</v>
      </c>
      <c r="U50">
        <f t="shared" si="24"/>
        <v>245.88833646434057</v>
      </c>
      <c r="V50">
        <f t="shared" si="25"/>
        <v>229.06633828919763</v>
      </c>
      <c r="W50">
        <f t="shared" si="26"/>
        <v>213.7994023976247</v>
      </c>
      <c r="X50">
        <f t="shared" si="27"/>
        <v>199.94016800234994</v>
      </c>
      <c r="Y50">
        <f t="shared" si="28"/>
        <v>187.36281972422321</v>
      </c>
      <c r="Z50">
        <f t="shared" si="29"/>
        <v>175.95584931330706</v>
      </c>
      <c r="AA50">
        <f t="shared" si="30"/>
        <v>165.61684311541683</v>
      </c>
      <c r="AB50">
        <f t="shared" si="31"/>
        <v>156.24875339579467</v>
      </c>
      <c r="AC50">
        <f t="shared" si="32"/>
        <v>147.75726750225928</v>
      </c>
      <c r="AD50">
        <f t="shared" si="33"/>
        <v>140.04899646788368</v>
      </c>
      <c r="AE50">
        <f t="shared" si="34"/>
        <v>133.03027971079931</v>
      </c>
      <c r="AF50">
        <f t="shared" si="35"/>
        <v>126.60645531328289</v>
      </c>
      <c r="AG50">
        <f t="shared" si="36"/>
        <v>120.68148283760181</v>
      </c>
      <c r="AH50">
        <f t="shared" si="37"/>
        <v>115.15783238938953</v>
      </c>
      <c r="AI50">
        <f t="shared" si="38"/>
        <v>109.93657279702566</v>
      </c>
      <c r="AJ50">
        <f t="shared" si="103"/>
        <v>104.91760545406572</v>
      </c>
      <c r="AK50">
        <f t="shared" si="39"/>
        <v>100</v>
      </c>
      <c r="AL50" s="86"/>
      <c r="AM50" s="26">
        <v>6.3333333333333339E-2</v>
      </c>
      <c r="AN50" s="27">
        <f t="shared" si="40"/>
        <v>-3946800000</v>
      </c>
      <c r="AO50" s="27">
        <f t="shared" si="104"/>
        <v>-3006747349.9770312</v>
      </c>
      <c r="AP50" s="27">
        <f t="shared" si="41"/>
        <v>-2610656546.8010073</v>
      </c>
      <c r="AQ50" s="27">
        <f t="shared" si="42"/>
        <v>-2299011640.0226722</v>
      </c>
      <c r="AR50" s="27">
        <f t="shared" si="43"/>
        <v>-2048172974.4700274</v>
      </c>
      <c r="AS50" s="27">
        <f t="shared" si="44"/>
        <v>-1841957488.3117411</v>
      </c>
      <c r="AT50" s="27">
        <f t="shared" si="45"/>
        <v>-1669087094.7439334</v>
      </c>
      <c r="AU50" s="27">
        <f t="shared" si="46"/>
        <v>-1521601361.9607744</v>
      </c>
      <c r="AV50" s="27">
        <f t="shared" si="47"/>
        <v>-1393825378.7332017</v>
      </c>
      <c r="AW50" s="27">
        <f t="shared" si="48"/>
        <v>-1281677868.3779438</v>
      </c>
      <c r="AX50" s="27">
        <f t="shared" si="49"/>
        <v>-1182197850.2900233</v>
      </c>
      <c r="AY50" s="27">
        <f t="shared" si="50"/>
        <v>-1093216265.2047186</v>
      </c>
      <c r="AZ50" s="27">
        <f t="shared" si="51"/>
        <v>-1013125808.0671425</v>
      </c>
      <c r="BA50" s="27">
        <f t="shared" si="52"/>
        <v>-940718243.62847841</v>
      </c>
      <c r="BB50" s="27">
        <f t="shared" si="53"/>
        <v>-875068579.54332781</v>
      </c>
      <c r="BC50" s="27">
        <f t="shared" si="54"/>
        <v>-815452063.92766118</v>
      </c>
      <c r="BD50" s="27">
        <f t="shared" si="55"/>
        <v>-761284371.60800326</v>
      </c>
      <c r="BE50" s="27">
        <f t="shared" si="56"/>
        <v>-712078314.26743853</v>
      </c>
      <c r="BF50" s="27">
        <f t="shared" si="57"/>
        <v>-667412432.80026138</v>
      </c>
      <c r="BG50" s="27">
        <f t="shared" si="58"/>
        <v>-626908215.49421847</v>
      </c>
      <c r="BH50" s="27">
        <f t="shared" si="59"/>
        <v>-590213638.87808561</v>
      </c>
      <c r="BI50" s="27">
        <f t="shared" si="60"/>
        <v>-556991387.34411252</v>
      </c>
      <c r="BJ50" s="27">
        <f t="shared" si="61"/>
        <v>-526910566.28118497</v>
      </c>
      <c r="BK50" s="27">
        <f t="shared" si="62"/>
        <v>-499641044.61878103</v>
      </c>
      <c r="BL50" s="27">
        <f t="shared" si="63"/>
        <v>-474849789.23373669</v>
      </c>
      <c r="BM50" s="27">
        <f t="shared" si="64"/>
        <v>-452198714.70766091</v>
      </c>
      <c r="BN50" s="27">
        <f t="shared" si="65"/>
        <v>-431343687.22759467</v>
      </c>
      <c r="BO50" s="27">
        <f t="shared" si="66"/>
        <v>-411934404.46991736</v>
      </c>
      <c r="BP50" s="27">
        <f t="shared" si="67"/>
        <v>-393614933.28319597</v>
      </c>
      <c r="BQ50" s="27">
        <f t="shared" si="68"/>
        <v>-376024730.14916587</v>
      </c>
      <c r="BR50" s="27">
        <f t="shared" si="69"/>
        <v>-358800000</v>
      </c>
      <c r="BT50" s="86"/>
      <c r="BU50" s="26">
        <v>6.3333333333333339E-2</v>
      </c>
      <c r="BV50" s="13">
        <v>0</v>
      </c>
      <c r="BW50" s="13">
        <f t="shared" ref="BW50:CY50" si="114">$B$20/($B$21-$B$22*BV50)</f>
        <v>0.34883720930232553</v>
      </c>
      <c r="BX50" s="13">
        <f t="shared" si="114"/>
        <v>0.39716748768472904</v>
      </c>
      <c r="BY50" s="13">
        <f t="shared" si="114"/>
        <v>0.40494040593779607</v>
      </c>
      <c r="BZ50" s="13">
        <f t="shared" si="114"/>
        <v>0.4062190081621499</v>
      </c>
      <c r="CA50" s="13">
        <f t="shared" si="114"/>
        <v>0.40643010492156101</v>
      </c>
      <c r="CB50" s="13">
        <f t="shared" si="114"/>
        <v>0.40646497802255066</v>
      </c>
      <c r="CC50" s="13">
        <f t="shared" si="114"/>
        <v>0.40647073962099717</v>
      </c>
      <c r="CD50" s="13">
        <f t="shared" si="114"/>
        <v>0.40647169154566137</v>
      </c>
      <c r="CE50" s="13">
        <f t="shared" si="114"/>
        <v>0.40647184882198806</v>
      </c>
      <c r="CF50" s="13">
        <f t="shared" si="114"/>
        <v>0.40647187480708435</v>
      </c>
      <c r="CG50" s="13">
        <f t="shared" si="114"/>
        <v>0.40647187910032606</v>
      </c>
      <c r="CH50" s="13">
        <f t="shared" si="114"/>
        <v>0.40647187980965277</v>
      </c>
      <c r="CI50" s="13">
        <f t="shared" si="114"/>
        <v>0.4064718799268473</v>
      </c>
      <c r="CJ50" s="13">
        <f t="shared" si="114"/>
        <v>0.40647187994621015</v>
      </c>
      <c r="CK50" s="13">
        <f t="shared" si="114"/>
        <v>0.40647187994940925</v>
      </c>
      <c r="CL50" s="13">
        <f t="shared" si="114"/>
        <v>0.40647187994993778</v>
      </c>
      <c r="CM50" s="13">
        <f t="shared" si="114"/>
        <v>0.40647187995002515</v>
      </c>
      <c r="CN50" s="13">
        <f t="shared" si="114"/>
        <v>0.40647187995003953</v>
      </c>
      <c r="CO50" s="13">
        <f t="shared" si="114"/>
        <v>0.40647187995004191</v>
      </c>
      <c r="CP50" s="13">
        <f t="shared" si="114"/>
        <v>0.40647187995004236</v>
      </c>
      <c r="CQ50" s="13">
        <f t="shared" si="114"/>
        <v>0.40647187995004236</v>
      </c>
      <c r="CR50" s="13">
        <f t="shared" si="114"/>
        <v>0.40647187995004236</v>
      </c>
      <c r="CS50" s="13">
        <f t="shared" si="114"/>
        <v>0.40647187995004236</v>
      </c>
      <c r="CT50" s="13">
        <f t="shared" si="114"/>
        <v>0.40647187995004236</v>
      </c>
      <c r="CU50" s="13">
        <f t="shared" si="114"/>
        <v>0.40647187995004236</v>
      </c>
      <c r="CV50" s="13">
        <f t="shared" si="114"/>
        <v>0.40647187995004236</v>
      </c>
      <c r="CW50" s="13">
        <f t="shared" si="114"/>
        <v>0.40647187995004236</v>
      </c>
      <c r="CX50" s="13">
        <f t="shared" si="114"/>
        <v>0.40647187995004236</v>
      </c>
      <c r="CY50" s="13">
        <f t="shared" si="114"/>
        <v>0.40647187995004236</v>
      </c>
      <c r="CZ50" s="13">
        <f t="shared" si="71"/>
        <v>100</v>
      </c>
      <c r="DB50" s="86"/>
      <c r="DC50" s="26">
        <v>6.3333333333333339E-2</v>
      </c>
      <c r="DD50" s="13">
        <f t="shared" si="72"/>
        <v>1100</v>
      </c>
      <c r="DE50" s="13">
        <f t="shared" si="73"/>
        <v>637.07004971157994</v>
      </c>
      <c r="DF50" s="13">
        <f t="shared" si="74"/>
        <v>503.47469515710617</v>
      </c>
      <c r="DG50" s="13">
        <f t="shared" si="75"/>
        <v>428.74746646205119</v>
      </c>
      <c r="DH50" s="13">
        <f t="shared" si="76"/>
        <v>375.13319527238798</v>
      </c>
      <c r="DI50" s="13">
        <f t="shared" si="77"/>
        <v>333.29319571015481</v>
      </c>
      <c r="DJ50" s="13">
        <f t="shared" si="78"/>
        <v>299.342892938673</v>
      </c>
      <c r="DK50" s="13">
        <f t="shared" si="79"/>
        <v>271.06698482362998</v>
      </c>
      <c r="DL50" s="13">
        <f t="shared" si="80"/>
        <v>247.0290170543021</v>
      </c>
      <c r="DM50" s="13">
        <f t="shared" si="81"/>
        <v>226.24753276116755</v>
      </c>
      <c r="DN50" s="13">
        <f t="shared" si="82"/>
        <v>208.0333497781628</v>
      </c>
      <c r="DO50" s="13">
        <f t="shared" si="83"/>
        <v>191.89344321358564</v>
      </c>
      <c r="DP50" s="13">
        <f t="shared" si="84"/>
        <v>177.46961508103414</v>
      </c>
      <c r="DQ50" s="13">
        <f t="shared" si="85"/>
        <v>164.49764308858474</v>
      </c>
      <c r="DR50" s="13">
        <f t="shared" si="86"/>
        <v>152.77931130753586</v>
      </c>
      <c r="DS50" s="13">
        <f t="shared" si="87"/>
        <v>142.16289326457488</v>
      </c>
      <c r="DT50" s="13">
        <f t="shared" si="88"/>
        <v>132.52934643220314</v>
      </c>
      <c r="DU50" s="13">
        <f t="shared" si="89"/>
        <v>123.78245043630727</v>
      </c>
      <c r="DV50" s="13">
        <f t="shared" si="90"/>
        <v>115.84171486563743</v>
      </c>
      <c r="DW50" s="13">
        <f t="shared" si="91"/>
        <v>108.63725974079242</v>
      </c>
      <c r="DX50" s="13">
        <f t="shared" si="92"/>
        <v>102.1061185827776</v>
      </c>
      <c r="DY50" s="13">
        <f t="shared" si="93"/>
        <v>96.189579097870052</v>
      </c>
      <c r="DZ50" s="13">
        <f t="shared" si="94"/>
        <v>90.831288622841768</v>
      </c>
      <c r="EA50" s="13">
        <f t="shared" si="95"/>
        <v>85.975928583555103</v>
      </c>
      <c r="EB50" s="13">
        <f t="shared" si="96"/>
        <v>81.568315805798179</v>
      </c>
      <c r="EC50" s="13">
        <f t="shared" si="97"/>
        <v>77.552826109124112</v>
      </c>
      <c r="ED50" s="13">
        <f t="shared" si="98"/>
        <v>73.873062215314775</v>
      </c>
      <c r="EE50" s="13">
        <f t="shared" si="99"/>
        <v>70.471706969317822</v>
      </c>
      <c r="EF50" s="13">
        <f t="shared" si="100"/>
        <v>67.290516468254751</v>
      </c>
      <c r="EG50" s="13">
        <f t="shared" si="101"/>
        <v>64.270417459061477</v>
      </c>
      <c r="EH50" s="13">
        <f t="shared" si="102"/>
        <v>61.351680338762428</v>
      </c>
    </row>
    <row r="51" spans="5:138" x14ac:dyDescent="0.25">
      <c r="E51" s="95"/>
      <c r="F51" s="26">
        <v>6.0000000000000005E-2</v>
      </c>
      <c r="G51">
        <f t="shared" si="10"/>
        <v>300</v>
      </c>
      <c r="H51">
        <f t="shared" si="11"/>
        <v>1156.4506434104351</v>
      </c>
      <c r="I51">
        <f t="shared" si="12"/>
        <v>925.92505113576362</v>
      </c>
      <c r="J51">
        <f t="shared" si="13"/>
        <v>766.22030135974637</v>
      </c>
      <c r="K51">
        <f t="shared" si="14"/>
        <v>651.64712080152458</v>
      </c>
      <c r="L51">
        <f t="shared" si="15"/>
        <v>566.42298421619773</v>
      </c>
      <c r="M51">
        <f t="shared" si="16"/>
        <v>500.73646896809669</v>
      </c>
      <c r="N51">
        <f t="shared" si="17"/>
        <v>448.40293554824899</v>
      </c>
      <c r="O51">
        <f t="shared" si="18"/>
        <v>405.46297018213886</v>
      </c>
      <c r="P51">
        <f t="shared" si="19"/>
        <v>369.33887090237272</v>
      </c>
      <c r="Q51">
        <f t="shared" si="20"/>
        <v>338.32233301238625</v>
      </c>
      <c r="R51">
        <f t="shared" si="21"/>
        <v>311.25978145046355</v>
      </c>
      <c r="S51">
        <f t="shared" si="22"/>
        <v>287.3565778171083</v>
      </c>
      <c r="T51">
        <f t="shared" si="23"/>
        <v>266.05343239540241</v>
      </c>
      <c r="U51">
        <f t="shared" si="24"/>
        <v>246.94718738151533</v>
      </c>
      <c r="V51">
        <f t="shared" si="25"/>
        <v>229.73923045875455</v>
      </c>
      <c r="W51">
        <f t="shared" si="26"/>
        <v>214.20136820465964</v>
      </c>
      <c r="X51">
        <f t="shared" si="27"/>
        <v>200.15290927270223</v>
      </c>
      <c r="Y51">
        <f t="shared" si="28"/>
        <v>187.44506721926189</v>
      </c>
      <c r="Z51">
        <f t="shared" si="29"/>
        <v>175.95022769802239</v>
      </c>
      <c r="AA51">
        <f t="shared" si="30"/>
        <v>165.55450686012452</v>
      </c>
      <c r="AB51">
        <f t="shared" si="31"/>
        <v>156.15257666624552</v>
      </c>
      <c r="AC51">
        <f t="shared" si="32"/>
        <v>147.64407875167979</v>
      </c>
      <c r="AD51">
        <f t="shared" si="33"/>
        <v>139.9311694935891</v>
      </c>
      <c r="AE51">
        <f t="shared" si="34"/>
        <v>132.91688212458172</v>
      </c>
      <c r="AF51">
        <f t="shared" si="35"/>
        <v>126.50408584687781</v>
      </c>
      <c r="AG51">
        <f t="shared" si="36"/>
        <v>120.59488461825973</v>
      </c>
      <c r="AH51">
        <f t="shared" si="37"/>
        <v>115.09034060880279</v>
      </c>
      <c r="AI51">
        <f t="shared" si="38"/>
        <v>109.89043617549387</v>
      </c>
      <c r="AJ51">
        <f t="shared" si="103"/>
        <v>104.89420794361598</v>
      </c>
      <c r="AK51">
        <f t="shared" si="39"/>
        <v>100</v>
      </c>
      <c r="AL51" s="86"/>
      <c r="AM51" s="26">
        <v>6.0000000000000005E-2</v>
      </c>
      <c r="AN51" s="27">
        <f t="shared" si="40"/>
        <v>-5382000000</v>
      </c>
      <c r="AO51" s="27">
        <f t="shared" si="104"/>
        <v>-3681426524.2929816</v>
      </c>
      <c r="AP51" s="27">
        <f t="shared" si="41"/>
        <v>-3029020795.5306921</v>
      </c>
      <c r="AQ51" s="27">
        <f t="shared" si="42"/>
        <v>-2562353744.7170968</v>
      </c>
      <c r="AR51" s="27">
        <f t="shared" si="43"/>
        <v>-2216604827.3880858</v>
      </c>
      <c r="AS51" s="27">
        <f t="shared" si="44"/>
        <v>-1951439915.0316024</v>
      </c>
      <c r="AT51" s="27">
        <f t="shared" si="45"/>
        <v>-1741361105.888562</v>
      </c>
      <c r="AU51" s="27">
        <f t="shared" si="46"/>
        <v>-1569980361.004643</v>
      </c>
      <c r="AV51" s="27">
        <f t="shared" si="47"/>
        <v>-1426583451.4160504</v>
      </c>
      <c r="AW51" s="27">
        <f t="shared" si="48"/>
        <v>-1304042564.6440251</v>
      </c>
      <c r="AX51" s="27">
        <f t="shared" si="49"/>
        <v>-1197531027.4502583</v>
      </c>
      <c r="AY51" s="27">
        <f t="shared" si="50"/>
        <v>-1103720395.4199936</v>
      </c>
      <c r="AZ51" s="27">
        <f t="shared" si="51"/>
        <v>-1020271160.2115566</v>
      </c>
      <c r="BA51" s="27">
        <f t="shared" si="52"/>
        <v>-945504547.7463342</v>
      </c>
      <c r="BB51" s="27">
        <f t="shared" si="53"/>
        <v>-878187595.62761438</v>
      </c>
      <c r="BC51" s="27">
        <f t="shared" si="54"/>
        <v>-817390166.9577347</v>
      </c>
      <c r="BD51" s="27">
        <f t="shared" si="55"/>
        <v>-762388379.3646698</v>
      </c>
      <c r="BE51" s="27">
        <f t="shared" si="56"/>
        <v>-712598484.59339452</v>
      </c>
      <c r="BF51" s="27">
        <f t="shared" si="57"/>
        <v>-667531070.69940054</v>
      </c>
      <c r="BG51" s="27">
        <f t="shared" si="58"/>
        <v>-626759065.63146985</v>
      </c>
      <c r="BH51" s="27">
        <f t="shared" si="59"/>
        <v>-589895277.34788859</v>
      </c>
      <c r="BI51" s="27">
        <f t="shared" si="60"/>
        <v>-556576635.44213235</v>
      </c>
      <c r="BJ51" s="27">
        <f t="shared" si="61"/>
        <v>-526453217.52322036</v>
      </c>
      <c r="BK51" s="27">
        <f t="shared" si="62"/>
        <v>-499180741.52219319</v>
      </c>
      <c r="BL51" s="27">
        <f t="shared" si="63"/>
        <v>-474415599.94500297</v>
      </c>
      <c r="BM51" s="27">
        <f t="shared" si="64"/>
        <v>-451811776.51538247</v>
      </c>
      <c r="BN51" s="27">
        <f t="shared" si="65"/>
        <v>-431019165.12298882</v>
      </c>
      <c r="BO51" s="27">
        <f t="shared" si="66"/>
        <v>-411682934.25913173</v>
      </c>
      <c r="BP51" s="27">
        <f t="shared" si="67"/>
        <v>-393443665.52374774</v>
      </c>
      <c r="BQ51" s="27">
        <f t="shared" si="68"/>
        <v>-375938054.10828984</v>
      </c>
      <c r="BR51" s="27">
        <f t="shared" si="69"/>
        <v>-358800000</v>
      </c>
      <c r="BT51" s="86"/>
      <c r="BU51" s="26">
        <v>6.0000000000000005E-2</v>
      </c>
      <c r="BV51" s="13">
        <v>0</v>
      </c>
      <c r="BW51" s="13">
        <f t="shared" ref="BW51:CY51" si="115">$B$20/($B$21-$B$22*BV51)</f>
        <v>0.34883720930232553</v>
      </c>
      <c r="BX51" s="13">
        <f t="shared" si="115"/>
        <v>0.39716748768472904</v>
      </c>
      <c r="BY51" s="13">
        <f t="shared" si="115"/>
        <v>0.40494040593779607</v>
      </c>
      <c r="BZ51" s="13">
        <f t="shared" si="115"/>
        <v>0.4062190081621499</v>
      </c>
      <c r="CA51" s="13">
        <f t="shared" si="115"/>
        <v>0.40643010492156101</v>
      </c>
      <c r="CB51" s="13">
        <f t="shared" si="115"/>
        <v>0.40646497802255066</v>
      </c>
      <c r="CC51" s="13">
        <f t="shared" si="115"/>
        <v>0.40647073962099717</v>
      </c>
      <c r="CD51" s="13">
        <f t="shared" si="115"/>
        <v>0.40647169154566137</v>
      </c>
      <c r="CE51" s="13">
        <f t="shared" si="115"/>
        <v>0.40647184882198806</v>
      </c>
      <c r="CF51" s="13">
        <f t="shared" si="115"/>
        <v>0.40647187480708435</v>
      </c>
      <c r="CG51" s="13">
        <f t="shared" si="115"/>
        <v>0.40647187910032606</v>
      </c>
      <c r="CH51" s="13">
        <f t="shared" si="115"/>
        <v>0.40647187980965277</v>
      </c>
      <c r="CI51" s="13">
        <f t="shared" si="115"/>
        <v>0.4064718799268473</v>
      </c>
      <c r="CJ51" s="13">
        <f t="shared" si="115"/>
        <v>0.40647187994621015</v>
      </c>
      <c r="CK51" s="13">
        <f t="shared" si="115"/>
        <v>0.40647187994940925</v>
      </c>
      <c r="CL51" s="13">
        <f t="shared" si="115"/>
        <v>0.40647187994993778</v>
      </c>
      <c r="CM51" s="13">
        <f t="shared" si="115"/>
        <v>0.40647187995002515</v>
      </c>
      <c r="CN51" s="13">
        <f t="shared" si="115"/>
        <v>0.40647187995003953</v>
      </c>
      <c r="CO51" s="13">
        <f t="shared" si="115"/>
        <v>0.40647187995004191</v>
      </c>
      <c r="CP51" s="13">
        <f t="shared" si="115"/>
        <v>0.40647187995004236</v>
      </c>
      <c r="CQ51" s="13">
        <f t="shared" si="115"/>
        <v>0.40647187995004236</v>
      </c>
      <c r="CR51" s="13">
        <f t="shared" si="115"/>
        <v>0.40647187995004236</v>
      </c>
      <c r="CS51" s="13">
        <f t="shared" si="115"/>
        <v>0.40647187995004236</v>
      </c>
      <c r="CT51" s="13">
        <f t="shared" si="115"/>
        <v>0.40647187995004236</v>
      </c>
      <c r="CU51" s="13">
        <f t="shared" si="115"/>
        <v>0.40647187995004236</v>
      </c>
      <c r="CV51" s="13">
        <f t="shared" si="115"/>
        <v>0.40647187995004236</v>
      </c>
      <c r="CW51" s="13">
        <f t="shared" si="115"/>
        <v>0.40647187995004236</v>
      </c>
      <c r="CX51" s="13">
        <f t="shared" si="115"/>
        <v>0.40647187995004236</v>
      </c>
      <c r="CY51" s="13">
        <f t="shared" si="115"/>
        <v>0.40647187995004236</v>
      </c>
      <c r="CZ51" s="13">
        <f t="shared" si="71"/>
        <v>100</v>
      </c>
      <c r="DB51" s="86"/>
      <c r="DC51" s="26">
        <v>6.0000000000000005E-2</v>
      </c>
      <c r="DD51" s="13">
        <f t="shared" si="72"/>
        <v>1500</v>
      </c>
      <c r="DE51" s="13">
        <f t="shared" si="73"/>
        <v>833.4535325491222</v>
      </c>
      <c r="DF51" s="13">
        <f t="shared" si="74"/>
        <v>621.60725903167724</v>
      </c>
      <c r="DG51" s="13">
        <f t="shared" si="75"/>
        <v>502.34205173418104</v>
      </c>
      <c r="DH51" s="13">
        <f t="shared" si="76"/>
        <v>421.55533795297566</v>
      </c>
      <c r="DI51" s="13">
        <f t="shared" si="77"/>
        <v>362.90860859544222</v>
      </c>
      <c r="DJ51" s="13">
        <f t="shared" si="78"/>
        <v>318.47637962523049</v>
      </c>
      <c r="DK51" s="13">
        <f t="shared" si="79"/>
        <v>283.59410216938869</v>
      </c>
      <c r="DL51" s="13">
        <f t="shared" si="80"/>
        <v>255.33717457288677</v>
      </c>
      <c r="DM51" s="13">
        <f t="shared" si="81"/>
        <v>231.82036670505974</v>
      </c>
      <c r="DN51" s="13">
        <f t="shared" si="82"/>
        <v>211.80398609417298</v>
      </c>
      <c r="DO51" s="13">
        <f t="shared" si="83"/>
        <v>194.45741329330446</v>
      </c>
      <c r="DP51" s="13">
        <f t="shared" si="84"/>
        <v>179.2133390215387</v>
      </c>
      <c r="DQ51" s="13">
        <f t="shared" si="85"/>
        <v>165.67634489779044</v>
      </c>
      <c r="DR51" s="13">
        <f t="shared" si="86"/>
        <v>153.56465047954975</v>
      </c>
      <c r="DS51" s="13">
        <f t="shared" si="87"/>
        <v>142.67239763687093</v>
      </c>
      <c r="DT51" s="13">
        <f t="shared" si="88"/>
        <v>132.84483889513504</v>
      </c>
      <c r="DU51" s="13">
        <f t="shared" si="89"/>
        <v>123.96176041273</v>
      </c>
      <c r="DV51" s="13">
        <f t="shared" si="90"/>
        <v>115.92624738920922</v>
      </c>
      <c r="DW51" s="13">
        <f t="shared" si="91"/>
        <v>108.65697606038545</v>
      </c>
      <c r="DX51" s="13">
        <f t="shared" si="92"/>
        <v>102.08287546355258</v>
      </c>
      <c r="DY51" s="13">
        <f t="shared" si="93"/>
        <v>96.139410412558149</v>
      </c>
      <c r="DZ51" s="13">
        <f t="shared" si="94"/>
        <v>90.765993224012604</v>
      </c>
      <c r="EA51" s="13">
        <f t="shared" si="95"/>
        <v>85.904194539312201</v>
      </c>
      <c r="EB51" s="13">
        <f t="shared" si="96"/>
        <v>81.49652852903975</v>
      </c>
      <c r="EC51" s="13">
        <f t="shared" si="97"/>
        <v>77.485656383735346</v>
      </c>
      <c r="ED51" s="13">
        <f t="shared" si="98"/>
        <v>73.813897506908958</v>
      </c>
      <c r="EE51" s="13">
        <f t="shared" si="99"/>
        <v>70.422968428019644</v>
      </c>
      <c r="EF51" s="13">
        <f t="shared" si="100"/>
        <v>67.253890276781618</v>
      </c>
      <c r="EG51" s="13">
        <f t="shared" si="101"/>
        <v>64.247019948611737</v>
      </c>
      <c r="EH51" s="13">
        <f t="shared" si="102"/>
        <v>61.342169908703767</v>
      </c>
    </row>
    <row r="52" spans="5:138" x14ac:dyDescent="0.25">
      <c r="E52" s="95"/>
      <c r="F52" s="26">
        <v>5.6666666666666671E-2</v>
      </c>
      <c r="G52">
        <f t="shared" si="10"/>
        <v>300</v>
      </c>
      <c r="H52">
        <f t="shared" si="11"/>
        <v>1273.0219355175777</v>
      </c>
      <c r="I52">
        <f t="shared" si="12"/>
        <v>995.00105908929299</v>
      </c>
      <c r="J52">
        <f t="shared" si="13"/>
        <v>807.82583589623482</v>
      </c>
      <c r="K52">
        <f t="shared" si="14"/>
        <v>677.10015207352853</v>
      </c>
      <c r="L52">
        <f t="shared" si="15"/>
        <v>582.21252600619914</v>
      </c>
      <c r="M52">
        <f t="shared" si="16"/>
        <v>510.63896989213288</v>
      </c>
      <c r="N52">
        <f t="shared" si="17"/>
        <v>454.65162472247442</v>
      </c>
      <c r="O52">
        <f t="shared" si="18"/>
        <v>409.4015010523965</v>
      </c>
      <c r="P52">
        <f t="shared" si="19"/>
        <v>371.79088915671178</v>
      </c>
      <c r="Q52">
        <f t="shared" si="20"/>
        <v>339.80286781286952</v>
      </c>
      <c r="R52">
        <f t="shared" si="21"/>
        <v>312.09764095069579</v>
      </c>
      <c r="S52">
        <f t="shared" si="22"/>
        <v>287.76614811632174</v>
      </c>
      <c r="T52">
        <f t="shared" si="23"/>
        <v>266.17740000390239</v>
      </c>
      <c r="U52">
        <f t="shared" si="24"/>
        <v>246.88236148331981</v>
      </c>
      <c r="V52">
        <f t="shared" si="25"/>
        <v>229.55242185421844</v>
      </c>
      <c r="W52">
        <f t="shared" si="26"/>
        <v>213.93934021319305</v>
      </c>
      <c r="X52">
        <f t="shared" si="27"/>
        <v>199.84874300597863</v>
      </c>
      <c r="Y52">
        <f t="shared" si="28"/>
        <v>187.12232338642639</v>
      </c>
      <c r="Z52">
        <f t="shared" si="29"/>
        <v>175.62573051673098</v>
      </c>
      <c r="AA52">
        <f t="shared" si="30"/>
        <v>165.240249708215</v>
      </c>
      <c r="AB52">
        <f t="shared" si="31"/>
        <v>155.85705615540684</v>
      </c>
      <c r="AC52">
        <f t="shared" si="32"/>
        <v>147.3732483502738</v>
      </c>
      <c r="AD52">
        <f t="shared" si="33"/>
        <v>139.68913375973054</v>
      </c>
      <c r="AE52">
        <f t="shared" si="34"/>
        <v>132.70640954785651</v>
      </c>
      <c r="AF52">
        <f t="shared" si="35"/>
        <v>126.32699142914967</v>
      </c>
      <c r="AG52">
        <f t="shared" si="36"/>
        <v>120.45231626851653</v>
      </c>
      <c r="AH52">
        <f t="shared" si="37"/>
        <v>114.98299237590156</v>
      </c>
      <c r="AI52">
        <f t="shared" si="38"/>
        <v>109.81870399809532</v>
      </c>
      <c r="AJ52">
        <f t="shared" si="103"/>
        <v>104.85829855357608</v>
      </c>
      <c r="AK52">
        <f t="shared" si="39"/>
        <v>100</v>
      </c>
      <c r="AL52" s="86"/>
      <c r="AM52" s="26">
        <v>5.6666666666666671E-2</v>
      </c>
      <c r="AN52" s="27">
        <f t="shared" si="40"/>
        <v>-6099600000</v>
      </c>
      <c r="AO52" s="27">
        <f t="shared" si="104"/>
        <v>-3950919946.0929394</v>
      </c>
      <c r="AP52" s="27">
        <f t="shared" si="41"/>
        <v>-3193962795.6185451</v>
      </c>
      <c r="AQ52" s="27">
        <f t="shared" si="42"/>
        <v>-2664778006.2024331</v>
      </c>
      <c r="AR52" s="27">
        <f t="shared" si="43"/>
        <v>-2281065786.5325613</v>
      </c>
      <c r="AS52" s="27">
        <f t="shared" si="44"/>
        <v>-1992458293.703733</v>
      </c>
      <c r="AT52" s="27">
        <f t="shared" si="45"/>
        <v>-1767645710.6631241</v>
      </c>
      <c r="AU52" s="27">
        <f t="shared" si="46"/>
        <v>-1586837932.4959743</v>
      </c>
      <c r="AV52" s="27">
        <f t="shared" si="47"/>
        <v>-1437305007.0300109</v>
      </c>
      <c r="AW52" s="27">
        <f t="shared" si="48"/>
        <v>-1310708185.4096541</v>
      </c>
      <c r="AX52" s="27">
        <f t="shared" si="49"/>
        <v>-1201481920.5584686</v>
      </c>
      <c r="AY52" s="27">
        <f t="shared" si="50"/>
        <v>-1105839076.8560059</v>
      </c>
      <c r="AZ52" s="27">
        <f t="shared" si="51"/>
        <v>-1021149976.29247</v>
      </c>
      <c r="BA52" s="27">
        <f t="shared" si="52"/>
        <v>-945548553.50379777</v>
      </c>
      <c r="BB52" s="27">
        <f t="shared" si="53"/>
        <v>-877678403.59141922</v>
      </c>
      <c r="BC52" s="27">
        <f t="shared" si="54"/>
        <v>-816526297.54230118</v>
      </c>
      <c r="BD52" s="27">
        <f t="shared" si="55"/>
        <v>-761311267.1289593</v>
      </c>
      <c r="BE52" s="27">
        <f t="shared" si="56"/>
        <v>-711409594.69253004</v>
      </c>
      <c r="BF52" s="27">
        <f t="shared" si="57"/>
        <v>-666303413.56609082</v>
      </c>
      <c r="BG52" s="27">
        <f t="shared" si="58"/>
        <v>-625545117.16074824</v>
      </c>
      <c r="BH52" s="27">
        <f t="shared" si="59"/>
        <v>-588732546.71444476</v>
      </c>
      <c r="BI52" s="27">
        <f t="shared" si="60"/>
        <v>-555491660.49022484</v>
      </c>
      <c r="BJ52" s="27">
        <f t="shared" si="61"/>
        <v>-525464485.17238104</v>
      </c>
      <c r="BK52" s="27">
        <f t="shared" si="62"/>
        <v>-498300855.76222277</v>
      </c>
      <c r="BL52" s="27">
        <f t="shared" si="63"/>
        <v>-473652910.23199725</v>
      </c>
      <c r="BM52" s="27">
        <f t="shared" si="64"/>
        <v>-451171609.40136403</v>
      </c>
      <c r="BN52" s="27">
        <f t="shared" si="65"/>
        <v>-430504756.52184218</v>
      </c>
      <c r="BO52" s="27">
        <f t="shared" si="66"/>
        <v>-411296129.61342669</v>
      </c>
      <c r="BP52" s="27">
        <f t="shared" si="67"/>
        <v>-393185434.601358</v>
      </c>
      <c r="BQ52" s="27">
        <f t="shared" si="68"/>
        <v>-375808852.68172652</v>
      </c>
      <c r="BR52" s="27">
        <f t="shared" si="69"/>
        <v>-358800000</v>
      </c>
      <c r="BT52" s="86"/>
      <c r="BU52" s="26">
        <v>5.6666666666666671E-2</v>
      </c>
      <c r="BV52" s="13">
        <v>0</v>
      </c>
      <c r="BW52" s="13">
        <f t="shared" ref="BW52:CY52" si="116">$B$20/($B$21-$B$22*BV52)</f>
        <v>0.34883720930232553</v>
      </c>
      <c r="BX52" s="13">
        <f t="shared" si="116"/>
        <v>0.39716748768472904</v>
      </c>
      <c r="BY52" s="13">
        <f t="shared" si="116"/>
        <v>0.40494040593779607</v>
      </c>
      <c r="BZ52" s="13">
        <f t="shared" si="116"/>
        <v>0.4062190081621499</v>
      </c>
      <c r="CA52" s="13">
        <f t="shared" si="116"/>
        <v>0.40643010492156101</v>
      </c>
      <c r="CB52" s="13">
        <f t="shared" si="116"/>
        <v>0.40646497802255066</v>
      </c>
      <c r="CC52" s="13">
        <f t="shared" si="116"/>
        <v>0.40647073962099717</v>
      </c>
      <c r="CD52" s="13">
        <f t="shared" si="116"/>
        <v>0.40647169154566137</v>
      </c>
      <c r="CE52" s="13">
        <f t="shared" si="116"/>
        <v>0.40647184882198806</v>
      </c>
      <c r="CF52" s="13">
        <f t="shared" si="116"/>
        <v>0.40647187480708435</v>
      </c>
      <c r="CG52" s="13">
        <f t="shared" si="116"/>
        <v>0.40647187910032606</v>
      </c>
      <c r="CH52" s="13">
        <f t="shared" si="116"/>
        <v>0.40647187980965277</v>
      </c>
      <c r="CI52" s="13">
        <f t="shared" si="116"/>
        <v>0.4064718799268473</v>
      </c>
      <c r="CJ52" s="13">
        <f t="shared" si="116"/>
        <v>0.40647187994621015</v>
      </c>
      <c r="CK52" s="13">
        <f t="shared" si="116"/>
        <v>0.40647187994940925</v>
      </c>
      <c r="CL52" s="13">
        <f t="shared" si="116"/>
        <v>0.40647187994993778</v>
      </c>
      <c r="CM52" s="13">
        <f t="shared" si="116"/>
        <v>0.40647187995002515</v>
      </c>
      <c r="CN52" s="13">
        <f t="shared" si="116"/>
        <v>0.40647187995003953</v>
      </c>
      <c r="CO52" s="13">
        <f t="shared" si="116"/>
        <v>0.40647187995004191</v>
      </c>
      <c r="CP52" s="13">
        <f t="shared" si="116"/>
        <v>0.40647187995004236</v>
      </c>
      <c r="CQ52" s="13">
        <f t="shared" si="116"/>
        <v>0.40647187995004236</v>
      </c>
      <c r="CR52" s="13">
        <f t="shared" si="116"/>
        <v>0.40647187995004236</v>
      </c>
      <c r="CS52" s="13">
        <f t="shared" si="116"/>
        <v>0.40647187995004236</v>
      </c>
      <c r="CT52" s="13">
        <f t="shared" si="116"/>
        <v>0.40647187995004236</v>
      </c>
      <c r="CU52" s="13">
        <f t="shared" si="116"/>
        <v>0.40647187995004236</v>
      </c>
      <c r="CV52" s="13">
        <f t="shared" si="116"/>
        <v>0.40647187995004236</v>
      </c>
      <c r="CW52" s="13">
        <f t="shared" si="116"/>
        <v>0.40647187995004236</v>
      </c>
      <c r="CX52" s="13">
        <f t="shared" si="116"/>
        <v>0.40647187995004236</v>
      </c>
      <c r="CY52" s="13">
        <f t="shared" si="116"/>
        <v>0.40647187995004236</v>
      </c>
      <c r="CZ52" s="13">
        <f t="shared" si="71"/>
        <v>100</v>
      </c>
      <c r="DB52" s="86"/>
      <c r="DC52" s="26">
        <v>5.6666666666666671E-2</v>
      </c>
      <c r="DD52" s="13">
        <f t="shared" si="72"/>
        <v>1700</v>
      </c>
      <c r="DE52" s="13">
        <f t="shared" si="73"/>
        <v>925.92854281201039</v>
      </c>
      <c r="DF52" s="13">
        <f t="shared" si="74"/>
        <v>674.1589013595692</v>
      </c>
      <c r="DG52" s="13">
        <f t="shared" si="75"/>
        <v>533.64062545503668</v>
      </c>
      <c r="DH52" s="13">
        <f t="shared" si="76"/>
        <v>440.59435721971045</v>
      </c>
      <c r="DI52" s="13">
        <f t="shared" si="77"/>
        <v>374.67347589590173</v>
      </c>
      <c r="DJ52" s="13">
        <f t="shared" si="78"/>
        <v>325.83900724139539</v>
      </c>
      <c r="DK52" s="13">
        <f t="shared" si="79"/>
        <v>288.24189378776038</v>
      </c>
      <c r="DL52" s="13">
        <f t="shared" si="80"/>
        <v>258.27902943560235</v>
      </c>
      <c r="DM52" s="13">
        <f t="shared" si="81"/>
        <v>233.67058924180108</v>
      </c>
      <c r="DN52" s="13">
        <f t="shared" si="82"/>
        <v>212.94395457277193</v>
      </c>
      <c r="DO52" s="13">
        <f t="shared" si="83"/>
        <v>195.12879398439176</v>
      </c>
      <c r="DP52" s="13">
        <f t="shared" si="84"/>
        <v>179.57251997388965</v>
      </c>
      <c r="DQ52" s="13">
        <f t="shared" si="85"/>
        <v>165.8266624109979</v>
      </c>
      <c r="DR52" s="13">
        <f t="shared" si="86"/>
        <v>153.57575702603015</v>
      </c>
      <c r="DS52" s="13">
        <f t="shared" si="87"/>
        <v>142.59209604262563</v>
      </c>
      <c r="DT52" s="13">
        <f t="shared" si="88"/>
        <v>132.70644593792093</v>
      </c>
      <c r="DU52" s="13">
        <f t="shared" si="89"/>
        <v>123.78878043848135</v>
      </c>
      <c r="DV52" s="13">
        <f t="shared" si="90"/>
        <v>115.73540253569173</v>
      </c>
      <c r="DW52" s="13">
        <f t="shared" si="91"/>
        <v>108.46021557441848</v>
      </c>
      <c r="DX52" s="13">
        <f t="shared" si="92"/>
        <v>101.88873908924745</v>
      </c>
      <c r="DY52" s="13">
        <f t="shared" si="93"/>
        <v>95.953974844126563</v>
      </c>
      <c r="DZ52" s="13">
        <f t="shared" si="94"/>
        <v>90.593543542363207</v>
      </c>
      <c r="EA52" s="13">
        <f t="shared" si="95"/>
        <v>85.747709989393059</v>
      </c>
      <c r="EB52" s="13">
        <f t="shared" si="96"/>
        <v>81.358039853217164</v>
      </c>
      <c r="EC52" s="13">
        <f t="shared" si="97"/>
        <v>77.366511991148684</v>
      </c>
      <c r="ED52" s="13">
        <f t="shared" si="98"/>
        <v>73.714963195202429</v>
      </c>
      <c r="EE52" s="13">
        <f t="shared" si="99"/>
        <v>70.344777308118523</v>
      </c>
      <c r="EF52" s="13">
        <f t="shared" si="100"/>
        <v>67.196754256660441</v>
      </c>
      <c r="EG52" s="13">
        <f t="shared" si="101"/>
        <v>64.211110558571846</v>
      </c>
      <c r="EH52" s="13">
        <f t="shared" si="102"/>
        <v>61.327573751426392</v>
      </c>
    </row>
    <row r="53" spans="5:138" x14ac:dyDescent="0.25">
      <c r="E53" s="95"/>
      <c r="F53" s="26">
        <v>5.3333333333333337E-2</v>
      </c>
      <c r="G53">
        <f t="shared" si="10"/>
        <v>300</v>
      </c>
      <c r="H53">
        <f t="shared" si="11"/>
        <v>1157.1738444584662</v>
      </c>
      <c r="I53">
        <f t="shared" si="12"/>
        <v>926.82165040437008</v>
      </c>
      <c r="J53">
        <f t="shared" si="13"/>
        <v>766.95361557287174</v>
      </c>
      <c r="K53">
        <f t="shared" si="14"/>
        <v>652.05098938202684</v>
      </c>
      <c r="L53">
        <f t="shared" si="15"/>
        <v>566.44529918692115</v>
      </c>
      <c r="M53">
        <f t="shared" si="16"/>
        <v>500.39213716912468</v>
      </c>
      <c r="N53">
        <f t="shared" si="17"/>
        <v>447.74094010161997</v>
      </c>
      <c r="O53">
        <f t="shared" si="18"/>
        <v>404.54563226171604</v>
      </c>
      <c r="P53">
        <f t="shared" si="19"/>
        <v>368.22991257014604</v>
      </c>
      <c r="Q53">
        <f t="shared" si="20"/>
        <v>337.0806779384514</v>
      </c>
      <c r="R53">
        <f t="shared" si="21"/>
        <v>309.93683143336534</v>
      </c>
      <c r="S53">
        <f t="shared" si="22"/>
        <v>285.99545908602238</v>
      </c>
      <c r="T53">
        <f t="shared" si="23"/>
        <v>264.68927648316634</v>
      </c>
      <c r="U53">
        <f t="shared" si="24"/>
        <v>245.60789748944023</v>
      </c>
      <c r="V53">
        <f t="shared" si="25"/>
        <v>228.44642767015978</v>
      </c>
      <c r="W53">
        <f t="shared" si="26"/>
        <v>212.97135737196706</v>
      </c>
      <c r="X53">
        <f t="shared" si="27"/>
        <v>198.99758735742518</v>
      </c>
      <c r="Y53">
        <f t="shared" si="28"/>
        <v>186.37274202029005</v>
      </c>
      <c r="Z53">
        <f t="shared" si="29"/>
        <v>174.96633821348865</v>
      </c>
      <c r="AA53">
        <f t="shared" si="30"/>
        <v>164.6622477339086</v>
      </c>
      <c r="AB53">
        <f t="shared" si="31"/>
        <v>155.35343395631449</v>
      </c>
      <c r="AC53">
        <f t="shared" si="32"/>
        <v>146.93828580427146</v>
      </c>
      <c r="AD53">
        <f t="shared" si="33"/>
        <v>139.31809171896077</v>
      </c>
      <c r="AE53">
        <f t="shared" si="34"/>
        <v>132.39533881659105</v>
      </c>
      <c r="AF53">
        <f t="shared" si="35"/>
        <v>126.0726162878783</v>
      </c>
      <c r="AG53">
        <f t="shared" si="36"/>
        <v>120.25196474690952</v>
      </c>
      <c r="AH53">
        <f t="shared" si="37"/>
        <v>114.83455557180739</v>
      </c>
      <c r="AI53">
        <f t="shared" si="38"/>
        <v>109.72061315431461</v>
      </c>
      <c r="AJ53">
        <f t="shared" si="103"/>
        <v>104.80951274298465</v>
      </c>
      <c r="AK53">
        <f t="shared" si="39"/>
        <v>100</v>
      </c>
      <c r="AL53" s="86"/>
      <c r="AM53" s="26">
        <v>5.3333333333333337E-2</v>
      </c>
      <c r="AN53" s="27">
        <f t="shared" si="40"/>
        <v>-5382000000</v>
      </c>
      <c r="AO53" s="27">
        <f t="shared" si="104"/>
        <v>-3686297553.3589835</v>
      </c>
      <c r="AP53" s="27">
        <f t="shared" si="41"/>
        <v>-3033631662.4693241</v>
      </c>
      <c r="AQ53" s="27">
        <f t="shared" si="42"/>
        <v>-2565672780.9031582</v>
      </c>
      <c r="AR53" s="27">
        <f t="shared" si="43"/>
        <v>-2218269634.880353</v>
      </c>
      <c r="AS53" s="27">
        <f t="shared" si="44"/>
        <v>-1951458266.8286133</v>
      </c>
      <c r="AT53" s="27">
        <f t="shared" si="45"/>
        <v>-1739922853.2686114</v>
      </c>
      <c r="AU53" s="27">
        <f t="shared" si="46"/>
        <v>-1567347111.6823444</v>
      </c>
      <c r="AV53" s="27">
        <f t="shared" si="47"/>
        <v>-1423028233.620935</v>
      </c>
      <c r="AW53" s="27">
        <f t="shared" si="48"/>
        <v>-1299819678.1538</v>
      </c>
      <c r="AX53" s="27">
        <f t="shared" si="49"/>
        <v>-1192863165.599004</v>
      </c>
      <c r="AY53" s="27">
        <f t="shared" si="50"/>
        <v>-1098795108.1698585</v>
      </c>
      <c r="AZ53" s="27">
        <f t="shared" si="51"/>
        <v>-1015242021.6584729</v>
      </c>
      <c r="BA53" s="27">
        <f t="shared" si="52"/>
        <v>-940494437.07980311</v>
      </c>
      <c r="BB53" s="27">
        <f t="shared" si="53"/>
        <v>-873292712.20990646</v>
      </c>
      <c r="BC53" s="27">
        <f t="shared" si="54"/>
        <v>-812684088.46322978</v>
      </c>
      <c r="BD53" s="27">
        <f t="shared" si="55"/>
        <v>-757925847.07630348</v>
      </c>
      <c r="BE53" s="27">
        <f t="shared" si="56"/>
        <v>-708418795.2739774</v>
      </c>
      <c r="BF53" s="27">
        <f t="shared" si="57"/>
        <v>-663661050.43321896</v>
      </c>
      <c r="BG53" s="27">
        <f t="shared" si="58"/>
        <v>-623215644.33530116</v>
      </c>
      <c r="BH53" s="27">
        <f t="shared" si="59"/>
        <v>-586687699.32304227</v>
      </c>
      <c r="BI53" s="27">
        <f t="shared" si="60"/>
        <v>-553708345.34547508</v>
      </c>
      <c r="BJ53" s="27">
        <f t="shared" si="61"/>
        <v>-523923459.6294542</v>
      </c>
      <c r="BK53" s="27">
        <f t="shared" si="62"/>
        <v>-496985906.59025592</v>
      </c>
      <c r="BL53" s="27">
        <f t="shared" si="63"/>
        <v>-472550349.92698908</v>
      </c>
      <c r="BM53" s="27">
        <f t="shared" si="64"/>
        <v>-450269973.35164738</v>
      </c>
      <c r="BN53" s="27">
        <f t="shared" si="65"/>
        <v>-429794626.11722356</v>
      </c>
      <c r="BO53" s="27">
        <f t="shared" si="66"/>
        <v>-410770033.01514244</v>
      </c>
      <c r="BP53" s="27">
        <f t="shared" si="67"/>
        <v>-392837794.09216684</v>
      </c>
      <c r="BQ53" s="27">
        <f t="shared" si="68"/>
        <v>-375635958.77487934</v>
      </c>
      <c r="BR53" s="27">
        <f t="shared" si="69"/>
        <v>-358800000</v>
      </c>
      <c r="BT53" s="86"/>
      <c r="BU53" s="26">
        <v>5.3333333333333337E-2</v>
      </c>
      <c r="BV53" s="13">
        <v>0</v>
      </c>
      <c r="BW53" s="13">
        <f t="shared" ref="BW53:CY53" si="117">$B$20/($B$21-$B$22*BV53)</f>
        <v>0.34883720930232553</v>
      </c>
      <c r="BX53" s="13">
        <f t="shared" si="117"/>
        <v>0.39716748768472904</v>
      </c>
      <c r="BY53" s="13">
        <f t="shared" si="117"/>
        <v>0.40494040593779607</v>
      </c>
      <c r="BZ53" s="13">
        <f t="shared" si="117"/>
        <v>0.4062190081621499</v>
      </c>
      <c r="CA53" s="13">
        <f t="shared" si="117"/>
        <v>0.40643010492156101</v>
      </c>
      <c r="CB53" s="13">
        <f t="shared" si="117"/>
        <v>0.40646497802255066</v>
      </c>
      <c r="CC53" s="13">
        <f t="shared" si="117"/>
        <v>0.40647073962099717</v>
      </c>
      <c r="CD53" s="13">
        <f t="shared" si="117"/>
        <v>0.40647169154566137</v>
      </c>
      <c r="CE53" s="13">
        <f t="shared" si="117"/>
        <v>0.40647184882198806</v>
      </c>
      <c r="CF53" s="13">
        <f t="shared" si="117"/>
        <v>0.40647187480708435</v>
      </c>
      <c r="CG53" s="13">
        <f t="shared" si="117"/>
        <v>0.40647187910032606</v>
      </c>
      <c r="CH53" s="13">
        <f t="shared" si="117"/>
        <v>0.40647187980965277</v>
      </c>
      <c r="CI53" s="13">
        <f t="shared" si="117"/>
        <v>0.4064718799268473</v>
      </c>
      <c r="CJ53" s="13">
        <f t="shared" si="117"/>
        <v>0.40647187994621015</v>
      </c>
      <c r="CK53" s="13">
        <f t="shared" si="117"/>
        <v>0.40647187994940925</v>
      </c>
      <c r="CL53" s="13">
        <f t="shared" si="117"/>
        <v>0.40647187994993778</v>
      </c>
      <c r="CM53" s="13">
        <f t="shared" si="117"/>
        <v>0.40647187995002515</v>
      </c>
      <c r="CN53" s="13">
        <f t="shared" si="117"/>
        <v>0.40647187995003953</v>
      </c>
      <c r="CO53" s="13">
        <f t="shared" si="117"/>
        <v>0.40647187995004191</v>
      </c>
      <c r="CP53" s="13">
        <f t="shared" si="117"/>
        <v>0.40647187995004236</v>
      </c>
      <c r="CQ53" s="13">
        <f t="shared" si="117"/>
        <v>0.40647187995004236</v>
      </c>
      <c r="CR53" s="13">
        <f t="shared" si="117"/>
        <v>0.40647187995004236</v>
      </c>
      <c r="CS53" s="13">
        <f t="shared" si="117"/>
        <v>0.40647187995004236</v>
      </c>
      <c r="CT53" s="13">
        <f t="shared" si="117"/>
        <v>0.40647187995004236</v>
      </c>
      <c r="CU53" s="13">
        <f t="shared" si="117"/>
        <v>0.40647187995004236</v>
      </c>
      <c r="CV53" s="13">
        <f t="shared" si="117"/>
        <v>0.40647187995004236</v>
      </c>
      <c r="CW53" s="13">
        <f t="shared" si="117"/>
        <v>0.40647187995004236</v>
      </c>
      <c r="CX53" s="13">
        <f t="shared" si="117"/>
        <v>0.40647187995004236</v>
      </c>
      <c r="CY53" s="13">
        <f t="shared" si="117"/>
        <v>0.40647187995004236</v>
      </c>
      <c r="CZ53" s="13">
        <f t="shared" si="71"/>
        <v>100</v>
      </c>
      <c r="DB53" s="86"/>
      <c r="DC53" s="26">
        <v>5.3333333333333337E-2</v>
      </c>
      <c r="DD53" s="13">
        <f t="shared" si="72"/>
        <v>1500</v>
      </c>
      <c r="DE53" s="13">
        <f t="shared" si="73"/>
        <v>833.86396641043007</v>
      </c>
      <c r="DF53" s="13">
        <f t="shared" si="74"/>
        <v>622.21260973657309</v>
      </c>
      <c r="DG53" s="13">
        <f t="shared" si="75"/>
        <v>502.9118232403722</v>
      </c>
      <c r="DH53" s="13">
        <f t="shared" si="76"/>
        <v>421.95014176820348</v>
      </c>
      <c r="DI53" s="13">
        <f t="shared" si="77"/>
        <v>363.07087037534967</v>
      </c>
      <c r="DJ53" s="13">
        <f t="shared" si="78"/>
        <v>318.40112579092357</v>
      </c>
      <c r="DK53" s="13">
        <f t="shared" si="79"/>
        <v>283.30497774575633</v>
      </c>
      <c r="DL53" s="13">
        <f t="shared" si="80"/>
        <v>254.8705968216178</v>
      </c>
      <c r="DM53" s="13">
        <f t="shared" si="81"/>
        <v>231.21610620633459</v>
      </c>
      <c r="DN53" s="13">
        <f t="shared" si="82"/>
        <v>211.10007299396412</v>
      </c>
      <c r="DO53" s="13">
        <f t="shared" si="83"/>
        <v>193.68771976450941</v>
      </c>
      <c r="DP53" s="13">
        <f t="shared" si="84"/>
        <v>178.40671130845286</v>
      </c>
      <c r="DQ53" s="13">
        <f t="shared" si="85"/>
        <v>164.85657266575316</v>
      </c>
      <c r="DR53" s="13">
        <f t="shared" si="86"/>
        <v>152.75084856735447</v>
      </c>
      <c r="DS53" s="13">
        <f t="shared" si="87"/>
        <v>141.87955966379883</v>
      </c>
      <c r="DT53" s="13">
        <f t="shared" si="88"/>
        <v>132.08443393329247</v>
      </c>
      <c r="DU53" s="13">
        <f t="shared" si="89"/>
        <v>123.24230853699682</v>
      </c>
      <c r="DV53" s="13">
        <f t="shared" si="90"/>
        <v>115.25384559867886</v>
      </c>
      <c r="DW53" s="13">
        <f t="shared" si="91"/>
        <v>108.0357648202873</v>
      </c>
      <c r="DX53" s="13">
        <f t="shared" si="92"/>
        <v>101.51544537699071</v>
      </c>
      <c r="DY53" s="13">
        <f t="shared" si="93"/>
        <v>95.627152688815656</v>
      </c>
      <c r="DZ53" s="13">
        <f t="shared" si="94"/>
        <v>90.309399152213032</v>
      </c>
      <c r="EA53" s="13">
        <f t="shared" si="95"/>
        <v>85.50310945355821</v>
      </c>
      <c r="EB53" s="13">
        <f t="shared" si="96"/>
        <v>81.150365463836835</v>
      </c>
      <c r="EC53" s="13">
        <f t="shared" si="97"/>
        <v>77.193574109515765</v>
      </c>
      <c r="ED53" s="13">
        <f t="shared" si="98"/>
        <v>73.574947060409357</v>
      </c>
      <c r="EE53" s="13">
        <f t="shared" si="99"/>
        <v>70.236211673701789</v>
      </c>
      <c r="EF53" s="13">
        <f t="shared" si="100"/>
        <v>67.118493473025723</v>
      </c>
      <c r="EG53" s="13">
        <f t="shared" si="101"/>
        <v>64.162324747980406</v>
      </c>
      <c r="EH53" s="13">
        <f t="shared" si="102"/>
        <v>61.307743691280407</v>
      </c>
    </row>
    <row r="54" spans="5:138" x14ac:dyDescent="0.25">
      <c r="E54" s="95"/>
      <c r="F54" s="26">
        <v>0.05</v>
      </c>
      <c r="G54">
        <f t="shared" si="10"/>
        <v>300</v>
      </c>
      <c r="H54">
        <f t="shared" si="11"/>
        <v>906.83874694997576</v>
      </c>
      <c r="I54">
        <f t="shared" si="12"/>
        <v>770.5077441366152</v>
      </c>
      <c r="J54">
        <f t="shared" si="13"/>
        <v>668.83840488867384</v>
      </c>
      <c r="K54">
        <f t="shared" si="14"/>
        <v>589.76615346054814</v>
      </c>
      <c r="L54">
        <f t="shared" si="15"/>
        <v>526.24917292273381</v>
      </c>
      <c r="M54">
        <f t="shared" si="16"/>
        <v>473.90379224055857</v>
      </c>
      <c r="N54">
        <f t="shared" si="17"/>
        <v>429.85373425577438</v>
      </c>
      <c r="O54">
        <f t="shared" si="18"/>
        <v>392.13605599359687</v>
      </c>
      <c r="P54">
        <f t="shared" si="19"/>
        <v>359.37278940734416</v>
      </c>
      <c r="Q54">
        <f t="shared" si="20"/>
        <v>330.57653499679191</v>
      </c>
      <c r="R54">
        <f t="shared" si="21"/>
        <v>305.02820658998019</v>
      </c>
      <c r="S54">
        <f t="shared" si="22"/>
        <v>282.19643302579988</v>
      </c>
      <c r="T54">
        <f t="shared" si="23"/>
        <v>261.68258282683848</v>
      </c>
      <c r="U54">
        <f t="shared" si="24"/>
        <v>243.18237598515901</v>
      </c>
      <c r="V54">
        <f t="shared" si="25"/>
        <v>226.45864690901487</v>
      </c>
      <c r="W54">
        <f t="shared" si="26"/>
        <v>211.32180723372221</v>
      </c>
      <c r="X54">
        <f t="shared" si="27"/>
        <v>197.61572770563845</v>
      </c>
      <c r="Y54">
        <f t="shared" si="28"/>
        <v>185.20748908534773</v>
      </c>
      <c r="Z54">
        <f t="shared" si="29"/>
        <v>173.9799280149052</v>
      </c>
      <c r="AA54">
        <f t="shared" si="30"/>
        <v>163.82622303555789</v>
      </c>
      <c r="AB54">
        <f t="shared" si="31"/>
        <v>154.64598420544493</v>
      </c>
      <c r="AC54">
        <f t="shared" si="32"/>
        <v>146.34246091681237</v>
      </c>
      <c r="AD54">
        <f t="shared" si="33"/>
        <v>138.82058815009307</v>
      </c>
      <c r="AE54">
        <f t="shared" si="34"/>
        <v>131.98566577350709</v>
      </c>
      <c r="AF54">
        <f t="shared" si="35"/>
        <v>125.74251819084121</v>
      </c>
      <c r="AG54">
        <f t="shared" si="36"/>
        <v>119.99501918610915</v>
      </c>
      <c r="AH54">
        <f t="shared" si="37"/>
        <v>114.64589368314219</v>
      </c>
      <c r="AI54">
        <f t="shared" si="38"/>
        <v>109.59672739833707</v>
      </c>
      <c r="AJ54">
        <f t="shared" si="103"/>
        <v>104.74812911711643</v>
      </c>
      <c r="AK54">
        <f t="shared" si="39"/>
        <v>100</v>
      </c>
      <c r="AL54" s="86"/>
      <c r="AM54" s="26">
        <v>0.05</v>
      </c>
      <c r="AN54" s="27">
        <f t="shared" si="40"/>
        <v>-3946800000</v>
      </c>
      <c r="AO54" s="27">
        <f t="shared" si="104"/>
        <v>-3018460188.076726</v>
      </c>
      <c r="AP54" s="27">
        <f t="shared" si="41"/>
        <v>-2621082498.8013391</v>
      </c>
      <c r="AQ54" s="27">
        <f t="shared" si="42"/>
        <v>-2306240253.1665249</v>
      </c>
      <c r="AR54" s="27">
        <f t="shared" si="43"/>
        <v>-2051682137.1305585</v>
      </c>
      <c r="AS54" s="27">
        <f t="shared" si="44"/>
        <v>-1841931609.0444224</v>
      </c>
      <c r="AT54" s="27">
        <f t="shared" si="45"/>
        <v>-1666024170.5919254</v>
      </c>
      <c r="AU54" s="27">
        <f t="shared" si="46"/>
        <v>-1516099146.4581263</v>
      </c>
      <c r="AV54" s="27">
        <f t="shared" si="47"/>
        <v>-1386472904.5666966</v>
      </c>
      <c r="AW54" s="27">
        <f t="shared" si="48"/>
        <v>-1273006137.9861505</v>
      </c>
      <c r="AX54" s="27">
        <f t="shared" si="49"/>
        <v>-1172662193.9130037</v>
      </c>
      <c r="AY54" s="27">
        <f t="shared" si="50"/>
        <v>-1083194668.1963549</v>
      </c>
      <c r="AZ54" s="27">
        <f t="shared" si="51"/>
        <v>-1002924598.9645636</v>
      </c>
      <c r="BA54" s="27">
        <f t="shared" si="52"/>
        <v>-930580623.68354952</v>
      </c>
      <c r="BB54" s="27">
        <f t="shared" si="53"/>
        <v>-865183747.0854342</v>
      </c>
      <c r="BC54" s="27">
        <f t="shared" si="54"/>
        <v>-805963902.99002028</v>
      </c>
      <c r="BD54" s="27">
        <f t="shared" si="55"/>
        <v>-752299297.34515071</v>
      </c>
      <c r="BE54" s="27">
        <f t="shared" si="56"/>
        <v>-703672169.64956737</v>
      </c>
      <c r="BF54" s="27">
        <f t="shared" si="57"/>
        <v>-659636465.78185606</v>
      </c>
      <c r="BG54" s="27">
        <f t="shared" si="58"/>
        <v>-619794217.50034571</v>
      </c>
      <c r="BH54" s="27">
        <f t="shared" si="59"/>
        <v>-583778338.39375126</v>
      </c>
      <c r="BI54" s="27">
        <f t="shared" si="60"/>
        <v>-551240188.98740768</v>
      </c>
      <c r="BJ54" s="27">
        <f t="shared" si="61"/>
        <v>-521840716.60880214</v>
      </c>
      <c r="BK54" s="27">
        <f t="shared" si="62"/>
        <v>-495244295.66738224</v>
      </c>
      <c r="BL54" s="27">
        <f t="shared" si="63"/>
        <v>-471114621.14851439</v>
      </c>
      <c r="BM54" s="27">
        <f t="shared" si="64"/>
        <v>-449112170.15609252</v>
      </c>
      <c r="BN54" s="27">
        <f t="shared" si="65"/>
        <v>-428892862.54245216</v>
      </c>
      <c r="BO54" s="27">
        <f t="shared" si="66"/>
        <v>-410107635.37192434</v>
      </c>
      <c r="BP54" s="27">
        <f t="shared" si="67"/>
        <v>-392402706.37039351</v>
      </c>
      <c r="BQ54" s="27">
        <f t="shared" si="68"/>
        <v>-375420344.93282264</v>
      </c>
      <c r="BR54" s="27">
        <f t="shared" si="69"/>
        <v>-358800000</v>
      </c>
      <c r="BT54" s="86"/>
      <c r="BU54" s="26">
        <v>0.05</v>
      </c>
      <c r="BV54" s="13">
        <v>0</v>
      </c>
      <c r="BW54" s="13">
        <f t="shared" ref="BW54:CY54" si="118">$B$20/($B$21-$B$22*BV54)</f>
        <v>0.34883720930232553</v>
      </c>
      <c r="BX54" s="13">
        <f t="shared" si="118"/>
        <v>0.39716748768472904</v>
      </c>
      <c r="BY54" s="13">
        <f t="shared" si="118"/>
        <v>0.40494040593779607</v>
      </c>
      <c r="BZ54" s="13">
        <f t="shared" si="118"/>
        <v>0.4062190081621499</v>
      </c>
      <c r="CA54" s="13">
        <f t="shared" si="118"/>
        <v>0.40643010492156101</v>
      </c>
      <c r="CB54" s="13">
        <f t="shared" si="118"/>
        <v>0.40646497802255066</v>
      </c>
      <c r="CC54" s="13">
        <f t="shared" si="118"/>
        <v>0.40647073962099717</v>
      </c>
      <c r="CD54" s="13">
        <f t="shared" si="118"/>
        <v>0.40647169154566137</v>
      </c>
      <c r="CE54" s="13">
        <f t="shared" si="118"/>
        <v>0.40647184882198806</v>
      </c>
      <c r="CF54" s="13">
        <f t="shared" si="118"/>
        <v>0.40647187480708435</v>
      </c>
      <c r="CG54" s="13">
        <f t="shared" si="118"/>
        <v>0.40647187910032606</v>
      </c>
      <c r="CH54" s="13">
        <f t="shared" si="118"/>
        <v>0.40647187980965277</v>
      </c>
      <c r="CI54" s="13">
        <f t="shared" si="118"/>
        <v>0.4064718799268473</v>
      </c>
      <c r="CJ54" s="13">
        <f t="shared" si="118"/>
        <v>0.40647187994621015</v>
      </c>
      <c r="CK54" s="13">
        <f t="shared" si="118"/>
        <v>0.40647187994940925</v>
      </c>
      <c r="CL54" s="13">
        <f t="shared" si="118"/>
        <v>0.40647187994993778</v>
      </c>
      <c r="CM54" s="13">
        <f t="shared" si="118"/>
        <v>0.40647187995002515</v>
      </c>
      <c r="CN54" s="13">
        <f t="shared" si="118"/>
        <v>0.40647187995003953</v>
      </c>
      <c r="CO54" s="13">
        <f t="shared" si="118"/>
        <v>0.40647187995004191</v>
      </c>
      <c r="CP54" s="13">
        <f t="shared" si="118"/>
        <v>0.40647187995004236</v>
      </c>
      <c r="CQ54" s="13">
        <f t="shared" si="118"/>
        <v>0.40647187995004236</v>
      </c>
      <c r="CR54" s="13">
        <f t="shared" si="118"/>
        <v>0.40647187995004236</v>
      </c>
      <c r="CS54" s="13">
        <f t="shared" si="118"/>
        <v>0.40647187995004236</v>
      </c>
      <c r="CT54" s="13">
        <f t="shared" si="118"/>
        <v>0.40647187995004236</v>
      </c>
      <c r="CU54" s="13">
        <f t="shared" si="118"/>
        <v>0.40647187995004236</v>
      </c>
      <c r="CV54" s="13">
        <f t="shared" si="118"/>
        <v>0.40647187995004236</v>
      </c>
      <c r="CW54" s="13">
        <f t="shared" si="118"/>
        <v>0.40647187995004236</v>
      </c>
      <c r="CX54" s="13">
        <f t="shared" si="118"/>
        <v>0.40647187995004236</v>
      </c>
      <c r="CY54" s="13">
        <f t="shared" si="118"/>
        <v>0.40647187995004236</v>
      </c>
      <c r="CZ54" s="13">
        <f t="shared" si="71"/>
        <v>100</v>
      </c>
      <c r="DB54" s="86"/>
      <c r="DC54" s="26">
        <v>0.05</v>
      </c>
      <c r="DD54" s="13">
        <f t="shared" si="72"/>
        <v>1100</v>
      </c>
      <c r="DE54" s="13">
        <f t="shared" si="73"/>
        <v>638.05697573952864</v>
      </c>
      <c r="DF54" s="13">
        <f t="shared" si="74"/>
        <v>504.86687519991904</v>
      </c>
      <c r="DG54" s="13">
        <f t="shared" si="75"/>
        <v>430.01825929798696</v>
      </c>
      <c r="DH54" s="13">
        <f t="shared" si="76"/>
        <v>375.99373638972355</v>
      </c>
      <c r="DI54" s="13">
        <f t="shared" si="77"/>
        <v>333.64040491967791</v>
      </c>
      <c r="DJ54" s="13">
        <f t="shared" si="78"/>
        <v>299.18330359337392</v>
      </c>
      <c r="DK54" s="13">
        <f t="shared" si="79"/>
        <v>270.46190154399631</v>
      </c>
      <c r="DL54" s="13">
        <f t="shared" si="80"/>
        <v>246.06119038771092</v>
      </c>
      <c r="DM54" s="13">
        <f t="shared" si="81"/>
        <v>225.00273405003151</v>
      </c>
      <c r="DN54" s="13">
        <f t="shared" si="82"/>
        <v>206.59114799512</v>
      </c>
      <c r="DO54" s="13">
        <f t="shared" si="83"/>
        <v>190.32329218257402</v>
      </c>
      <c r="DP54" s="13">
        <f t="shared" si="84"/>
        <v>175.82982167072967</v>
      </c>
      <c r="DQ54" s="13">
        <f t="shared" si="85"/>
        <v>162.83578529507349</v>
      </c>
      <c r="DR54" s="13">
        <f t="shared" si="86"/>
        <v>151.13330404597673</v>
      </c>
      <c r="DS54" s="13">
        <f t="shared" si="87"/>
        <v>140.56227464841714</v>
      </c>
      <c r="DT54" s="13">
        <f t="shared" si="88"/>
        <v>130.99657088553636</v>
      </c>
      <c r="DU54" s="13">
        <f t="shared" si="89"/>
        <v>122.33409143629339</v>
      </c>
      <c r="DV54" s="13">
        <f t="shared" si="90"/>
        <v>114.48954067155665</v>
      </c>
      <c r="DW54" s="13">
        <f t="shared" si="91"/>
        <v>107.38917515252712</v>
      </c>
      <c r="DX54" s="13">
        <f t="shared" si="92"/>
        <v>100.96697910884612</v>
      </c>
      <c r="DY54" s="13">
        <f t="shared" si="93"/>
        <v>95.161889000072605</v>
      </c>
      <c r="DZ54" s="13">
        <f t="shared" si="94"/>
        <v>89.915795475673477</v>
      </c>
      <c r="EA54" s="13">
        <f t="shared" si="95"/>
        <v>85.172126456677688</v>
      </c>
      <c r="EB54" s="13">
        <f t="shared" si="96"/>
        <v>80.874868014823463</v>
      </c>
      <c r="EC54" s="13">
        <f t="shared" si="97"/>
        <v>76.967917157622026</v>
      </c>
      <c r="ED54" s="13">
        <f t="shared" si="98"/>
        <v>73.394687252169646</v>
      </c>
      <c r="EE54" s="13">
        <f t="shared" si="99"/>
        <v>70.097905861167803</v>
      </c>
      <c r="EF54" s="13">
        <f t="shared" si="100"/>
        <v>67.019558434852968</v>
      </c>
      <c r="EG54" s="13">
        <f t="shared" si="101"/>
        <v>64.100941122112204</v>
      </c>
      <c r="EH54" s="13">
        <f t="shared" si="102"/>
        <v>61.282792973475601</v>
      </c>
    </row>
    <row r="55" spans="5:138" x14ac:dyDescent="0.25">
      <c r="E55" s="95"/>
      <c r="F55" s="26">
        <v>4.6666666666666669E-2</v>
      </c>
      <c r="G55">
        <f t="shared" si="10"/>
        <v>300</v>
      </c>
      <c r="H55">
        <f t="shared" si="11"/>
        <v>467.18752239335879</v>
      </c>
      <c r="I55">
        <f t="shared" si="12"/>
        <v>520.65822008009229</v>
      </c>
      <c r="J55">
        <f t="shared" si="13"/>
        <v>521.78043114237198</v>
      </c>
      <c r="K55">
        <f t="shared" si="14"/>
        <v>500.05558524181811</v>
      </c>
      <c r="L55">
        <f t="shared" si="15"/>
        <v>469.53724553802255</v>
      </c>
      <c r="M55">
        <f t="shared" si="16"/>
        <v>436.78588888092759</v>
      </c>
      <c r="N55">
        <f t="shared" si="17"/>
        <v>404.74010242291843</v>
      </c>
      <c r="O55">
        <f t="shared" si="18"/>
        <v>374.60558155800436</v>
      </c>
      <c r="P55">
        <f t="shared" si="19"/>
        <v>346.77668699988794</v>
      </c>
      <c r="Q55">
        <f t="shared" si="20"/>
        <v>321.28380531443167</v>
      </c>
      <c r="R55">
        <f t="shared" si="21"/>
        <v>298.00774307705211</v>
      </c>
      <c r="S55">
        <f t="shared" si="22"/>
        <v>276.7797666337014</v>
      </c>
      <c r="T55">
        <f t="shared" si="23"/>
        <v>257.42584392805924</v>
      </c>
      <c r="U55">
        <f t="shared" si="24"/>
        <v>239.78405212542941</v>
      </c>
      <c r="V55">
        <f t="shared" si="25"/>
        <v>223.70945782740938</v>
      </c>
      <c r="W55">
        <f t="shared" si="26"/>
        <v>209.07349077459747</v>
      </c>
      <c r="X55">
        <f t="shared" si="27"/>
        <v>195.76120509634603</v>
      </c>
      <c r="Y55">
        <f t="shared" si="28"/>
        <v>183.66802035510841</v>
      </c>
      <c r="Z55">
        <f t="shared" si="29"/>
        <v>172.69664590005124</v>
      </c>
      <c r="AA55">
        <f t="shared" si="30"/>
        <v>162.75446043360711</v>
      </c>
      <c r="AB55">
        <f t="shared" si="31"/>
        <v>153.75141527036862</v>
      </c>
      <c r="AC55">
        <f t="shared" si="32"/>
        <v>145.59843930582548</v>
      </c>
      <c r="AD55">
        <f t="shared" si="33"/>
        <v>138.2062882296712</v>
      </c>
      <c r="AE55">
        <f t="shared" si="34"/>
        <v>131.48477094738092</v>
      </c>
      <c r="AF55">
        <f t="shared" si="35"/>
        <v>125.34228807480375</v>
      </c>
      <c r="AG55">
        <f t="shared" si="36"/>
        <v>119.68562369221544</v>
      </c>
      <c r="AH55">
        <f t="shared" si="37"/>
        <v>114.41993894528599</v>
      </c>
      <c r="AI55">
        <f t="shared" si="38"/>
        <v>109.44892305962824</v>
      </c>
      <c r="AJ55">
        <f t="shared" si="103"/>
        <v>104.67506328398102</v>
      </c>
      <c r="AK55">
        <f t="shared" si="39"/>
        <v>100</v>
      </c>
      <c r="AL55" s="86"/>
      <c r="AM55" s="26">
        <v>4.6666666666666669E-2</v>
      </c>
      <c r="AN55" s="27">
        <f t="shared" si="40"/>
        <v>-1076400000</v>
      </c>
      <c r="AO55" s="27">
        <f t="shared" si="104"/>
        <v>-2147056484.6328006</v>
      </c>
      <c r="AP55" s="27">
        <f t="shared" si="41"/>
        <v>-2084844428.2726097</v>
      </c>
      <c r="AQ55" s="27">
        <f t="shared" si="42"/>
        <v>-1966735002.7649615</v>
      </c>
      <c r="AR55" s="27">
        <f t="shared" si="43"/>
        <v>-1830604504.1930642</v>
      </c>
      <c r="AS55" s="27">
        <f t="shared" si="44"/>
        <v>-1693944327.1770847</v>
      </c>
      <c r="AT55" s="27">
        <f t="shared" si="45"/>
        <v>-1564266708.680552</v>
      </c>
      <c r="AU55" s="27">
        <f t="shared" si="46"/>
        <v>-1444294847.9380169</v>
      </c>
      <c r="AV55" s="27">
        <f t="shared" si="47"/>
        <v>-1334539533.7199776</v>
      </c>
      <c r="AW55" s="27">
        <f t="shared" si="48"/>
        <v>-1234563659.6627851</v>
      </c>
      <c r="AX55" s="27">
        <f t="shared" si="49"/>
        <v>-1143588660.9531434</v>
      </c>
      <c r="AY55" s="27">
        <f t="shared" si="50"/>
        <v>-1060772706.9731834</v>
      </c>
      <c r="AZ55" s="27">
        <f t="shared" si="51"/>
        <v>-985327220.20760751</v>
      </c>
      <c r="BA55" s="27">
        <f t="shared" si="52"/>
        <v>-916555706.07540572</v>
      </c>
      <c r="BB55" s="27">
        <f t="shared" si="53"/>
        <v>-853856981.35695612</v>
      </c>
      <c r="BC55" s="27">
        <f t="shared" si="54"/>
        <v>-796713617.88958347</v>
      </c>
      <c r="BD55" s="27">
        <f t="shared" si="55"/>
        <v>-744675644.00857532</v>
      </c>
      <c r="BE55" s="27">
        <f t="shared" si="56"/>
        <v>-697344126.0064522</v>
      </c>
      <c r="BF55" s="27">
        <f t="shared" si="57"/>
        <v>-654356562.44934213</v>
      </c>
      <c r="BG55" s="27">
        <f t="shared" si="58"/>
        <v>-615374723.07652605</v>
      </c>
      <c r="BH55" s="27">
        <f t="shared" si="59"/>
        <v>-580074963.18051088</v>
      </c>
      <c r="BI55" s="27">
        <f t="shared" si="60"/>
        <v>-548140791.5074842</v>
      </c>
      <c r="BJ55" s="27">
        <f t="shared" si="61"/>
        <v>-519257385.19137192</v>
      </c>
      <c r="BK55" s="27">
        <f t="shared" si="62"/>
        <v>-493107738.26146334</v>
      </c>
      <c r="BL55" s="27">
        <f t="shared" si="63"/>
        <v>-469370155.70299059</v>
      </c>
      <c r="BM55" s="27">
        <f t="shared" si="64"/>
        <v>-447716841.063842</v>
      </c>
      <c r="BN55" s="27">
        <f t="shared" si="65"/>
        <v>-427813362.11604148</v>
      </c>
      <c r="BO55" s="27">
        <f t="shared" si="66"/>
        <v>-409318811.85002136</v>
      </c>
      <c r="BP55" s="27">
        <f t="shared" si="67"/>
        <v>-391886509.64250278</v>
      </c>
      <c r="BQ55" s="27">
        <f t="shared" si="68"/>
        <v>-375165109.58742595</v>
      </c>
      <c r="BR55" s="27">
        <f t="shared" si="69"/>
        <v>-358800000</v>
      </c>
      <c r="BT55" s="86"/>
      <c r="BU55" s="26">
        <v>4.6666666666666669E-2</v>
      </c>
      <c r="BV55" s="13">
        <v>0</v>
      </c>
      <c r="BW55" s="13">
        <f t="shared" ref="BW55:CY55" si="119">$B$20/($B$21-$B$22*BV55)</f>
        <v>0.34883720930232553</v>
      </c>
      <c r="BX55" s="13">
        <f t="shared" si="119"/>
        <v>0.39716748768472904</v>
      </c>
      <c r="BY55" s="13">
        <f t="shared" si="119"/>
        <v>0.40494040593779607</v>
      </c>
      <c r="BZ55" s="13">
        <f t="shared" si="119"/>
        <v>0.4062190081621499</v>
      </c>
      <c r="CA55" s="13">
        <f t="shared" si="119"/>
        <v>0.40643010492156101</v>
      </c>
      <c r="CB55" s="13">
        <f t="shared" si="119"/>
        <v>0.40646497802255066</v>
      </c>
      <c r="CC55" s="13">
        <f t="shared" si="119"/>
        <v>0.40647073962099717</v>
      </c>
      <c r="CD55" s="13">
        <f t="shared" si="119"/>
        <v>0.40647169154566137</v>
      </c>
      <c r="CE55" s="13">
        <f t="shared" si="119"/>
        <v>0.40647184882198806</v>
      </c>
      <c r="CF55" s="13">
        <f t="shared" si="119"/>
        <v>0.40647187480708435</v>
      </c>
      <c r="CG55" s="13">
        <f t="shared" si="119"/>
        <v>0.40647187910032606</v>
      </c>
      <c r="CH55" s="13">
        <f t="shared" si="119"/>
        <v>0.40647187980965277</v>
      </c>
      <c r="CI55" s="13">
        <f t="shared" si="119"/>
        <v>0.4064718799268473</v>
      </c>
      <c r="CJ55" s="13">
        <f t="shared" si="119"/>
        <v>0.40647187994621015</v>
      </c>
      <c r="CK55" s="13">
        <f t="shared" si="119"/>
        <v>0.40647187994940925</v>
      </c>
      <c r="CL55" s="13">
        <f t="shared" si="119"/>
        <v>0.40647187994993778</v>
      </c>
      <c r="CM55" s="13">
        <f t="shared" si="119"/>
        <v>0.40647187995002515</v>
      </c>
      <c r="CN55" s="13">
        <f t="shared" si="119"/>
        <v>0.40647187995003953</v>
      </c>
      <c r="CO55" s="13">
        <f t="shared" si="119"/>
        <v>0.40647187995004191</v>
      </c>
      <c r="CP55" s="13">
        <f t="shared" si="119"/>
        <v>0.40647187995004236</v>
      </c>
      <c r="CQ55" s="13">
        <f t="shared" si="119"/>
        <v>0.40647187995004236</v>
      </c>
      <c r="CR55" s="13">
        <f t="shared" si="119"/>
        <v>0.40647187995004236</v>
      </c>
      <c r="CS55" s="13">
        <f t="shared" si="119"/>
        <v>0.40647187995004236</v>
      </c>
      <c r="CT55" s="13">
        <f t="shared" si="119"/>
        <v>0.40647187995004236</v>
      </c>
      <c r="CU55" s="13">
        <f t="shared" si="119"/>
        <v>0.40647187995004236</v>
      </c>
      <c r="CV55" s="13">
        <f t="shared" si="119"/>
        <v>0.40647187995004236</v>
      </c>
      <c r="CW55" s="13">
        <f t="shared" si="119"/>
        <v>0.40647187995004236</v>
      </c>
      <c r="CX55" s="13">
        <f t="shared" si="119"/>
        <v>0.40647187995004236</v>
      </c>
      <c r="CY55" s="13">
        <f t="shared" si="119"/>
        <v>0.40647187995004236</v>
      </c>
      <c r="CZ55" s="13">
        <f t="shared" si="71"/>
        <v>100</v>
      </c>
      <c r="DB55" s="86"/>
      <c r="DC55" s="26">
        <v>4.6666666666666669E-2</v>
      </c>
      <c r="DD55" s="13">
        <f t="shared" si="72"/>
        <v>300</v>
      </c>
      <c r="DE55" s="13">
        <f t="shared" si="73"/>
        <v>285.56256190030336</v>
      </c>
      <c r="DF55" s="13">
        <f t="shared" si="74"/>
        <v>313.42399712022166</v>
      </c>
      <c r="DG55" s="13">
        <f t="shared" si="75"/>
        <v>319.28771946308802</v>
      </c>
      <c r="DH55" s="13">
        <f t="shared" si="76"/>
        <v>309.32063106417473</v>
      </c>
      <c r="DI55" s="13">
        <f t="shared" si="77"/>
        <v>292.01431089188986</v>
      </c>
      <c r="DJ55" s="13">
        <f t="shared" si="78"/>
        <v>272.27321204475112</v>
      </c>
      <c r="DK55" s="13">
        <f t="shared" si="79"/>
        <v>252.47389462088259</v>
      </c>
      <c r="DL55" s="13">
        <f t="shared" si="80"/>
        <v>233.65067500455953</v>
      </c>
      <c r="DM55" s="13">
        <f t="shared" si="81"/>
        <v>216.18386465716722</v>
      </c>
      <c r="DN55" s="13">
        <f t="shared" si="82"/>
        <v>200.15203927887435</v>
      </c>
      <c r="DO55" s="13">
        <f t="shared" si="83"/>
        <v>185.50455123650175</v>
      </c>
      <c r="DP55" s="13">
        <f t="shared" si="84"/>
        <v>172.14339994067686</v>
      </c>
      <c r="DQ55" s="13">
        <f t="shared" si="85"/>
        <v>159.9603694841588</v>
      </c>
      <c r="DR55" s="13">
        <f t="shared" si="86"/>
        <v>148.85244824057489</v>
      </c>
      <c r="DS55" s="13">
        <f t="shared" si="87"/>
        <v>138.72696298467329</v>
      </c>
      <c r="DT55" s="13">
        <f t="shared" si="88"/>
        <v>129.50206571782036</v>
      </c>
      <c r="DU55" s="13">
        <f t="shared" si="89"/>
        <v>121.10531957590563</v>
      </c>
      <c r="DV55" s="13">
        <f t="shared" si="90"/>
        <v>113.4716900350483</v>
      </c>
      <c r="DW55" s="13">
        <f t="shared" si="91"/>
        <v>106.54153439734826</v>
      </c>
      <c r="DX55" s="13">
        <f t="shared" si="92"/>
        <v>100.25883362368073</v>
      </c>
      <c r="DY55" s="13">
        <f t="shared" si="93"/>
        <v>94.569743927937608</v>
      </c>
      <c r="DZ55" s="13">
        <f t="shared" si="94"/>
        <v>89.42146950819361</v>
      </c>
      <c r="EA55" s="13">
        <f t="shared" si="95"/>
        <v>84.761426197888554</v>
      </c>
      <c r="EB55" s="13">
        <f t="shared" si="96"/>
        <v>80.536655476375657</v>
      </c>
      <c r="EC55" s="13">
        <f t="shared" si="97"/>
        <v>76.693447609635598</v>
      </c>
      <c r="ED55" s="13">
        <f t="shared" si="98"/>
        <v>73.177136005355976</v>
      </c>
      <c r="EE55" s="13">
        <f t="shared" si="99"/>
        <v>69.932029430731347</v>
      </c>
      <c r="EF55" s="13">
        <f t="shared" si="100"/>
        <v>66.901453302698826</v>
      </c>
      <c r="EG55" s="13">
        <f t="shared" si="101"/>
        <v>64.027875288976787</v>
      </c>
      <c r="EH55" s="13">
        <f t="shared" si="102"/>
        <v>61.253093766920934</v>
      </c>
    </row>
    <row r="56" spans="5:138" x14ac:dyDescent="0.25">
      <c r="E56" s="95"/>
      <c r="F56" s="26">
        <v>4.3333333333333335E-2</v>
      </c>
      <c r="G56">
        <f t="shared" si="10"/>
        <v>300</v>
      </c>
      <c r="H56">
        <f t="shared" si="11"/>
        <v>401.9136144119791</v>
      </c>
      <c r="I56">
        <f t="shared" si="12"/>
        <v>445.38706392846507</v>
      </c>
      <c r="J56">
        <f t="shared" si="13"/>
        <v>455.27136767519198</v>
      </c>
      <c r="K56">
        <f t="shared" si="14"/>
        <v>446.63056178900865</v>
      </c>
      <c r="L56">
        <f t="shared" si="15"/>
        <v>428.35552744856511</v>
      </c>
      <c r="M56">
        <f t="shared" si="16"/>
        <v>405.57621346386242</v>
      </c>
      <c r="N56">
        <f t="shared" si="17"/>
        <v>381.18593941865606</v>
      </c>
      <c r="O56">
        <f t="shared" si="18"/>
        <v>356.77257697110866</v>
      </c>
      <c r="P56">
        <f t="shared" si="19"/>
        <v>333.17447268731661</v>
      </c>
      <c r="Q56">
        <f t="shared" si="20"/>
        <v>310.80667481781262</v>
      </c>
      <c r="R56">
        <f t="shared" si="21"/>
        <v>289.8496049132055</v>
      </c>
      <c r="S56">
        <f t="shared" si="22"/>
        <v>270.35662886783973</v>
      </c>
      <c r="T56">
        <f t="shared" si="23"/>
        <v>252.31439397770498</v>
      </c>
      <c r="U56">
        <f t="shared" si="24"/>
        <v>235.67595664903274</v>
      </c>
      <c r="V56">
        <f t="shared" si="25"/>
        <v>220.37841721554457</v>
      </c>
      <c r="W56">
        <f t="shared" si="26"/>
        <v>206.35186027337852</v>
      </c>
      <c r="X56">
        <f t="shared" si="27"/>
        <v>193.52351546980242</v>
      </c>
      <c r="Y56">
        <f t="shared" si="28"/>
        <v>181.81937476838084</v>
      </c>
      <c r="Z56">
        <f t="shared" si="29"/>
        <v>171.16452994704156</v>
      </c>
      <c r="AA56">
        <f t="shared" si="30"/>
        <v>161.48293377228725</v>
      </c>
      <c r="AB56">
        <f t="shared" si="31"/>
        <v>152.69696706980449</v>
      </c>
      <c r="AC56">
        <f t="shared" si="32"/>
        <v>144.72701098171405</v>
      </c>
      <c r="AD56">
        <f t="shared" si="33"/>
        <v>137.49112051741764</v>
      </c>
      <c r="AE56">
        <f t="shared" si="34"/>
        <v>130.90483814852547</v>
      </c>
      <c r="AF56">
        <f t="shared" si="35"/>
        <v>124.88115504826146</v>
      </c>
      <c r="AG56">
        <f t="shared" si="36"/>
        <v>119.33061129499677</v>
      </c>
      <c r="AH56">
        <f t="shared" si="37"/>
        <v>114.16151840271483</v>
      </c>
      <c r="AI56">
        <f t="shared" ref="AI56:AI69" si="120">CX56*AJ56+EF56</f>
        <v>109.28028413240418</v>
      </c>
      <c r="AJ56">
        <f t="shared" si="103"/>
        <v>104.59181850216498</v>
      </c>
      <c r="AK56">
        <f t="shared" si="39"/>
        <v>100</v>
      </c>
      <c r="AL56" s="86"/>
      <c r="AM56" s="26">
        <v>4.3333333333333335E-2</v>
      </c>
      <c r="AN56" s="27">
        <f t="shared" si="40"/>
        <v>-1076400000</v>
      </c>
      <c r="AO56" s="27">
        <f t="shared" si="104"/>
        <v>-1684008331.1775227</v>
      </c>
      <c r="AP56" s="27">
        <f t="shared" si="41"/>
        <v>-1737107848.8621354</v>
      </c>
      <c r="AQ56" s="27">
        <f t="shared" si="42"/>
        <v>-1710207621.0988376</v>
      </c>
      <c r="AR56" s="27">
        <f t="shared" si="43"/>
        <v>-1642396161.4995999</v>
      </c>
      <c r="AS56" s="27">
        <f t="shared" si="44"/>
        <v>-1555587350.2126846</v>
      </c>
      <c r="AT56" s="27">
        <f t="shared" si="45"/>
        <v>-1461876828.5588229</v>
      </c>
      <c r="AU56" s="27">
        <f t="shared" si="46"/>
        <v>-1367790736.6198294</v>
      </c>
      <c r="AV56" s="27">
        <f t="shared" si="47"/>
        <v>-1276724837.3743911</v>
      </c>
      <c r="AW56" s="27">
        <f t="shared" si="48"/>
        <v>-1190336539.446939</v>
      </c>
      <c r="AX56" s="27">
        <f t="shared" si="49"/>
        <v>-1109333935.4716389</v>
      </c>
      <c r="AY56" s="27">
        <f t="shared" si="50"/>
        <v>-1033919033.8513218</v>
      </c>
      <c r="AZ56" s="27">
        <f t="shared" si="51"/>
        <v>-964033515.99515259</v>
      </c>
      <c r="BA56" s="27">
        <f t="shared" si="52"/>
        <v>-899492323.68755114</v>
      </c>
      <c r="BB56" s="27">
        <f t="shared" si="53"/>
        <v>-840054015.17066753</v>
      </c>
      <c r="BC56" s="27">
        <f t="shared" si="54"/>
        <v>-785455893.45530033</v>
      </c>
      <c r="BD56" s="27">
        <f t="shared" si="55"/>
        <v>-735429876.40711975</v>
      </c>
      <c r="BE56" s="27">
        <f t="shared" si="56"/>
        <v>-689708168.5227313</v>
      </c>
      <c r="BF56" s="27">
        <f t="shared" si="57"/>
        <v>-648023831.7254101</v>
      </c>
      <c r="BG56" s="27">
        <f t="shared" si="58"/>
        <v>-610109084.05312324</v>
      </c>
      <c r="BH56" s="27">
        <f t="shared" si="59"/>
        <v>-575692860.35976255</v>
      </c>
      <c r="BI56" s="27">
        <f t="shared" si="60"/>
        <v>-544498433.90287459</v>
      </c>
      <c r="BJ56" s="27">
        <f t="shared" si="61"/>
        <v>-516241483.71988297</v>
      </c>
      <c r="BK56" s="27">
        <f t="shared" si="62"/>
        <v>-490628762.90152103</v>
      </c>
      <c r="BL56" s="27">
        <f t="shared" si="63"/>
        <v>-467357398.30478883</v>
      </c>
      <c r="BM56" s="27">
        <f t="shared" si="64"/>
        <v>-446114787.41658503</v>
      </c>
      <c r="BN56" s="27">
        <f t="shared" si="65"/>
        <v>-426579026.76197994</v>
      </c>
      <c r="BO56" s="27">
        <f t="shared" si="66"/>
        <v>-408419793.33397996</v>
      </c>
      <c r="BP56" s="27">
        <f t="shared" si="67"/>
        <v>-391299597.29717046</v>
      </c>
      <c r="BQ56" s="27">
        <f t="shared" si="68"/>
        <v>-374875325.67554086</v>
      </c>
      <c r="BR56" s="27">
        <f t="shared" si="69"/>
        <v>-358800000</v>
      </c>
      <c r="BT56" s="86"/>
      <c r="BU56" s="26">
        <v>4.3333333333333335E-2</v>
      </c>
      <c r="BV56" s="13">
        <v>0</v>
      </c>
      <c r="BW56" s="13">
        <f t="shared" ref="BW56:CY56" si="121">$B$20/($B$21-$B$22*BV56)</f>
        <v>0.34883720930232553</v>
      </c>
      <c r="BX56" s="13">
        <f t="shared" si="121"/>
        <v>0.39716748768472904</v>
      </c>
      <c r="BY56" s="13">
        <f t="shared" si="121"/>
        <v>0.40494040593779607</v>
      </c>
      <c r="BZ56" s="13">
        <f t="shared" si="121"/>
        <v>0.4062190081621499</v>
      </c>
      <c r="CA56" s="13">
        <f t="shared" si="121"/>
        <v>0.40643010492156101</v>
      </c>
      <c r="CB56" s="13">
        <f t="shared" si="121"/>
        <v>0.40646497802255066</v>
      </c>
      <c r="CC56" s="13">
        <f t="shared" si="121"/>
        <v>0.40647073962099717</v>
      </c>
      <c r="CD56" s="13">
        <f t="shared" si="121"/>
        <v>0.40647169154566137</v>
      </c>
      <c r="CE56" s="13">
        <f t="shared" si="121"/>
        <v>0.40647184882198806</v>
      </c>
      <c r="CF56" s="13">
        <f t="shared" si="121"/>
        <v>0.40647187480708435</v>
      </c>
      <c r="CG56" s="13">
        <f t="shared" si="121"/>
        <v>0.40647187910032606</v>
      </c>
      <c r="CH56" s="13">
        <f t="shared" si="121"/>
        <v>0.40647187980965277</v>
      </c>
      <c r="CI56" s="13">
        <f t="shared" si="121"/>
        <v>0.4064718799268473</v>
      </c>
      <c r="CJ56" s="13">
        <f t="shared" si="121"/>
        <v>0.40647187994621015</v>
      </c>
      <c r="CK56" s="13">
        <f t="shared" si="121"/>
        <v>0.40647187994940925</v>
      </c>
      <c r="CL56" s="13">
        <f t="shared" si="121"/>
        <v>0.40647187994993778</v>
      </c>
      <c r="CM56" s="13">
        <f t="shared" si="121"/>
        <v>0.40647187995002515</v>
      </c>
      <c r="CN56" s="13">
        <f t="shared" si="121"/>
        <v>0.40647187995003953</v>
      </c>
      <c r="CO56" s="13">
        <f t="shared" si="121"/>
        <v>0.40647187995004191</v>
      </c>
      <c r="CP56" s="13">
        <f t="shared" si="121"/>
        <v>0.40647187995004236</v>
      </c>
      <c r="CQ56" s="13">
        <f t="shared" si="121"/>
        <v>0.40647187995004236</v>
      </c>
      <c r="CR56" s="13">
        <f t="shared" si="121"/>
        <v>0.40647187995004236</v>
      </c>
      <c r="CS56" s="13">
        <f t="shared" si="121"/>
        <v>0.40647187995004236</v>
      </c>
      <c r="CT56" s="13">
        <f t="shared" si="121"/>
        <v>0.40647187995004236</v>
      </c>
      <c r="CU56" s="13">
        <f t="shared" si="121"/>
        <v>0.40647187995004236</v>
      </c>
      <c r="CV56" s="13">
        <f t="shared" si="121"/>
        <v>0.40647187995004236</v>
      </c>
      <c r="CW56" s="13">
        <f t="shared" si="121"/>
        <v>0.40647187995004236</v>
      </c>
      <c r="CX56" s="13">
        <f t="shared" si="121"/>
        <v>0.40647187995004236</v>
      </c>
      <c r="CY56" s="13">
        <f t="shared" si="121"/>
        <v>0.40647187995004236</v>
      </c>
      <c r="CZ56" s="13">
        <f t="shared" si="71"/>
        <v>100</v>
      </c>
      <c r="DB56" s="86"/>
      <c r="DC56" s="26">
        <v>4.3333333333333335E-2</v>
      </c>
      <c r="DD56" s="13">
        <f t="shared" si="72"/>
        <v>300</v>
      </c>
      <c r="DE56" s="13">
        <f t="shared" si="73"/>
        <v>246.54603397181691</v>
      </c>
      <c r="DF56" s="13">
        <f t="shared" si="74"/>
        <v>264.56807861411852</v>
      </c>
      <c r="DG56" s="13">
        <f t="shared" si="75"/>
        <v>274.41260668012495</v>
      </c>
      <c r="DH56" s="13">
        <f t="shared" si="76"/>
        <v>272.62440428807793</v>
      </c>
      <c r="DI56" s="13">
        <f t="shared" si="77"/>
        <v>263.5171444567581</v>
      </c>
      <c r="DJ56" s="13">
        <f t="shared" si="78"/>
        <v>250.63747897555305</v>
      </c>
      <c r="DK56" s="13">
        <f t="shared" si="79"/>
        <v>236.16832618072038</v>
      </c>
      <c r="DL56" s="13">
        <f t="shared" si="80"/>
        <v>221.34658547806131</v>
      </c>
      <c r="DM56" s="13">
        <f t="shared" si="81"/>
        <v>206.84030894790587</v>
      </c>
      <c r="DN56" s="13">
        <f t="shared" si="82"/>
        <v>192.9909624966493</v>
      </c>
      <c r="DO56" s="13">
        <f t="shared" si="83"/>
        <v>179.95723795006521</v>
      </c>
      <c r="DP56" s="13">
        <f t="shared" si="84"/>
        <v>167.79792284468863</v>
      </c>
      <c r="DQ56" s="13">
        <f t="shared" si="85"/>
        <v>156.51874482501449</v>
      </c>
      <c r="DR56" s="13">
        <f t="shared" si="86"/>
        <v>146.0983271038601</v>
      </c>
      <c r="DS56" s="13">
        <f t="shared" si="87"/>
        <v>136.5021886391666</v>
      </c>
      <c r="DT56" s="13">
        <f t="shared" si="88"/>
        <v>127.68999312584705</v>
      </c>
      <c r="DU56" s="13">
        <f t="shared" si="89"/>
        <v>119.61905239636047</v>
      </c>
      <c r="DV56" s="13">
        <f t="shared" si="90"/>
        <v>112.24580650004202</v>
      </c>
      <c r="DW56" s="13">
        <f t="shared" si="91"/>
        <v>105.52625827677183</v>
      </c>
      <c r="DX56" s="13">
        <f t="shared" si="92"/>
        <v>99.415910504754123</v>
      </c>
      <c r="DY56" s="13">
        <f t="shared" si="93"/>
        <v>93.869506836516763</v>
      </c>
      <c r="DZ56" s="13">
        <f t="shared" si="94"/>
        <v>88.840736748561469</v>
      </c>
      <c r="EA56" s="13">
        <f t="shared" si="95"/>
        <v>84.281984860630473</v>
      </c>
      <c r="EB56" s="13">
        <f t="shared" si="96"/>
        <v>80.144160285725903</v>
      </c>
      <c r="EC56" s="13">
        <f t="shared" si="97"/>
        <v>76.376617139596362</v>
      </c>
      <c r="ED56" s="13">
        <f t="shared" si="98"/>
        <v>72.927164291893916</v>
      </c>
      <c r="EE56" s="13">
        <f t="shared" si="99"/>
        <v>69.742155869941726</v>
      </c>
      <c r="EF56" s="13">
        <f t="shared" si="100"/>
        <v>66.766651038435555</v>
      </c>
      <c r="EG56" s="13">
        <f t="shared" si="101"/>
        <v>63.944630507160745</v>
      </c>
      <c r="EH56" s="13">
        <f t="shared" si="102"/>
        <v>61.219257103960139</v>
      </c>
    </row>
    <row r="57" spans="5:138" x14ac:dyDescent="0.25">
      <c r="E57" s="95"/>
      <c r="F57" s="26">
        <v>0.04</v>
      </c>
      <c r="G57">
        <f t="shared" si="10"/>
        <v>300</v>
      </c>
      <c r="H57">
        <f t="shared" si="11"/>
        <v>363.48415036124572</v>
      </c>
      <c r="I57">
        <f t="shared" si="12"/>
        <v>396.34005891316104</v>
      </c>
      <c r="J57">
        <f t="shared" si="13"/>
        <v>407.82058403843564</v>
      </c>
      <c r="K57">
        <f t="shared" si="14"/>
        <v>405.3185737147262</v>
      </c>
      <c r="L57">
        <f t="shared" si="15"/>
        <v>394.17244052543754</v>
      </c>
      <c r="M57">
        <f t="shared" si="16"/>
        <v>378.0228286396466</v>
      </c>
      <c r="N57">
        <f t="shared" si="17"/>
        <v>359.26098387869604</v>
      </c>
      <c r="O57">
        <f t="shared" si="18"/>
        <v>339.41401625656511</v>
      </c>
      <c r="P57">
        <f t="shared" si="19"/>
        <v>319.43380717688103</v>
      </c>
      <c r="Q57">
        <f t="shared" si="20"/>
        <v>299.89905700916501</v>
      </c>
      <c r="R57">
        <f t="shared" si="21"/>
        <v>281.15073402205314</v>
      </c>
      <c r="S57">
        <f t="shared" si="22"/>
        <v>263.38031072352146</v>
      </c>
      <c r="T57">
        <f t="shared" si="23"/>
        <v>246.68602821741854</v>
      </c>
      <c r="U57">
        <f t="shared" si="24"/>
        <v>231.10814832856769</v>
      </c>
      <c r="V57">
        <f t="shared" si="25"/>
        <v>216.65069098010528</v>
      </c>
      <c r="W57">
        <f t="shared" si="26"/>
        <v>203.2946277676883</v>
      </c>
      <c r="X57">
        <f t="shared" si="27"/>
        <v>191.00575840027119</v>
      </c>
      <c r="Y57">
        <f t="shared" si="28"/>
        <v>179.73933234633606</v>
      </c>
      <c r="Z57">
        <f t="shared" si="29"/>
        <v>169.44271767995099</v>
      </c>
      <c r="AA57">
        <f t="shared" si="30"/>
        <v>160.05692998163414</v>
      </c>
      <c r="AB57">
        <f t="shared" si="31"/>
        <v>151.51752283534506</v>
      </c>
      <c r="AC57">
        <f t="shared" si="32"/>
        <v>143.75514493546174</v>
      </c>
      <c r="AD57">
        <f t="shared" si="33"/>
        <v>136.69594559665342</v>
      </c>
      <c r="AE57">
        <f t="shared" si="34"/>
        <v>130.26193370471492</v>
      </c>
      <c r="AF57">
        <f t="shared" si="35"/>
        <v>124.37134768066224</v>
      </c>
      <c r="AG57">
        <f t="shared" si="36"/>
        <v>118.93906493959128</v>
      </c>
      <c r="AH57">
        <f t="shared" si="37"/>
        <v>113.87706170636253</v>
      </c>
      <c r="AI57">
        <f t="shared" si="120"/>
        <v>109.09492354721969</v>
      </c>
      <c r="AJ57">
        <f t="shared" si="103"/>
        <v>104.5004008484775</v>
      </c>
      <c r="AK57">
        <f t="shared" si="39"/>
        <v>100</v>
      </c>
      <c r="AL57" s="86"/>
      <c r="AM57" s="26">
        <v>0.04</v>
      </c>
      <c r="AN57" s="27">
        <f t="shared" si="40"/>
        <v>-1076400000</v>
      </c>
      <c r="AO57" s="27">
        <f t="shared" si="104"/>
        <v>-1430982052.5867774</v>
      </c>
      <c r="AP57" s="27">
        <f t="shared" si="41"/>
        <v>-1510562218.7667139</v>
      </c>
      <c r="AQ57" s="27">
        <f t="shared" si="42"/>
        <v>-1521147952.2887006</v>
      </c>
      <c r="AR57" s="27">
        <f t="shared" si="43"/>
        <v>-1490069711.1519363</v>
      </c>
      <c r="AS57" s="27">
        <f t="shared" si="44"/>
        <v>-1435005118.4087889</v>
      </c>
      <c r="AT57" s="27">
        <f t="shared" si="45"/>
        <v>-1367160553.2622128</v>
      </c>
      <c r="AU57" s="27">
        <f t="shared" si="46"/>
        <v>-1293520818.802048</v>
      </c>
      <c r="AV57" s="27">
        <f t="shared" si="47"/>
        <v>-1218369109.9628263</v>
      </c>
      <c r="AW57" s="27">
        <f t="shared" si="48"/>
        <v>-1144284300.255101</v>
      </c>
      <c r="AX57" s="27">
        <f t="shared" si="49"/>
        <v>-1072782008.0211834</v>
      </c>
      <c r="AY57" s="27">
        <f t="shared" si="50"/>
        <v>-1004720328.960404</v>
      </c>
      <c r="AZ57" s="27">
        <f t="shared" si="51"/>
        <v>-940553331.99534059</v>
      </c>
      <c r="BA57" s="27">
        <f t="shared" si="52"/>
        <v>-880487562.40867388</v>
      </c>
      <c r="BB57" s="27">
        <f t="shared" si="53"/>
        <v>-824577486.88569272</v>
      </c>
      <c r="BC57" s="27">
        <f t="shared" si="54"/>
        <v>-772782907.51338959</v>
      </c>
      <c r="BD57" s="27">
        <f t="shared" si="55"/>
        <v>-725002941.91216624</v>
      </c>
      <c r="BE57" s="27">
        <f t="shared" si="56"/>
        <v>-681095745.82235765</v>
      </c>
      <c r="BF57" s="27">
        <f t="shared" si="57"/>
        <v>-640889705.31419683</v>
      </c>
      <c r="BG57" s="27">
        <f t="shared" si="58"/>
        <v>-604189647.38786197</v>
      </c>
      <c r="BH57" s="27">
        <f t="shared" si="59"/>
        <v>-570780249.28870809</v>
      </c>
      <c r="BI57" s="27">
        <f t="shared" si="60"/>
        <v>-540427970.85309827</v>
      </c>
      <c r="BJ57" s="27">
        <f t="shared" si="61"/>
        <v>-512882300.78558648</v>
      </c>
      <c r="BK57" s="27">
        <f t="shared" si="62"/>
        <v>-487876776.77075136</v>
      </c>
      <c r="BL57" s="27">
        <f t="shared" si="63"/>
        <v>-465130035.03946996</v>
      </c>
      <c r="BM57" s="27">
        <f t="shared" si="64"/>
        <v>-444347019.88667202</v>
      </c>
      <c r="BN57" s="27">
        <f t="shared" si="65"/>
        <v>-425220407.84078676</v>
      </c>
      <c r="BO57" s="27">
        <f t="shared" si="66"/>
        <v>-407432255.99571335</v>
      </c>
      <c r="BP57" s="27">
        <f t="shared" si="67"/>
        <v>-390655857.68136579</v>
      </c>
      <c r="BQ57" s="27">
        <f t="shared" si="68"/>
        <v>-374557773.78424156</v>
      </c>
      <c r="BR57" s="27">
        <f t="shared" si="69"/>
        <v>-358800000</v>
      </c>
      <c r="BT57" s="86"/>
      <c r="BU57" s="26">
        <v>0.04</v>
      </c>
      <c r="BV57" s="13">
        <v>0</v>
      </c>
      <c r="BW57" s="13">
        <f t="shared" ref="BW57:CY57" si="122">$B$20/($B$21-$B$22*BV57)</f>
        <v>0.34883720930232553</v>
      </c>
      <c r="BX57" s="13">
        <f t="shared" si="122"/>
        <v>0.39716748768472904</v>
      </c>
      <c r="BY57" s="13">
        <f t="shared" si="122"/>
        <v>0.40494040593779607</v>
      </c>
      <c r="BZ57" s="13">
        <f t="shared" si="122"/>
        <v>0.4062190081621499</v>
      </c>
      <c r="CA57" s="13">
        <f t="shared" si="122"/>
        <v>0.40643010492156101</v>
      </c>
      <c r="CB57" s="13">
        <f t="shared" si="122"/>
        <v>0.40646497802255066</v>
      </c>
      <c r="CC57" s="13">
        <f t="shared" si="122"/>
        <v>0.40647073962099717</v>
      </c>
      <c r="CD57" s="13">
        <f t="shared" si="122"/>
        <v>0.40647169154566137</v>
      </c>
      <c r="CE57" s="13">
        <f t="shared" si="122"/>
        <v>0.40647184882198806</v>
      </c>
      <c r="CF57" s="13">
        <f t="shared" si="122"/>
        <v>0.40647187480708435</v>
      </c>
      <c r="CG57" s="13">
        <f t="shared" si="122"/>
        <v>0.40647187910032606</v>
      </c>
      <c r="CH57" s="13">
        <f t="shared" si="122"/>
        <v>0.40647187980965277</v>
      </c>
      <c r="CI57" s="13">
        <f t="shared" si="122"/>
        <v>0.4064718799268473</v>
      </c>
      <c r="CJ57" s="13">
        <f t="shared" si="122"/>
        <v>0.40647187994621015</v>
      </c>
      <c r="CK57" s="13">
        <f t="shared" si="122"/>
        <v>0.40647187994940925</v>
      </c>
      <c r="CL57" s="13">
        <f t="shared" si="122"/>
        <v>0.40647187994993778</v>
      </c>
      <c r="CM57" s="13">
        <f t="shared" si="122"/>
        <v>0.40647187995002515</v>
      </c>
      <c r="CN57" s="13">
        <f t="shared" si="122"/>
        <v>0.40647187995003953</v>
      </c>
      <c r="CO57" s="13">
        <f t="shared" si="122"/>
        <v>0.40647187995004191</v>
      </c>
      <c r="CP57" s="13">
        <f t="shared" si="122"/>
        <v>0.40647187995004236</v>
      </c>
      <c r="CQ57" s="13">
        <f t="shared" si="122"/>
        <v>0.40647187995004236</v>
      </c>
      <c r="CR57" s="13">
        <f t="shared" si="122"/>
        <v>0.40647187995004236</v>
      </c>
      <c r="CS57" s="13">
        <f t="shared" si="122"/>
        <v>0.40647187995004236</v>
      </c>
      <c r="CT57" s="13">
        <f t="shared" si="122"/>
        <v>0.40647187995004236</v>
      </c>
      <c r="CU57" s="13">
        <f t="shared" si="122"/>
        <v>0.40647187995004236</v>
      </c>
      <c r="CV57" s="13">
        <f t="shared" si="122"/>
        <v>0.40647187995004236</v>
      </c>
      <c r="CW57" s="13">
        <f t="shared" si="122"/>
        <v>0.40647187995004236</v>
      </c>
      <c r="CX57" s="13">
        <f t="shared" si="122"/>
        <v>0.40647187995004236</v>
      </c>
      <c r="CY57" s="13">
        <f t="shared" si="122"/>
        <v>0.40647187995004236</v>
      </c>
      <c r="CZ57" s="13">
        <f t="shared" si="71"/>
        <v>100</v>
      </c>
      <c r="DB57" s="86"/>
      <c r="DC57" s="26">
        <v>0.04</v>
      </c>
      <c r="DD57" s="13">
        <f t="shared" si="72"/>
        <v>300</v>
      </c>
      <c r="DE57" s="13">
        <f t="shared" si="73"/>
        <v>225.22599027525933</v>
      </c>
      <c r="DF57" s="13">
        <f t="shared" si="74"/>
        <v>234.36698212449664</v>
      </c>
      <c r="DG57" s="13">
        <f t="shared" si="75"/>
        <v>243.69071626426589</v>
      </c>
      <c r="DH57" s="13">
        <f t="shared" si="76"/>
        <v>245.19823587962895</v>
      </c>
      <c r="DI57" s="13">
        <f t="shared" si="77"/>
        <v>240.53258261868066</v>
      </c>
      <c r="DJ57" s="13">
        <f t="shared" si="78"/>
        <v>231.99582072303252</v>
      </c>
      <c r="DK57" s="13">
        <f t="shared" si="79"/>
        <v>221.29911765315688</v>
      </c>
      <c r="DL57" s="13">
        <f t="shared" si="80"/>
        <v>209.57321631650768</v>
      </c>
      <c r="DM57" s="13">
        <f t="shared" si="81"/>
        <v>197.53328301439493</v>
      </c>
      <c r="DN57" s="13">
        <f t="shared" si="82"/>
        <v>185.61919104783317</v>
      </c>
      <c r="DO57" s="13">
        <f t="shared" si="83"/>
        <v>174.09404420423559</v>
      </c>
      <c r="DP57" s="13">
        <f t="shared" si="84"/>
        <v>163.10937711121034</v>
      </c>
      <c r="DQ57" s="13">
        <f t="shared" si="85"/>
        <v>152.74706469989295</v>
      </c>
      <c r="DR57" s="13">
        <f t="shared" si="86"/>
        <v>143.04573467423887</v>
      </c>
      <c r="DS57" s="13">
        <f t="shared" si="87"/>
        <v>134.01714144775764</v>
      </c>
      <c r="DT57" s="13">
        <f t="shared" si="88"/>
        <v>125.65615806946644</v>
      </c>
      <c r="DU57" s="13">
        <f t="shared" si="89"/>
        <v>117.9467740804936</v>
      </c>
      <c r="DV57" s="13">
        <f t="shared" si="90"/>
        <v>110.86563234712258</v>
      </c>
      <c r="DW57" s="13">
        <f t="shared" si="91"/>
        <v>104.38407645128395</v>
      </c>
      <c r="DX57" s="13">
        <f t="shared" si="92"/>
        <v>98.469317629377954</v>
      </c>
      <c r="DY57" s="13">
        <f t="shared" si="93"/>
        <v>93.085098820937105</v>
      </c>
      <c r="DZ57" s="13">
        <f t="shared" si="94"/>
        <v>88.192086947241307</v>
      </c>
      <c r="EA57" s="13">
        <f t="shared" si="95"/>
        <v>83.748132517770145</v>
      </c>
      <c r="EB57" s="13">
        <f t="shared" si="96"/>
        <v>79.708478201035788</v>
      </c>
      <c r="EC57" s="13">
        <f t="shared" si="97"/>
        <v>76.025962355166399</v>
      </c>
      <c r="ED57" s="13">
        <f t="shared" si="98"/>
        <v>72.651241584619115</v>
      </c>
      <c r="EE57" s="13">
        <f t="shared" si="99"/>
        <v>69.533043039117999</v>
      </c>
      <c r="EF57" s="13">
        <f t="shared" si="100"/>
        <v>66.618449158806044</v>
      </c>
      <c r="EG57" s="13">
        <f t="shared" si="101"/>
        <v>63.853212853473259</v>
      </c>
      <c r="EH57" s="13">
        <f t="shared" si="102"/>
        <v>61.182098398405167</v>
      </c>
    </row>
    <row r="58" spans="5:138" x14ac:dyDescent="0.25">
      <c r="E58" s="95"/>
      <c r="F58" s="26">
        <v>3.6666666666666667E-2</v>
      </c>
      <c r="G58">
        <f t="shared" si="10"/>
        <v>300</v>
      </c>
      <c r="H58">
        <f t="shared" si="11"/>
        <v>340.07600292677057</v>
      </c>
      <c r="I58">
        <f t="shared" si="12"/>
        <v>363.72815069129069</v>
      </c>
      <c r="J58">
        <f t="shared" si="13"/>
        <v>373.77499734082539</v>
      </c>
      <c r="K58">
        <f t="shared" si="14"/>
        <v>373.64078851591751</v>
      </c>
      <c r="L58">
        <f t="shared" si="15"/>
        <v>366.39411854412072</v>
      </c>
      <c r="M58">
        <f t="shared" si="16"/>
        <v>354.47067156532671</v>
      </c>
      <c r="N58">
        <f t="shared" si="17"/>
        <v>339.6815127471545</v>
      </c>
      <c r="O58">
        <f t="shared" si="18"/>
        <v>323.31940407733578</v>
      </c>
      <c r="P58">
        <f t="shared" si="19"/>
        <v>306.28133688466914</v>
      </c>
      <c r="Q58">
        <f t="shared" si="20"/>
        <v>289.17615361040066</v>
      </c>
      <c r="R58">
        <f t="shared" si="21"/>
        <v>272.40897899675178</v>
      </c>
      <c r="S58">
        <f t="shared" si="22"/>
        <v>256.24348540221939</v>
      </c>
      <c r="T58">
        <f t="shared" si="23"/>
        <v>240.84606064497751</v>
      </c>
      <c r="U58">
        <f t="shared" si="24"/>
        <v>226.31631612430709</v>
      </c>
      <c r="V58">
        <f t="shared" si="25"/>
        <v>212.70775892322655</v>
      </c>
      <c r="W58">
        <f t="shared" si="26"/>
        <v>200.04160223014378</v>
      </c>
      <c r="X58">
        <f t="shared" si="27"/>
        <v>188.3159002276914</v>
      </c>
      <c r="Y58">
        <f t="shared" si="28"/>
        <v>177.51155789208406</v>
      </c>
      <c r="Z58">
        <f t="shared" si="29"/>
        <v>167.59628857960496</v>
      </c>
      <c r="AA58">
        <f t="shared" si="30"/>
        <v>158.52724830269256</v>
      </c>
      <c r="AB58">
        <f t="shared" si="31"/>
        <v>150.2528345174251</v>
      </c>
      <c r="AC58">
        <f t="shared" si="32"/>
        <v>142.7139714290914</v>
      </c>
      <c r="AD58">
        <f t="shared" si="33"/>
        <v>135.84509132776074</v>
      </c>
      <c r="AE58">
        <f t="shared" si="34"/>
        <v>129.57494595201581</v>
      </c>
      <c r="AF58">
        <f t="shared" si="35"/>
        <v>123.82733163975918</v>
      </c>
      <c r="AG58">
        <f t="shared" si="36"/>
        <v>118.52177887652695</v>
      </c>
      <c r="AH58">
        <f t="shared" si="37"/>
        <v>113.57423516625953</v>
      </c>
      <c r="AI58">
        <f t="shared" si="120"/>
        <v>108.8977561013168</v>
      </c>
      <c r="AJ58">
        <f t="shared" si="103"/>
        <v>104.40321052080688</v>
      </c>
      <c r="AK58">
        <f t="shared" si="39"/>
        <v>100</v>
      </c>
      <c r="AL58" s="86"/>
      <c r="AM58" s="26">
        <v>3.6666666666666667E-2</v>
      </c>
      <c r="AN58" s="27">
        <f t="shared" si="40"/>
        <v>-1076400000</v>
      </c>
      <c r="AO58" s="27">
        <f t="shared" si="104"/>
        <v>-1288187458.8729701</v>
      </c>
      <c r="AP58" s="27">
        <f t="shared" si="41"/>
        <v>-1361382551.2963901</v>
      </c>
      <c r="AQ58" s="27">
        <f t="shared" si="42"/>
        <v>-1383254260.1230738</v>
      </c>
      <c r="AR58" s="27">
        <f t="shared" si="43"/>
        <v>-1370068738.3432329</v>
      </c>
      <c r="AS58" s="27">
        <f t="shared" si="44"/>
        <v>-1333983954.1452732</v>
      </c>
      <c r="AT58" s="27">
        <f t="shared" si="45"/>
        <v>-1283704816.5914176</v>
      </c>
      <c r="AU58" s="27">
        <f t="shared" si="46"/>
        <v>-1225289280.1226065</v>
      </c>
      <c r="AV58" s="27">
        <f t="shared" si="47"/>
        <v>-1162868490.1140716</v>
      </c>
      <c r="AW58" s="27">
        <f t="shared" si="48"/>
        <v>-1099215297.3200247</v>
      </c>
      <c r="AX58" s="27">
        <f t="shared" si="49"/>
        <v>-1036164683.2991523</v>
      </c>
      <c r="AY58" s="27">
        <f t="shared" si="50"/>
        <v>-974912457.22120261</v>
      </c>
      <c r="AZ58" s="27">
        <f t="shared" si="51"/>
        <v>-916221820.63678062</v>
      </c>
      <c r="BA58" s="27">
        <f t="shared" si="52"/>
        <v>-860563469.41477334</v>
      </c>
      <c r="BB58" s="27">
        <f t="shared" si="53"/>
        <v>-808209226.75091183</v>
      </c>
      <c r="BC58" s="27">
        <f t="shared" si="54"/>
        <v>-759293900.91342604</v>
      </c>
      <c r="BD58" s="27">
        <f t="shared" si="55"/>
        <v>-713855786.38254631</v>
      </c>
      <c r="BE58" s="27">
        <f t="shared" si="56"/>
        <v>-671863020.99621844</v>
      </c>
      <c r="BF58" s="27">
        <f t="shared" si="57"/>
        <v>-633230707.40104699</v>
      </c>
      <c r="BG58" s="27">
        <f t="shared" si="58"/>
        <v>-597832095.21637654</v>
      </c>
      <c r="BH58" s="27">
        <f t="shared" si="59"/>
        <v>-565506013.23465085</v>
      </c>
      <c r="BI58" s="27">
        <f t="shared" si="60"/>
        <v>-536061990.36321551</v>
      </c>
      <c r="BJ58" s="27">
        <f t="shared" si="61"/>
        <v>-509283999.92138755</v>
      </c>
      <c r="BK58" s="27">
        <f t="shared" si="62"/>
        <v>-484933425.92008072</v>
      </c>
      <c r="BL58" s="27">
        <f t="shared" si="63"/>
        <v>-462751627.47299159</v>
      </c>
      <c r="BM58" s="27">
        <f t="shared" si="64"/>
        <v>-442462331.11049503</v>
      </c>
      <c r="BN58" s="27">
        <f t="shared" si="65"/>
        <v>-423773985.12970448</v>
      </c>
      <c r="BO58" s="27">
        <f t="shared" si="66"/>
        <v>-406382148.1448952</v>
      </c>
      <c r="BP58" s="27">
        <f t="shared" si="67"/>
        <v>-389971944.26597309</v>
      </c>
      <c r="BQ58" s="27">
        <f t="shared" si="68"/>
        <v>-374220592.20148468</v>
      </c>
      <c r="BR58" s="27">
        <f t="shared" si="69"/>
        <v>-358800000</v>
      </c>
      <c r="BT58" s="86"/>
      <c r="BU58" s="26">
        <v>3.6666666666666667E-2</v>
      </c>
      <c r="BV58" s="13">
        <v>0</v>
      </c>
      <c r="BW58" s="13">
        <f t="shared" ref="BW58:CY58" si="123">$B$20/($B$21-$B$22*BV58)</f>
        <v>0.34883720930232553</v>
      </c>
      <c r="BX58" s="13">
        <f t="shared" si="123"/>
        <v>0.39716748768472904</v>
      </c>
      <c r="BY58" s="13">
        <f t="shared" si="123"/>
        <v>0.40494040593779607</v>
      </c>
      <c r="BZ58" s="13">
        <f t="shared" si="123"/>
        <v>0.4062190081621499</v>
      </c>
      <c r="CA58" s="13">
        <f t="shared" si="123"/>
        <v>0.40643010492156101</v>
      </c>
      <c r="CB58" s="13">
        <f t="shared" si="123"/>
        <v>0.40646497802255066</v>
      </c>
      <c r="CC58" s="13">
        <f t="shared" si="123"/>
        <v>0.40647073962099717</v>
      </c>
      <c r="CD58" s="13">
        <f t="shared" si="123"/>
        <v>0.40647169154566137</v>
      </c>
      <c r="CE58" s="13">
        <f t="shared" si="123"/>
        <v>0.40647184882198806</v>
      </c>
      <c r="CF58" s="13">
        <f t="shared" si="123"/>
        <v>0.40647187480708435</v>
      </c>
      <c r="CG58" s="13">
        <f t="shared" si="123"/>
        <v>0.40647187910032606</v>
      </c>
      <c r="CH58" s="13">
        <f t="shared" si="123"/>
        <v>0.40647187980965277</v>
      </c>
      <c r="CI58" s="13">
        <f t="shared" si="123"/>
        <v>0.4064718799268473</v>
      </c>
      <c r="CJ58" s="13">
        <f t="shared" si="123"/>
        <v>0.40647187994621015</v>
      </c>
      <c r="CK58" s="13">
        <f t="shared" si="123"/>
        <v>0.40647187994940925</v>
      </c>
      <c r="CL58" s="13">
        <f t="shared" si="123"/>
        <v>0.40647187994993778</v>
      </c>
      <c r="CM58" s="13">
        <f t="shared" si="123"/>
        <v>0.40647187995002515</v>
      </c>
      <c r="CN58" s="13">
        <f t="shared" si="123"/>
        <v>0.40647187995003953</v>
      </c>
      <c r="CO58" s="13">
        <f t="shared" si="123"/>
        <v>0.40647187995004191</v>
      </c>
      <c r="CP58" s="13">
        <f t="shared" si="123"/>
        <v>0.40647187995004236</v>
      </c>
      <c r="CQ58" s="13">
        <f t="shared" si="123"/>
        <v>0.40647187995004236</v>
      </c>
      <c r="CR58" s="13">
        <f t="shared" si="123"/>
        <v>0.40647187995004236</v>
      </c>
      <c r="CS58" s="13">
        <f t="shared" si="123"/>
        <v>0.40647187995004236</v>
      </c>
      <c r="CT58" s="13">
        <f t="shared" si="123"/>
        <v>0.40647187995004236</v>
      </c>
      <c r="CU58" s="13">
        <f t="shared" si="123"/>
        <v>0.40647187995004236</v>
      </c>
      <c r="CV58" s="13">
        <f t="shared" si="123"/>
        <v>0.40647187995004236</v>
      </c>
      <c r="CW58" s="13">
        <f t="shared" si="123"/>
        <v>0.40647187995004236</v>
      </c>
      <c r="CX58" s="13">
        <f t="shared" si="123"/>
        <v>0.40647187995004236</v>
      </c>
      <c r="CY58" s="13">
        <f t="shared" si="123"/>
        <v>0.40647187995004236</v>
      </c>
      <c r="CZ58" s="13">
        <f t="shared" si="71"/>
        <v>100</v>
      </c>
      <c r="DB58" s="86"/>
      <c r="DC58" s="26">
        <v>3.6666666666666667E-2</v>
      </c>
      <c r="DD58" s="13">
        <f t="shared" si="72"/>
        <v>300</v>
      </c>
      <c r="DE58" s="13">
        <f t="shared" si="73"/>
        <v>213.19408989492501</v>
      </c>
      <c r="DF58" s="13">
        <f t="shared" si="74"/>
        <v>215.27687403806877</v>
      </c>
      <c r="DG58" s="13">
        <f t="shared" si="75"/>
        <v>222.47274476427157</v>
      </c>
      <c r="DH58" s="13">
        <f t="shared" si="76"/>
        <v>224.80453308447966</v>
      </c>
      <c r="DI58" s="13">
        <f t="shared" si="77"/>
        <v>222.32656630820875</v>
      </c>
      <c r="DJ58" s="13">
        <f t="shared" si="78"/>
        <v>216.40203295188778</v>
      </c>
      <c r="DK58" s="13">
        <f t="shared" si="79"/>
        <v>208.26163543801977</v>
      </c>
      <c r="DL58" s="13">
        <f t="shared" si="80"/>
        <v>198.82471098495776</v>
      </c>
      <c r="DM58" s="13">
        <f t="shared" si="81"/>
        <v>188.73937109141841</v>
      </c>
      <c r="DN58" s="13">
        <f t="shared" si="82"/>
        <v>178.44956520330729</v>
      </c>
      <c r="DO58" s="13">
        <f t="shared" si="83"/>
        <v>168.25320797809468</v>
      </c>
      <c r="DP58" s="13">
        <f t="shared" si="84"/>
        <v>158.34633438710574</v>
      </c>
      <c r="DQ58" s="13">
        <f t="shared" si="85"/>
        <v>148.85484217181173</v>
      </c>
      <c r="DR58" s="13">
        <f t="shared" si="86"/>
        <v>139.85659347563794</v>
      </c>
      <c r="DS58" s="13">
        <f t="shared" si="87"/>
        <v>131.39647279664806</v>
      </c>
      <c r="DT58" s="13">
        <f t="shared" si="88"/>
        <v>123.49648424012915</v>
      </c>
      <c r="DU58" s="13">
        <f t="shared" si="89"/>
        <v>116.16244357843827</v>
      </c>
      <c r="DV58" s="13">
        <f t="shared" si="90"/>
        <v>109.38837940048271</v>
      </c>
      <c r="DW58" s="13">
        <f t="shared" si="91"/>
        <v>103.15941993870243</v>
      </c>
      <c r="DX58" s="13">
        <f t="shared" si="92"/>
        <v>97.453696188572167</v>
      </c>
      <c r="DY58" s="13">
        <f t="shared" si="93"/>
        <v>92.24361825550568</v>
      </c>
      <c r="DZ58" s="13">
        <f t="shared" si="94"/>
        <v>87.496761775111295</v>
      </c>
      <c r="EA58" s="13">
        <f t="shared" si="95"/>
        <v>83.176519452219736</v>
      </c>
      <c r="EB58" s="13">
        <f t="shared" si="96"/>
        <v>79.242617671205551</v>
      </c>
      <c r="EC58" s="13">
        <f t="shared" si="97"/>
        <v>75.651561364794048</v>
      </c>
      <c r="ED58" s="13">
        <f t="shared" si="98"/>
        <v>72.357045994609223</v>
      </c>
      <c r="EE58" s="13">
        <f t="shared" si="99"/>
        <v>69.310359521416089</v>
      </c>
      <c r="EF58" s="13">
        <f t="shared" si="100"/>
        <v>66.460786848104391</v>
      </c>
      <c r="EG58" s="13">
        <f t="shared" si="101"/>
        <v>63.756022525802649</v>
      </c>
      <c r="EH58" s="13">
        <f t="shared" si="102"/>
        <v>61.142593263203935</v>
      </c>
    </row>
    <row r="59" spans="5:138" x14ac:dyDescent="0.25">
      <c r="E59" s="95"/>
      <c r="F59" s="26">
        <v>3.3333333333333333E-2</v>
      </c>
      <c r="G59">
        <f t="shared" si="10"/>
        <v>300</v>
      </c>
      <c r="H59">
        <f t="shared" si="11"/>
        <v>325.314131560796</v>
      </c>
      <c r="I59">
        <f t="shared" si="12"/>
        <v>341.58692987786361</v>
      </c>
      <c r="J59">
        <f t="shared" si="13"/>
        <v>349.14621979311642</v>
      </c>
      <c r="K59">
        <f t="shared" si="14"/>
        <v>349.42355673755605</v>
      </c>
      <c r="L59">
        <f t="shared" si="15"/>
        <v>344.10618546918056</v>
      </c>
      <c r="M59">
        <f t="shared" si="16"/>
        <v>334.75645591768256</v>
      </c>
      <c r="N59">
        <f t="shared" si="17"/>
        <v>322.6754626517519</v>
      </c>
      <c r="O59">
        <f t="shared" si="18"/>
        <v>308.88417115786609</v>
      </c>
      <c r="P59">
        <f t="shared" si="19"/>
        <v>294.15400940772633</v>
      </c>
      <c r="Q59">
        <f t="shared" si="20"/>
        <v>279.05269783406999</v>
      </c>
      <c r="R59">
        <f t="shared" si="21"/>
        <v>263.98959735971869</v>
      </c>
      <c r="S59">
        <f t="shared" si="22"/>
        <v>249.25446525994991</v>
      </c>
      <c r="T59">
        <f t="shared" si="23"/>
        <v>235.04817108796175</v>
      </c>
      <c r="U59">
        <f t="shared" si="24"/>
        <v>221.50595817743579</v>
      </c>
      <c r="V59">
        <f t="shared" si="25"/>
        <v>208.71454558815441</v>
      </c>
      <c r="W59">
        <f t="shared" si="26"/>
        <v>196.72445657261568</v>
      </c>
      <c r="X59">
        <f t="shared" si="27"/>
        <v>185.55879771257787</v>
      </c>
      <c r="Y59">
        <f t="shared" si="28"/>
        <v>175.21947600359181</v>
      </c>
      <c r="Z59">
        <f t="shared" si="29"/>
        <v>165.69160901277698</v>
      </c>
      <c r="AA59">
        <f t="shared" si="30"/>
        <v>156.94668582695044</v>
      </c>
      <c r="AB59">
        <f t="shared" si="31"/>
        <v>148.94488043353735</v>
      </c>
      <c r="AC59">
        <f t="shared" si="32"/>
        <v>141.63680108602691</v>
      </c>
      <c r="AD59">
        <f t="shared" si="33"/>
        <v>134.9648724279146</v>
      </c>
      <c r="AE59">
        <f t="shared" si="34"/>
        <v>128.86448469838609</v>
      </c>
      <c r="AF59">
        <f t="shared" si="35"/>
        <v>123.26500010961186</v>
      </c>
      <c r="AG59">
        <f t="shared" si="36"/>
        <v>118.09067556197803</v>
      </c>
      <c r="AH59">
        <f t="shared" si="37"/>
        <v>113.26153949701416</v>
      </c>
      <c r="AI59">
        <f t="shared" si="120"/>
        <v>108.69424609839953</v>
      </c>
      <c r="AJ59">
        <f t="shared" si="103"/>
        <v>104.30292022788429</v>
      </c>
      <c r="AK59">
        <f t="shared" si="39"/>
        <v>100</v>
      </c>
      <c r="AL59" s="86"/>
      <c r="AM59" s="26">
        <v>3.3333333333333333E-2</v>
      </c>
      <c r="AN59" s="27">
        <f t="shared" si="40"/>
        <v>-1076400000</v>
      </c>
      <c r="AO59" s="27">
        <f t="shared" si="104"/>
        <v>-1204658223.6691713</v>
      </c>
      <c r="AP59" s="27">
        <f t="shared" si="41"/>
        <v>-1261687829.185288</v>
      </c>
      <c r="AQ59" s="27">
        <f t="shared" si="42"/>
        <v>-1282883921.9168677</v>
      </c>
      <c r="AR59" s="27">
        <f t="shared" si="43"/>
        <v>-1276893813.5754056</v>
      </c>
      <c r="AS59" s="27">
        <f t="shared" si="44"/>
        <v>-1251346956.755547</v>
      </c>
      <c r="AT59" s="27">
        <f t="shared" si="45"/>
        <v>-1212413595.6103959</v>
      </c>
      <c r="AU59" s="27">
        <f t="shared" si="46"/>
        <v>-1164840194.6582198</v>
      </c>
      <c r="AV59" s="27">
        <f t="shared" si="47"/>
        <v>-1112163328.9753153</v>
      </c>
      <c r="AW59" s="27">
        <f t="shared" si="48"/>
        <v>-1056961146.0242804</v>
      </c>
      <c r="AX59" s="27">
        <f t="shared" si="49"/>
        <v>-1001082885.8775204</v>
      </c>
      <c r="AY59" s="27">
        <f t="shared" si="50"/>
        <v>-945836886.25589859</v>
      </c>
      <c r="AZ59" s="27">
        <f t="shared" si="51"/>
        <v>-892135632.33168852</v>
      </c>
      <c r="BA59" s="27">
        <f t="shared" si="52"/>
        <v>-840603541.44115353</v>
      </c>
      <c r="BB59" s="27">
        <f t="shared" si="53"/>
        <v>-791655064.61068726</v>
      </c>
      <c r="BC59" s="27">
        <f t="shared" si="54"/>
        <v>-745550309.97500324</v>
      </c>
      <c r="BD59" s="27">
        <f t="shared" si="55"/>
        <v>-702434209.33877158</v>
      </c>
      <c r="BE59" s="27">
        <f t="shared" si="56"/>
        <v>-662363930.387375</v>
      </c>
      <c r="BF59" s="27">
        <f t="shared" si="57"/>
        <v>-625328057.36765862</v>
      </c>
      <c r="BG59" s="27">
        <f t="shared" si="58"/>
        <v>-591260105.78519249</v>
      </c>
      <c r="BH59" s="27">
        <f t="shared" si="59"/>
        <v>-560048201.08650649</v>
      </c>
      <c r="BI59" s="27">
        <f t="shared" si="60"/>
        <v>-531542205.16549516</v>
      </c>
      <c r="BJ59" s="27">
        <f t="shared" si="61"/>
        <v>-505559178.44255644</v>
      </c>
      <c r="BK59" s="27">
        <f t="shared" si="62"/>
        <v>-481887782.82702088</v>
      </c>
      <c r="BL59" s="27">
        <f t="shared" si="63"/>
        <v>-460292032.09508657</v>
      </c>
      <c r="BM59" s="27">
        <f t="shared" si="64"/>
        <v>-440514657.82296634</v>
      </c>
      <c r="BN59" s="27">
        <f t="shared" si="65"/>
        <v>-422280263.59812379</v>
      </c>
      <c r="BO59" s="27">
        <f t="shared" si="66"/>
        <v>-405298375.07660097</v>
      </c>
      <c r="BP59" s="27">
        <f t="shared" si="67"/>
        <v>-389266449.43472618</v>
      </c>
      <c r="BQ59" s="27">
        <f t="shared" si="68"/>
        <v>-373872878.41715682</v>
      </c>
      <c r="BR59" s="27">
        <f t="shared" si="69"/>
        <v>-358800000</v>
      </c>
      <c r="BT59" s="86"/>
      <c r="BU59" s="26">
        <v>3.3333333333333333E-2</v>
      </c>
      <c r="BV59" s="13">
        <v>0</v>
      </c>
      <c r="BW59" s="13">
        <f t="shared" ref="BW59:CY59" si="124">$B$20/($B$21-$B$22*BV59)</f>
        <v>0.34883720930232553</v>
      </c>
      <c r="BX59" s="13">
        <f t="shared" si="124"/>
        <v>0.39716748768472904</v>
      </c>
      <c r="BY59" s="13">
        <f t="shared" si="124"/>
        <v>0.40494040593779607</v>
      </c>
      <c r="BZ59" s="13">
        <f t="shared" si="124"/>
        <v>0.4062190081621499</v>
      </c>
      <c r="CA59" s="13">
        <f t="shared" si="124"/>
        <v>0.40643010492156101</v>
      </c>
      <c r="CB59" s="13">
        <f t="shared" si="124"/>
        <v>0.40646497802255066</v>
      </c>
      <c r="CC59" s="13">
        <f t="shared" si="124"/>
        <v>0.40647073962099717</v>
      </c>
      <c r="CD59" s="13">
        <f t="shared" si="124"/>
        <v>0.40647169154566137</v>
      </c>
      <c r="CE59" s="13">
        <f t="shared" si="124"/>
        <v>0.40647184882198806</v>
      </c>
      <c r="CF59" s="13">
        <f t="shared" si="124"/>
        <v>0.40647187480708435</v>
      </c>
      <c r="CG59" s="13">
        <f t="shared" si="124"/>
        <v>0.40647187910032606</v>
      </c>
      <c r="CH59" s="13">
        <f t="shared" si="124"/>
        <v>0.40647187980965277</v>
      </c>
      <c r="CI59" s="13">
        <f t="shared" si="124"/>
        <v>0.4064718799268473</v>
      </c>
      <c r="CJ59" s="13">
        <f t="shared" si="124"/>
        <v>0.40647187994621015</v>
      </c>
      <c r="CK59" s="13">
        <f t="shared" si="124"/>
        <v>0.40647187994940925</v>
      </c>
      <c r="CL59" s="13">
        <f t="shared" si="124"/>
        <v>0.40647187994993778</v>
      </c>
      <c r="CM59" s="13">
        <f t="shared" si="124"/>
        <v>0.40647187995002515</v>
      </c>
      <c r="CN59" s="13">
        <f t="shared" si="124"/>
        <v>0.40647187995003953</v>
      </c>
      <c r="CO59" s="13">
        <f t="shared" si="124"/>
        <v>0.40647187995004191</v>
      </c>
      <c r="CP59" s="13">
        <f t="shared" si="124"/>
        <v>0.40647187995004236</v>
      </c>
      <c r="CQ59" s="13">
        <f t="shared" si="124"/>
        <v>0.40647187995004236</v>
      </c>
      <c r="CR59" s="13">
        <f t="shared" si="124"/>
        <v>0.40647187995004236</v>
      </c>
      <c r="CS59" s="13">
        <f t="shared" si="124"/>
        <v>0.40647187995004236</v>
      </c>
      <c r="CT59" s="13">
        <f t="shared" si="124"/>
        <v>0.40647187995004236</v>
      </c>
      <c r="CU59" s="13">
        <f t="shared" si="124"/>
        <v>0.40647187995004236</v>
      </c>
      <c r="CV59" s="13">
        <f t="shared" si="124"/>
        <v>0.40647187995004236</v>
      </c>
      <c r="CW59" s="13">
        <f t="shared" si="124"/>
        <v>0.40647187995004236</v>
      </c>
      <c r="CX59" s="13">
        <f t="shared" si="124"/>
        <v>0.40647187995004236</v>
      </c>
      <c r="CY59" s="13">
        <f t="shared" si="124"/>
        <v>0.40647187995004236</v>
      </c>
      <c r="CZ59" s="13">
        <f t="shared" si="71"/>
        <v>100</v>
      </c>
      <c r="DB59" s="86"/>
      <c r="DC59" s="26">
        <v>3.3333333333333333E-2</v>
      </c>
      <c r="DD59" s="13">
        <f t="shared" si="72"/>
        <v>300</v>
      </c>
      <c r="DE59" s="13">
        <f t="shared" si="73"/>
        <v>206.15590020805288</v>
      </c>
      <c r="DF59" s="13">
        <f t="shared" si="74"/>
        <v>202.91740292801134</v>
      </c>
      <c r="DG59" s="13">
        <f t="shared" si="75"/>
        <v>207.65050288358194</v>
      </c>
      <c r="DH59" s="13">
        <f t="shared" si="76"/>
        <v>209.64108337380469</v>
      </c>
      <c r="DI59" s="13">
        <f t="shared" si="77"/>
        <v>208.05108396738692</v>
      </c>
      <c r="DJ59" s="13">
        <f t="shared" si="78"/>
        <v>203.60018108252186</v>
      </c>
      <c r="DK59" s="13">
        <f t="shared" si="79"/>
        <v>197.12308514399538</v>
      </c>
      <c r="DL59" s="13">
        <f t="shared" si="80"/>
        <v>189.31889337896919</v>
      </c>
      <c r="DM59" s="13">
        <f t="shared" si="81"/>
        <v>180.72694340034829</v>
      </c>
      <c r="DN59" s="13">
        <f t="shared" si="82"/>
        <v>171.74835126569781</v>
      </c>
      <c r="DO59" s="13">
        <f t="shared" si="83"/>
        <v>162.67466649135989</v>
      </c>
      <c r="DP59" s="13">
        <f t="shared" si="84"/>
        <v>153.71399331200521</v>
      </c>
      <c r="DQ59" s="13">
        <f t="shared" si="85"/>
        <v>145.01222785258182</v>
      </c>
      <c r="DR59" s="13">
        <f t="shared" si="86"/>
        <v>136.6693644600997</v>
      </c>
      <c r="DS59" s="13">
        <f t="shared" si="87"/>
        <v>128.75158589305738</v>
      </c>
      <c r="DT59" s="13">
        <f t="shared" si="88"/>
        <v>121.30002322513394</v>
      </c>
      <c r="DU59" s="13">
        <f t="shared" si="89"/>
        <v>114.33700789753958</v>
      </c>
      <c r="DV59" s="13">
        <f t="shared" si="90"/>
        <v>107.87049619622142</v>
      </c>
      <c r="DW59" s="13">
        <f t="shared" si="91"/>
        <v>101.89719457276783</v>
      </c>
      <c r="DX59" s="13">
        <f t="shared" si="92"/>
        <v>96.404780268196234</v>
      </c>
      <c r="DY59" s="13">
        <f t="shared" si="93"/>
        <v>91.373503625989784</v>
      </c>
      <c r="DZ59" s="13">
        <f t="shared" si="94"/>
        <v>86.777375663034817</v>
      </c>
      <c r="EA59" s="13">
        <f t="shared" si="95"/>
        <v>82.585083073768146</v>
      </c>
      <c r="EB59" s="13">
        <f t="shared" si="96"/>
        <v>78.760728371789966</v>
      </c>
      <c r="EC59" s="13">
        <f t="shared" si="97"/>
        <v>75.264461209364129</v>
      </c>
      <c r="ED59" s="13">
        <f t="shared" si="98"/>
        <v>72.053044676590716</v>
      </c>
      <c r="EE59" s="13">
        <f t="shared" si="99"/>
        <v>69.080384945645136</v>
      </c>
      <c r="EF59" s="13">
        <f t="shared" si="100"/>
        <v>66.298042029092102</v>
      </c>
      <c r="EG59" s="13">
        <f t="shared" si="101"/>
        <v>63.655732232880048</v>
      </c>
      <c r="EH59" s="13">
        <f t="shared" si="102"/>
        <v>61.101828079298933</v>
      </c>
    </row>
    <row r="60" spans="5:138" x14ac:dyDescent="0.25">
      <c r="E60" s="95"/>
      <c r="F60" s="26">
        <v>3.0000000000000002E-2</v>
      </c>
      <c r="G60">
        <f t="shared" si="10"/>
        <v>300</v>
      </c>
      <c r="H60">
        <f t="shared" si="11"/>
        <v>315.68628916827407</v>
      </c>
      <c r="I60">
        <f t="shared" si="12"/>
        <v>326.2463701578717</v>
      </c>
      <c r="J60">
        <f t="shared" si="13"/>
        <v>331.16576661730784</v>
      </c>
      <c r="K60">
        <f t="shared" si="14"/>
        <v>330.91381492029359</v>
      </c>
      <c r="L60">
        <f t="shared" si="15"/>
        <v>326.36795398003494</v>
      </c>
      <c r="M60">
        <f t="shared" si="16"/>
        <v>318.49619693426064</v>
      </c>
      <c r="N60">
        <f t="shared" si="17"/>
        <v>308.20056743325392</v>
      </c>
      <c r="O60">
        <f t="shared" si="18"/>
        <v>296.25355820393366</v>
      </c>
      <c r="P60">
        <f t="shared" si="19"/>
        <v>283.28420051757382</v>
      </c>
      <c r="Q60">
        <f t="shared" si="20"/>
        <v>269.78784306704364</v>
      </c>
      <c r="R60">
        <f t="shared" si="21"/>
        <v>256.14515702799116</v>
      </c>
      <c r="S60">
        <f t="shared" si="22"/>
        <v>242.64286316449173</v>
      </c>
      <c r="T60">
        <f t="shared" si="23"/>
        <v>229.49270897249869</v>
      </c>
      <c r="U60">
        <f t="shared" si="24"/>
        <v>216.84741970366886</v>
      </c>
      <c r="V60">
        <f t="shared" si="25"/>
        <v>204.81345616569627</v>
      </c>
      <c r="W60">
        <f t="shared" si="26"/>
        <v>193.46090907057095</v>
      </c>
      <c r="X60">
        <f t="shared" si="27"/>
        <v>182.83103060991127</v>
      </c>
      <c r="Y60">
        <f t="shared" si="28"/>
        <v>172.94191407874752</v>
      </c>
      <c r="Z60">
        <f t="shared" si="29"/>
        <v>163.79277285562279</v>
      </c>
      <c r="AA60">
        <f t="shared" si="30"/>
        <v>155.36718841918125</v>
      </c>
      <c r="AB60">
        <f t="shared" si="31"/>
        <v>147.63561624538823</v>
      </c>
      <c r="AC60">
        <f t="shared" si="32"/>
        <v>140.5573679539807</v>
      </c>
      <c r="AD60">
        <f t="shared" si="33"/>
        <v>134.08223069902985</v>
      </c>
      <c r="AE60">
        <f t="shared" si="34"/>
        <v>128.15184005688408</v>
      </c>
      <c r="AF60">
        <f t="shared" si="35"/>
        <v>122.70088879948898</v>
      </c>
      <c r="AG60">
        <f t="shared" si="36"/>
        <v>117.65822887794567</v>
      </c>
      <c r="AH60">
        <f t="shared" si="37"/>
        <v>112.94790573193276</v>
      </c>
      <c r="AI60">
        <f t="shared" si="120"/>
        <v>108.49015103394524</v>
      </c>
      <c r="AJ60">
        <f t="shared" si="103"/>
        <v>104.20235085555862</v>
      </c>
      <c r="AK60">
        <f t="shared" si="39"/>
        <v>100</v>
      </c>
      <c r="AL60" s="86"/>
      <c r="AM60" s="26">
        <v>3.0000000000000002E-2</v>
      </c>
      <c r="AN60" s="27">
        <f t="shared" si="40"/>
        <v>-1076400000</v>
      </c>
      <c r="AO60" s="27">
        <f t="shared" si="104"/>
        <v>-1153904907.395488</v>
      </c>
      <c r="AP60" s="27">
        <f t="shared" si="41"/>
        <v>-1193924410.0813122</v>
      </c>
      <c r="AQ60" s="27">
        <f t="shared" si="42"/>
        <v>-1209632151.9906051</v>
      </c>
      <c r="AR60" s="27">
        <f t="shared" si="43"/>
        <v>-1205095552.2010455</v>
      </c>
      <c r="AS60" s="27">
        <f t="shared" si="44"/>
        <v>-1184777428.7572002</v>
      </c>
      <c r="AT60" s="27">
        <f t="shared" si="45"/>
        <v>-1152799186.5647893</v>
      </c>
      <c r="AU60" s="27">
        <f t="shared" si="46"/>
        <v>-1112660348.0257325</v>
      </c>
      <c r="AV60" s="27">
        <f t="shared" si="47"/>
        <v>-1067190289.4478586</v>
      </c>
      <c r="AW60" s="27">
        <f t="shared" si="48"/>
        <v>-1018605490.4807198</v>
      </c>
      <c r="AX60" s="27">
        <f t="shared" si="49"/>
        <v>-968604581.2810353</v>
      </c>
      <c r="AY60" s="27">
        <f t="shared" si="50"/>
        <v>-918467599.80964267</v>
      </c>
      <c r="AZ60" s="27">
        <f t="shared" si="51"/>
        <v>-869144734.79415989</v>
      </c>
      <c r="BA60" s="27">
        <f t="shared" si="52"/>
        <v>-821329699.01142967</v>
      </c>
      <c r="BB60" s="27">
        <f t="shared" si="53"/>
        <v>-775517653.37101483</v>
      </c>
      <c r="BC60" s="27">
        <f t="shared" si="54"/>
        <v>-732049616.64913058</v>
      </c>
      <c r="BD60" s="27">
        <f t="shared" si="55"/>
        <v>-691145893.59852076</v>
      </c>
      <c r="BE60" s="27">
        <f t="shared" si="56"/>
        <v>-652930983.44024849</v>
      </c>
      <c r="BF60" s="27">
        <f t="shared" si="57"/>
        <v>-617452089.93926466</v>
      </c>
      <c r="BG60" s="27">
        <f t="shared" si="58"/>
        <v>-584692943.90910637</v>
      </c>
      <c r="BH60" s="27">
        <f t="shared" si="59"/>
        <v>-554584261.28065729</v>
      </c>
      <c r="BI60" s="27">
        <f t="shared" si="60"/>
        <v>-527011830.21537721</v>
      </c>
      <c r="BJ60" s="27">
        <f t="shared" si="61"/>
        <v>-501822956.52795225</v>
      </c>
      <c r="BK60" s="27">
        <f t="shared" si="62"/>
        <v>-478831792.77110612</v>
      </c>
      <c r="BL60" s="27">
        <f t="shared" si="63"/>
        <v>-457823923.07123244</v>
      </c>
      <c r="BM60" s="27">
        <f t="shared" si="64"/>
        <v>-438560462.88214004</v>
      </c>
      <c r="BN60" s="27">
        <f t="shared" si="65"/>
        <v>-420781850.96337324</v>
      </c>
      <c r="BO60" s="27">
        <f t="shared" si="66"/>
        <v>-404211452.39134979</v>
      </c>
      <c r="BP60" s="27">
        <f t="shared" si="67"/>
        <v>-388559050.19864804</v>
      </c>
      <c r="BQ60" s="27">
        <f t="shared" si="68"/>
        <v>-373524274.67323643</v>
      </c>
      <c r="BR60" s="27">
        <f t="shared" si="69"/>
        <v>-358800000</v>
      </c>
      <c r="BT60" s="86"/>
      <c r="BU60" s="26">
        <v>3.0000000000000002E-2</v>
      </c>
      <c r="BV60" s="13">
        <v>0</v>
      </c>
      <c r="BW60" s="13">
        <f t="shared" ref="BW60:CY60" si="125">$B$20/($B$21-$B$22*BV60)</f>
        <v>0.34883720930232553</v>
      </c>
      <c r="BX60" s="13">
        <f t="shared" si="125"/>
        <v>0.39716748768472904</v>
      </c>
      <c r="BY60" s="13">
        <f t="shared" si="125"/>
        <v>0.40494040593779607</v>
      </c>
      <c r="BZ60" s="13">
        <f t="shared" si="125"/>
        <v>0.4062190081621499</v>
      </c>
      <c r="CA60" s="13">
        <f t="shared" si="125"/>
        <v>0.40643010492156101</v>
      </c>
      <c r="CB60" s="13">
        <f t="shared" si="125"/>
        <v>0.40646497802255066</v>
      </c>
      <c r="CC60" s="13">
        <f t="shared" si="125"/>
        <v>0.40647073962099717</v>
      </c>
      <c r="CD60" s="13">
        <f t="shared" si="125"/>
        <v>0.40647169154566137</v>
      </c>
      <c r="CE60" s="13">
        <f t="shared" si="125"/>
        <v>0.40647184882198806</v>
      </c>
      <c r="CF60" s="13">
        <f t="shared" si="125"/>
        <v>0.40647187480708435</v>
      </c>
      <c r="CG60" s="13">
        <f t="shared" si="125"/>
        <v>0.40647187910032606</v>
      </c>
      <c r="CH60" s="13">
        <f t="shared" si="125"/>
        <v>0.40647187980965277</v>
      </c>
      <c r="CI60" s="13">
        <f t="shared" si="125"/>
        <v>0.4064718799268473</v>
      </c>
      <c r="CJ60" s="13">
        <f t="shared" si="125"/>
        <v>0.40647187994621015</v>
      </c>
      <c r="CK60" s="13">
        <f t="shared" si="125"/>
        <v>0.40647187994940925</v>
      </c>
      <c r="CL60" s="13">
        <f t="shared" si="125"/>
        <v>0.40647187994993778</v>
      </c>
      <c r="CM60" s="13">
        <f t="shared" si="125"/>
        <v>0.40647187995002515</v>
      </c>
      <c r="CN60" s="13">
        <f t="shared" si="125"/>
        <v>0.40647187995003953</v>
      </c>
      <c r="CO60" s="13">
        <f t="shared" si="125"/>
        <v>0.40647187995004191</v>
      </c>
      <c r="CP60" s="13">
        <f t="shared" si="125"/>
        <v>0.40647187995004236</v>
      </c>
      <c r="CQ60" s="13">
        <f t="shared" si="125"/>
        <v>0.40647187995004236</v>
      </c>
      <c r="CR60" s="13">
        <f t="shared" si="125"/>
        <v>0.40647187995004236</v>
      </c>
      <c r="CS60" s="13">
        <f t="shared" si="125"/>
        <v>0.40647187995004236</v>
      </c>
      <c r="CT60" s="13">
        <f t="shared" si="125"/>
        <v>0.40647187995004236</v>
      </c>
      <c r="CU60" s="13">
        <f t="shared" si="125"/>
        <v>0.40647187995004236</v>
      </c>
      <c r="CV60" s="13">
        <f t="shared" si="125"/>
        <v>0.40647187995004236</v>
      </c>
      <c r="CW60" s="13">
        <f t="shared" si="125"/>
        <v>0.40647187995004236</v>
      </c>
      <c r="CX60" s="13">
        <f t="shared" si="125"/>
        <v>0.40647187995004236</v>
      </c>
      <c r="CY60" s="13">
        <f t="shared" si="125"/>
        <v>0.40647187995004236</v>
      </c>
      <c r="CZ60" s="13">
        <f t="shared" si="71"/>
        <v>100</v>
      </c>
      <c r="DB60" s="86"/>
      <c r="DC60" s="26">
        <v>3.0000000000000002E-2</v>
      </c>
      <c r="DD60" s="13">
        <f t="shared" si="72"/>
        <v>300</v>
      </c>
      <c r="DE60" s="13">
        <f t="shared" si="73"/>
        <v>201.87941585738861</v>
      </c>
      <c r="DF60" s="13">
        <f t="shared" si="74"/>
        <v>194.71809462328824</v>
      </c>
      <c r="DG60" s="13">
        <f t="shared" si="75"/>
        <v>197.16539207305942</v>
      </c>
      <c r="DH60" s="13">
        <f t="shared" si="76"/>
        <v>198.3369483586136</v>
      </c>
      <c r="DI60" s="13">
        <f t="shared" si="77"/>
        <v>196.92151124292519</v>
      </c>
      <c r="DJ60" s="13">
        <f t="shared" si="78"/>
        <v>193.22346006596544</v>
      </c>
      <c r="DK60" s="13">
        <f t="shared" si="79"/>
        <v>187.78216451474884</v>
      </c>
      <c r="DL60" s="13">
        <f t="shared" si="80"/>
        <v>181.10655003139513</v>
      </c>
      <c r="DM60" s="13">
        <f t="shared" si="81"/>
        <v>173.62303715641619</v>
      </c>
      <c r="DN60" s="13">
        <f t="shared" si="82"/>
        <v>165.67204086712107</v>
      </c>
      <c r="DO60" s="13">
        <f t="shared" si="83"/>
        <v>157.51765648723693</v>
      </c>
      <c r="DP60" s="13">
        <f t="shared" si="84"/>
        <v>149.36053034583063</v>
      </c>
      <c r="DQ60" s="13">
        <f t="shared" si="85"/>
        <v>141.35033062826236</v>
      </c>
      <c r="DR60" s="13">
        <f t="shared" si="86"/>
        <v>133.59650913771759</v>
      </c>
      <c r="DS60" s="13">
        <f t="shared" si="87"/>
        <v>126.17703675905959</v>
      </c>
      <c r="DT60" s="13">
        <f t="shared" si="88"/>
        <v>119.14523634537568</v>
      </c>
      <c r="DU60" s="13">
        <f t="shared" si="89"/>
        <v>112.53500567216705</v>
      </c>
      <c r="DV60" s="13">
        <f t="shared" si="90"/>
        <v>106.36475777389272</v>
      </c>
      <c r="DW60" s="13">
        <f t="shared" si="91"/>
        <v>100.64037969632581</v>
      </c>
      <c r="DX60" s="13">
        <f t="shared" si="92"/>
        <v>95.357461936335284</v>
      </c>
      <c r="DY60" s="13">
        <f t="shared" si="93"/>
        <v>90.502998652303859</v>
      </c>
      <c r="DZ60" s="13">
        <f t="shared" si="94"/>
        <v>86.056711573850748</v>
      </c>
      <c r="EA60" s="13">
        <f t="shared" si="95"/>
        <v>81.992111352051026</v>
      </c>
      <c r="EB60" s="13">
        <f t="shared" si="96"/>
        <v>78.277379115014696</v>
      </c>
      <c r="EC60" s="13">
        <f t="shared" si="97"/>
        <v>74.876127315878037</v>
      </c>
      <c r="ED60" s="13">
        <f t="shared" si="98"/>
        <v>71.74808129866679</v>
      </c>
      <c r="EE60" s="13">
        <f t="shared" si="99"/>
        <v>68.849710085101009</v>
      </c>
      <c r="EF60" s="13">
        <f t="shared" si="100"/>
        <v>66.134825586472431</v>
      </c>
      <c r="EG60" s="13">
        <f t="shared" si="101"/>
        <v>63.555162860554383</v>
      </c>
      <c r="EH60" s="13">
        <f t="shared" si="102"/>
        <v>61.060949457464332</v>
      </c>
    </row>
    <row r="61" spans="5:138" x14ac:dyDescent="0.25">
      <c r="E61" s="95"/>
      <c r="F61" s="26">
        <v>2.6666666666666668E-2</v>
      </c>
      <c r="G61">
        <f t="shared" si="10"/>
        <v>300</v>
      </c>
      <c r="H61">
        <f t="shared" si="11"/>
        <v>309.21144861943731</v>
      </c>
      <c r="I61">
        <f t="shared" si="12"/>
        <v>315.42085326312514</v>
      </c>
      <c r="J61">
        <f t="shared" si="13"/>
        <v>317.92610612792384</v>
      </c>
      <c r="K61">
        <f t="shared" si="14"/>
        <v>316.75875727165413</v>
      </c>
      <c r="L61">
        <f t="shared" si="15"/>
        <v>312.33711601128903</v>
      </c>
      <c r="M61">
        <f t="shared" si="16"/>
        <v>305.2413870420138</v>
      </c>
      <c r="N61">
        <f t="shared" si="17"/>
        <v>296.08103388591007</v>
      </c>
      <c r="O61">
        <f t="shared" si="18"/>
        <v>285.42457373058136</v>
      </c>
      <c r="P61">
        <f t="shared" si="19"/>
        <v>273.76830631762573</v>
      </c>
      <c r="Q61">
        <f t="shared" si="20"/>
        <v>261.52750189686185</v>
      </c>
      <c r="R61">
        <f t="shared" si="21"/>
        <v>249.03937554634356</v>
      </c>
      <c r="S61">
        <f t="shared" si="22"/>
        <v>236.57137852103813</v>
      </c>
      <c r="T61">
        <f t="shared" si="23"/>
        <v>224.3311453197895</v>
      </c>
      <c r="U61">
        <f t="shared" si="24"/>
        <v>212.47619858515145</v>
      </c>
      <c r="V61">
        <f t="shared" si="25"/>
        <v>201.12256037062889</v>
      </c>
      <c r="W61">
        <f t="shared" si="26"/>
        <v>190.35200177230178</v>
      </c>
      <c r="X61">
        <f t="shared" si="27"/>
        <v>180.21796233279923</v>
      </c>
      <c r="Y61">
        <f t="shared" si="28"/>
        <v>170.75030425064952</v>
      </c>
      <c r="Z61">
        <f t="shared" si="29"/>
        <v>161.95910871167698</v>
      </c>
      <c r="AA61">
        <f t="shared" si="30"/>
        <v>153.8377174552092</v>
      </c>
      <c r="AB61">
        <f t="shared" si="31"/>
        <v>146.36519782825076</v>
      </c>
      <c r="AC61">
        <f t="shared" si="32"/>
        <v>139.50837815917345</v>
      </c>
      <c r="AD61">
        <f t="shared" si="33"/>
        <v>133.22356942373992</v>
      </c>
      <c r="AE61">
        <f t="shared" si="34"/>
        <v>127.45806203668232</v>
      </c>
      <c r="AF61">
        <f t="shared" si="35"/>
        <v>122.15146419139316</v>
      </c>
      <c r="AG61">
        <f t="shared" si="36"/>
        <v>117.23693042095326</v>
      </c>
      <c r="AH61">
        <f t="shared" si="37"/>
        <v>112.64231542454078</v>
      </c>
      <c r="AI61">
        <f t="shared" si="120"/>
        <v>108.29127800489127</v>
      </c>
      <c r="AJ61">
        <f t="shared" si="103"/>
        <v>104.10435252167906</v>
      </c>
      <c r="AK61">
        <f t="shared" si="39"/>
        <v>100</v>
      </c>
      <c r="AL61" s="86"/>
      <c r="AM61" s="26">
        <v>2.6666666666666668E-2</v>
      </c>
      <c r="AN61" s="27">
        <f t="shared" si="40"/>
        <v>-1076400000</v>
      </c>
      <c r="AO61" s="27">
        <f t="shared" si="104"/>
        <v>-1121879139.7061436</v>
      </c>
      <c r="AP61" s="27">
        <f t="shared" si="41"/>
        <v>-1147065209.872694</v>
      </c>
      <c r="AQ61" s="27">
        <f t="shared" si="42"/>
        <v>-1155923439.9122143</v>
      </c>
      <c r="AR61" s="27">
        <f t="shared" si="43"/>
        <v>-1150003191.6436503</v>
      </c>
      <c r="AS61" s="27">
        <f t="shared" si="44"/>
        <v>-1131736295.3633926</v>
      </c>
      <c r="AT61" s="27">
        <f t="shared" si="45"/>
        <v>-1103753640.8402154</v>
      </c>
      <c r="AU61" s="27">
        <f t="shared" si="46"/>
        <v>-1068532632.5594362</v>
      </c>
      <c r="AV61" s="27">
        <f t="shared" si="47"/>
        <v>-1028242572.5919019</v>
      </c>
      <c r="AW61" s="27">
        <f t="shared" si="48"/>
        <v>-984700666.27996743</v>
      </c>
      <c r="AX61" s="27">
        <f t="shared" si="49"/>
        <v>-939384589.59512329</v>
      </c>
      <c r="AY61" s="27">
        <f t="shared" si="50"/>
        <v>-893469944.05389929</v>
      </c>
      <c r="AZ61" s="27">
        <f t="shared" si="51"/>
        <v>-847875163.90188968</v>
      </c>
      <c r="BA61" s="27">
        <f t="shared" si="52"/>
        <v>-803305063.43563688</v>
      </c>
      <c r="BB61" s="27">
        <f t="shared" si="53"/>
        <v>-760289183.25024521</v>
      </c>
      <c r="BC61" s="27">
        <f t="shared" si="54"/>
        <v>-719213796.99876714</v>
      </c>
      <c r="BD61" s="27">
        <f t="shared" si="55"/>
        <v>-680347793.04148543</v>
      </c>
      <c r="BE61" s="27">
        <f t="shared" si="56"/>
        <v>-643863230.03064299</v>
      </c>
      <c r="BF61" s="27">
        <f t="shared" si="57"/>
        <v>-609851536.72257721</v>
      </c>
      <c r="BG61" s="27">
        <f t="shared" si="58"/>
        <v>-578336292.32792747</v>
      </c>
      <c r="BH61" s="27">
        <f t="shared" si="59"/>
        <v>-549283401.68312168</v>
      </c>
      <c r="BI61" s="27">
        <f t="shared" si="60"/>
        <v>-522609331.98213595</v>
      </c>
      <c r="BJ61" s="27">
        <f t="shared" si="61"/>
        <v>-498187935.56982929</v>
      </c>
      <c r="BK61" s="27">
        <f t="shared" si="62"/>
        <v>-475856259.51010269</v>
      </c>
      <c r="BL61" s="27">
        <f t="shared" si="63"/>
        <v>-455419641.08469498</v>
      </c>
      <c r="BM61" s="27">
        <f t="shared" si="64"/>
        <v>-436656308.24884301</v>
      </c>
      <c r="BN61" s="27">
        <f t="shared" si="65"/>
        <v>-419321642.62590688</v>
      </c>
      <c r="BO61" s="27">
        <f t="shared" si="66"/>
        <v>-403152216.57545382</v>
      </c>
      <c r="BP61" s="27">
        <f t="shared" si="67"/>
        <v>-387869682.06469947</v>
      </c>
      <c r="BQ61" s="27">
        <f t="shared" si="68"/>
        <v>-373184564.78703731</v>
      </c>
      <c r="BR61" s="27">
        <f t="shared" si="69"/>
        <v>-358800000</v>
      </c>
      <c r="BT61" s="86"/>
      <c r="BU61" s="26">
        <v>2.6666666666666668E-2</v>
      </c>
      <c r="BV61" s="13">
        <v>0</v>
      </c>
      <c r="BW61" s="13">
        <f t="shared" ref="BW61:CY61" si="126">$B$20/($B$21-$B$22*BV61)</f>
        <v>0.34883720930232553</v>
      </c>
      <c r="BX61" s="13">
        <f t="shared" si="126"/>
        <v>0.39716748768472904</v>
      </c>
      <c r="BY61" s="13">
        <f t="shared" si="126"/>
        <v>0.40494040593779607</v>
      </c>
      <c r="BZ61" s="13">
        <f t="shared" si="126"/>
        <v>0.4062190081621499</v>
      </c>
      <c r="CA61" s="13">
        <f t="shared" si="126"/>
        <v>0.40643010492156101</v>
      </c>
      <c r="CB61" s="13">
        <f t="shared" si="126"/>
        <v>0.40646497802255066</v>
      </c>
      <c r="CC61" s="13">
        <f t="shared" si="126"/>
        <v>0.40647073962099717</v>
      </c>
      <c r="CD61" s="13">
        <f t="shared" si="126"/>
        <v>0.40647169154566137</v>
      </c>
      <c r="CE61" s="13">
        <f t="shared" si="126"/>
        <v>0.40647184882198806</v>
      </c>
      <c r="CF61" s="13">
        <f t="shared" si="126"/>
        <v>0.40647187480708435</v>
      </c>
      <c r="CG61" s="13">
        <f t="shared" si="126"/>
        <v>0.40647187910032606</v>
      </c>
      <c r="CH61" s="13">
        <f t="shared" si="126"/>
        <v>0.40647187980965277</v>
      </c>
      <c r="CI61" s="13">
        <f t="shared" si="126"/>
        <v>0.4064718799268473</v>
      </c>
      <c r="CJ61" s="13">
        <f t="shared" si="126"/>
        <v>0.40647187994621015</v>
      </c>
      <c r="CK61" s="13">
        <f t="shared" si="126"/>
        <v>0.40647187994940925</v>
      </c>
      <c r="CL61" s="13">
        <f t="shared" si="126"/>
        <v>0.40647187994993778</v>
      </c>
      <c r="CM61" s="13">
        <f t="shared" si="126"/>
        <v>0.40647187995002515</v>
      </c>
      <c r="CN61" s="13">
        <f t="shared" si="126"/>
        <v>0.40647187995003953</v>
      </c>
      <c r="CO61" s="13">
        <f t="shared" si="126"/>
        <v>0.40647187995004191</v>
      </c>
      <c r="CP61" s="13">
        <f t="shared" si="126"/>
        <v>0.40647187995004236</v>
      </c>
      <c r="CQ61" s="13">
        <f t="shared" si="126"/>
        <v>0.40647187995004236</v>
      </c>
      <c r="CR61" s="13">
        <f t="shared" si="126"/>
        <v>0.40647187995004236</v>
      </c>
      <c r="CS61" s="13">
        <f t="shared" si="126"/>
        <v>0.40647187995004236</v>
      </c>
      <c r="CT61" s="13">
        <f t="shared" si="126"/>
        <v>0.40647187995004236</v>
      </c>
      <c r="CU61" s="13">
        <f t="shared" si="126"/>
        <v>0.40647187995004236</v>
      </c>
      <c r="CV61" s="13">
        <f t="shared" si="126"/>
        <v>0.40647187995004236</v>
      </c>
      <c r="CW61" s="13">
        <f t="shared" si="126"/>
        <v>0.40647187995004236</v>
      </c>
      <c r="CX61" s="13">
        <f t="shared" si="126"/>
        <v>0.40647187995004236</v>
      </c>
      <c r="CY61" s="13">
        <f t="shared" si="126"/>
        <v>0.40647187995004236</v>
      </c>
      <c r="CZ61" s="13">
        <f t="shared" si="71"/>
        <v>100</v>
      </c>
      <c r="DB61" s="86"/>
      <c r="DC61" s="26">
        <v>2.6666666666666668E-2</v>
      </c>
      <c r="DD61" s="13">
        <f t="shared" si="72"/>
        <v>300</v>
      </c>
      <c r="DE61" s="13">
        <f t="shared" si="73"/>
        <v>199.18091841137039</v>
      </c>
      <c r="DF61" s="13">
        <f t="shared" si="74"/>
        <v>189.15094042290909</v>
      </c>
      <c r="DG61" s="13">
        <f t="shared" si="75"/>
        <v>189.65768637398844</v>
      </c>
      <c r="DH61" s="13">
        <f t="shared" si="76"/>
        <v>189.88148379332196</v>
      </c>
      <c r="DI61" s="13">
        <f t="shared" si="77"/>
        <v>188.27782704940051</v>
      </c>
      <c r="DJ61" s="13">
        <f t="shared" si="78"/>
        <v>184.89481611068328</v>
      </c>
      <c r="DK61" s="13">
        <f t="shared" si="79"/>
        <v>180.0642962956328</v>
      </c>
      <c r="DL61" s="13">
        <f t="shared" si="80"/>
        <v>174.14550717006526</v>
      </c>
      <c r="DM61" s="13">
        <f t="shared" si="81"/>
        <v>167.46473910381232</v>
      </c>
      <c r="DN61" s="13">
        <f t="shared" si="82"/>
        <v>160.300000017754</v>
      </c>
      <c r="DO61" s="13">
        <f t="shared" si="83"/>
        <v>152.87976277754268</v>
      </c>
      <c r="DP61" s="13">
        <f t="shared" si="84"/>
        <v>145.38707618305088</v>
      </c>
      <c r="DQ61" s="13">
        <f t="shared" si="85"/>
        <v>137.96554544117285</v>
      </c>
      <c r="DR61" s="13">
        <f t="shared" si="86"/>
        <v>130.72553337170677</v>
      </c>
      <c r="DS61" s="13">
        <f t="shared" si="87"/>
        <v>123.74982435810809</v>
      </c>
      <c r="DT61" s="13">
        <f t="shared" si="88"/>
        <v>117.09846782214181</v>
      </c>
      <c r="DU61" s="13">
        <f t="shared" si="89"/>
        <v>110.81276516199897</v>
      </c>
      <c r="DV61" s="13">
        <f t="shared" si="90"/>
        <v>104.91848085758136</v>
      </c>
      <c r="DW61" s="13">
        <f t="shared" si="91"/>
        <v>99.428402490434721</v>
      </c>
      <c r="DX61" s="13">
        <f t="shared" si="92"/>
        <v>94.344380334700247</v>
      </c>
      <c r="DY61" s="13">
        <f t="shared" si="93"/>
        <v>89.658965089110083</v>
      </c>
      <c r="DZ61" s="13">
        <f t="shared" si="94"/>
        <v>85.356743441850895</v>
      </c>
      <c r="EA61" s="13">
        <f t="shared" si="95"/>
        <v>81.415451332900531</v>
      </c>
      <c r="EB61" s="13">
        <f t="shared" si="96"/>
        <v>77.806926748156471</v>
      </c>
      <c r="EC61" s="13">
        <f t="shared" si="97"/>
        <v>74.497948683615988</v>
      </c>
      <c r="ED61" s="13">
        <f t="shared" si="98"/>
        <v>71.450996708414522</v>
      </c>
      <c r="EE61" s="13">
        <f t="shared" si="99"/>
        <v>68.624956071699955</v>
      </c>
      <c r="EF61" s="13">
        <f t="shared" si="100"/>
        <v>65.975786124422442</v>
      </c>
      <c r="EG61" s="13">
        <f t="shared" si="101"/>
        <v>63.457164526674816</v>
      </c>
      <c r="EH61" s="13">
        <f t="shared" si="102"/>
        <v>61.021115890460329</v>
      </c>
    </row>
    <row r="62" spans="5:138" x14ac:dyDescent="0.25">
      <c r="E62" s="95"/>
      <c r="F62" s="26">
        <v>2.3333333333333334E-2</v>
      </c>
      <c r="G62">
        <f t="shared" si="10"/>
        <v>300</v>
      </c>
      <c r="H62">
        <f t="shared" si="11"/>
        <v>304.74407060286825</v>
      </c>
      <c r="I62">
        <f t="shared" si="12"/>
        <v>307.6676449057835</v>
      </c>
      <c r="J62">
        <f t="shared" si="13"/>
        <v>308.11567074295243</v>
      </c>
      <c r="K62">
        <f t="shared" si="14"/>
        <v>305.9408028726171</v>
      </c>
      <c r="L62">
        <f t="shared" si="15"/>
        <v>301.30996128652993</v>
      </c>
      <c r="M62">
        <f t="shared" si="16"/>
        <v>294.5581694113306</v>
      </c>
      <c r="N62">
        <f t="shared" si="17"/>
        <v>286.08932878838931</v>
      </c>
      <c r="O62">
        <f t="shared" si="18"/>
        <v>276.31466604901232</v>
      </c>
      <c r="P62">
        <f t="shared" si="19"/>
        <v>265.61816856992328</v>
      </c>
      <c r="Q62">
        <f t="shared" si="20"/>
        <v>254.33984817141578</v>
      </c>
      <c r="R62">
        <f t="shared" si="21"/>
        <v>242.76995884430755</v>
      </c>
      <c r="S62">
        <f t="shared" si="22"/>
        <v>231.14942653112078</v>
      </c>
      <c r="T62">
        <f t="shared" si="23"/>
        <v>219.67342825365967</v>
      </c>
      <c r="U62">
        <f t="shared" si="24"/>
        <v>208.49626172730197</v>
      </c>
      <c r="V62">
        <f t="shared" si="25"/>
        <v>197.73645441133596</v>
      </c>
      <c r="W62">
        <f t="shared" si="26"/>
        <v>187.48157381354579</v>
      </c>
      <c r="X62">
        <f t="shared" si="27"/>
        <v>177.79250919308544</v>
      </c>
      <c r="Y62">
        <f t="shared" si="28"/>
        <v>168.70716874550328</v>
      </c>
      <c r="Z62">
        <f t="shared" si="29"/>
        <v>160.24362610918627</v>
      </c>
      <c r="AA62">
        <f t="shared" si="30"/>
        <v>152.40278955221501</v>
      </c>
      <c r="AB62">
        <f t="shared" si="31"/>
        <v>145.17067842091964</v>
      </c>
      <c r="AC62">
        <f t="shared" si="32"/>
        <v>138.52038795510535</v>
      </c>
      <c r="AD62">
        <f t="shared" si="33"/>
        <v>132.41381347053832</v>
      </c>
      <c r="AE62">
        <f t="shared" si="34"/>
        <v>126.80319272290288</v>
      </c>
      <c r="AF62">
        <f t="shared" si="35"/>
        <v>121.63251337974771</v>
      </c>
      <c r="AG62">
        <f t="shared" si="36"/>
        <v>116.83882204018116</v>
      </c>
      <c r="AH62">
        <f t="shared" si="37"/>
        <v>112.35346253987728</v>
      </c>
      <c r="AI62">
        <f t="shared" si="120"/>
        <v>108.10326436871421</v>
      </c>
      <c r="AJ62">
        <f t="shared" si="103"/>
        <v>104.01169674400481</v>
      </c>
      <c r="AK62">
        <f t="shared" si="39"/>
        <v>100</v>
      </c>
      <c r="AL62" s="86"/>
      <c r="AM62" s="26">
        <v>2.3333333333333334E-2</v>
      </c>
      <c r="AN62" s="27">
        <f t="shared" si="40"/>
        <v>-1076400000</v>
      </c>
      <c r="AO62" s="27">
        <f t="shared" si="104"/>
        <v>-1100958580.0048969</v>
      </c>
      <c r="AP62" s="27">
        <f t="shared" si="41"/>
        <v>-1114160280.5701411</v>
      </c>
      <c r="AQ62" s="27">
        <f t="shared" si="42"/>
        <v>-1116377806.5747805</v>
      </c>
      <c r="AR62" s="27">
        <f t="shared" si="43"/>
        <v>-1107883331.8901632</v>
      </c>
      <c r="AS62" s="27">
        <f t="shared" si="44"/>
        <v>-1089880875.2929938</v>
      </c>
      <c r="AT62" s="27">
        <f t="shared" si="45"/>
        <v>-1063983293.6635058</v>
      </c>
      <c r="AU62" s="27">
        <f t="shared" si="46"/>
        <v>-1031894615.2547841</v>
      </c>
      <c r="AV62" s="27">
        <f t="shared" si="47"/>
        <v>-995233417.60626459</v>
      </c>
      <c r="AW62" s="27">
        <f t="shared" si="48"/>
        <v>-955446735.71527719</v>
      </c>
      <c r="AX62" s="27">
        <f t="shared" si="49"/>
        <v>-913778470.60344672</v>
      </c>
      <c r="AY62" s="27">
        <f t="shared" si="50"/>
        <v>-871268274.29574037</v>
      </c>
      <c r="AZ62" s="27">
        <f t="shared" si="51"/>
        <v>-828765771.48575735</v>
      </c>
      <c r="BA62" s="27">
        <f t="shared" si="52"/>
        <v>-786951097.12456298</v>
      </c>
      <c r="BB62" s="27">
        <f t="shared" si="53"/>
        <v>-746356719.94653785</v>
      </c>
      <c r="BC62" s="27">
        <f t="shared" si="54"/>
        <v>-707388001.81462514</v>
      </c>
      <c r="BD62" s="27">
        <f t="shared" si="55"/>
        <v>-670341408.69685709</v>
      </c>
      <c r="BE62" s="27">
        <f t="shared" si="56"/>
        <v>-635420104.90907478</v>
      </c>
      <c r="BF62" s="27">
        <f t="shared" si="57"/>
        <v>-602747078.52022839</v>
      </c>
      <c r="BG62" s="27">
        <f t="shared" si="58"/>
        <v>-572376127.31126893</v>
      </c>
      <c r="BH62" s="27">
        <f t="shared" si="59"/>
        <v>-544301085.65104926</v>
      </c>
      <c r="BI62" s="27">
        <f t="shared" si="60"/>
        <v>-518463656.61916822</v>
      </c>
      <c r="BJ62" s="27">
        <f t="shared" si="61"/>
        <v>-494760167.82055444</v>
      </c>
      <c r="BK62" s="27">
        <f t="shared" si="62"/>
        <v>-473047514.26139468</v>
      </c>
      <c r="BL62" s="27">
        <f t="shared" si="63"/>
        <v>-453148498.07522744</v>
      </c>
      <c r="BM62" s="27">
        <f t="shared" si="64"/>
        <v>-434856727.67167795</v>
      </c>
      <c r="BN62" s="27">
        <f t="shared" si="65"/>
        <v>-417941199.66562265</v>
      </c>
      <c r="BO62" s="27">
        <f t="shared" si="66"/>
        <v>-402150655.69043708</v>
      </c>
      <c r="BP62" s="27">
        <f t="shared" si="67"/>
        <v>-387217782.09262854</v>
      </c>
      <c r="BQ62" s="27">
        <f t="shared" si="68"/>
        <v>-372863302.47137243</v>
      </c>
      <c r="BR62" s="27">
        <f t="shared" si="69"/>
        <v>-358800000</v>
      </c>
      <c r="BT62" s="86"/>
      <c r="BU62" s="26">
        <v>2.3333333333333334E-2</v>
      </c>
      <c r="BV62" s="13">
        <v>0</v>
      </c>
      <c r="BW62" s="13">
        <f t="shared" ref="BW62:CY62" si="127">$B$20/($B$21-$B$22*BV62)</f>
        <v>0.34883720930232553</v>
      </c>
      <c r="BX62" s="13">
        <f t="shared" si="127"/>
        <v>0.39716748768472904</v>
      </c>
      <c r="BY62" s="13">
        <f t="shared" si="127"/>
        <v>0.40494040593779607</v>
      </c>
      <c r="BZ62" s="13">
        <f t="shared" si="127"/>
        <v>0.4062190081621499</v>
      </c>
      <c r="CA62" s="13">
        <f t="shared" si="127"/>
        <v>0.40643010492156101</v>
      </c>
      <c r="CB62" s="13">
        <f t="shared" si="127"/>
        <v>0.40646497802255066</v>
      </c>
      <c r="CC62" s="13">
        <f t="shared" si="127"/>
        <v>0.40647073962099717</v>
      </c>
      <c r="CD62" s="13">
        <f t="shared" si="127"/>
        <v>0.40647169154566137</v>
      </c>
      <c r="CE62" s="13">
        <f t="shared" si="127"/>
        <v>0.40647184882198806</v>
      </c>
      <c r="CF62" s="13">
        <f t="shared" si="127"/>
        <v>0.40647187480708435</v>
      </c>
      <c r="CG62" s="13">
        <f t="shared" si="127"/>
        <v>0.40647187910032606</v>
      </c>
      <c r="CH62" s="13">
        <f t="shared" si="127"/>
        <v>0.40647187980965277</v>
      </c>
      <c r="CI62" s="13">
        <f t="shared" si="127"/>
        <v>0.4064718799268473</v>
      </c>
      <c r="CJ62" s="13">
        <f t="shared" si="127"/>
        <v>0.40647187994621015</v>
      </c>
      <c r="CK62" s="13">
        <f t="shared" si="127"/>
        <v>0.40647187994940925</v>
      </c>
      <c r="CL62" s="13">
        <f t="shared" si="127"/>
        <v>0.40647187994993778</v>
      </c>
      <c r="CM62" s="13">
        <f t="shared" si="127"/>
        <v>0.40647187995002515</v>
      </c>
      <c r="CN62" s="13">
        <f t="shared" si="127"/>
        <v>0.40647187995003953</v>
      </c>
      <c r="CO62" s="13">
        <f t="shared" si="127"/>
        <v>0.40647187995004191</v>
      </c>
      <c r="CP62" s="13">
        <f t="shared" si="127"/>
        <v>0.40647187995004236</v>
      </c>
      <c r="CQ62" s="13">
        <f t="shared" si="127"/>
        <v>0.40647187995004236</v>
      </c>
      <c r="CR62" s="13">
        <f t="shared" si="127"/>
        <v>0.40647187995004236</v>
      </c>
      <c r="CS62" s="13">
        <f t="shared" si="127"/>
        <v>0.40647187995004236</v>
      </c>
      <c r="CT62" s="13">
        <f t="shared" si="127"/>
        <v>0.40647187995004236</v>
      </c>
      <c r="CU62" s="13">
        <f t="shared" si="127"/>
        <v>0.40647187995004236</v>
      </c>
      <c r="CV62" s="13">
        <f t="shared" si="127"/>
        <v>0.40647187995004236</v>
      </c>
      <c r="CW62" s="13">
        <f t="shared" si="127"/>
        <v>0.40647187995004236</v>
      </c>
      <c r="CX62" s="13">
        <f t="shared" si="127"/>
        <v>0.40647187995004236</v>
      </c>
      <c r="CY62" s="13">
        <f t="shared" si="127"/>
        <v>0.40647187995004236</v>
      </c>
      <c r="CZ62" s="13">
        <f t="shared" si="71"/>
        <v>100</v>
      </c>
      <c r="DB62" s="86"/>
      <c r="DC62" s="26">
        <v>2.3333333333333334E-2</v>
      </c>
      <c r="DD62" s="13">
        <f t="shared" si="72"/>
        <v>300</v>
      </c>
      <c r="DE62" s="13">
        <f t="shared" si="73"/>
        <v>197.4181479613159</v>
      </c>
      <c r="DF62" s="13">
        <f t="shared" si="74"/>
        <v>185.29411804050994</v>
      </c>
      <c r="DG62" s="13">
        <f t="shared" si="75"/>
        <v>184.2278778347796</v>
      </c>
      <c r="DH62" s="13">
        <f t="shared" si="76"/>
        <v>183.54296924942713</v>
      </c>
      <c r="DI62" s="13">
        <f t="shared" si="77"/>
        <v>181.59265358717988</v>
      </c>
      <c r="DJ62" s="13">
        <f t="shared" si="78"/>
        <v>178.27287667287166</v>
      </c>
      <c r="DK62" s="13">
        <f t="shared" si="79"/>
        <v>173.77550211131842</v>
      </c>
      <c r="DL62" s="13">
        <f t="shared" si="80"/>
        <v>168.34839976513499</v>
      </c>
      <c r="DM62" s="13">
        <f t="shared" si="81"/>
        <v>162.23618025458418</v>
      </c>
      <c r="DN62" s="13">
        <f t="shared" si="82"/>
        <v>155.66068785313138</v>
      </c>
      <c r="DO62" s="13">
        <f t="shared" si="83"/>
        <v>148.81421708924012</v>
      </c>
      <c r="DP62" s="13">
        <f t="shared" si="84"/>
        <v>141.85835520462484</v>
      </c>
      <c r="DQ62" s="13">
        <f t="shared" si="85"/>
        <v>134.92556079164325</v>
      </c>
      <c r="DR62" s="13">
        <f t="shared" si="86"/>
        <v>128.12195336882817</v>
      </c>
      <c r="DS62" s="13">
        <f t="shared" si="87"/>
        <v>121.53046664747005</v>
      </c>
      <c r="DT62" s="13">
        <f t="shared" si="88"/>
        <v>115.21391836081577</v>
      </c>
      <c r="DU62" s="13">
        <f t="shared" si="89"/>
        <v>109.21778915205461</v>
      </c>
      <c r="DV62" s="13">
        <f t="shared" si="90"/>
        <v>103.57264079089111</v>
      </c>
      <c r="DW62" s="13">
        <f t="shared" si="91"/>
        <v>98.296177730266834</v>
      </c>
      <c r="DX62" s="13">
        <f t="shared" si="92"/>
        <v>93.39499098084076</v>
      </c>
      <c r="DY62" s="13">
        <f t="shared" si="93"/>
        <v>88.866035917398762</v>
      </c>
      <c r="DZ62" s="13">
        <f t="shared" si="94"/>
        <v>84.697896262381391</v>
      </c>
      <c r="EA62" s="13">
        <f t="shared" si="95"/>
        <v>80.871881340792442</v>
      </c>
      <c r="EB62" s="13">
        <f t="shared" si="96"/>
        <v>77.362996346388158</v>
      </c>
      <c r="EC62" s="13">
        <f t="shared" si="97"/>
        <v>74.140817733926824</v>
      </c>
      <c r="ED62" s="13">
        <f t="shared" si="98"/>
        <v>71.17029890270058</v>
      </c>
      <c r="EE62" s="13">
        <f t="shared" si="99"/>
        <v>68.412525443189594</v>
      </c>
      <c r="EF62" s="13">
        <f t="shared" si="100"/>
        <v>65.825434456384883</v>
      </c>
      <c r="EG62" s="13">
        <f t="shared" si="101"/>
        <v>63.364508749000578</v>
      </c>
      <c r="EH62" s="13">
        <f t="shared" si="102"/>
        <v>60.983453922320855</v>
      </c>
    </row>
    <row r="63" spans="5:138" x14ac:dyDescent="0.25">
      <c r="E63" s="95"/>
      <c r="F63" s="26">
        <v>0.02</v>
      </c>
      <c r="G63">
        <f t="shared" si="10"/>
        <v>300</v>
      </c>
      <c r="H63">
        <f t="shared" si="11"/>
        <v>301.60478741829991</v>
      </c>
      <c r="I63">
        <f t="shared" si="12"/>
        <v>302.06341711226889</v>
      </c>
      <c r="J63">
        <f t="shared" si="13"/>
        <v>300.83211145134851</v>
      </c>
      <c r="K63">
        <f t="shared" si="14"/>
        <v>297.7068380389104</v>
      </c>
      <c r="L63">
        <f t="shared" si="15"/>
        <v>292.72250558242024</v>
      </c>
      <c r="M63">
        <f t="shared" si="16"/>
        <v>286.06316762467702</v>
      </c>
      <c r="N63">
        <f t="shared" si="17"/>
        <v>277.9926866399507</v>
      </c>
      <c r="O63">
        <f t="shared" si="18"/>
        <v>268.80603388750501</v>
      </c>
      <c r="P63">
        <f t="shared" si="19"/>
        <v>258.79772697325831</v>
      </c>
      <c r="Q63">
        <f t="shared" si="20"/>
        <v>248.24306720538692</v>
      </c>
      <c r="R63">
        <f t="shared" si="21"/>
        <v>237.38824886648848</v>
      </c>
      <c r="S63">
        <f t="shared" si="22"/>
        <v>226.44623953286475</v>
      </c>
      <c r="T63">
        <f t="shared" si="23"/>
        <v>215.59618022993237</v>
      </c>
      <c r="U63">
        <f t="shared" si="24"/>
        <v>204.98477008572488</v>
      </c>
      <c r="V63">
        <f t="shared" si="25"/>
        <v>194.72864419999837</v>
      </c>
      <c r="W63">
        <f t="shared" si="26"/>
        <v>184.91713962473364</v>
      </c>
      <c r="X63">
        <f t="shared" si="27"/>
        <v>175.6151042348713</v>
      </c>
      <c r="Y63">
        <f t="shared" si="28"/>
        <v>166.86556997189109</v>
      </c>
      <c r="Z63">
        <f t="shared" si="29"/>
        <v>158.69221370616265</v>
      </c>
      <c r="AA63">
        <f t="shared" si="30"/>
        <v>151.10158750859648</v>
      </c>
      <c r="AB63">
        <f t="shared" si="31"/>
        <v>144.08513109984122</v>
      </c>
      <c r="AC63">
        <f t="shared" si="32"/>
        <v>137.62099340358969</v>
      </c>
      <c r="AD63">
        <f t="shared" si="33"/>
        <v>131.6756945590069</v>
      </c>
      <c r="AE63">
        <f t="shared" si="34"/>
        <v>126.20565895050802</v>
      </c>
      <c r="AF63">
        <f t="shared" si="35"/>
        <v>121.15864654316633</v>
      </c>
      <c r="AG63">
        <f t="shared" si="36"/>
        <v>116.47510567424314</v>
      </c>
      <c r="AH63">
        <f t="shared" si="37"/>
        <v>112.08946632585668</v>
      </c>
      <c r="AI63">
        <f t="shared" si="120"/>
        <v>107.93138922905621</v>
      </c>
      <c r="AJ63">
        <f t="shared" si="103"/>
        <v>103.92698310726696</v>
      </c>
      <c r="AK63">
        <f t="shared" si="39"/>
        <v>100</v>
      </c>
      <c r="AL63" s="86"/>
      <c r="AM63" s="26">
        <v>0.02</v>
      </c>
      <c r="AN63" s="27">
        <f t="shared" si="40"/>
        <v>-1076400000</v>
      </c>
      <c r="AO63" s="27">
        <f t="shared" si="104"/>
        <v>-1086903070.2355897</v>
      </c>
      <c r="AP63" s="27">
        <f t="shared" si="41"/>
        <v>-1090799872.9680626</v>
      </c>
      <c r="AQ63" s="27">
        <f t="shared" si="42"/>
        <v>-1087226642.3787215</v>
      </c>
      <c r="AR63" s="27">
        <f t="shared" si="43"/>
        <v>-1075868639.3259866</v>
      </c>
      <c r="AS63" s="27">
        <f t="shared" si="44"/>
        <v>-1057222872.8049113</v>
      </c>
      <c r="AT63" s="27">
        <f t="shared" si="45"/>
        <v>-1032236777.5690511</v>
      </c>
      <c r="AU63" s="27">
        <f t="shared" si="46"/>
        <v>-1002058710.782501</v>
      </c>
      <c r="AV63" s="27">
        <f t="shared" si="47"/>
        <v>-967877697.81822443</v>
      </c>
      <c r="AW63" s="27">
        <f t="shared" si="48"/>
        <v>-930828145.19405675</v>
      </c>
      <c r="AX63" s="27">
        <f t="shared" si="49"/>
        <v>-891938781.61698043</v>
      </c>
      <c r="AY63" s="27">
        <f t="shared" si="50"/>
        <v>-852110007.65112305</v>
      </c>
      <c r="AZ63" s="27">
        <f t="shared" si="51"/>
        <v>-812108434.31685638</v>
      </c>
      <c r="BA63" s="27">
        <f t="shared" si="52"/>
        <v>-772571087.14787662</v>
      </c>
      <c r="BB63" s="27">
        <f t="shared" si="53"/>
        <v>-734014478.23746967</v>
      </c>
      <c r="BC63" s="27">
        <f t="shared" si="54"/>
        <v>-696845643.1642822</v>
      </c>
      <c r="BD63" s="27">
        <f t="shared" si="55"/>
        <v>-661373494.54597843</v>
      </c>
      <c r="BE63" s="27">
        <f t="shared" si="56"/>
        <v>-627819639.32942653</v>
      </c>
      <c r="BF63" s="27">
        <f t="shared" si="57"/>
        <v>-596328288.15052307</v>
      </c>
      <c r="BG63" s="27">
        <f t="shared" si="58"/>
        <v>-566975160.29551983</v>
      </c>
      <c r="BH63" s="27">
        <f t="shared" si="59"/>
        <v>-539775433.05516672</v>
      </c>
      <c r="BI63" s="27">
        <f t="shared" si="60"/>
        <v>-514690850.91646492</v>
      </c>
      <c r="BJ63" s="27">
        <f t="shared" si="61"/>
        <v>-491636131.48617131</v>
      </c>
      <c r="BK63" s="27">
        <f t="shared" si="62"/>
        <v>-470484802.28032959</v>
      </c>
      <c r="BL63" s="27">
        <f t="shared" si="63"/>
        <v>-451074588.26163208</v>
      </c>
      <c r="BM63" s="27">
        <f t="shared" si="64"/>
        <v>-433212451.62782842</v>
      </c>
      <c r="BN63" s="27">
        <f t="shared" si="65"/>
        <v>-416679366.86416256</v>
      </c>
      <c r="BO63" s="27">
        <f t="shared" si="66"/>
        <v>-401234897.45560777</v>
      </c>
      <c r="BP63" s="27">
        <f t="shared" si="67"/>
        <v>-386621626.71730721</v>
      </c>
      <c r="BQ63" s="27">
        <f t="shared" si="68"/>
        <v>-372569484.10875171</v>
      </c>
      <c r="BR63" s="27">
        <f t="shared" si="69"/>
        <v>-358800000</v>
      </c>
      <c r="BT63" s="86"/>
      <c r="BU63" s="26">
        <v>0.02</v>
      </c>
      <c r="BV63" s="13">
        <v>0</v>
      </c>
      <c r="BW63" s="13">
        <f t="shared" ref="BW63:CY63" si="128">$B$20/($B$21-$B$22*BV63)</f>
        <v>0.34883720930232553</v>
      </c>
      <c r="BX63" s="13">
        <f t="shared" si="128"/>
        <v>0.39716748768472904</v>
      </c>
      <c r="BY63" s="13">
        <f t="shared" si="128"/>
        <v>0.40494040593779607</v>
      </c>
      <c r="BZ63" s="13">
        <f t="shared" si="128"/>
        <v>0.4062190081621499</v>
      </c>
      <c r="CA63" s="13">
        <f t="shared" si="128"/>
        <v>0.40643010492156101</v>
      </c>
      <c r="CB63" s="13">
        <f t="shared" si="128"/>
        <v>0.40646497802255066</v>
      </c>
      <c r="CC63" s="13">
        <f t="shared" si="128"/>
        <v>0.40647073962099717</v>
      </c>
      <c r="CD63" s="13">
        <f t="shared" si="128"/>
        <v>0.40647169154566137</v>
      </c>
      <c r="CE63" s="13">
        <f t="shared" si="128"/>
        <v>0.40647184882198806</v>
      </c>
      <c r="CF63" s="13">
        <f t="shared" si="128"/>
        <v>0.40647187480708435</v>
      </c>
      <c r="CG63" s="13">
        <f t="shared" si="128"/>
        <v>0.40647187910032606</v>
      </c>
      <c r="CH63" s="13">
        <f t="shared" si="128"/>
        <v>0.40647187980965277</v>
      </c>
      <c r="CI63" s="13">
        <f t="shared" si="128"/>
        <v>0.4064718799268473</v>
      </c>
      <c r="CJ63" s="13">
        <f t="shared" si="128"/>
        <v>0.40647187994621015</v>
      </c>
      <c r="CK63" s="13">
        <f t="shared" si="128"/>
        <v>0.40647187994940925</v>
      </c>
      <c r="CL63" s="13">
        <f t="shared" si="128"/>
        <v>0.40647187994993778</v>
      </c>
      <c r="CM63" s="13">
        <f t="shared" si="128"/>
        <v>0.40647187995002515</v>
      </c>
      <c r="CN63" s="13">
        <f t="shared" si="128"/>
        <v>0.40647187995003953</v>
      </c>
      <c r="CO63" s="13">
        <f t="shared" si="128"/>
        <v>0.40647187995004191</v>
      </c>
      <c r="CP63" s="13">
        <f t="shared" si="128"/>
        <v>0.40647187995004236</v>
      </c>
      <c r="CQ63" s="13">
        <f t="shared" si="128"/>
        <v>0.40647187995004236</v>
      </c>
      <c r="CR63" s="13">
        <f t="shared" si="128"/>
        <v>0.40647187995004236</v>
      </c>
      <c r="CS63" s="13">
        <f t="shared" si="128"/>
        <v>0.40647187995004236</v>
      </c>
      <c r="CT63" s="13">
        <f t="shared" si="128"/>
        <v>0.40647187995004236</v>
      </c>
      <c r="CU63" s="13">
        <f t="shared" si="128"/>
        <v>0.40647187995004236</v>
      </c>
      <c r="CV63" s="13">
        <f t="shared" si="128"/>
        <v>0.40647187995004236</v>
      </c>
      <c r="CW63" s="13">
        <f t="shared" si="128"/>
        <v>0.40647187995004236</v>
      </c>
      <c r="CX63" s="13">
        <f t="shared" si="128"/>
        <v>0.40647187995004236</v>
      </c>
      <c r="CY63" s="13">
        <f t="shared" si="128"/>
        <v>0.40647187995004236</v>
      </c>
      <c r="CZ63" s="13">
        <f t="shared" si="71"/>
        <v>100</v>
      </c>
      <c r="DB63" s="86"/>
      <c r="DC63" s="26">
        <v>0.02</v>
      </c>
      <c r="DD63" s="13">
        <f t="shared" si="72"/>
        <v>300</v>
      </c>
      <c r="DE63" s="13">
        <f t="shared" si="73"/>
        <v>196.23382796053167</v>
      </c>
      <c r="DF63" s="13">
        <f t="shared" si="74"/>
        <v>182.58268319224439</v>
      </c>
      <c r="DG63" s="13">
        <f t="shared" si="75"/>
        <v>180.27858360541441</v>
      </c>
      <c r="DH63" s="13">
        <f t="shared" si="76"/>
        <v>178.79739215448029</v>
      </c>
      <c r="DI63" s="13">
        <f t="shared" si="77"/>
        <v>176.45782235052866</v>
      </c>
      <c r="DJ63" s="13">
        <f t="shared" si="78"/>
        <v>173.06887635913967</v>
      </c>
      <c r="DK63" s="13">
        <f t="shared" si="79"/>
        <v>168.7308992311097</v>
      </c>
      <c r="DL63" s="13">
        <f t="shared" si="80"/>
        <v>163.61208403651247</v>
      </c>
      <c r="DM63" s="13">
        <f t="shared" si="81"/>
        <v>157.89390848904364</v>
      </c>
      <c r="DN63" s="13">
        <f t="shared" si="82"/>
        <v>151.75142063145464</v>
      </c>
      <c r="DO63" s="13">
        <f t="shared" si="83"/>
        <v>145.34422036836239</v>
      </c>
      <c r="DP63" s="13">
        <f t="shared" si="84"/>
        <v>138.81245487502343</v>
      </c>
      <c r="DQ63" s="13">
        <f t="shared" si="85"/>
        <v>132.27563537681522</v>
      </c>
      <c r="DR63" s="13">
        <f t="shared" si="86"/>
        <v>125.83305199837487</v>
      </c>
      <c r="DS63" s="13">
        <f t="shared" si="87"/>
        <v>119.56502682186547</v>
      </c>
      <c r="DT63" s="13">
        <f t="shared" si="88"/>
        <v>113.53453805878121</v>
      </c>
      <c r="DU63" s="13">
        <f t="shared" si="89"/>
        <v>107.78894230946428</v>
      </c>
      <c r="DV63" s="13">
        <f t="shared" si="90"/>
        <v>102.36164753331374</v>
      </c>
      <c r="DW63" s="13">
        <f t="shared" si="91"/>
        <v>97.273667368107667</v>
      </c>
      <c r="DX63" s="13">
        <f t="shared" si="92"/>
        <v>92.535033397595697</v>
      </c>
      <c r="DY63" s="13">
        <f t="shared" si="93"/>
        <v>88.146067190491735</v>
      </c>
      <c r="DZ63" s="13">
        <f t="shared" si="94"/>
        <v>84.098526292462594</v>
      </c>
      <c r="EA63" s="13">
        <f t="shared" si="95"/>
        <v>80.376643105060026</v>
      </c>
      <c r="EB63" s="13">
        <f t="shared" si="96"/>
        <v>76.958076117904497</v>
      </c>
      <c r="EC63" s="13">
        <f t="shared" si="97"/>
        <v>73.814791372376874</v>
      </c>
      <c r="ED63" s="13">
        <f t="shared" si="98"/>
        <v>70.913889574175215</v>
      </c>
      <c r="EE63" s="13">
        <f t="shared" si="99"/>
        <v>68.218391640302443</v>
      </c>
      <c r="EF63" s="13">
        <f t="shared" si="100"/>
        <v>65.687993027909101</v>
      </c>
      <c r="EG63" s="13">
        <f t="shared" si="101"/>
        <v>63.279795112262725</v>
      </c>
      <c r="EH63" s="13">
        <f t="shared" si="102"/>
        <v>60.949020211138617</v>
      </c>
    </row>
    <row r="64" spans="5:138" x14ac:dyDescent="0.25">
      <c r="E64" s="95"/>
      <c r="F64" s="26">
        <v>1.6666666666666666E-2</v>
      </c>
      <c r="G64">
        <f t="shared" si="10"/>
        <v>300</v>
      </c>
      <c r="H64">
        <f t="shared" si="11"/>
        <v>299.38096498762411</v>
      </c>
      <c r="I64">
        <f t="shared" si="12"/>
        <v>298.00987633314708</v>
      </c>
      <c r="J64">
        <f t="shared" si="13"/>
        <v>295.454144905492</v>
      </c>
      <c r="K64">
        <f t="shared" si="14"/>
        <v>291.50636391947279</v>
      </c>
      <c r="L64">
        <f t="shared" si="15"/>
        <v>286.13589763957043</v>
      </c>
      <c r="M64">
        <f t="shared" si="16"/>
        <v>279.43610600139687</v>
      </c>
      <c r="N64">
        <f t="shared" si="17"/>
        <v>271.57786832525767</v>
      </c>
      <c r="O64">
        <f t="shared" si="18"/>
        <v>262.77306964647067</v>
      </c>
      <c r="P64">
        <f t="shared" si="19"/>
        <v>253.24811834078173</v>
      </c>
      <c r="Q64">
        <f t="shared" si="20"/>
        <v>243.22601322468932</v>
      </c>
      <c r="R64">
        <f t="shared" si="21"/>
        <v>232.91504292228677</v>
      </c>
      <c r="S64">
        <f t="shared" si="22"/>
        <v>222.50230413330868</v>
      </c>
      <c r="T64">
        <f t="shared" si="23"/>
        <v>212.15054054874548</v>
      </c>
      <c r="U64">
        <f t="shared" si="24"/>
        <v>201.99716040918349</v>
      </c>
      <c r="V64">
        <f t="shared" si="25"/>
        <v>192.15461087596475</v>
      </c>
      <c r="W64">
        <f t="shared" si="26"/>
        <v>182.71154486637715</v>
      </c>
      <c r="X64">
        <f t="shared" si="27"/>
        <v>173.73440915766929</v>
      </c>
      <c r="Y64">
        <f t="shared" si="28"/>
        <v>165.26922029239321</v>
      </c>
      <c r="Z64">
        <f t="shared" si="29"/>
        <v>157.34338901056498</v>
      </c>
      <c r="AA64">
        <f t="shared" si="30"/>
        <v>149.96751593610742</v>
      </c>
      <c r="AB64">
        <f t="shared" si="31"/>
        <v>143.13712049408639</v>
      </c>
      <c r="AC64">
        <f t="shared" si="32"/>
        <v>136.83428879664569</v>
      </c>
      <c r="AD64">
        <f t="shared" si="33"/>
        <v>131.02923981603666</v>
      </c>
      <c r="AE64">
        <f t="shared" si="34"/>
        <v>125.68181628735421</v>
      </c>
      <c r="AF64">
        <f t="shared" si="35"/>
        <v>120.74290997962845</v>
      </c>
      <c r="AG64">
        <f t="shared" si="36"/>
        <v>116.15583190562663</v>
      </c>
      <c r="AH64">
        <f t="shared" si="37"/>
        <v>111.85763776964849</v>
      </c>
      <c r="AI64">
        <f t="shared" si="120"/>
        <v>107.78041813340135</v>
      </c>
      <c r="AJ64">
        <f t="shared" si="103"/>
        <v>103.85256180060716</v>
      </c>
      <c r="AK64">
        <f t="shared" si="39"/>
        <v>100</v>
      </c>
      <c r="AL64" s="86"/>
      <c r="AM64" s="26">
        <v>1.6666666666666666E-2</v>
      </c>
      <c r="AN64" s="27">
        <f t="shared" si="40"/>
        <v>-1076400000</v>
      </c>
      <c r="AO64" s="27">
        <f t="shared" si="104"/>
        <v>-1077292404.4538939</v>
      </c>
      <c r="AP64" s="27">
        <f t="shared" si="41"/>
        <v>-1074163857.3642883</v>
      </c>
      <c r="AQ64" s="27">
        <f t="shared" si="42"/>
        <v>-1065852557.0925329</v>
      </c>
      <c r="AR64" s="27">
        <f t="shared" si="43"/>
        <v>-1051814750.8597448</v>
      </c>
      <c r="AS64" s="27">
        <f t="shared" si="44"/>
        <v>-1032159007.7140212</v>
      </c>
      <c r="AT64" s="27">
        <f t="shared" si="45"/>
        <v>-1007412714.9301897</v>
      </c>
      <c r="AU64" s="27">
        <f t="shared" si="46"/>
        <v>-978340154.10198641</v>
      </c>
      <c r="AV64" s="27">
        <f t="shared" si="47"/>
        <v>-945811205.76691079</v>
      </c>
      <c r="AW64" s="27">
        <f t="shared" si="48"/>
        <v>-910712465.38179517</v>
      </c>
      <c r="AX64" s="27">
        <f t="shared" si="49"/>
        <v>-873890837.32150948</v>
      </c>
      <c r="AY64" s="27">
        <f t="shared" si="50"/>
        <v>-836120495.53958774</v>
      </c>
      <c r="AZ64" s="27">
        <f t="shared" si="51"/>
        <v>-798085829.88403416</v>
      </c>
      <c r="BA64" s="27">
        <f t="shared" si="52"/>
        <v>-760374832.02659357</v>
      </c>
      <c r="BB64" s="27">
        <f t="shared" si="53"/>
        <v>-723478972.83788943</v>
      </c>
      <c r="BC64" s="27">
        <f t="shared" si="54"/>
        <v>-687796882.03512871</v>
      </c>
      <c r="BD64" s="27">
        <f t="shared" si="55"/>
        <v>-653640071.53491926</v>
      </c>
      <c r="BE64" s="27">
        <f t="shared" si="56"/>
        <v>-621239600.12591016</v>
      </c>
      <c r="BF64" s="27">
        <f t="shared" si="57"/>
        <v>-590753022.01363277</v>
      </c>
      <c r="BG64" s="27">
        <f t="shared" si="58"/>
        <v>-562271252.79139268</v>
      </c>
      <c r="BH64" s="27">
        <f t="shared" si="59"/>
        <v>-535825169.78046614</v>
      </c>
      <c r="BI64" s="27">
        <f t="shared" si="60"/>
        <v>-511391874.43021947</v>
      </c>
      <c r="BJ64" s="27">
        <f t="shared" si="61"/>
        <v>-488900607.75468177</v>
      </c>
      <c r="BK64" s="27">
        <f t="shared" si="62"/>
        <v>-468238343.08896363</v>
      </c>
      <c r="BL64" s="27">
        <f t="shared" si="63"/>
        <v>-449255095.54426622</v>
      </c>
      <c r="BM64" s="27">
        <f t="shared" si="64"/>
        <v>-431768992.11929011</v>
      </c>
      <c r="BN64" s="27">
        <f t="shared" si="65"/>
        <v>-415571145.37397045</v>
      </c>
      <c r="BO64" s="27">
        <f t="shared" si="66"/>
        <v>-400430369.88861263</v>
      </c>
      <c r="BP64" s="27">
        <f t="shared" si="67"/>
        <v>-386097776.18634897</v>
      </c>
      <c r="BQ64" s="27">
        <f t="shared" si="68"/>
        <v>-372311272.37732428</v>
      </c>
      <c r="BR64" s="27">
        <f t="shared" si="69"/>
        <v>-358800000</v>
      </c>
      <c r="BT64" s="86"/>
      <c r="BU64" s="26">
        <v>1.6666666666666666E-2</v>
      </c>
      <c r="BV64" s="13">
        <v>0</v>
      </c>
      <c r="BW64" s="13">
        <f t="shared" ref="BW64:CY64" si="129">$B$20/($B$21-$B$22*BV64)</f>
        <v>0.34883720930232553</v>
      </c>
      <c r="BX64" s="13">
        <f t="shared" si="129"/>
        <v>0.39716748768472904</v>
      </c>
      <c r="BY64" s="13">
        <f t="shared" si="129"/>
        <v>0.40494040593779607</v>
      </c>
      <c r="BZ64" s="13">
        <f t="shared" si="129"/>
        <v>0.4062190081621499</v>
      </c>
      <c r="CA64" s="13">
        <f t="shared" si="129"/>
        <v>0.40643010492156101</v>
      </c>
      <c r="CB64" s="13">
        <f t="shared" si="129"/>
        <v>0.40646497802255066</v>
      </c>
      <c r="CC64" s="13">
        <f t="shared" si="129"/>
        <v>0.40647073962099717</v>
      </c>
      <c r="CD64" s="13">
        <f t="shared" si="129"/>
        <v>0.40647169154566137</v>
      </c>
      <c r="CE64" s="13">
        <f t="shared" si="129"/>
        <v>0.40647184882198806</v>
      </c>
      <c r="CF64" s="13">
        <f t="shared" si="129"/>
        <v>0.40647187480708435</v>
      </c>
      <c r="CG64" s="13">
        <f t="shared" si="129"/>
        <v>0.40647187910032606</v>
      </c>
      <c r="CH64" s="13">
        <f t="shared" si="129"/>
        <v>0.40647187980965277</v>
      </c>
      <c r="CI64" s="13">
        <f t="shared" si="129"/>
        <v>0.4064718799268473</v>
      </c>
      <c r="CJ64" s="13">
        <f t="shared" si="129"/>
        <v>0.40647187994621015</v>
      </c>
      <c r="CK64" s="13">
        <f t="shared" si="129"/>
        <v>0.40647187994940925</v>
      </c>
      <c r="CL64" s="13">
        <f t="shared" si="129"/>
        <v>0.40647187994993778</v>
      </c>
      <c r="CM64" s="13">
        <f t="shared" si="129"/>
        <v>0.40647187995002515</v>
      </c>
      <c r="CN64" s="13">
        <f t="shared" si="129"/>
        <v>0.40647187995003953</v>
      </c>
      <c r="CO64" s="13">
        <f t="shared" si="129"/>
        <v>0.40647187995004191</v>
      </c>
      <c r="CP64" s="13">
        <f t="shared" si="129"/>
        <v>0.40647187995004236</v>
      </c>
      <c r="CQ64" s="13">
        <f t="shared" si="129"/>
        <v>0.40647187995004236</v>
      </c>
      <c r="CR64" s="13">
        <f t="shared" si="129"/>
        <v>0.40647187995004236</v>
      </c>
      <c r="CS64" s="13">
        <f t="shared" si="129"/>
        <v>0.40647187995004236</v>
      </c>
      <c r="CT64" s="13">
        <f t="shared" si="129"/>
        <v>0.40647187995004236</v>
      </c>
      <c r="CU64" s="13">
        <f t="shared" si="129"/>
        <v>0.40647187995004236</v>
      </c>
      <c r="CV64" s="13">
        <f t="shared" si="129"/>
        <v>0.40647187995004236</v>
      </c>
      <c r="CW64" s="13">
        <f t="shared" si="129"/>
        <v>0.40647187995004236</v>
      </c>
      <c r="CX64" s="13">
        <f t="shared" si="129"/>
        <v>0.40647187995004236</v>
      </c>
      <c r="CY64" s="13">
        <f t="shared" si="129"/>
        <v>0.40647187995004236</v>
      </c>
      <c r="CZ64" s="13">
        <f t="shared" si="71"/>
        <v>100</v>
      </c>
      <c r="DB64" s="86"/>
      <c r="DC64" s="26">
        <v>1.6666666666666666E-2</v>
      </c>
      <c r="DD64" s="13">
        <f t="shared" si="72"/>
        <v>300</v>
      </c>
      <c r="DE64" s="13">
        <f t="shared" si="73"/>
        <v>195.42403138303791</v>
      </c>
      <c r="DF64" s="13">
        <f t="shared" si="74"/>
        <v>180.66509587499291</v>
      </c>
      <c r="DG64" s="13">
        <f t="shared" si="75"/>
        <v>177.41143956648978</v>
      </c>
      <c r="DH64" s="13">
        <f t="shared" si="76"/>
        <v>175.27252338074004</v>
      </c>
      <c r="DI64" s="13">
        <f t="shared" si="77"/>
        <v>172.56465175855024</v>
      </c>
      <c r="DJ64" s="13">
        <f t="shared" si="78"/>
        <v>169.04921372115987</v>
      </c>
      <c r="DK64" s="13">
        <f t="shared" si="79"/>
        <v>164.76830435357695</v>
      </c>
      <c r="DL64" s="13">
        <f t="shared" si="80"/>
        <v>159.83487860373728</v>
      </c>
      <c r="DM64" s="13">
        <f t="shared" si="81"/>
        <v>154.38359106374094</v>
      </c>
      <c r="DN64" s="13">
        <f t="shared" si="82"/>
        <v>148.55259905729488</v>
      </c>
      <c r="DO64" s="13">
        <f t="shared" si="83"/>
        <v>142.47411325706855</v>
      </c>
      <c r="DP64" s="13">
        <f t="shared" si="84"/>
        <v>136.26907511382615</v>
      </c>
      <c r="DQ64" s="13">
        <f t="shared" si="85"/>
        <v>130.04437501733972</v>
      </c>
      <c r="DR64" s="13">
        <f t="shared" si="86"/>
        <v>123.89171448609761</v>
      </c>
      <c r="DS64" s="13">
        <f t="shared" si="87"/>
        <v>117.8875057456676</v>
      </c>
      <c r="DT64" s="13">
        <f t="shared" si="88"/>
        <v>112.09339296406762</v>
      </c>
      <c r="DU64" s="13">
        <f t="shared" si="89"/>
        <v>106.5571184875454</v>
      </c>
      <c r="DV64" s="13">
        <f t="shared" si="90"/>
        <v>101.31355716355847</v>
      </c>
      <c r="DW64" s="13">
        <f t="shared" si="91"/>
        <v>96.385810876577537</v>
      </c>
      <c r="DX64" s="13">
        <f t="shared" si="92"/>
        <v>91.786301478240404</v>
      </c>
      <c r="DY64" s="13">
        <f t="shared" si="93"/>
        <v>87.517829885286787</v>
      </c>
      <c r="DZ64" s="13">
        <f t="shared" si="94"/>
        <v>83.574587360196318</v>
      </c>
      <c r="EA64" s="13">
        <f t="shared" si="95"/>
        <v>79.943115674179936</v>
      </c>
      <c r="EB64" s="13">
        <f t="shared" si="96"/>
        <v>76.603218677295899</v>
      </c>
      <c r="EC64" s="13">
        <f t="shared" si="97"/>
        <v>73.528830617787293</v>
      </c>
      <c r="ED64" s="13">
        <f t="shared" si="98"/>
        <v>70.68884759462675</v>
      </c>
      <c r="EE64" s="13">
        <f t="shared" si="99"/>
        <v>68.047928589163206</v>
      </c>
      <c r="EF64" s="13">
        <f t="shared" si="100"/>
        <v>65.567272100680597</v>
      </c>
      <c r="EG64" s="13">
        <f t="shared" si="101"/>
        <v>63.205373805602925</v>
      </c>
      <c r="EH64" s="13">
        <f t="shared" si="102"/>
        <v>60.918770042712268</v>
      </c>
    </row>
    <row r="65" spans="5:138" x14ac:dyDescent="0.25">
      <c r="E65" s="95"/>
      <c r="F65" s="26">
        <v>1.3333333333333334E-2</v>
      </c>
      <c r="G65">
        <f t="shared" si="10"/>
        <v>300</v>
      </c>
      <c r="H65">
        <f t="shared" si="11"/>
        <v>297.8170609552003</v>
      </c>
      <c r="I65">
        <f t="shared" si="12"/>
        <v>295.11616549556538</v>
      </c>
      <c r="J65">
        <f t="shared" si="13"/>
        <v>291.55505663016208</v>
      </c>
      <c r="K65">
        <f t="shared" si="14"/>
        <v>286.94240067193607</v>
      </c>
      <c r="L65">
        <f t="shared" si="15"/>
        <v>281.21757960099501</v>
      </c>
      <c r="M65">
        <f t="shared" si="16"/>
        <v>274.42089107041124</v>
      </c>
      <c r="N65">
        <f t="shared" si="17"/>
        <v>266.6630865071877</v>
      </c>
      <c r="O65">
        <f t="shared" si="18"/>
        <v>258.09863055067001</v>
      </c>
      <c r="P65">
        <f t="shared" si="19"/>
        <v>248.90427554010111</v>
      </c>
      <c r="Q65">
        <f t="shared" si="20"/>
        <v>239.26301281420706</v>
      </c>
      <c r="R65">
        <f t="shared" si="21"/>
        <v>229.35273999205197</v>
      </c>
      <c r="S65">
        <f t="shared" si="22"/>
        <v>219.33873598473906</v>
      </c>
      <c r="T65">
        <f t="shared" si="23"/>
        <v>209.36903966884501</v>
      </c>
      <c r="U65">
        <f t="shared" si="24"/>
        <v>199.57194641381616</v>
      </c>
      <c r="V65">
        <f t="shared" si="25"/>
        <v>190.05499106507324</v>
      </c>
      <c r="W65">
        <f t="shared" si="26"/>
        <v>180.90493661900092</v>
      </c>
      <c r="X65">
        <f t="shared" si="27"/>
        <v>172.18841732438898</v>
      </c>
      <c r="Y65">
        <f t="shared" si="28"/>
        <v>163.95298834850735</v>
      </c>
      <c r="Z65">
        <f t="shared" si="29"/>
        <v>156.2284126519009</v>
      </c>
      <c r="AA65">
        <f t="shared" si="30"/>
        <v>149.02807307781254</v>
      </c>
      <c r="AB65">
        <f t="shared" si="31"/>
        <v>142.3504382656586</v>
      </c>
      <c r="AC65">
        <f t="shared" si="32"/>
        <v>136.18053893566517</v>
      </c>
      <c r="AD65">
        <f t="shared" si="33"/>
        <v>130.49142979819572</v>
      </c>
      <c r="AE65">
        <f t="shared" si="34"/>
        <v>125.24562452049122</v>
      </c>
      <c r="AF65">
        <f t="shared" si="35"/>
        <v>120.39649887229407</v>
      </c>
      <c r="AG65">
        <f t="shared" si="36"/>
        <v>115.88966185329575</v>
      </c>
      <c r="AH65">
        <f t="shared" si="37"/>
        <v>111.6642973295808</v>
      </c>
      <c r="AI65">
        <f t="shared" si="120"/>
        <v>107.65448019815013</v>
      </c>
      <c r="AJ65">
        <f t="shared" si="103"/>
        <v>103.79047184660405</v>
      </c>
      <c r="AK65">
        <f t="shared" si="39"/>
        <v>100</v>
      </c>
      <c r="AL65" s="86"/>
      <c r="AM65" s="26">
        <v>1.3333333333333334E-2</v>
      </c>
      <c r="AN65" s="27">
        <f t="shared" si="40"/>
        <v>-1076400000</v>
      </c>
      <c r="AO65" s="27">
        <f t="shared" si="104"/>
        <v>-1070711954.2646767</v>
      </c>
      <c r="AP65" s="27">
        <f t="shared" si="41"/>
        <v>-1062438085.2979696</v>
      </c>
      <c r="AQ65" s="27">
        <f t="shared" si="42"/>
        <v>-1050452948.1533072</v>
      </c>
      <c r="AR65" s="27">
        <f t="shared" si="43"/>
        <v>-1034153697.1775473</v>
      </c>
      <c r="AS65" s="27">
        <f t="shared" si="44"/>
        <v>-1013446206.8912908</v>
      </c>
      <c r="AT65" s="27">
        <f t="shared" si="45"/>
        <v>-988601177.53576386</v>
      </c>
      <c r="AU65" s="27">
        <f t="shared" si="46"/>
        <v>-960126691.15602684</v>
      </c>
      <c r="AV65" s="27">
        <f t="shared" si="47"/>
        <v>-928665668.49957657</v>
      </c>
      <c r="AW65" s="27">
        <f t="shared" si="48"/>
        <v>-894918738.57932878</v>
      </c>
      <c r="AX65" s="27">
        <f t="shared" si="49"/>
        <v>-859589391.7758956</v>
      </c>
      <c r="AY65" s="27">
        <f t="shared" si="50"/>
        <v>-823347078.19803584</v>
      </c>
      <c r="AZ65" s="27">
        <f t="shared" si="51"/>
        <v>-786803950.87076998</v>
      </c>
      <c r="BA65" s="27">
        <f t="shared" si="52"/>
        <v>-750501537.65983403</v>
      </c>
      <c r="BB65" s="27">
        <f t="shared" si="53"/>
        <v>-714904372.80074859</v>
      </c>
      <c r="BC65" s="27">
        <f t="shared" si="54"/>
        <v>-680398338.20442629</v>
      </c>
      <c r="BD65" s="27">
        <f t="shared" si="55"/>
        <v>-647292077.06192958</v>
      </c>
      <c r="BE65" s="27">
        <f t="shared" si="56"/>
        <v>-615820327.44036412</v>
      </c>
      <c r="BF65" s="27">
        <f t="shared" si="57"/>
        <v>-586148389.61824536</v>
      </c>
      <c r="BG65" s="27">
        <f t="shared" si="58"/>
        <v>-558377207.04779565</v>
      </c>
      <c r="BH65" s="27">
        <f t="shared" si="59"/>
        <v>-532548728.48878282</v>
      </c>
      <c r="BI65" s="27">
        <f t="shared" si="60"/>
        <v>-508651347.60103869</v>
      </c>
      <c r="BJ65" s="27">
        <f t="shared" si="61"/>
        <v>-486625302.30411732</v>
      </c>
      <c r="BK65" s="27">
        <f t="shared" si="62"/>
        <v>-466367972.13649964</v>
      </c>
      <c r="BL65" s="27">
        <f t="shared" si="63"/>
        <v>-447739047.11336195</v>
      </c>
      <c r="BM65" s="27">
        <f t="shared" si="64"/>
        <v>-430565563.02890837</v>
      </c>
      <c r="BN65" s="27">
        <f t="shared" si="65"/>
        <v>-414646810.59915215</v>
      </c>
      <c r="BO65" s="27">
        <f t="shared" si="66"/>
        <v>-399759132.61447924</v>
      </c>
      <c r="BP65" s="27">
        <f t="shared" si="67"/>
        <v>-385660626.60224056</v>
      </c>
      <c r="BQ65" s="27">
        <f t="shared" si="68"/>
        <v>-372095771.85515535</v>
      </c>
      <c r="BR65" s="27">
        <f t="shared" si="69"/>
        <v>-358800000</v>
      </c>
      <c r="BT65" s="86"/>
      <c r="BU65" s="26">
        <v>1.3333333333333334E-2</v>
      </c>
      <c r="BV65" s="13">
        <v>0</v>
      </c>
      <c r="BW65" s="13">
        <f t="shared" ref="BW65:CY65" si="130">$B$20/($B$21-$B$22*BV65)</f>
        <v>0.34883720930232553</v>
      </c>
      <c r="BX65" s="13">
        <f t="shared" si="130"/>
        <v>0.39716748768472904</v>
      </c>
      <c r="BY65" s="13">
        <f t="shared" si="130"/>
        <v>0.40494040593779607</v>
      </c>
      <c r="BZ65" s="13">
        <f t="shared" si="130"/>
        <v>0.4062190081621499</v>
      </c>
      <c r="CA65" s="13">
        <f t="shared" si="130"/>
        <v>0.40643010492156101</v>
      </c>
      <c r="CB65" s="13">
        <f t="shared" si="130"/>
        <v>0.40646497802255066</v>
      </c>
      <c r="CC65" s="13">
        <f t="shared" si="130"/>
        <v>0.40647073962099717</v>
      </c>
      <c r="CD65" s="13">
        <f t="shared" si="130"/>
        <v>0.40647169154566137</v>
      </c>
      <c r="CE65" s="13">
        <f t="shared" si="130"/>
        <v>0.40647184882198806</v>
      </c>
      <c r="CF65" s="13">
        <f t="shared" si="130"/>
        <v>0.40647187480708435</v>
      </c>
      <c r="CG65" s="13">
        <f t="shared" si="130"/>
        <v>0.40647187910032606</v>
      </c>
      <c r="CH65" s="13">
        <f t="shared" si="130"/>
        <v>0.40647187980965277</v>
      </c>
      <c r="CI65" s="13">
        <f t="shared" si="130"/>
        <v>0.4064718799268473</v>
      </c>
      <c r="CJ65" s="13">
        <f t="shared" si="130"/>
        <v>0.40647187994621015</v>
      </c>
      <c r="CK65" s="13">
        <f t="shared" si="130"/>
        <v>0.40647187994940925</v>
      </c>
      <c r="CL65" s="13">
        <f t="shared" si="130"/>
        <v>0.40647187994993778</v>
      </c>
      <c r="CM65" s="13">
        <f t="shared" si="130"/>
        <v>0.40647187995002515</v>
      </c>
      <c r="CN65" s="13">
        <f t="shared" si="130"/>
        <v>0.40647187995003953</v>
      </c>
      <c r="CO65" s="13">
        <f t="shared" si="130"/>
        <v>0.40647187995004191</v>
      </c>
      <c r="CP65" s="13">
        <f t="shared" si="130"/>
        <v>0.40647187995004236</v>
      </c>
      <c r="CQ65" s="13">
        <f t="shared" si="130"/>
        <v>0.40647187995004236</v>
      </c>
      <c r="CR65" s="13">
        <f t="shared" si="130"/>
        <v>0.40647187995004236</v>
      </c>
      <c r="CS65" s="13">
        <f t="shared" si="130"/>
        <v>0.40647187995004236</v>
      </c>
      <c r="CT65" s="13">
        <f t="shared" si="130"/>
        <v>0.40647187995004236</v>
      </c>
      <c r="CU65" s="13">
        <f t="shared" si="130"/>
        <v>0.40647187995004236</v>
      </c>
      <c r="CV65" s="13">
        <f t="shared" si="130"/>
        <v>0.40647187995004236</v>
      </c>
      <c r="CW65" s="13">
        <f t="shared" si="130"/>
        <v>0.40647187995004236</v>
      </c>
      <c r="CX65" s="13">
        <f t="shared" si="130"/>
        <v>0.40647187995004236</v>
      </c>
      <c r="CY65" s="13">
        <f t="shared" si="130"/>
        <v>0.40647187995004236</v>
      </c>
      <c r="CZ65" s="13">
        <f t="shared" si="71"/>
        <v>100</v>
      </c>
      <c r="DB65" s="86"/>
      <c r="DC65" s="26">
        <v>1.3333333333333334E-2</v>
      </c>
      <c r="DD65" s="13">
        <f t="shared" si="72"/>
        <v>300</v>
      </c>
      <c r="DE65" s="13">
        <f t="shared" si="73"/>
        <v>194.86956136372405</v>
      </c>
      <c r="DF65" s="13">
        <f t="shared" si="74"/>
        <v>179.31997613198502</v>
      </c>
      <c r="DG65" s="13">
        <f t="shared" si="75"/>
        <v>175.36048442130254</v>
      </c>
      <c r="DH65" s="13">
        <f t="shared" si="76"/>
        <v>172.70647440865946</v>
      </c>
      <c r="DI65" s="13">
        <f t="shared" si="77"/>
        <v>169.68466805057949</v>
      </c>
      <c r="DJ65" s="13">
        <f t="shared" si="78"/>
        <v>166.03168547384166</v>
      </c>
      <c r="DK65" s="13">
        <f t="shared" si="79"/>
        <v>161.75354525209036</v>
      </c>
      <c r="DL65" s="13">
        <f t="shared" si="80"/>
        <v>156.92608863893776</v>
      </c>
      <c r="DM65" s="13">
        <f t="shared" si="81"/>
        <v>151.65059636679135</v>
      </c>
      <c r="DN65" s="13">
        <f t="shared" si="82"/>
        <v>146.03757459749593</v>
      </c>
      <c r="DO65" s="13">
        <f t="shared" si="83"/>
        <v>140.19771181684479</v>
      </c>
      <c r="DP65" s="13">
        <f t="shared" si="84"/>
        <v>134.23610885660187</v>
      </c>
      <c r="DQ65" s="13">
        <f t="shared" si="85"/>
        <v>128.24865542936112</v>
      </c>
      <c r="DR65" s="13">
        <f t="shared" si="86"/>
        <v>122.31993690243567</v>
      </c>
      <c r="DS65" s="13">
        <f t="shared" si="87"/>
        <v>116.52222138541919</v>
      </c>
      <c r="DT65" s="13">
        <f t="shared" si="88"/>
        <v>110.9151869235521</v>
      </c>
      <c r="DU65" s="13">
        <f t="shared" si="89"/>
        <v>105.54613792694663</v>
      </c>
      <c r="DV65" s="13">
        <f t="shared" si="90"/>
        <v>100.45053175627866</v>
      </c>
      <c r="DW65" s="13">
        <f t="shared" si="91"/>
        <v>95.652691622630215</v>
      </c>
      <c r="DX65" s="13">
        <f t="shared" si="92"/>
        <v>91.166622824257843</v>
      </c>
      <c r="DY65" s="13">
        <f t="shared" si="93"/>
        <v>86.996878591868835</v>
      </c>
      <c r="DZ65" s="13">
        <f t="shared" si="94"/>
        <v>83.139442148223566</v>
      </c>
      <c r="EA65" s="13">
        <f t="shared" si="95"/>
        <v>79.58260534383453</v>
      </c>
      <c r="EB65" s="13">
        <f t="shared" si="96"/>
        <v>76.307833284466682</v>
      </c>
      <c r="EC65" s="13">
        <f t="shared" si="97"/>
        <v>73.290610152010245</v>
      </c>
      <c r="ED65" s="13">
        <f t="shared" si="98"/>
        <v>70.501264994440547</v>
      </c>
      <c r="EE65" s="13">
        <f t="shared" si="99"/>
        <v>67.905778378394118</v>
      </c>
      <c r="EF65" s="13">
        <f t="shared" si="100"/>
        <v>65.466571985759032</v>
      </c>
      <c r="EG65" s="13">
        <f t="shared" si="101"/>
        <v>63.143283851599804</v>
      </c>
      <c r="EH65" s="13">
        <f t="shared" si="102"/>
        <v>60.893532222382603</v>
      </c>
    </row>
    <row r="66" spans="5:138" x14ac:dyDescent="0.25">
      <c r="E66" s="95"/>
      <c r="F66" s="26">
        <v>0.01</v>
      </c>
      <c r="G66">
        <f t="shared" si="10"/>
        <v>300</v>
      </c>
      <c r="H66">
        <f t="shared" si="11"/>
        <v>296.7533155506714</v>
      </c>
      <c r="I66">
        <f t="shared" si="12"/>
        <v>293.12730625559192</v>
      </c>
      <c r="J66">
        <f t="shared" si="13"/>
        <v>288.84506996747274</v>
      </c>
      <c r="K66">
        <f t="shared" si="14"/>
        <v>283.73467620044619</v>
      </c>
      <c r="L66">
        <f t="shared" si="15"/>
        <v>277.72344639030524</v>
      </c>
      <c r="M66">
        <f t="shared" si="16"/>
        <v>270.8217061213337</v>
      </c>
      <c r="N66">
        <f t="shared" si="17"/>
        <v>263.10276801584126</v>
      </c>
      <c r="O66">
        <f t="shared" si="18"/>
        <v>254.68320915155959</v>
      </c>
      <c r="P66">
        <f t="shared" si="19"/>
        <v>245.70554557596014</v>
      </c>
      <c r="Q66">
        <f t="shared" si="20"/>
        <v>236.32412538754204</v>
      </c>
      <c r="R66">
        <f t="shared" si="21"/>
        <v>226.69430655369575</v>
      </c>
      <c r="S66">
        <f t="shared" si="22"/>
        <v>216.96459454273094</v>
      </c>
      <c r="T66">
        <f t="shared" si="23"/>
        <v>207.27125488000303</v>
      </c>
      <c r="U66">
        <f t="shared" si="24"/>
        <v>197.73488996268406</v>
      </c>
      <c r="V66">
        <f t="shared" si="25"/>
        <v>188.45851307083586</v>
      </c>
      <c r="W66">
        <f t="shared" si="26"/>
        <v>179.52672525947378</v>
      </c>
      <c r="X66">
        <f t="shared" si="27"/>
        <v>171.00567963835343</v>
      </c>
      <c r="Y66">
        <f t="shared" si="28"/>
        <v>162.94359054971366</v>
      </c>
      <c r="Z66">
        <f t="shared" si="29"/>
        <v>155.37160726327332</v>
      </c>
      <c r="AA66">
        <f t="shared" si="30"/>
        <v>148.30492181527654</v>
      </c>
      <c r="AB66">
        <f t="shared" si="31"/>
        <v>141.74401930605941</v>
      </c>
      <c r="AC66">
        <f t="shared" si="32"/>
        <v>135.67600797817931</v>
      </c>
      <c r="AD66">
        <f t="shared" si="33"/>
        <v>130.07598758594816</v>
      </c>
      <c r="AE66">
        <f t="shared" si="34"/>
        <v>124.90842969376031</v>
      </c>
      <c r="AF66">
        <f t="shared" si="35"/>
        <v>120.12855411447812</v>
      </c>
      <c r="AG66">
        <f t="shared" si="36"/>
        <v>115.68369294383814</v>
      </c>
      <c r="AH66">
        <f t="shared" si="37"/>
        <v>111.51463851341293</v>
      </c>
      <c r="AI66">
        <f t="shared" si="120"/>
        <v>107.55697478840634</v>
      </c>
      <c r="AJ66">
        <f t="shared" si="103"/>
        <v>103.74239380031996</v>
      </c>
      <c r="AK66">
        <f t="shared" si="39"/>
        <v>100</v>
      </c>
      <c r="AL66" s="86"/>
      <c r="AM66" s="26">
        <v>0.01</v>
      </c>
      <c r="AN66" s="27">
        <f t="shared" si="40"/>
        <v>-1076400000</v>
      </c>
      <c r="AO66" s="27">
        <f t="shared" si="104"/>
        <v>-1066321301.0572181</v>
      </c>
      <c r="AP66" s="27">
        <f t="shared" si="41"/>
        <v>-1054457554.5962481</v>
      </c>
      <c r="AQ66" s="27">
        <f t="shared" si="42"/>
        <v>-1039804683.0059683</v>
      </c>
      <c r="AR66" s="27">
        <f t="shared" si="43"/>
        <v>-1021769479.4256945</v>
      </c>
      <c r="AS66" s="27">
        <f t="shared" si="44"/>
        <v>-1000158438.9479738</v>
      </c>
      <c r="AT66" s="27">
        <f t="shared" si="45"/>
        <v>-975091480.6065414</v>
      </c>
      <c r="AU66" s="27">
        <f t="shared" si="46"/>
        <v>-946913301.58222544</v>
      </c>
      <c r="AV66" s="27">
        <f t="shared" si="47"/>
        <v>-916113907.94065142</v>
      </c>
      <c r="AW66" s="27">
        <f t="shared" si="48"/>
        <v>-883263049.90361416</v>
      </c>
      <c r="AX66" s="27">
        <f t="shared" si="49"/>
        <v>-848959332.28257382</v>
      </c>
      <c r="AY66" s="27">
        <f t="shared" si="50"/>
        <v>-813792729.66793084</v>
      </c>
      <c r="AZ66" s="27">
        <f t="shared" si="51"/>
        <v>-778318383.69761777</v>
      </c>
      <c r="BA66" s="27">
        <f t="shared" si="52"/>
        <v>-743039387.06345797</v>
      </c>
      <c r="BB66" s="27">
        <f t="shared" si="53"/>
        <v>-708396434.76066172</v>
      </c>
      <c r="BC66" s="27">
        <f t="shared" si="54"/>
        <v>-674762546.10494637</v>
      </c>
      <c r="BD66" s="27">
        <f t="shared" si="55"/>
        <v>-642441417.56339145</v>
      </c>
      <c r="BE66" s="27">
        <f t="shared" si="56"/>
        <v>-611668298.49794245</v>
      </c>
      <c r="BF66" s="27">
        <f t="shared" si="57"/>
        <v>-582612564.8712672</v>
      </c>
      <c r="BG66" s="27">
        <f t="shared" si="58"/>
        <v>-555381393.80946851</v>
      </c>
      <c r="BH66" s="27">
        <f t="shared" si="59"/>
        <v>-530024118.10666442</v>
      </c>
      <c r="BI66" s="27">
        <f t="shared" si="60"/>
        <v>-506536971.77940607</v>
      </c>
      <c r="BJ66" s="27">
        <f t="shared" si="61"/>
        <v>-484868034.15212089</v>
      </c>
      <c r="BK66" s="27">
        <f t="shared" si="62"/>
        <v>-464922248.70820284</v>
      </c>
      <c r="BL66" s="27">
        <f t="shared" si="63"/>
        <v>-446566440.96578276</v>
      </c>
      <c r="BM66" s="27">
        <f t="shared" si="64"/>
        <v>-429634292.51096892</v>
      </c>
      <c r="BN66" s="27">
        <f t="shared" si="65"/>
        <v>-413931250.37800211</v>
      </c>
      <c r="BO66" s="27">
        <f t="shared" si="66"/>
        <v>-399239365.46569276</v>
      </c>
      <c r="BP66" s="27">
        <f t="shared" si="67"/>
        <v>-385322063.00995219</v>
      </c>
      <c r="BQ66" s="27">
        <f t="shared" si="68"/>
        <v>-371928853.99819511</v>
      </c>
      <c r="BR66" s="27">
        <f t="shared" si="69"/>
        <v>-358800000</v>
      </c>
      <c r="BT66" s="86"/>
      <c r="BU66" s="26">
        <v>0.01</v>
      </c>
      <c r="BV66" s="13">
        <v>0</v>
      </c>
      <c r="BW66" s="13">
        <f t="shared" ref="BW66:CY66" si="131">$B$20/($B$21-$B$22*BV66)</f>
        <v>0.34883720930232553</v>
      </c>
      <c r="BX66" s="13">
        <f t="shared" si="131"/>
        <v>0.39716748768472904</v>
      </c>
      <c r="BY66" s="13">
        <f t="shared" si="131"/>
        <v>0.40494040593779607</v>
      </c>
      <c r="BZ66" s="13">
        <f t="shared" si="131"/>
        <v>0.4062190081621499</v>
      </c>
      <c r="CA66" s="13">
        <f t="shared" si="131"/>
        <v>0.40643010492156101</v>
      </c>
      <c r="CB66" s="13">
        <f t="shared" si="131"/>
        <v>0.40646497802255066</v>
      </c>
      <c r="CC66" s="13">
        <f t="shared" si="131"/>
        <v>0.40647073962099717</v>
      </c>
      <c r="CD66" s="13">
        <f t="shared" si="131"/>
        <v>0.40647169154566137</v>
      </c>
      <c r="CE66" s="13">
        <f t="shared" si="131"/>
        <v>0.40647184882198806</v>
      </c>
      <c r="CF66" s="13">
        <f t="shared" si="131"/>
        <v>0.40647187480708435</v>
      </c>
      <c r="CG66" s="13">
        <f t="shared" si="131"/>
        <v>0.40647187910032606</v>
      </c>
      <c r="CH66" s="13">
        <f t="shared" si="131"/>
        <v>0.40647187980965277</v>
      </c>
      <c r="CI66" s="13">
        <f t="shared" si="131"/>
        <v>0.4064718799268473</v>
      </c>
      <c r="CJ66" s="13">
        <f t="shared" si="131"/>
        <v>0.40647187994621015</v>
      </c>
      <c r="CK66" s="13">
        <f t="shared" si="131"/>
        <v>0.40647187994940925</v>
      </c>
      <c r="CL66" s="13">
        <f t="shared" si="131"/>
        <v>0.40647187994993778</v>
      </c>
      <c r="CM66" s="13">
        <f t="shared" si="131"/>
        <v>0.40647187995002515</v>
      </c>
      <c r="CN66" s="13">
        <f t="shared" si="131"/>
        <v>0.40647187995003953</v>
      </c>
      <c r="CO66" s="13">
        <f t="shared" si="131"/>
        <v>0.40647187995004191</v>
      </c>
      <c r="CP66" s="13">
        <f t="shared" si="131"/>
        <v>0.40647187995004236</v>
      </c>
      <c r="CQ66" s="13">
        <f t="shared" si="131"/>
        <v>0.40647187995004236</v>
      </c>
      <c r="CR66" s="13">
        <f t="shared" si="131"/>
        <v>0.40647187995004236</v>
      </c>
      <c r="CS66" s="13">
        <f t="shared" si="131"/>
        <v>0.40647187995004236</v>
      </c>
      <c r="CT66" s="13">
        <f t="shared" si="131"/>
        <v>0.40647187995004236</v>
      </c>
      <c r="CU66" s="13">
        <f t="shared" si="131"/>
        <v>0.40647187995004236</v>
      </c>
      <c r="CV66" s="13">
        <f t="shared" si="131"/>
        <v>0.40647187995004236</v>
      </c>
      <c r="CW66" s="13">
        <f t="shared" si="131"/>
        <v>0.40647187995004236</v>
      </c>
      <c r="CX66" s="13">
        <f t="shared" si="131"/>
        <v>0.40647187995004236</v>
      </c>
      <c r="CY66" s="13">
        <f t="shared" si="131"/>
        <v>0.40647187995004236</v>
      </c>
      <c r="CZ66" s="13">
        <f t="shared" si="71"/>
        <v>100</v>
      </c>
      <c r="DB66" s="86"/>
      <c r="DC66" s="26">
        <v>0.01</v>
      </c>
      <c r="DD66" s="13">
        <f t="shared" si="72"/>
        <v>300</v>
      </c>
      <c r="DE66" s="13">
        <f t="shared" si="73"/>
        <v>194.49960406616262</v>
      </c>
      <c r="DF66" s="13">
        <f t="shared" si="74"/>
        <v>178.40743548649101</v>
      </c>
      <c r="DG66" s="13">
        <f t="shared" si="75"/>
        <v>173.94943500823493</v>
      </c>
      <c r="DH66" s="13">
        <f t="shared" si="76"/>
        <v>170.91813326440237</v>
      </c>
      <c r="DI66" s="13">
        <f t="shared" si="77"/>
        <v>167.65335195637542</v>
      </c>
      <c r="DJ66" s="13">
        <f t="shared" si="78"/>
        <v>163.87964530210252</v>
      </c>
      <c r="DK66" s="13">
        <f t="shared" si="79"/>
        <v>159.5814956229577</v>
      </c>
      <c r="DL66" s="13">
        <f t="shared" si="80"/>
        <v>154.81086041914946</v>
      </c>
      <c r="DM66" s="13">
        <f t="shared" si="81"/>
        <v>149.64644140844661</v>
      </c>
      <c r="DN66" s="13">
        <f t="shared" si="82"/>
        <v>144.17926559456942</v>
      </c>
      <c r="DO66" s="13">
        <f t="shared" si="83"/>
        <v>138.50430011167154</v>
      </c>
      <c r="DP66" s="13">
        <f t="shared" si="84"/>
        <v>132.71465794115042</v>
      </c>
      <c r="DQ66" s="13">
        <f t="shared" si="85"/>
        <v>126.89758242974254</v>
      </c>
      <c r="DR66" s="13">
        <f t="shared" si="86"/>
        <v>121.13180386291401</v>
      </c>
      <c r="DS66" s="13">
        <f t="shared" si="87"/>
        <v>115.48594755345644</v>
      </c>
      <c r="DT66" s="13">
        <f t="shared" si="88"/>
        <v>110.01772517475547</v>
      </c>
      <c r="DU66" s="13">
        <f t="shared" si="89"/>
        <v>104.77369206180417</v>
      </c>
      <c r="DV66" s="13">
        <f t="shared" si="90"/>
        <v>99.789401254551748</v>
      </c>
      <c r="DW66" s="13">
        <f t="shared" si="91"/>
        <v>95.089826887173885</v>
      </c>
      <c r="DX66" s="13">
        <f t="shared" si="92"/>
        <v>90.689963816267479</v>
      </c>
      <c r="DY66" s="13">
        <f t="shared" si="93"/>
        <v>86.595537279051925</v>
      </c>
      <c r="DZ66" s="13">
        <f t="shared" si="94"/>
        <v>82.803776767760596</v>
      </c>
      <c r="EA66" s="13">
        <f t="shared" si="95"/>
        <v>79.304223346717706</v>
      </c>
      <c r="EB66" s="13">
        <f t="shared" si="96"/>
        <v>76.079550467167991</v>
      </c>
      <c r="EC66" s="13">
        <f t="shared" si="97"/>
        <v>73.106385964032782</v>
      </c>
      <c r="ED66" s="13">
        <f t="shared" si="98"/>
        <v>70.356128185341788</v>
      </c>
      <c r="EE66" s="13">
        <f t="shared" si="99"/>
        <v>67.795752769430109</v>
      </c>
      <c r="EF66" s="13">
        <f t="shared" si="100"/>
        <v>65.388608949872662</v>
      </c>
      <c r="EG66" s="13">
        <f t="shared" si="101"/>
        <v>63.095205805315722</v>
      </c>
      <c r="EH66" s="13">
        <f t="shared" si="102"/>
        <v>60.873989848525191</v>
      </c>
    </row>
    <row r="67" spans="5:138" x14ac:dyDescent="0.25">
      <c r="E67" s="95"/>
      <c r="F67" s="26">
        <v>6.6666666666666671E-3</v>
      </c>
      <c r="G67">
        <f t="shared" si="10"/>
        <v>300</v>
      </c>
      <c r="H67">
        <f t="shared" si="11"/>
        <v>296.09104694014525</v>
      </c>
      <c r="I67">
        <f t="shared" si="12"/>
        <v>291.8806462376499</v>
      </c>
      <c r="J67">
        <f t="shared" si="13"/>
        <v>287.13356011709345</v>
      </c>
      <c r="K67">
        <f t="shared" si="14"/>
        <v>281.69324966624578</v>
      </c>
      <c r="L67">
        <f t="shared" si="15"/>
        <v>275.4831195349235</v>
      </c>
      <c r="M67">
        <f t="shared" si="16"/>
        <v>268.49766923773149</v>
      </c>
      <c r="N67">
        <f t="shared" si="17"/>
        <v>260.78865080724961</v>
      </c>
      <c r="O67">
        <f t="shared" si="18"/>
        <v>252.44978770818244</v>
      </c>
      <c r="P67">
        <f t="shared" si="19"/>
        <v>243.60224611139819</v>
      </c>
      <c r="Q67">
        <f t="shared" si="20"/>
        <v>234.38201401061417</v>
      </c>
      <c r="R67">
        <f t="shared" si="21"/>
        <v>224.92963716363857</v>
      </c>
      <c r="S67">
        <f t="shared" si="22"/>
        <v>215.38232500087707</v>
      </c>
      <c r="T67">
        <f t="shared" si="23"/>
        <v>205.86820221780084</v>
      </c>
      <c r="U67">
        <f t="shared" si="24"/>
        <v>196.50237748865263</v>
      </c>
      <c r="V67">
        <f t="shared" si="25"/>
        <v>187.38447848926774</v>
      </c>
      <c r="W67">
        <f t="shared" si="26"/>
        <v>178.59732570273815</v>
      </c>
      <c r="X67">
        <f t="shared" si="27"/>
        <v>170.20646213634376</v>
      </c>
      <c r="Y67">
        <f t="shared" si="28"/>
        <v>162.26030724823377</v>
      </c>
      <c r="Z67">
        <f t="shared" si="29"/>
        <v>154.79075272716923</v>
      </c>
      <c r="AA67">
        <f t="shared" si="30"/>
        <v>147.8140612137274</v>
      </c>
      <c r="AB67">
        <f t="shared" si="31"/>
        <v>141.33196513784665</v>
      </c>
      <c r="AC67">
        <f t="shared" si="32"/>
        <v>135.3328915969584</v>
      </c>
      <c r="AD67">
        <f t="shared" si="33"/>
        <v>129.79326137601296</v>
      </c>
      <c r="AE67">
        <f t="shared" si="34"/>
        <v>124.67882687249011</v>
      </c>
      <c r="AF67">
        <f t="shared" si="35"/>
        <v>119.94602592823368</v>
      </c>
      <c r="AG67">
        <f t="shared" si="36"/>
        <v>115.54333738116958</v>
      </c>
      <c r="AH67">
        <f t="shared" si="37"/>
        <v>111.41263037683146</v>
      </c>
      <c r="AI67">
        <f t="shared" si="120"/>
        <v>107.49050380105143</v>
      </c>
      <c r="AJ67">
        <f t="shared" si="103"/>
        <v>103.70961513656965</v>
      </c>
      <c r="AK67">
        <f t="shared" si="39"/>
        <v>100</v>
      </c>
      <c r="AL67" s="86"/>
      <c r="AM67" s="26">
        <v>6.6666666666666671E-3</v>
      </c>
      <c r="AN67" s="27">
        <f t="shared" si="40"/>
        <v>-1076400000</v>
      </c>
      <c r="AO67" s="27">
        <f t="shared" si="104"/>
        <v>-1063622669.6617731</v>
      </c>
      <c r="AP67" s="27">
        <f t="shared" si="41"/>
        <v>-1049489636.3314607</v>
      </c>
      <c r="AQ67" s="27">
        <f t="shared" si="42"/>
        <v>-1033105162.4275368</v>
      </c>
      <c r="AR67" s="27">
        <f t="shared" si="43"/>
        <v>-1013902433.2796549</v>
      </c>
      <c r="AS67" s="27">
        <f t="shared" si="44"/>
        <v>-991643258.37800586</v>
      </c>
      <c r="AT67" s="27">
        <f t="shared" si="45"/>
        <v>-966365209.29680037</v>
      </c>
      <c r="AU67" s="27">
        <f t="shared" si="46"/>
        <v>-938317236.02435482</v>
      </c>
      <c r="AV67" s="27">
        <f t="shared" si="47"/>
        <v>-907895767.27750766</v>
      </c>
      <c r="AW67" s="27">
        <f t="shared" si="48"/>
        <v>-875587797.73425567</v>
      </c>
      <c r="AX67" s="27">
        <f t="shared" si="49"/>
        <v>-841923745.51931691</v>
      </c>
      <c r="AY67" s="27">
        <f t="shared" si="50"/>
        <v>-807440570.35048854</v>
      </c>
      <c r="AZ67" s="27">
        <f t="shared" si="51"/>
        <v>-772654378.07125008</v>
      </c>
      <c r="BA67" s="27">
        <f t="shared" si="52"/>
        <v>-738041155.61420763</v>
      </c>
      <c r="BB67" s="27">
        <f t="shared" si="53"/>
        <v>-704024117.90806568</v>
      </c>
      <c r="BC67" s="27">
        <f t="shared" si="54"/>
        <v>-670966219.4982717</v>
      </c>
      <c r="BD67" s="27">
        <f t="shared" si="55"/>
        <v>-639166567.25006461</v>
      </c>
      <c r="BE67" s="27">
        <f t="shared" si="56"/>
        <v>-608859692.21710396</v>
      </c>
      <c r="BF67" s="27">
        <f t="shared" si="57"/>
        <v>-580216856.88709474</v>
      </c>
      <c r="BG67" s="27">
        <f t="shared" si="58"/>
        <v>-553348767.93352532</v>
      </c>
      <c r="BH67" s="27">
        <f t="shared" si="59"/>
        <v>-528309226.52335089</v>
      </c>
      <c r="BI67" s="27">
        <f t="shared" si="60"/>
        <v>-505099377.61972499</v>
      </c>
      <c r="BJ67" s="27">
        <f t="shared" si="61"/>
        <v>-483672319.70532364</v>
      </c>
      <c r="BK67" s="27">
        <f t="shared" si="62"/>
        <v>-463937911.54700518</v>
      </c>
      <c r="BL67" s="27">
        <f t="shared" si="63"/>
        <v>-445767667.88313162</v>
      </c>
      <c r="BM67" s="27">
        <f t="shared" si="64"/>
        <v>-428999675.70612645</v>
      </c>
      <c r="BN67" s="27">
        <f t="shared" si="65"/>
        <v>-413443490.93675107</v>
      </c>
      <c r="BO67" s="27">
        <f t="shared" si="66"/>
        <v>-398884994.81784081</v>
      </c>
      <c r="BP67" s="27">
        <f t="shared" si="67"/>
        <v>-385091202.68539792</v>
      </c>
      <c r="BQ67" s="27">
        <f t="shared" si="68"/>
        <v>-371815026.70445573</v>
      </c>
      <c r="BR67" s="27">
        <f t="shared" si="69"/>
        <v>-358800000</v>
      </c>
      <c r="BT67" s="86"/>
      <c r="BU67" s="26">
        <v>6.6666666666666671E-3</v>
      </c>
      <c r="BV67" s="13">
        <v>0</v>
      </c>
      <c r="BW67" s="13">
        <f t="shared" ref="BW67:CY67" si="132">$B$20/($B$21-$B$22*BV67)</f>
        <v>0.34883720930232553</v>
      </c>
      <c r="BX67" s="13">
        <f t="shared" si="132"/>
        <v>0.39716748768472904</v>
      </c>
      <c r="BY67" s="13">
        <f t="shared" si="132"/>
        <v>0.40494040593779607</v>
      </c>
      <c r="BZ67" s="13">
        <f t="shared" si="132"/>
        <v>0.4062190081621499</v>
      </c>
      <c r="CA67" s="13">
        <f t="shared" si="132"/>
        <v>0.40643010492156101</v>
      </c>
      <c r="CB67" s="13">
        <f t="shared" si="132"/>
        <v>0.40646497802255066</v>
      </c>
      <c r="CC67" s="13">
        <f t="shared" si="132"/>
        <v>0.40647073962099717</v>
      </c>
      <c r="CD67" s="13">
        <f t="shared" si="132"/>
        <v>0.40647169154566137</v>
      </c>
      <c r="CE67" s="13">
        <f t="shared" si="132"/>
        <v>0.40647184882198806</v>
      </c>
      <c r="CF67" s="13">
        <f t="shared" si="132"/>
        <v>0.40647187480708435</v>
      </c>
      <c r="CG67" s="13">
        <f t="shared" si="132"/>
        <v>0.40647187910032606</v>
      </c>
      <c r="CH67" s="13">
        <f t="shared" si="132"/>
        <v>0.40647187980965277</v>
      </c>
      <c r="CI67" s="13">
        <f t="shared" si="132"/>
        <v>0.4064718799268473</v>
      </c>
      <c r="CJ67" s="13">
        <f t="shared" si="132"/>
        <v>0.40647187994621015</v>
      </c>
      <c r="CK67" s="13">
        <f t="shared" si="132"/>
        <v>0.40647187994940925</v>
      </c>
      <c r="CL67" s="13">
        <f t="shared" si="132"/>
        <v>0.40647187994993778</v>
      </c>
      <c r="CM67" s="13">
        <f t="shared" si="132"/>
        <v>0.40647187995002515</v>
      </c>
      <c r="CN67" s="13">
        <f t="shared" si="132"/>
        <v>0.40647187995003953</v>
      </c>
      <c r="CO67" s="13">
        <f t="shared" si="132"/>
        <v>0.40647187995004191</v>
      </c>
      <c r="CP67" s="13">
        <f t="shared" si="132"/>
        <v>0.40647187995004236</v>
      </c>
      <c r="CQ67" s="13">
        <f t="shared" si="132"/>
        <v>0.40647187995004236</v>
      </c>
      <c r="CR67" s="13">
        <f t="shared" si="132"/>
        <v>0.40647187995004236</v>
      </c>
      <c r="CS67" s="13">
        <f t="shared" si="132"/>
        <v>0.40647187995004236</v>
      </c>
      <c r="CT67" s="13">
        <f t="shared" si="132"/>
        <v>0.40647187995004236</v>
      </c>
      <c r="CU67" s="13">
        <f t="shared" si="132"/>
        <v>0.40647187995004236</v>
      </c>
      <c r="CV67" s="13">
        <f t="shared" si="132"/>
        <v>0.40647187995004236</v>
      </c>
      <c r="CW67" s="13">
        <f t="shared" si="132"/>
        <v>0.40647187995004236</v>
      </c>
      <c r="CX67" s="13">
        <f t="shared" si="132"/>
        <v>0.40647187995004236</v>
      </c>
      <c r="CY67" s="13">
        <f t="shared" si="132"/>
        <v>0.40647187995004236</v>
      </c>
      <c r="CZ67" s="13">
        <f t="shared" si="71"/>
        <v>100</v>
      </c>
      <c r="DB67" s="86"/>
      <c r="DC67" s="26">
        <v>6.6666666666666671E-3</v>
      </c>
      <c r="DD67" s="13">
        <f t="shared" si="72"/>
        <v>300</v>
      </c>
      <c r="DE67" s="13">
        <f t="shared" si="73"/>
        <v>194.2722168572441</v>
      </c>
      <c r="DF67" s="13">
        <f t="shared" si="74"/>
        <v>177.84053153597176</v>
      </c>
      <c r="DG67" s="13">
        <f t="shared" si="75"/>
        <v>173.06458124730693</v>
      </c>
      <c r="DH67" s="13">
        <f t="shared" si="76"/>
        <v>169.78677008335418</v>
      </c>
      <c r="DI67" s="13">
        <f t="shared" si="77"/>
        <v>166.35758365543768</v>
      </c>
      <c r="DJ67" s="13">
        <f t="shared" si="78"/>
        <v>162.49621601883211</v>
      </c>
      <c r="DK67" s="13">
        <f t="shared" si="79"/>
        <v>158.17519888034099</v>
      </c>
      <c r="DL67" s="13">
        <f t="shared" si="80"/>
        <v>153.43237066695991</v>
      </c>
      <c r="DM67" s="13">
        <f t="shared" si="81"/>
        <v>148.33255554588274</v>
      </c>
      <c r="DN67" s="13">
        <f t="shared" si="82"/>
        <v>142.95444269303277</v>
      </c>
      <c r="DO67" s="13">
        <f t="shared" si="83"/>
        <v>137.38277879553493</v>
      </c>
      <c r="DP67" s="13">
        <f t="shared" si="84"/>
        <v>131.70268985237382</v>
      </c>
      <c r="DQ67" s="13">
        <f t="shared" si="85"/>
        <v>125.9955114298932</v>
      </c>
      <c r="DR67" s="13">
        <f t="shared" si="86"/>
        <v>120.3358562443798</v>
      </c>
      <c r="DS67" s="13">
        <f t="shared" si="87"/>
        <v>114.78968775693882</v>
      </c>
      <c r="DT67" s="13">
        <f t="shared" si="88"/>
        <v>109.41318505855058</v>
      </c>
      <c r="DU67" s="13">
        <f t="shared" si="89"/>
        <v>104.25221000788548</v>
      </c>
      <c r="DV67" s="13">
        <f t="shared" si="90"/>
        <v>99.342218988339582</v>
      </c>
      <c r="DW67" s="13">
        <f t="shared" si="91"/>
        <v>94.708493382574886</v>
      </c>
      <c r="DX67" s="13">
        <f t="shared" si="92"/>
        <v>90.366591647113026</v>
      </c>
      <c r="DY67" s="13">
        <f t="shared" si="93"/>
        <v>86.32295027135568</v>
      </c>
      <c r="DZ67" s="13">
        <f t="shared" si="94"/>
        <v>82.575580640603192</v>
      </c>
      <c r="EA67" s="13">
        <f t="shared" si="95"/>
        <v>79.114824227186048</v>
      </c>
      <c r="EB67" s="13">
        <f t="shared" si="96"/>
        <v>75.924140220904434</v>
      </c>
      <c r="EC67" s="13">
        <f t="shared" si="97"/>
        <v>72.980908367207675</v>
      </c>
      <c r="ED67" s="13">
        <f t="shared" si="98"/>
        <v>70.257236061719709</v>
      </c>
      <c r="EE67" s="13">
        <f t="shared" si="99"/>
        <v>67.720763220040908</v>
      </c>
      <c r="EF67" s="13">
        <f t="shared" si="100"/>
        <v>65.335461567594606</v>
      </c>
      <c r="EG67" s="13">
        <f t="shared" si="101"/>
        <v>63.062427141565415</v>
      </c>
      <c r="EH67" s="13">
        <f t="shared" si="102"/>
        <v>60.86066624344835</v>
      </c>
    </row>
    <row r="68" spans="5:138" x14ac:dyDescent="0.25">
      <c r="E68" s="95"/>
      <c r="F68" s="26">
        <v>3.3333333333333335E-3</v>
      </c>
      <c r="G68">
        <f t="shared" si="10"/>
        <v>300</v>
      </c>
      <c r="H68">
        <f t="shared" si="11"/>
        <v>295.7730549244481</v>
      </c>
      <c r="I68">
        <f t="shared" si="12"/>
        <v>291.27976469702656</v>
      </c>
      <c r="J68">
        <f t="shared" si="13"/>
        <v>286.30504227097134</v>
      </c>
      <c r="K68">
        <f t="shared" si="14"/>
        <v>280.7006032376795</v>
      </c>
      <c r="L68">
        <f t="shared" si="15"/>
        <v>274.38897793320467</v>
      </c>
      <c r="M68">
        <f t="shared" si="16"/>
        <v>267.35789942126462</v>
      </c>
      <c r="N68">
        <f t="shared" si="17"/>
        <v>259.64930852677128</v>
      </c>
      <c r="O68">
        <f t="shared" si="18"/>
        <v>251.34620816932386</v>
      </c>
      <c r="P68">
        <f t="shared" si="19"/>
        <v>242.55953738243815</v>
      </c>
      <c r="Q68">
        <f t="shared" si="20"/>
        <v>233.41633965571987</v>
      </c>
      <c r="R68">
        <f t="shared" si="21"/>
        <v>224.04983605981414</v>
      </c>
      <c r="S68">
        <f t="shared" si="22"/>
        <v>214.59156936951058</v>
      </c>
      <c r="T68">
        <f t="shared" si="23"/>
        <v>205.16551850807622</v>
      </c>
      <c r="U68">
        <f t="shared" si="24"/>
        <v>195.88394447604361</v>
      </c>
      <c r="V68">
        <f t="shared" si="25"/>
        <v>186.84467640974782</v>
      </c>
      <c r="W68">
        <f t="shared" si="26"/>
        <v>178.12954595568411</v>
      </c>
      <c r="X68">
        <f t="shared" si="27"/>
        <v>169.80370579288586</v>
      </c>
      <c r="Y68">
        <f t="shared" si="28"/>
        <v>161.91560804638979</v>
      </c>
      <c r="Z68">
        <f t="shared" si="29"/>
        <v>154.49746082394475</v>
      </c>
      <c r="AA68">
        <f t="shared" si="30"/>
        <v>147.5660208142971</v>
      </c>
      <c r="AB68">
        <f t="shared" si="31"/>
        <v>141.12361429141447</v>
      </c>
      <c r="AC68">
        <f t="shared" si="32"/>
        <v>135.15930720222221</v>
      </c>
      <c r="AD68">
        <f t="shared" si="33"/>
        <v>129.6501674845525</v>
      </c>
      <c r="AE68">
        <f t="shared" si="34"/>
        <v>124.56258005788921</v>
      </c>
      <c r="AF68">
        <f t="shared" si="35"/>
        <v>119.85358791807246</v>
      </c>
      <c r="AG68">
        <f t="shared" si="36"/>
        <v>115.4722423144312</v>
      </c>
      <c r="AH68">
        <f t="shared" si="37"/>
        <v>111.3609518708696</v>
      </c>
      <c r="AI68">
        <f t="shared" si="120"/>
        <v>107.45682538299883</v>
      </c>
      <c r="AJ68">
        <f t="shared" si="103"/>
        <v>103.69300640189867</v>
      </c>
      <c r="AK68">
        <f t="shared" si="39"/>
        <v>100</v>
      </c>
      <c r="AL68" s="86"/>
      <c r="AM68" s="26">
        <v>3.3333333333333335E-3</v>
      </c>
      <c r="AN68" s="27">
        <f t="shared" si="40"/>
        <v>-1076400000</v>
      </c>
      <c r="AO68" s="27">
        <f t="shared" si="104"/>
        <v>-1062336389.9976599</v>
      </c>
      <c r="AP68" s="27">
        <f t="shared" si="41"/>
        <v>-1047104925.0352749</v>
      </c>
      <c r="AQ68" s="27">
        <f t="shared" si="42"/>
        <v>-1029869518.4222047</v>
      </c>
      <c r="AR68" s="27">
        <f t="shared" si="43"/>
        <v>-1010081515.579492</v>
      </c>
      <c r="AS68" s="27">
        <f t="shared" si="44"/>
        <v>-987486189.10324466</v>
      </c>
      <c r="AT68" s="27">
        <f t="shared" si="45"/>
        <v>-962085044.38726771</v>
      </c>
      <c r="AU68" s="27">
        <f t="shared" si="46"/>
        <v>-934082988.17068529</v>
      </c>
      <c r="AV68" s="27">
        <f t="shared" si="47"/>
        <v>-903832176.48940837</v>
      </c>
      <c r="AW68" s="27">
        <f t="shared" si="48"/>
        <v>-871779641.65909493</v>
      </c>
      <c r="AX68" s="27">
        <f t="shared" si="49"/>
        <v>-838422312.98315918</v>
      </c>
      <c r="AY68" s="27">
        <f t="shared" si="50"/>
        <v>-804270710.99341989</v>
      </c>
      <c r="AZ68" s="27">
        <f t="shared" si="51"/>
        <v>-769821177.36628604</v>
      </c>
      <c r="BA68" s="27">
        <f t="shared" si="52"/>
        <v>-735535746.33325422</v>
      </c>
      <c r="BB68" s="27">
        <f t="shared" si="53"/>
        <v>-701828446.08189416</v>
      </c>
      <c r="BC68" s="27">
        <f t="shared" si="54"/>
        <v>-669056769.24353445</v>
      </c>
      <c r="BD68" s="27">
        <f t="shared" si="55"/>
        <v>-637517149.08315551</v>
      </c>
      <c r="BE68" s="27">
        <f t="shared" si="56"/>
        <v>-607443442.78138351</v>
      </c>
      <c r="BF68" s="27">
        <f t="shared" si="57"/>
        <v>-579007606.50087535</v>
      </c>
      <c r="BG68" s="27">
        <f t="shared" si="58"/>
        <v>-552321921.57533264</v>
      </c>
      <c r="BH68" s="27">
        <f t="shared" si="59"/>
        <v>-527442284.04649091</v>
      </c>
      <c r="BI68" s="27">
        <f t="shared" si="60"/>
        <v>-504372196.42211705</v>
      </c>
      <c r="BJ68" s="27">
        <f t="shared" si="61"/>
        <v>-483067201.32347023</v>
      </c>
      <c r="BK68" s="27">
        <f t="shared" si="62"/>
        <v>-463439574.44980806</v>
      </c>
      <c r="BL68" s="27">
        <f t="shared" si="63"/>
        <v>-445363152.760162</v>
      </c>
      <c r="BM68" s="27">
        <f t="shared" si="64"/>
        <v>-428678216.7902776</v>
      </c>
      <c r="BN68" s="27">
        <f t="shared" si="65"/>
        <v>-413196377.06144947</v>
      </c>
      <c r="BO68" s="27">
        <f t="shared" si="66"/>
        <v>-398705436.53612036</v>
      </c>
      <c r="BP68" s="27">
        <f t="shared" si="67"/>
        <v>-384974216.39616954</v>
      </c>
      <c r="BQ68" s="27">
        <f t="shared" si="68"/>
        <v>-371757342.89211839</v>
      </c>
      <c r="BR68" s="27">
        <f t="shared" si="69"/>
        <v>-358800000</v>
      </c>
      <c r="BT68" s="86"/>
      <c r="BU68" s="26">
        <v>3.3333333333333335E-3</v>
      </c>
      <c r="BV68" s="13">
        <v>0</v>
      </c>
      <c r="BW68" s="13">
        <f t="shared" ref="BW68:CY68" si="133">$B$20/($B$21-$B$22*BV68)</f>
        <v>0.34883720930232553</v>
      </c>
      <c r="BX68" s="13">
        <f t="shared" si="133"/>
        <v>0.39716748768472904</v>
      </c>
      <c r="BY68" s="13">
        <f t="shared" si="133"/>
        <v>0.40494040593779607</v>
      </c>
      <c r="BZ68" s="13">
        <f t="shared" si="133"/>
        <v>0.4062190081621499</v>
      </c>
      <c r="CA68" s="13">
        <f t="shared" si="133"/>
        <v>0.40643010492156101</v>
      </c>
      <c r="CB68" s="13">
        <f t="shared" si="133"/>
        <v>0.40646497802255066</v>
      </c>
      <c r="CC68" s="13">
        <f t="shared" si="133"/>
        <v>0.40647073962099717</v>
      </c>
      <c r="CD68" s="13">
        <f t="shared" si="133"/>
        <v>0.40647169154566137</v>
      </c>
      <c r="CE68" s="13">
        <f t="shared" si="133"/>
        <v>0.40647184882198806</v>
      </c>
      <c r="CF68" s="13">
        <f t="shared" si="133"/>
        <v>0.40647187480708435</v>
      </c>
      <c r="CG68" s="13">
        <f t="shared" si="133"/>
        <v>0.40647187910032606</v>
      </c>
      <c r="CH68" s="13">
        <f t="shared" si="133"/>
        <v>0.40647187980965277</v>
      </c>
      <c r="CI68" s="13">
        <f t="shared" si="133"/>
        <v>0.4064718799268473</v>
      </c>
      <c r="CJ68" s="13">
        <f t="shared" si="133"/>
        <v>0.40647187994621015</v>
      </c>
      <c r="CK68" s="13">
        <f t="shared" si="133"/>
        <v>0.40647187994940925</v>
      </c>
      <c r="CL68" s="13">
        <f t="shared" si="133"/>
        <v>0.40647187994993778</v>
      </c>
      <c r="CM68" s="13">
        <f t="shared" si="133"/>
        <v>0.40647187995002515</v>
      </c>
      <c r="CN68" s="13">
        <f t="shared" si="133"/>
        <v>0.40647187995003953</v>
      </c>
      <c r="CO68" s="13">
        <f t="shared" si="133"/>
        <v>0.40647187995004191</v>
      </c>
      <c r="CP68" s="13">
        <f t="shared" si="133"/>
        <v>0.40647187995004236</v>
      </c>
      <c r="CQ68" s="13">
        <f t="shared" si="133"/>
        <v>0.40647187995004236</v>
      </c>
      <c r="CR68" s="13">
        <f t="shared" si="133"/>
        <v>0.40647187995004236</v>
      </c>
      <c r="CS68" s="13">
        <f t="shared" si="133"/>
        <v>0.40647187995004236</v>
      </c>
      <c r="CT68" s="13">
        <f t="shared" si="133"/>
        <v>0.40647187995004236</v>
      </c>
      <c r="CU68" s="13">
        <f t="shared" si="133"/>
        <v>0.40647187995004236</v>
      </c>
      <c r="CV68" s="13">
        <f t="shared" si="133"/>
        <v>0.40647187995004236</v>
      </c>
      <c r="CW68" s="13">
        <f t="shared" si="133"/>
        <v>0.40647187995004236</v>
      </c>
      <c r="CX68" s="13">
        <f t="shared" si="133"/>
        <v>0.40647187995004236</v>
      </c>
      <c r="CY68" s="13">
        <f t="shared" si="133"/>
        <v>0.40647187995004236</v>
      </c>
      <c r="CZ68" s="13">
        <f t="shared" si="71"/>
        <v>100</v>
      </c>
      <c r="DB68" s="86"/>
      <c r="DC68" s="26">
        <v>3.3333333333333335E-3</v>
      </c>
      <c r="DD68" s="13">
        <f t="shared" si="72"/>
        <v>300</v>
      </c>
      <c r="DE68" s="13">
        <f t="shared" si="73"/>
        <v>194.16383468129931</v>
      </c>
      <c r="DF68" s="13">
        <f t="shared" si="74"/>
        <v>177.56871034679475</v>
      </c>
      <c r="DG68" s="13">
        <f t="shared" si="75"/>
        <v>172.63802604892118</v>
      </c>
      <c r="DH68" s="13">
        <f t="shared" si="76"/>
        <v>169.23858477102706</v>
      </c>
      <c r="DI68" s="13">
        <f t="shared" si="77"/>
        <v>165.72667881981195</v>
      </c>
      <c r="DJ68" s="13">
        <f t="shared" si="78"/>
        <v>161.81954893736005</v>
      </c>
      <c r="DK68" s="13">
        <f t="shared" si="79"/>
        <v>157.48442939125312</v>
      </c>
      <c r="DL68" s="13">
        <f t="shared" si="80"/>
        <v>152.75262270895112</v>
      </c>
      <c r="DM68" s="13">
        <f t="shared" si="81"/>
        <v>147.68236625731657</v>
      </c>
      <c r="DN68" s="13">
        <f t="shared" si="82"/>
        <v>142.34638274226734</v>
      </c>
      <c r="DO68" s="13">
        <f t="shared" si="83"/>
        <v>136.82439761910121</v>
      </c>
      <c r="DP68" s="13">
        <f t="shared" si="84"/>
        <v>131.19755538941075</v>
      </c>
      <c r="DQ68" s="13">
        <f t="shared" si="85"/>
        <v>125.5442033494126</v>
      </c>
      <c r="DR68" s="13">
        <f t="shared" si="86"/>
        <v>119.93683759783212</v>
      </c>
      <c r="DS68" s="13">
        <f t="shared" si="87"/>
        <v>114.44002499060622</v>
      </c>
      <c r="DT68" s="13">
        <f t="shared" si="88"/>
        <v>109.10911443958365</v>
      </c>
      <c r="DU68" s="13">
        <f t="shared" si="89"/>
        <v>103.9895641970184</v>
      </c>
      <c r="DV68" s="13">
        <f t="shared" si="90"/>
        <v>99.116734697773381</v>
      </c>
      <c r="DW68" s="13">
        <f t="shared" si="91"/>
        <v>94.516022926810393</v>
      </c>
      <c r="DX68" s="13">
        <f t="shared" si="92"/>
        <v>90.20324000792121</v>
      </c>
      <c r="DY68" s="13">
        <f t="shared" si="93"/>
        <v>86.185156600181898</v>
      </c>
      <c r="DZ68" s="13">
        <f t="shared" si="94"/>
        <v>82.460159888938307</v>
      </c>
      <c r="EA68" s="13">
        <f t="shared" si="95"/>
        <v>79.018981396994619</v>
      </c>
      <c r="EB68" s="13">
        <f t="shared" si="96"/>
        <v>75.845466858072612</v>
      </c>
      <c r="EC68" s="13">
        <f t="shared" si="97"/>
        <v>72.91736850247878</v>
      </c>
      <c r="ED68" s="13">
        <f t="shared" si="98"/>
        <v>70.207146854452645</v>
      </c>
      <c r="EE68" s="13">
        <f t="shared" si="99"/>
        <v>67.68277404397864</v>
      </c>
      <c r="EF68" s="13">
        <f t="shared" si="100"/>
        <v>65.30853413314729</v>
      </c>
      <c r="EG68" s="13">
        <f t="shared" si="101"/>
        <v>63.045818406894433</v>
      </c>
      <c r="EH68" s="13">
        <f t="shared" si="102"/>
        <v>60.853915259843042</v>
      </c>
    </row>
    <row r="69" spans="5:138" x14ac:dyDescent="0.25">
      <c r="E69" s="95"/>
      <c r="F69" s="26">
        <v>0</v>
      </c>
      <c r="G69">
        <f t="shared" si="10"/>
        <v>300</v>
      </c>
      <c r="H69">
        <f t="shared" si="11"/>
        <v>295.7730549244481</v>
      </c>
      <c r="I69">
        <f t="shared" si="12"/>
        <v>291.27976469702656</v>
      </c>
      <c r="J69">
        <f t="shared" si="13"/>
        <v>286.30504227097134</v>
      </c>
      <c r="K69">
        <f t="shared" si="14"/>
        <v>280.7006032376795</v>
      </c>
      <c r="L69">
        <f t="shared" si="15"/>
        <v>274.38897793320467</v>
      </c>
      <c r="M69">
        <f t="shared" si="16"/>
        <v>267.35789942126462</v>
      </c>
      <c r="N69">
        <f t="shared" si="17"/>
        <v>259.64930852677128</v>
      </c>
      <c r="O69">
        <f t="shared" si="18"/>
        <v>251.34620816932386</v>
      </c>
      <c r="P69">
        <f t="shared" si="19"/>
        <v>242.55953738243815</v>
      </c>
      <c r="Q69">
        <f t="shared" si="20"/>
        <v>233.41633965571987</v>
      </c>
      <c r="R69">
        <f t="shared" si="21"/>
        <v>224.04983605981414</v>
      </c>
      <c r="S69">
        <f t="shared" si="22"/>
        <v>214.59156936951058</v>
      </c>
      <c r="T69">
        <f t="shared" si="23"/>
        <v>205.16551850807622</v>
      </c>
      <c r="U69">
        <f t="shared" si="24"/>
        <v>195.88394447604361</v>
      </c>
      <c r="V69">
        <f t="shared" si="25"/>
        <v>186.84467640974782</v>
      </c>
      <c r="W69">
        <f t="shared" si="26"/>
        <v>178.12954595568411</v>
      </c>
      <c r="X69">
        <f t="shared" si="27"/>
        <v>169.80370579288586</v>
      </c>
      <c r="Y69">
        <f t="shared" si="28"/>
        <v>161.91560804638979</v>
      </c>
      <c r="Z69">
        <f t="shared" si="29"/>
        <v>154.49746082394475</v>
      </c>
      <c r="AA69">
        <f t="shared" si="30"/>
        <v>147.5660208142971</v>
      </c>
      <c r="AB69">
        <f t="shared" si="31"/>
        <v>141.12361429141447</v>
      </c>
      <c r="AC69">
        <f t="shared" si="32"/>
        <v>135.15930720222221</v>
      </c>
      <c r="AD69">
        <f t="shared" si="33"/>
        <v>129.6501674845525</v>
      </c>
      <c r="AE69">
        <f t="shared" si="34"/>
        <v>124.56258005788921</v>
      </c>
      <c r="AF69">
        <f t="shared" si="35"/>
        <v>119.85358791807246</v>
      </c>
      <c r="AG69">
        <f t="shared" si="36"/>
        <v>115.4722423144312</v>
      </c>
      <c r="AH69">
        <f t="shared" si="37"/>
        <v>111.3609518708696</v>
      </c>
      <c r="AI69">
        <f t="shared" si="120"/>
        <v>107.45682538299883</v>
      </c>
      <c r="AJ69">
        <f t="shared" si="103"/>
        <v>103.69300640189867</v>
      </c>
      <c r="AK69">
        <f t="shared" si="39"/>
        <v>100</v>
      </c>
      <c r="AL69" s="86"/>
      <c r="AM69" s="26">
        <v>0</v>
      </c>
      <c r="AN69" s="27">
        <f t="shared" si="40"/>
        <v>-1076400000</v>
      </c>
      <c r="AO69" s="27">
        <f t="shared" si="104"/>
        <v>-1062336389.9976599</v>
      </c>
      <c r="AP69" s="27">
        <f t="shared" si="41"/>
        <v>-1047104925.0352749</v>
      </c>
      <c r="AQ69" s="27">
        <f t="shared" si="42"/>
        <v>-1029869518.4222047</v>
      </c>
      <c r="AR69" s="27">
        <f t="shared" si="43"/>
        <v>-1010081515.579492</v>
      </c>
      <c r="AS69" s="27">
        <f t="shared" si="44"/>
        <v>-987486189.10324466</v>
      </c>
      <c r="AT69" s="27">
        <f t="shared" si="45"/>
        <v>-962085044.38726771</v>
      </c>
      <c r="AU69" s="27">
        <f t="shared" si="46"/>
        <v>-934082988.17068529</v>
      </c>
      <c r="AV69" s="27">
        <f t="shared" si="47"/>
        <v>-903832176.48940837</v>
      </c>
      <c r="AW69" s="27">
        <f t="shared" si="48"/>
        <v>-871779641.65909493</v>
      </c>
      <c r="AX69" s="27">
        <f t="shared" si="49"/>
        <v>-838422312.98315918</v>
      </c>
      <c r="AY69" s="27">
        <f t="shared" si="50"/>
        <v>-804270710.99341989</v>
      </c>
      <c r="AZ69" s="27">
        <f t="shared" si="51"/>
        <v>-769821177.36628604</v>
      </c>
      <c r="BA69" s="27">
        <f t="shared" si="52"/>
        <v>-735535746.33325422</v>
      </c>
      <c r="BB69" s="27">
        <f t="shared" si="53"/>
        <v>-701828446.08189416</v>
      </c>
      <c r="BC69" s="27">
        <f t="shared" si="54"/>
        <v>-669056769.24353445</v>
      </c>
      <c r="BD69" s="27">
        <f t="shared" si="55"/>
        <v>-637517149.08315551</v>
      </c>
      <c r="BE69" s="27">
        <f t="shared" si="56"/>
        <v>-607443442.78138351</v>
      </c>
      <c r="BF69" s="27">
        <f t="shared" si="57"/>
        <v>-579007606.50087535</v>
      </c>
      <c r="BG69" s="27">
        <f t="shared" si="58"/>
        <v>-552321921.57533264</v>
      </c>
      <c r="BH69" s="27">
        <f t="shared" si="59"/>
        <v>-527442284.04649091</v>
      </c>
      <c r="BI69" s="27">
        <f t="shared" si="60"/>
        <v>-504372196.42211705</v>
      </c>
      <c r="BJ69" s="27">
        <f t="shared" si="61"/>
        <v>-483067201.32347023</v>
      </c>
      <c r="BK69" s="27">
        <f t="shared" si="62"/>
        <v>-463439574.44980806</v>
      </c>
      <c r="BL69" s="27">
        <f t="shared" si="63"/>
        <v>-445363152.760162</v>
      </c>
      <c r="BM69" s="27">
        <f t="shared" si="64"/>
        <v>-428678216.7902776</v>
      </c>
      <c r="BN69" s="27">
        <f t="shared" si="65"/>
        <v>-413196377.06144947</v>
      </c>
      <c r="BO69" s="27">
        <f t="shared" si="66"/>
        <v>-398705436.53612036</v>
      </c>
      <c r="BP69" s="27">
        <f t="shared" si="67"/>
        <v>-384974216.39616954</v>
      </c>
      <c r="BQ69" s="27">
        <f t="shared" si="68"/>
        <v>-371757342.89211839</v>
      </c>
      <c r="BR69" s="27">
        <f t="shared" si="69"/>
        <v>-358800000</v>
      </c>
      <c r="BT69" s="86"/>
      <c r="BU69" s="26">
        <v>0</v>
      </c>
      <c r="BV69" s="13">
        <v>0</v>
      </c>
      <c r="BW69" s="13">
        <f t="shared" ref="BW69:CY69" si="134">$B$20/($B$21-$B$22*BV69)</f>
        <v>0.34883720930232553</v>
      </c>
      <c r="BX69" s="13">
        <f t="shared" si="134"/>
        <v>0.39716748768472904</v>
      </c>
      <c r="BY69" s="13">
        <f t="shared" si="134"/>
        <v>0.40494040593779607</v>
      </c>
      <c r="BZ69" s="13">
        <f t="shared" si="134"/>
        <v>0.4062190081621499</v>
      </c>
      <c r="CA69" s="13">
        <f t="shared" si="134"/>
        <v>0.40643010492156101</v>
      </c>
      <c r="CB69" s="13">
        <f t="shared" si="134"/>
        <v>0.40646497802255066</v>
      </c>
      <c r="CC69" s="13">
        <f t="shared" si="134"/>
        <v>0.40647073962099717</v>
      </c>
      <c r="CD69" s="13">
        <f t="shared" si="134"/>
        <v>0.40647169154566137</v>
      </c>
      <c r="CE69" s="13">
        <f t="shared" si="134"/>
        <v>0.40647184882198806</v>
      </c>
      <c r="CF69" s="13">
        <f t="shared" si="134"/>
        <v>0.40647187480708435</v>
      </c>
      <c r="CG69" s="13">
        <f t="shared" si="134"/>
        <v>0.40647187910032606</v>
      </c>
      <c r="CH69" s="13">
        <f t="shared" si="134"/>
        <v>0.40647187980965277</v>
      </c>
      <c r="CI69" s="13">
        <f t="shared" si="134"/>
        <v>0.4064718799268473</v>
      </c>
      <c r="CJ69" s="13">
        <f t="shared" si="134"/>
        <v>0.40647187994621015</v>
      </c>
      <c r="CK69" s="13">
        <f t="shared" si="134"/>
        <v>0.40647187994940925</v>
      </c>
      <c r="CL69" s="13">
        <f t="shared" si="134"/>
        <v>0.40647187994993778</v>
      </c>
      <c r="CM69" s="13">
        <f t="shared" si="134"/>
        <v>0.40647187995002515</v>
      </c>
      <c r="CN69" s="13">
        <f t="shared" si="134"/>
        <v>0.40647187995003953</v>
      </c>
      <c r="CO69" s="13">
        <f t="shared" si="134"/>
        <v>0.40647187995004191</v>
      </c>
      <c r="CP69" s="13">
        <f t="shared" si="134"/>
        <v>0.40647187995004236</v>
      </c>
      <c r="CQ69" s="13">
        <f t="shared" si="134"/>
        <v>0.40647187995004236</v>
      </c>
      <c r="CR69" s="13">
        <f t="shared" si="134"/>
        <v>0.40647187995004236</v>
      </c>
      <c r="CS69" s="13">
        <f t="shared" si="134"/>
        <v>0.40647187995004236</v>
      </c>
      <c r="CT69" s="13">
        <f t="shared" si="134"/>
        <v>0.40647187995004236</v>
      </c>
      <c r="CU69" s="13">
        <f t="shared" si="134"/>
        <v>0.40647187995004236</v>
      </c>
      <c r="CV69" s="13">
        <f t="shared" si="134"/>
        <v>0.40647187995004236</v>
      </c>
      <c r="CW69" s="13">
        <f t="shared" si="134"/>
        <v>0.40647187995004236</v>
      </c>
      <c r="CX69" s="13">
        <f t="shared" si="134"/>
        <v>0.40647187995004236</v>
      </c>
      <c r="CY69" s="13">
        <f t="shared" si="134"/>
        <v>0.40647187995004236</v>
      </c>
      <c r="CZ69" s="13">
        <f t="shared" si="71"/>
        <v>100</v>
      </c>
      <c r="DB69" s="86"/>
      <c r="DC69" s="26">
        <v>0</v>
      </c>
      <c r="DD69" s="13">
        <f t="shared" si="72"/>
        <v>300</v>
      </c>
      <c r="DE69" s="13">
        <f t="shared" si="73"/>
        <v>194.16383468129931</v>
      </c>
      <c r="DF69" s="13">
        <f t="shared" si="74"/>
        <v>177.56871034679475</v>
      </c>
      <c r="DG69" s="13">
        <f t="shared" si="75"/>
        <v>172.63802604892118</v>
      </c>
      <c r="DH69" s="13">
        <f t="shared" si="76"/>
        <v>169.23858477102706</v>
      </c>
      <c r="DI69" s="13">
        <f t="shared" si="77"/>
        <v>165.72667881981195</v>
      </c>
      <c r="DJ69" s="13">
        <f t="shared" si="78"/>
        <v>161.81954893736005</v>
      </c>
      <c r="DK69" s="13">
        <f t="shared" si="79"/>
        <v>157.48442939125312</v>
      </c>
      <c r="DL69" s="13">
        <f t="shared" si="80"/>
        <v>152.75262270895112</v>
      </c>
      <c r="DM69" s="13">
        <f t="shared" si="81"/>
        <v>147.68236625731657</v>
      </c>
      <c r="DN69" s="13">
        <f t="shared" si="82"/>
        <v>142.34638274226734</v>
      </c>
      <c r="DO69" s="13">
        <f t="shared" si="83"/>
        <v>136.82439761910121</v>
      </c>
      <c r="DP69" s="13">
        <f t="shared" si="84"/>
        <v>131.19755538941075</v>
      </c>
      <c r="DQ69" s="13">
        <f t="shared" si="85"/>
        <v>125.5442033494126</v>
      </c>
      <c r="DR69" s="13">
        <f t="shared" si="86"/>
        <v>119.93683759783212</v>
      </c>
      <c r="DS69" s="13">
        <f t="shared" si="87"/>
        <v>114.44002499060622</v>
      </c>
      <c r="DT69" s="13">
        <f t="shared" si="88"/>
        <v>109.10911443958365</v>
      </c>
      <c r="DU69" s="13">
        <f t="shared" si="89"/>
        <v>103.9895641970184</v>
      </c>
      <c r="DV69" s="13">
        <f t="shared" si="90"/>
        <v>99.116734697773381</v>
      </c>
      <c r="DW69" s="13">
        <f t="shared" si="91"/>
        <v>94.516022926810393</v>
      </c>
      <c r="DX69" s="13">
        <f t="shared" si="92"/>
        <v>90.20324000792121</v>
      </c>
      <c r="DY69" s="13">
        <f t="shared" si="93"/>
        <v>86.185156600181898</v>
      </c>
      <c r="DZ69" s="13">
        <f t="shared" si="94"/>
        <v>82.460159888938307</v>
      </c>
      <c r="EA69" s="13">
        <f t="shared" si="95"/>
        <v>79.018981396994619</v>
      </c>
      <c r="EB69" s="13">
        <f t="shared" si="96"/>
        <v>75.845466858072612</v>
      </c>
      <c r="EC69" s="13">
        <f t="shared" si="97"/>
        <v>72.91736850247878</v>
      </c>
      <c r="ED69" s="13">
        <f t="shared" si="98"/>
        <v>70.207146854452645</v>
      </c>
      <c r="EE69" s="13">
        <f t="shared" si="99"/>
        <v>67.68277404397864</v>
      </c>
      <c r="EF69" s="13">
        <f t="shared" si="100"/>
        <v>65.30853413314729</v>
      </c>
      <c r="EG69" s="13">
        <f t="shared" si="101"/>
        <v>63.045818406894433</v>
      </c>
      <c r="EH69" s="13">
        <f t="shared" si="102"/>
        <v>60.853915259843042</v>
      </c>
    </row>
    <row r="70" spans="5:138" x14ac:dyDescent="0.25">
      <c r="AM70" s="28"/>
    </row>
    <row r="71" spans="5:138" x14ac:dyDescent="0.25">
      <c r="AM71" s="28"/>
    </row>
    <row r="72" spans="5:138" x14ac:dyDescent="0.25">
      <c r="AM72" s="28"/>
    </row>
    <row r="73" spans="5:138" x14ac:dyDescent="0.25">
      <c r="E73" s="94" t="s">
        <v>44</v>
      </c>
      <c r="F73" s="25" t="s">
        <v>39</v>
      </c>
      <c r="G73" s="25">
        <v>0</v>
      </c>
      <c r="H73" s="26">
        <v>3.3333333333333335E-3</v>
      </c>
      <c r="I73" s="26">
        <v>6.6666666666666671E-3</v>
      </c>
      <c r="J73" s="26">
        <v>0.01</v>
      </c>
      <c r="K73" s="26">
        <v>1.3333333333333334E-2</v>
      </c>
      <c r="L73" s="26">
        <v>1.6666666666666666E-2</v>
      </c>
      <c r="M73" s="26">
        <v>0.02</v>
      </c>
      <c r="N73" s="26">
        <v>2.3333333333333334E-2</v>
      </c>
      <c r="O73" s="26">
        <v>2.6666666666666668E-2</v>
      </c>
      <c r="P73" s="26">
        <v>3.0000000000000002E-2</v>
      </c>
      <c r="Q73" s="26">
        <v>3.3333333333333333E-2</v>
      </c>
      <c r="R73" s="26">
        <v>3.6666666666666667E-2</v>
      </c>
      <c r="S73" s="26">
        <v>0.04</v>
      </c>
      <c r="T73" s="26">
        <v>4.3333333333333335E-2</v>
      </c>
      <c r="U73" s="26">
        <v>4.6666666666666669E-2</v>
      </c>
      <c r="V73" s="26">
        <v>0.05</v>
      </c>
      <c r="W73" s="26">
        <v>5.3333333333333337E-2</v>
      </c>
      <c r="X73" s="26">
        <v>5.6666666666666671E-2</v>
      </c>
      <c r="Y73" s="26">
        <v>6.0000000000000005E-2</v>
      </c>
      <c r="Z73" s="26">
        <v>6.3333333333333339E-2</v>
      </c>
      <c r="AA73" s="26">
        <v>6.6666666666666666E-2</v>
      </c>
      <c r="AB73" s="26">
        <v>7.0000000000000007E-2</v>
      </c>
      <c r="AC73" s="26">
        <v>7.3333333333333334E-2</v>
      </c>
      <c r="AD73" s="26">
        <v>7.6666666666666675E-2</v>
      </c>
      <c r="AE73" s="26">
        <v>0.08</v>
      </c>
      <c r="AF73" s="26">
        <v>8.3333333333333343E-2</v>
      </c>
      <c r="AG73" s="26">
        <v>8.666666666666667E-2</v>
      </c>
      <c r="AH73" s="26">
        <v>9.0000000000000011E-2</v>
      </c>
      <c r="AI73" s="26">
        <v>9.3333333333333338E-2</v>
      </c>
      <c r="AJ73" s="26">
        <v>9.6666666666666679E-2</v>
      </c>
      <c r="AK73" s="26">
        <v>0.1</v>
      </c>
      <c r="AL73" s="86" t="s">
        <v>45</v>
      </c>
      <c r="AM73" s="25" t="s">
        <v>39</v>
      </c>
      <c r="AN73" s="25">
        <v>0</v>
      </c>
      <c r="AO73" s="26">
        <v>3.3333333333333335E-3</v>
      </c>
      <c r="AP73" s="26">
        <v>6.6666666666666671E-3</v>
      </c>
      <c r="AQ73" s="26">
        <v>0.01</v>
      </c>
      <c r="AR73" s="26">
        <v>1.3333333333333334E-2</v>
      </c>
      <c r="AS73" s="26">
        <v>1.6666666666666666E-2</v>
      </c>
      <c r="AT73" s="26">
        <v>0.02</v>
      </c>
      <c r="AU73" s="26">
        <v>2.3333333333333334E-2</v>
      </c>
      <c r="AV73" s="26">
        <v>2.6666666666666668E-2</v>
      </c>
      <c r="AW73" s="26">
        <v>3.0000000000000002E-2</v>
      </c>
      <c r="AX73" s="26">
        <v>3.3333333333333333E-2</v>
      </c>
      <c r="AY73" s="26">
        <v>3.6666666666666667E-2</v>
      </c>
      <c r="AZ73" s="26">
        <v>0.04</v>
      </c>
      <c r="BA73" s="26">
        <v>4.3333333333333335E-2</v>
      </c>
      <c r="BB73" s="26">
        <v>4.6666666666666669E-2</v>
      </c>
      <c r="BC73" s="26">
        <v>0.05</v>
      </c>
      <c r="BD73" s="26">
        <v>5.3333333333333337E-2</v>
      </c>
      <c r="BE73" s="26">
        <v>5.6666666666666671E-2</v>
      </c>
      <c r="BF73" s="26">
        <v>6.0000000000000005E-2</v>
      </c>
      <c r="BG73" s="26">
        <v>6.3333333333333339E-2</v>
      </c>
      <c r="BH73" s="26">
        <v>6.6666666666666666E-2</v>
      </c>
      <c r="BI73" s="26">
        <v>7.0000000000000007E-2</v>
      </c>
      <c r="BJ73" s="26">
        <v>7.3333333333333334E-2</v>
      </c>
      <c r="BK73" s="26">
        <v>7.6666666666666675E-2</v>
      </c>
      <c r="BL73" s="26">
        <v>0.08</v>
      </c>
      <c r="BM73" s="26">
        <v>8.3333333333333343E-2</v>
      </c>
      <c r="BN73" s="26">
        <v>8.666666666666667E-2</v>
      </c>
      <c r="BO73" s="26">
        <v>9.0000000000000011E-2</v>
      </c>
      <c r="BP73" s="26">
        <v>9.3333333333333338E-2</v>
      </c>
      <c r="BQ73" s="26">
        <v>9.6666666666666679E-2</v>
      </c>
      <c r="BR73" s="26">
        <v>0.1</v>
      </c>
      <c r="BT73" s="96" t="s">
        <v>46</v>
      </c>
      <c r="BU73" s="25" t="s">
        <v>39</v>
      </c>
      <c r="BV73" s="25">
        <v>0</v>
      </c>
      <c r="BW73" s="26">
        <v>3.3333333333333335E-3</v>
      </c>
      <c r="BX73" s="26">
        <v>6.6666666666666671E-3</v>
      </c>
      <c r="BY73" s="26">
        <v>0.01</v>
      </c>
      <c r="BZ73" s="26">
        <v>1.3333333333333334E-2</v>
      </c>
      <c r="CA73" s="26">
        <v>1.6666666666666666E-2</v>
      </c>
      <c r="CB73" s="26">
        <v>0.02</v>
      </c>
      <c r="CC73" s="26">
        <v>2.3333333333333334E-2</v>
      </c>
      <c r="CD73" s="26">
        <v>2.6666666666666668E-2</v>
      </c>
      <c r="CE73" s="26">
        <v>3.0000000000000002E-2</v>
      </c>
      <c r="CF73" s="26">
        <v>3.3333333333333333E-2</v>
      </c>
      <c r="CG73" s="26">
        <v>3.6666666666666667E-2</v>
      </c>
      <c r="CH73" s="26">
        <v>0.04</v>
      </c>
      <c r="CI73" s="26">
        <v>4.3333333333333335E-2</v>
      </c>
      <c r="CJ73" s="26">
        <v>4.6666666666666669E-2</v>
      </c>
      <c r="CK73" s="26">
        <v>0.05</v>
      </c>
      <c r="CL73" s="26">
        <v>5.3333333333333337E-2</v>
      </c>
      <c r="CM73" s="26">
        <v>5.6666666666666671E-2</v>
      </c>
      <c r="CN73" s="26">
        <v>6.0000000000000005E-2</v>
      </c>
      <c r="CO73" s="26">
        <v>6.3333333333333339E-2</v>
      </c>
      <c r="CP73" s="26">
        <v>6.6666666666666666E-2</v>
      </c>
      <c r="CQ73" s="26">
        <v>7.0000000000000007E-2</v>
      </c>
      <c r="CR73" s="26">
        <v>7.3333333333333334E-2</v>
      </c>
      <c r="CS73" s="26">
        <v>7.6666666666666675E-2</v>
      </c>
      <c r="CT73" s="26">
        <v>0.08</v>
      </c>
      <c r="CU73" s="26">
        <v>8.3333333333333343E-2</v>
      </c>
      <c r="CV73" s="26">
        <v>8.666666666666667E-2</v>
      </c>
      <c r="CW73" s="26">
        <v>9.0000000000000011E-2</v>
      </c>
      <c r="CX73" s="26">
        <v>9.3333333333333338E-2</v>
      </c>
      <c r="CY73" s="26">
        <v>9.6666666666666679E-2</v>
      </c>
      <c r="CZ73" s="26">
        <v>0.1</v>
      </c>
      <c r="DB73" s="96" t="s">
        <v>47</v>
      </c>
      <c r="DC73" s="25" t="s">
        <v>39</v>
      </c>
      <c r="DD73" s="25">
        <v>0</v>
      </c>
      <c r="DE73" s="26">
        <v>3.3333333333333335E-3</v>
      </c>
      <c r="DF73" s="26">
        <v>6.6666666666666671E-3</v>
      </c>
      <c r="DG73" s="26">
        <v>0.01</v>
      </c>
      <c r="DH73" s="26">
        <v>1.3333333333333334E-2</v>
      </c>
      <c r="DI73" s="26">
        <v>1.6666666666666666E-2</v>
      </c>
      <c r="DJ73" s="26">
        <v>0.02</v>
      </c>
      <c r="DK73" s="26">
        <v>2.3333333333333334E-2</v>
      </c>
      <c r="DL73" s="26">
        <v>2.6666666666666668E-2</v>
      </c>
      <c r="DM73" s="26">
        <v>3.0000000000000002E-2</v>
      </c>
      <c r="DN73" s="26">
        <v>3.3333333333333333E-2</v>
      </c>
      <c r="DO73" s="26">
        <v>3.6666666666666667E-2</v>
      </c>
      <c r="DP73" s="26">
        <v>0.04</v>
      </c>
      <c r="DQ73" s="26">
        <v>4.3333333333333335E-2</v>
      </c>
      <c r="DR73" s="26">
        <v>4.6666666666666669E-2</v>
      </c>
      <c r="DS73" s="26">
        <v>0.05</v>
      </c>
      <c r="DT73" s="26">
        <v>5.3333333333333337E-2</v>
      </c>
      <c r="DU73" s="26">
        <v>5.6666666666666671E-2</v>
      </c>
      <c r="DV73" s="26">
        <v>6.0000000000000005E-2</v>
      </c>
      <c r="DW73" s="26">
        <v>6.3333333333333339E-2</v>
      </c>
      <c r="DX73" s="26">
        <v>6.6666666666666666E-2</v>
      </c>
      <c r="DY73" s="26">
        <v>7.0000000000000007E-2</v>
      </c>
      <c r="DZ73" s="26">
        <v>7.3333333333333334E-2</v>
      </c>
      <c r="EA73" s="26">
        <v>7.6666666666666675E-2</v>
      </c>
      <c r="EB73" s="26">
        <v>0.08</v>
      </c>
      <c r="EC73" s="26">
        <v>8.3333333333333343E-2</v>
      </c>
      <c r="ED73" s="26">
        <v>8.666666666666667E-2</v>
      </c>
      <c r="EE73" s="26">
        <v>9.0000000000000011E-2</v>
      </c>
      <c r="EF73" s="26">
        <v>9.3333333333333338E-2</v>
      </c>
      <c r="EG73" s="26">
        <v>9.6666666666666679E-2</v>
      </c>
      <c r="EH73" s="26">
        <v>0.1</v>
      </c>
    </row>
    <row r="74" spans="5:138" x14ac:dyDescent="0.25">
      <c r="E74" s="95"/>
      <c r="F74" s="26">
        <v>0.1</v>
      </c>
      <c r="G74" s="13">
        <f>$B$16</f>
        <v>300</v>
      </c>
      <c r="H74" s="13">
        <f t="shared" ref="H74:AI74" si="135">DE75/(1-BW75)</f>
        <v>319.56024626293413</v>
      </c>
      <c r="I74" s="13">
        <f t="shared" si="135"/>
        <v>324.24429978688403</v>
      </c>
      <c r="J74" s="13">
        <f t="shared" si="135"/>
        <v>325.48797406384057</v>
      </c>
      <c r="K74" s="13">
        <f t="shared" si="135"/>
        <v>323.83904850054711</v>
      </c>
      <c r="L74" s="13">
        <f t="shared" si="135"/>
        <v>319.67645447967641</v>
      </c>
      <c r="M74" s="13">
        <f t="shared" si="135"/>
        <v>313.34226845224134</v>
      </c>
      <c r="N74" s="13">
        <f t="shared" si="135"/>
        <v>305.18255436211342</v>
      </c>
      <c r="O74" s="13">
        <f t="shared" si="135"/>
        <v>295.5491363476599</v>
      </c>
      <c r="P74" s="13">
        <f t="shared" si="135"/>
        <v>284.78817782567677</v>
      </c>
      <c r="Q74" s="13">
        <f t="shared" si="135"/>
        <v>273.22723128037808</v>
      </c>
      <c r="R74" s="13">
        <f t="shared" si="135"/>
        <v>261.1651672309676</v>
      </c>
      <c r="S74" s="13">
        <f t="shared" si="135"/>
        <v>248.86596943445429</v>
      </c>
      <c r="T74" s="13">
        <f t="shared" si="135"/>
        <v>236.55596675201048</v>
      </c>
      <c r="U74" s="13">
        <f t="shared" si="135"/>
        <v>224.42363712770643</v>
      </c>
      <c r="V74" s="13">
        <f t="shared" si="135"/>
        <v>212.62111987653876</v>
      </c>
      <c r="W74" s="13">
        <f t="shared" si="135"/>
        <v>201.2667332533924</v>
      </c>
      <c r="X74" s="13">
        <f t="shared" si="135"/>
        <v>190.44798606834158</v>
      </c>
      <c r="Y74" s="13">
        <f t="shared" si="135"/>
        <v>180.22474189851707</v>
      </c>
      <c r="Z74" s="13">
        <f t="shared" si="135"/>
        <v>170.63232621975266</v>
      </c>
      <c r="AA74" s="13">
        <f t="shared" si="135"/>
        <v>161.6844609651917</v>
      </c>
      <c r="AB74" s="13">
        <f t="shared" si="135"/>
        <v>153.3759741008715</v>
      </c>
      <c r="AC74" s="13">
        <f t="shared" si="135"/>
        <v>145.68527149015642</v>
      </c>
      <c r="AD74" s="13">
        <f t="shared" si="135"/>
        <v>138.57658150009695</v>
      </c>
      <c r="AE74" s="13">
        <f t="shared" si="135"/>
        <v>132.00199495692803</v>
      </c>
      <c r="AF74" s="13">
        <f t="shared" si="135"/>
        <v>125.90332822406779</v>
      </c>
      <c r="AG74" s="13">
        <f t="shared" si="135"/>
        <v>120.2138381851738</v>
      </c>
      <c r="AH74" s="13">
        <f t="shared" si="135"/>
        <v>114.8598166692949</v>
      </c>
      <c r="AI74" s="13">
        <f t="shared" si="135"/>
        <v>109.76208958407248</v>
      </c>
      <c r="AJ74" s="13">
        <f>EG75/(1-CY75)</f>
        <v>104.8374434893026</v>
      </c>
      <c r="AK74" s="13">
        <f>$B$17</f>
        <v>100</v>
      </c>
      <c r="AL74" s="86"/>
      <c r="AM74" s="26">
        <v>0.1</v>
      </c>
      <c r="AN74" s="13">
        <f>-($B$12*$B$11)/$B$8*G39</f>
        <v>-1076400000</v>
      </c>
      <c r="AO74" s="13">
        <f t="shared" ref="AO74:BR74" si="136">-($B$12*$B$11)/$B$8*H39</f>
        <v>-1121376479.193593</v>
      </c>
      <c r="AP74" s="13">
        <f t="shared" si="136"/>
        <v>-1144857196.6529849</v>
      </c>
      <c r="AQ74" s="13">
        <f t="shared" si="136"/>
        <v>-1152971575.9933181</v>
      </c>
      <c r="AR74" s="13">
        <f t="shared" si="136"/>
        <v>-1149221484.7767529</v>
      </c>
      <c r="AS74" s="13">
        <f t="shared" si="136"/>
        <v>-1135808828.370434</v>
      </c>
      <c r="AT74" s="13">
        <f t="shared" si="136"/>
        <v>-1114361736.014559</v>
      </c>
      <c r="AU74" s="13">
        <f t="shared" si="136"/>
        <v>-1086278307.4150198</v>
      </c>
      <c r="AV74" s="13">
        <f t="shared" si="136"/>
        <v>-1052858877.8720243</v>
      </c>
      <c r="AW74" s="13">
        <f t="shared" si="136"/>
        <v>-1015335961.449092</v>
      </c>
      <c r="AX74" s="13">
        <f t="shared" si="136"/>
        <v>-974863373.02737379</v>
      </c>
      <c r="AY74" s="13">
        <f t="shared" si="136"/>
        <v>-932495400.27215219</v>
      </c>
      <c r="AZ74" s="13">
        <f t="shared" si="136"/>
        <v>-889169312.72505319</v>
      </c>
      <c r="BA74" s="13">
        <f t="shared" si="136"/>
        <v>-845695357.57852507</v>
      </c>
      <c r="BB74" s="13">
        <f t="shared" si="136"/>
        <v>-802754186.24472535</v>
      </c>
      <c r="BC74" s="13">
        <f t="shared" si="136"/>
        <v>-760900090.68884647</v>
      </c>
      <c r="BD74" s="13">
        <f t="shared" si="136"/>
        <v>-720568145.04786646</v>
      </c>
      <c r="BE74" s="13">
        <f t="shared" si="136"/>
        <v>-682083600.84375179</v>
      </c>
      <c r="BF74" s="13">
        <f t="shared" si="136"/>
        <v>-645672295.91808379</v>
      </c>
      <c r="BG74" s="13">
        <f t="shared" si="136"/>
        <v>-611471237.08443415</v>
      </c>
      <c r="BH74" s="13">
        <f t="shared" si="136"/>
        <v>-579538841.24576414</v>
      </c>
      <c r="BI74" s="13">
        <f t="shared" si="136"/>
        <v>-549864557.93384087</v>
      </c>
      <c r="BJ74" s="13">
        <f t="shared" si="136"/>
        <v>-522377758.14772528</v>
      </c>
      <c r="BK74" s="13">
        <f t="shared" si="136"/>
        <v>-496955876.86854208</v>
      </c>
      <c r="BL74" s="13">
        <f t="shared" si="136"/>
        <v>-473431856.36360323</v>
      </c>
      <c r="BM74" s="13">
        <f t="shared" si="136"/>
        <v>-451600968.22596645</v>
      </c>
      <c r="BN74" s="13">
        <f t="shared" si="136"/>
        <v>-431227104.5525279</v>
      </c>
      <c r="BO74" s="13">
        <f t="shared" si="136"/>
        <v>-412048630.26380491</v>
      </c>
      <c r="BP74" s="13">
        <f t="shared" si="136"/>
        <v>-393783884.43102127</v>
      </c>
      <c r="BQ74" s="13">
        <f t="shared" si="136"/>
        <v>-376136411.94210476</v>
      </c>
      <c r="BR74" s="13">
        <f t="shared" si="136"/>
        <v>-358800000</v>
      </c>
      <c r="BT74" s="86"/>
      <c r="BU74" s="26">
        <v>0.1</v>
      </c>
      <c r="BV74" s="13">
        <f>$B$20/($B$21-$B$22*BV75)</f>
        <v>0.40647187995004247</v>
      </c>
      <c r="BW74" s="13">
        <f>$B$20/($B$21-$B$22*BW75)</f>
        <v>0.40647187995004247</v>
      </c>
      <c r="BX74" s="13">
        <f t="shared" ref="BX74:CZ74" si="137">$B$20/($B$21-$B$22*BX75)</f>
        <v>0.40647187995004247</v>
      </c>
      <c r="BY74" s="13">
        <f t="shared" si="137"/>
        <v>0.40647187995004247</v>
      </c>
      <c r="BZ74" s="13">
        <f t="shared" si="137"/>
        <v>0.40647187995004247</v>
      </c>
      <c r="CA74" s="13">
        <f t="shared" si="137"/>
        <v>0.40647187995004247</v>
      </c>
      <c r="CB74" s="13">
        <f t="shared" si="137"/>
        <v>0.40647187995004247</v>
      </c>
      <c r="CC74" s="13">
        <f t="shared" si="137"/>
        <v>0.40647187995004247</v>
      </c>
      <c r="CD74" s="13">
        <f t="shared" si="137"/>
        <v>0.40647187995004247</v>
      </c>
      <c r="CE74" s="13">
        <f t="shared" si="137"/>
        <v>0.40647187995004247</v>
      </c>
      <c r="CF74" s="13">
        <f t="shared" si="137"/>
        <v>0.40647187995004247</v>
      </c>
      <c r="CG74" s="13">
        <f t="shared" si="137"/>
        <v>0.40647187995004247</v>
      </c>
      <c r="CH74" s="13">
        <f t="shared" si="137"/>
        <v>0.40647187995004247</v>
      </c>
      <c r="CI74" s="13">
        <f t="shared" si="137"/>
        <v>0.40647187995004247</v>
      </c>
      <c r="CJ74" s="13">
        <f t="shared" si="137"/>
        <v>0.40647187995004247</v>
      </c>
      <c r="CK74" s="13">
        <f t="shared" si="137"/>
        <v>0.40647187995004247</v>
      </c>
      <c r="CL74" s="13">
        <f t="shared" si="137"/>
        <v>0.40647187995004247</v>
      </c>
      <c r="CM74" s="13">
        <f t="shared" si="137"/>
        <v>0.40647187995004247</v>
      </c>
      <c r="CN74" s="13">
        <f t="shared" si="137"/>
        <v>0.40647187995004247</v>
      </c>
      <c r="CO74" s="13">
        <f t="shared" si="137"/>
        <v>0.40647187995004247</v>
      </c>
      <c r="CP74" s="13">
        <f t="shared" si="137"/>
        <v>0.40647187995004247</v>
      </c>
      <c r="CQ74" s="13">
        <f t="shared" si="137"/>
        <v>0.40647187995004247</v>
      </c>
      <c r="CR74" s="13">
        <f t="shared" si="137"/>
        <v>0.40647187995004247</v>
      </c>
      <c r="CS74" s="13">
        <f t="shared" si="137"/>
        <v>0.40647187995004247</v>
      </c>
      <c r="CT74" s="13">
        <f t="shared" si="137"/>
        <v>0.40647187995004247</v>
      </c>
      <c r="CU74" s="13">
        <f t="shared" si="137"/>
        <v>0.40647187995004247</v>
      </c>
      <c r="CV74" s="13">
        <f t="shared" si="137"/>
        <v>0.40647187995004247</v>
      </c>
      <c r="CW74" s="13">
        <f t="shared" si="137"/>
        <v>0.40647187995004247</v>
      </c>
      <c r="CX74" s="13">
        <f t="shared" si="137"/>
        <v>0.40647187995004247</v>
      </c>
      <c r="CY74" s="13">
        <f t="shared" si="137"/>
        <v>0.40647187995004247</v>
      </c>
      <c r="CZ74" s="13">
        <f t="shared" si="137"/>
        <v>0.40647187995004247</v>
      </c>
      <c r="DB74" s="86"/>
      <c r="DC74" s="26">
        <v>0.1</v>
      </c>
      <c r="DD74" s="13">
        <f>(DD75*$B$22-AN74)/($B$21-$B$22*BV75)</f>
        <v>178.05843601498725</v>
      </c>
      <c r="DE74" s="13">
        <f t="shared" ref="DE74:EH74" si="138">(DE75*$B$22-AO74)/($B$21-$B$22*BW75)</f>
        <v>187.193257443226</v>
      </c>
      <c r="DF74" s="13">
        <f t="shared" si="138"/>
        <v>190.62867174937296</v>
      </c>
      <c r="DG74" s="13">
        <f t="shared" si="138"/>
        <v>191.72539412268543</v>
      </c>
      <c r="DH74" s="13">
        <f t="shared" si="138"/>
        <v>190.95939671699426</v>
      </c>
      <c r="DI74" s="13">
        <f t="shared" si="138"/>
        <v>188.6382842939488</v>
      </c>
      <c r="DJ74" s="13">
        <f t="shared" si="138"/>
        <v>185.00443600519904</v>
      </c>
      <c r="DK74" s="13">
        <f t="shared" si="138"/>
        <v>180.27860832414473</v>
      </c>
      <c r="DL74" s="13">
        <f t="shared" si="138"/>
        <v>174.67334871836081</v>
      </c>
      <c r="DM74" s="13">
        <f t="shared" si="138"/>
        <v>168.39318019379485</v>
      </c>
      <c r="DN74" s="13">
        <f t="shared" si="138"/>
        <v>161.63040900984655</v>
      </c>
      <c r="DO74" s="13">
        <f t="shared" si="138"/>
        <v>154.56065008777441</v>
      </c>
      <c r="DP74" s="13">
        <f t="shared" si="138"/>
        <v>147.33961280237185</v>
      </c>
      <c r="DQ74" s="13">
        <f t="shared" si="138"/>
        <v>140.10145093182771</v>
      </c>
      <c r="DR74" s="13">
        <f t="shared" si="138"/>
        <v>132.95846270348881</v>
      </c>
      <c r="DS74" s="13">
        <f t="shared" si="138"/>
        <v>126.0017733855413</v>
      </c>
      <c r="DT74" s="13">
        <f t="shared" si="138"/>
        <v>119.30264383244545</v>
      </c>
      <c r="DU74" s="13">
        <f t="shared" si="138"/>
        <v>112.91411948181988</v>
      </c>
      <c r="DV74" s="13">
        <f t="shared" si="138"/>
        <v>106.87281569443223</v>
      </c>
      <c r="DW74" s="13">
        <f t="shared" si="138"/>
        <v>101.20070637933364</v>
      </c>
      <c r="DX74" s="13">
        <f t="shared" si="138"/>
        <v>95.90683745286222</v>
      </c>
      <c r="DY74" s="13">
        <f t="shared" si="138"/>
        <v>90.988925286947776</v>
      </c>
      <c r="DZ74" s="13">
        <f t="shared" si="138"/>
        <v>86.434825773068013</v>
      </c>
      <c r="EA74" s="13">
        <f t="shared" si="138"/>
        <v>82.223875284361696</v>
      </c>
      <c r="EB74" s="13">
        <f t="shared" si="138"/>
        <v>78.328113615582396</v>
      </c>
      <c r="EC74" s="13">
        <f t="shared" si="138"/>
        <v>74.713403254157384</v>
      </c>
      <c r="ED74" s="13">
        <f t="shared" si="138"/>
        <v>71.340460802137727</v>
      </c>
      <c r="EE74" s="13">
        <f t="shared" si="138"/>
        <v>68.165816225436515</v>
      </c>
      <c r="EF74" s="13">
        <f t="shared" si="138"/>
        <v>65.1427146526173</v>
      </c>
      <c r="EG74" s="13">
        <f t="shared" si="138"/>
        <v>62.221974192728318</v>
      </c>
      <c r="EH74" s="13">
        <f t="shared" si="138"/>
        <v>59.352812004995762</v>
      </c>
    </row>
    <row r="75" spans="5:138" x14ac:dyDescent="0.25">
      <c r="E75" s="95"/>
      <c r="F75" s="26">
        <v>9.6666666666666679E-2</v>
      </c>
      <c r="G75" s="13">
        <f t="shared" ref="G75:G104" si="139">$B$16</f>
        <v>300</v>
      </c>
      <c r="H75" s="13">
        <f>BW75*H74+DE75</f>
        <v>319.56024626293413</v>
      </c>
      <c r="I75" s="13">
        <f t="shared" ref="I75:AJ75" si="140">BX75*I74+DF75</f>
        <v>324.24429978688408</v>
      </c>
      <c r="J75" s="13">
        <f t="shared" si="140"/>
        <v>325.48797406384062</v>
      </c>
      <c r="K75" s="13">
        <f t="shared" si="140"/>
        <v>323.83904850054716</v>
      </c>
      <c r="L75" s="13">
        <f t="shared" si="140"/>
        <v>319.67645447967641</v>
      </c>
      <c r="M75" s="13">
        <f t="shared" si="140"/>
        <v>313.34226845224134</v>
      </c>
      <c r="N75" s="13">
        <f t="shared" si="140"/>
        <v>305.18255436211342</v>
      </c>
      <c r="O75" s="13">
        <f t="shared" si="140"/>
        <v>295.5491363476599</v>
      </c>
      <c r="P75" s="13">
        <f t="shared" si="140"/>
        <v>284.78817782567683</v>
      </c>
      <c r="Q75" s="13">
        <f t="shared" si="140"/>
        <v>273.22723128037808</v>
      </c>
      <c r="R75" s="13">
        <f t="shared" si="140"/>
        <v>261.1651672309676</v>
      </c>
      <c r="S75" s="13">
        <f t="shared" si="140"/>
        <v>248.86596943445431</v>
      </c>
      <c r="T75" s="13">
        <f t="shared" si="140"/>
        <v>236.55596675201048</v>
      </c>
      <c r="U75" s="13">
        <f t="shared" si="140"/>
        <v>224.42363712770646</v>
      </c>
      <c r="V75" s="13">
        <f t="shared" si="140"/>
        <v>212.62111987653878</v>
      </c>
      <c r="W75" s="13">
        <f t="shared" si="140"/>
        <v>201.2667332533924</v>
      </c>
      <c r="X75" s="13">
        <f t="shared" si="140"/>
        <v>190.44798606834161</v>
      </c>
      <c r="Y75" s="13">
        <f t="shared" si="140"/>
        <v>180.2247418985171</v>
      </c>
      <c r="Z75" s="13">
        <f t="shared" si="140"/>
        <v>170.63232621975266</v>
      </c>
      <c r="AA75" s="13">
        <f t="shared" si="140"/>
        <v>161.6844609651917</v>
      </c>
      <c r="AB75" s="13">
        <f t="shared" si="140"/>
        <v>153.3759741008715</v>
      </c>
      <c r="AC75" s="13">
        <f t="shared" si="140"/>
        <v>145.68527149015642</v>
      </c>
      <c r="AD75" s="13">
        <f t="shared" si="140"/>
        <v>138.57658150009695</v>
      </c>
      <c r="AE75" s="13">
        <f t="shared" si="140"/>
        <v>132.00199495692806</v>
      </c>
      <c r="AF75" s="13">
        <f t="shared" si="140"/>
        <v>125.90332822406779</v>
      </c>
      <c r="AG75" s="13">
        <f t="shared" si="140"/>
        <v>120.21383818517381</v>
      </c>
      <c r="AH75" s="13">
        <f t="shared" si="140"/>
        <v>114.8598166692949</v>
      </c>
      <c r="AI75" s="13">
        <f t="shared" si="140"/>
        <v>109.7620895840725</v>
      </c>
      <c r="AJ75" s="13">
        <f t="shared" si="140"/>
        <v>104.83744348930261</v>
      </c>
      <c r="AK75" s="13">
        <f t="shared" ref="AK75:AK104" si="141">$B$17</f>
        <v>100</v>
      </c>
      <c r="AL75" s="86"/>
      <c r="AM75" s="26">
        <v>9.6666666666666679E-2</v>
      </c>
      <c r="AN75" s="13">
        <f t="shared" ref="AN75:AN104" si="142">-($B$12*$B$11)/$B$8*G40</f>
        <v>-1076400000</v>
      </c>
      <c r="AO75" s="13">
        <f t="shared" ref="AO75:AO104" si="143">-($B$12*$B$11)/$B$8*H40</f>
        <v>-1121376479.193593</v>
      </c>
      <c r="AP75" s="13">
        <f t="shared" ref="AP75:AP104" si="144">-($B$12*$B$11)/$B$8*I40</f>
        <v>-1144857196.6529849</v>
      </c>
      <c r="AQ75" s="13">
        <f t="shared" ref="AQ75:AQ104" si="145">-($B$12*$B$11)/$B$8*J40</f>
        <v>-1152971575.9933181</v>
      </c>
      <c r="AR75" s="13">
        <f t="shared" ref="AR75:AR104" si="146">-($B$12*$B$11)/$B$8*K40</f>
        <v>-1149221484.7767529</v>
      </c>
      <c r="AS75" s="13">
        <f t="shared" ref="AS75:AS104" si="147">-($B$12*$B$11)/$B$8*L40</f>
        <v>-1135808828.370434</v>
      </c>
      <c r="AT75" s="13">
        <f t="shared" ref="AT75:AT104" si="148">-($B$12*$B$11)/$B$8*M40</f>
        <v>-1114361736.014559</v>
      </c>
      <c r="AU75" s="13">
        <f t="shared" ref="AU75:AU104" si="149">-($B$12*$B$11)/$B$8*N40</f>
        <v>-1086278307.4150198</v>
      </c>
      <c r="AV75" s="13">
        <f t="shared" ref="AV75:AV104" si="150">-($B$12*$B$11)/$B$8*O40</f>
        <v>-1052858877.8720243</v>
      </c>
      <c r="AW75" s="13">
        <f t="shared" ref="AW75:AW104" si="151">-($B$12*$B$11)/$B$8*P40</f>
        <v>-1015335961.449092</v>
      </c>
      <c r="AX75" s="13">
        <f t="shared" ref="AX75:AX104" si="152">-($B$12*$B$11)/$B$8*Q40</f>
        <v>-974863373.02737379</v>
      </c>
      <c r="AY75" s="13">
        <f t="shared" ref="AY75:AY104" si="153">-($B$12*$B$11)/$B$8*R40</f>
        <v>-932495400.27215219</v>
      </c>
      <c r="AZ75" s="13">
        <f t="shared" ref="AZ75:AZ104" si="154">-($B$12*$B$11)/$B$8*S40</f>
        <v>-889169312.72505319</v>
      </c>
      <c r="BA75" s="13">
        <f t="shared" ref="BA75:BA104" si="155">-($B$12*$B$11)/$B$8*T40</f>
        <v>-845695357.57852507</v>
      </c>
      <c r="BB75" s="13">
        <f t="shared" ref="BB75:BB104" si="156">-($B$12*$B$11)/$B$8*U40</f>
        <v>-802754186.24472535</v>
      </c>
      <c r="BC75" s="13">
        <f t="shared" ref="BC75:BC104" si="157">-($B$12*$B$11)/$B$8*V40</f>
        <v>-760900090.68884647</v>
      </c>
      <c r="BD75" s="13">
        <f t="shared" ref="BD75:BD104" si="158">-($B$12*$B$11)/$B$8*W40</f>
        <v>-720568145.04786646</v>
      </c>
      <c r="BE75" s="13">
        <f t="shared" ref="BE75:BE104" si="159">-($B$12*$B$11)/$B$8*X40</f>
        <v>-682083600.84375179</v>
      </c>
      <c r="BF75" s="13">
        <f t="shared" ref="BF75:BF104" si="160">-($B$12*$B$11)/$B$8*Y40</f>
        <v>-645672295.91808379</v>
      </c>
      <c r="BG75" s="13">
        <f t="shared" ref="BG75:BG104" si="161">-($B$12*$B$11)/$B$8*Z40</f>
        <v>-611471237.08443415</v>
      </c>
      <c r="BH75" s="13">
        <f t="shared" ref="BH75:BH104" si="162">-($B$12*$B$11)/$B$8*AA40</f>
        <v>-579538841.24576414</v>
      </c>
      <c r="BI75" s="13">
        <f t="shared" ref="BI75:BI104" si="163">-($B$12*$B$11)/$B$8*AB40</f>
        <v>-549864557.93384087</v>
      </c>
      <c r="BJ75" s="13">
        <f t="shared" ref="BJ75:BJ104" si="164">-($B$12*$B$11)/$B$8*AC40</f>
        <v>-522377758.14772528</v>
      </c>
      <c r="BK75" s="13">
        <f t="shared" ref="BK75:BK104" si="165">-($B$12*$B$11)/$B$8*AD40</f>
        <v>-496955876.86854208</v>
      </c>
      <c r="BL75" s="13">
        <f t="shared" ref="BL75:BL104" si="166">-($B$12*$B$11)/$B$8*AE40</f>
        <v>-473431856.36360323</v>
      </c>
      <c r="BM75" s="13">
        <f t="shared" ref="BM75:BM104" si="167">-($B$12*$B$11)/$B$8*AF40</f>
        <v>-451600968.22596645</v>
      </c>
      <c r="BN75" s="13">
        <f t="shared" ref="BN75:BN104" si="168">-($B$12*$B$11)/$B$8*AG40</f>
        <v>-431227104.5525279</v>
      </c>
      <c r="BO75" s="13">
        <f t="shared" ref="BO75:BO104" si="169">-($B$12*$B$11)/$B$8*AH40</f>
        <v>-412048630.26380491</v>
      </c>
      <c r="BP75" s="13">
        <f t="shared" ref="BP75:BP104" si="170">-($B$12*$B$11)/$B$8*AI40</f>
        <v>-393783884.43102127</v>
      </c>
      <c r="BQ75" s="13">
        <f t="shared" ref="BQ75:BQ104" si="171">-($B$12*$B$11)/$B$8*AJ40</f>
        <v>-376136411.94210476</v>
      </c>
      <c r="BR75" s="13">
        <f t="shared" ref="BR75:BR104" si="172">-($B$12*$B$11)/$B$8*AK40</f>
        <v>-358800000</v>
      </c>
      <c r="BT75" s="86"/>
      <c r="BU75" s="26">
        <v>9.6666666666666679E-2</v>
      </c>
      <c r="BV75" s="13">
        <f t="shared" ref="BV75:BV103" si="173">$B$20/($B$21-$B$22*BV76)</f>
        <v>0.40647187995004247</v>
      </c>
      <c r="BW75" s="13">
        <f t="shared" ref="BW75:BW103" si="174">$B$20/($B$21-$B$22*BW76)</f>
        <v>0.40647187995004247</v>
      </c>
      <c r="BX75" s="13">
        <f t="shared" ref="BX75:BX103" si="175">$B$20/($B$21-$B$22*BX76)</f>
        <v>0.40647187995004247</v>
      </c>
      <c r="BY75" s="13">
        <f t="shared" ref="BY75:BY103" si="176">$B$20/($B$21-$B$22*BY76)</f>
        <v>0.40647187995004247</v>
      </c>
      <c r="BZ75" s="13">
        <f t="shared" ref="BZ75:BZ103" si="177">$B$20/($B$21-$B$22*BZ76)</f>
        <v>0.40647187995004247</v>
      </c>
      <c r="CA75" s="13">
        <f t="shared" ref="CA75:CA103" si="178">$B$20/($B$21-$B$22*CA76)</f>
        <v>0.40647187995004247</v>
      </c>
      <c r="CB75" s="13">
        <f t="shared" ref="CB75:CB103" si="179">$B$20/($B$21-$B$22*CB76)</f>
        <v>0.40647187995004247</v>
      </c>
      <c r="CC75" s="13">
        <f t="shared" ref="CC75:CC103" si="180">$B$20/($B$21-$B$22*CC76)</f>
        <v>0.40647187995004247</v>
      </c>
      <c r="CD75" s="13">
        <f t="shared" ref="CD75:CD103" si="181">$B$20/($B$21-$B$22*CD76)</f>
        <v>0.40647187995004247</v>
      </c>
      <c r="CE75" s="13">
        <f t="shared" ref="CE75:CE103" si="182">$B$20/($B$21-$B$22*CE76)</f>
        <v>0.40647187995004247</v>
      </c>
      <c r="CF75" s="13">
        <f t="shared" ref="CF75:CF103" si="183">$B$20/($B$21-$B$22*CF76)</f>
        <v>0.40647187995004247</v>
      </c>
      <c r="CG75" s="13">
        <f t="shared" ref="CG75:CG103" si="184">$B$20/($B$21-$B$22*CG76)</f>
        <v>0.40647187995004247</v>
      </c>
      <c r="CH75" s="13">
        <f t="shared" ref="CH75:CH103" si="185">$B$20/($B$21-$B$22*CH76)</f>
        <v>0.40647187995004247</v>
      </c>
      <c r="CI75" s="13">
        <f t="shared" ref="CI75:CI103" si="186">$B$20/($B$21-$B$22*CI76)</f>
        <v>0.40647187995004247</v>
      </c>
      <c r="CJ75" s="13">
        <f t="shared" ref="CJ75:CJ103" si="187">$B$20/($B$21-$B$22*CJ76)</f>
        <v>0.40647187995004247</v>
      </c>
      <c r="CK75" s="13">
        <f t="shared" ref="CK75:CK103" si="188">$B$20/($B$21-$B$22*CK76)</f>
        <v>0.40647187995004247</v>
      </c>
      <c r="CL75" s="13">
        <f t="shared" ref="CL75:CL103" si="189">$B$20/($B$21-$B$22*CL76)</f>
        <v>0.40647187995004247</v>
      </c>
      <c r="CM75" s="13">
        <f t="shared" ref="CM75:CM103" si="190">$B$20/($B$21-$B$22*CM76)</f>
        <v>0.40647187995004247</v>
      </c>
      <c r="CN75" s="13">
        <f t="shared" ref="CN75:CN103" si="191">$B$20/($B$21-$B$22*CN76)</f>
        <v>0.40647187995004247</v>
      </c>
      <c r="CO75" s="13">
        <f t="shared" ref="CO75:CO103" si="192">$B$20/($B$21-$B$22*CO76)</f>
        <v>0.40647187995004247</v>
      </c>
      <c r="CP75" s="13">
        <f t="shared" ref="CP75:CP103" si="193">$B$20/($B$21-$B$22*CP76)</f>
        <v>0.40647187995004247</v>
      </c>
      <c r="CQ75" s="13">
        <f t="shared" ref="CQ75:CQ103" si="194">$B$20/($B$21-$B$22*CQ76)</f>
        <v>0.40647187995004247</v>
      </c>
      <c r="CR75" s="13">
        <f t="shared" ref="CR75:CR103" si="195">$B$20/($B$21-$B$22*CR76)</f>
        <v>0.40647187995004247</v>
      </c>
      <c r="CS75" s="13">
        <f t="shared" ref="CS75:CS103" si="196">$B$20/($B$21-$B$22*CS76)</f>
        <v>0.40647187995004247</v>
      </c>
      <c r="CT75" s="13">
        <f t="shared" ref="CT75:CT103" si="197">$B$20/($B$21-$B$22*CT76)</f>
        <v>0.40647187995004247</v>
      </c>
      <c r="CU75" s="13">
        <f t="shared" ref="CU75:CU103" si="198">$B$20/($B$21-$B$22*CU76)</f>
        <v>0.40647187995004247</v>
      </c>
      <c r="CV75" s="13">
        <f t="shared" ref="CV75:CV103" si="199">$B$20/($B$21-$B$22*CV76)</f>
        <v>0.40647187995004247</v>
      </c>
      <c r="CW75" s="13">
        <f t="shared" ref="CW75:CW103" si="200">$B$20/($B$21-$B$22*CW76)</f>
        <v>0.40647187995004247</v>
      </c>
      <c r="CX75" s="13">
        <f t="shared" ref="CX75:CX103" si="201">$B$20/($B$21-$B$22*CX76)</f>
        <v>0.40647187995004247</v>
      </c>
      <c r="CY75" s="13">
        <f t="shared" ref="CY75:CY103" si="202">$B$20/($B$21-$B$22*CY76)</f>
        <v>0.40647187995004247</v>
      </c>
      <c r="CZ75" s="13">
        <f t="shared" ref="CZ75:CZ103" si="203">$B$20/($B$21-$B$22*CZ76)</f>
        <v>0.40647187995004247</v>
      </c>
      <c r="DB75" s="86"/>
      <c r="DC75" s="26">
        <v>9.6666666666666679E-2</v>
      </c>
      <c r="DD75" s="13">
        <f t="shared" ref="DD75:DD103" si="204">(DD76*$B$22-AN75)/($B$21-$B$22*BV76)</f>
        <v>178.05843601498725</v>
      </c>
      <c r="DE75" s="13">
        <f t="shared" ref="DE75:DE103" si="205">(DE76*$B$22-AO75)/($B$21-$B$22*BW76)</f>
        <v>189.66799220714077</v>
      </c>
      <c r="DF75" s="13">
        <f t="shared" ref="DF75:DF103" si="206">(DF76*$B$22-AP75)/($B$21-$B$22*BX76)</f>
        <v>192.44810968942414</v>
      </c>
      <c r="DG75" s="13">
        <f t="shared" ref="DG75:DG103" si="207">(DG76*$B$22-AQ75)/($B$21-$B$22*BY76)</f>
        <v>193.18626534498065</v>
      </c>
      <c r="DH75" s="13">
        <f t="shared" ref="DH75:DH103" si="208">(DH76*$B$22-AR75)/($B$21-$B$22*BZ76)</f>
        <v>192.20758165529676</v>
      </c>
      <c r="DI75" s="13">
        <f t="shared" ref="DI75:DI103" si="209">(DI76*$B$22-AS75)/($B$21-$B$22*CA76)</f>
        <v>189.73696505155817</v>
      </c>
      <c r="DJ75" s="13">
        <f t="shared" ref="DJ75:DJ103" si="210">(DJ76*$B$22-AT75)/($B$21-$B$22*CB76)</f>
        <v>185.97744752664792</v>
      </c>
      <c r="DK75" s="13">
        <f t="shared" ref="DK75:DK103" si="211">(DK76*$B$22-AU75)/($B$21-$B$22*CC76)</f>
        <v>181.13442776258916</v>
      </c>
      <c r="DL75" s="13">
        <f t="shared" ref="DL75:DL103" si="212">(DL76*$B$22-AV75)/($B$21-$B$22*CD76)</f>
        <v>175.41672327881517</v>
      </c>
      <c r="DM75" s="13">
        <f t="shared" ref="DM75:DM103" si="213">(DM76*$B$22-AW75)/($B$21-$B$22*CE76)</f>
        <v>169.02979179732696</v>
      </c>
      <c r="DN75" s="13">
        <f t="shared" ref="DN75:DN103" si="214">(DN76*$B$22-AX75)/($B$21-$B$22*CF76)</f>
        <v>162.16804492829777</v>
      </c>
      <c r="DO75" s="13">
        <f t="shared" ref="DO75:DO103" si="215">(DO76*$B$22-AY75)/($B$21-$B$22*CG76)</f>
        <v>155.00887072912897</v>
      </c>
      <c r="DP75" s="13">
        <f t="shared" ref="DP75:DP103" si="216">(DP76*$B$22-AZ75)/($B$21-$B$22*CH76)</f>
        <v>147.70895098284186</v>
      </c>
      <c r="DQ75" s="13">
        <f t="shared" ref="DQ75:DQ103" si="217">(DQ76*$B$22-BA75)/($B$21-$B$22*CI76)</f>
        <v>140.40261823292104</v>
      </c>
      <c r="DR75" s="13">
        <f t="shared" ref="DR75:DR103" si="218">(DR76*$B$22-BB75)/($B$21-$B$22*CJ76)</f>
        <v>133.20173943918147</v>
      </c>
      <c r="DS75" s="13">
        <f t="shared" ref="DS75:DS103" si="219">(DS76*$B$22-BC75)/($B$21-$B$22*CK76)</f>
        <v>126.19661356323871</v>
      </c>
      <c r="DT75" s="13">
        <f t="shared" ref="DT75:DT103" si="220">(DT76*$B$22-BD75)/($B$21-$B$22*CL76)</f>
        <v>119.45746581648227</v>
      </c>
      <c r="DU75" s="13">
        <f t="shared" ref="DU75:DU103" si="221">(DU76*$B$22-BE75)/($B$21-$B$22*CM76)</f>
        <v>113.03623513844329</v>
      </c>
      <c r="DV75" s="13">
        <f t="shared" ref="DV75:DV103" si="222">(DV76*$B$22-BF75)/($B$21-$B$22*CN76)</f>
        <v>106.96845224551566</v>
      </c>
      <c r="DW75" s="13">
        <f t="shared" ref="DW75:DW103" si="223">(DW76*$B$22-BG75)/($B$21-$B$22*CO76)</f>
        <v>101.27508380096089</v>
      </c>
      <c r="DX75" s="13">
        <f t="shared" ref="DX75:DX103" si="224">(DX76*$B$22-BH75)/($B$21-$B$22*CP76)</f>
        <v>95.964274157960986</v>
      </c>
      <c r="DY75" s="13">
        <f t="shared" ref="DY75:DY103" si="225">(DY76*$B$22-BI75)/($B$21-$B$22*CQ76)</f>
        <v>91.032953568921243</v>
      </c>
      <c r="DZ75" s="13">
        <f t="shared" ref="DZ75:DZ103" si="226">(DZ76*$B$22-BJ75)/($B$21-$B$22*CR76)</f>
        <v>86.468305306520222</v>
      </c>
      <c r="EA75" s="13">
        <f t="shared" ref="EA75:EA103" si="227">(EA76*$B$22-BK75)/($B$21-$B$22*CS76)</f>
        <v>82.249097900702282</v>
      </c>
      <c r="EB75" s="13">
        <f t="shared" ref="EB75:EB103" si="228">(EB76*$B$22-BL75)/($B$21-$B$22*CT76)</f>
        <v>78.346895909629481</v>
      </c>
      <c r="EC75" s="13">
        <f t="shared" ref="EC75:EC103" si="229">(EC76*$B$22-BM75)/($B$21-$B$22*CU76)</f>
        <v>74.727165708863723</v>
      </c>
      <c r="ED75" s="13">
        <f t="shared" ref="ED75:ED103" si="230">(ED76*$B$22-BN75)/($B$21-$B$22*CV76)</f>
        <v>71.350293382036014</v>
      </c>
      <c r="EE75" s="13">
        <f t="shared" ref="EE75:EE103" si="231">(EE76*$B$22-BO75)/($B$21-$B$22*CW76)</f>
        <v>68.17253105700938</v>
      </c>
      <c r="EF75" s="13">
        <f t="shared" ref="EF75:EF103" si="232">(EF76*$B$22-BP75)/($B$21-$B$22*CX76)</f>
        <v>65.146886683589571</v>
      </c>
      <c r="EG75" s="13">
        <f t="shared" ref="EG75:EG103" si="233">(EG76*$B$22-BQ75)/($B$21-$B$22*CY76)</f>
        <v>62.223970745049442</v>
      </c>
      <c r="EH75" s="13">
        <f t="shared" ref="EH75:EH103" si="234">(EH76*$B$22-BR75)/($B$21-$B$22*CZ76)</f>
        <v>59.352812004995762</v>
      </c>
    </row>
    <row r="76" spans="5:138" x14ac:dyDescent="0.25">
      <c r="E76" s="95"/>
      <c r="F76" s="26">
        <v>9.3333333333333338E-2</v>
      </c>
      <c r="G76" s="13">
        <f t="shared" si="139"/>
        <v>300</v>
      </c>
      <c r="H76" s="13">
        <f t="shared" ref="H76:H104" si="235">BW76*H75+DE76</f>
        <v>325.64857582762363</v>
      </c>
      <c r="I76" s="13">
        <f t="shared" ref="I76:I104" si="236">BX76*I75+DF76</f>
        <v>328.72047152175247</v>
      </c>
      <c r="J76" s="13">
        <f t="shared" ref="J76:J104" si="237">BY76*J75+DG76</f>
        <v>329.08200182899566</v>
      </c>
      <c r="K76" s="13">
        <f t="shared" ref="K76:K104" si="238">BZ76*K75+DH76</f>
        <v>326.90982657861719</v>
      </c>
      <c r="L76" s="13">
        <f t="shared" ref="L76:L104" si="239">CA76*L75+DI76</f>
        <v>322.37942315181283</v>
      </c>
      <c r="M76" s="13">
        <f t="shared" ref="M76:M104" si="240">CB76*M75+DJ76</f>
        <v>315.73606632472513</v>
      </c>
      <c r="N76" s="13">
        <f t="shared" ref="N76:N104" si="241">CC76*N75+DK76</f>
        <v>307.28803688294511</v>
      </c>
      <c r="O76" s="13">
        <f t="shared" ref="O76:O104" si="242">CD76*O75+DL76</f>
        <v>297.37798256586751</v>
      </c>
      <c r="P76" s="13">
        <f t="shared" ref="P76:P104" si="243">CE76*P75+DM76</f>
        <v>286.35436637384987</v>
      </c>
      <c r="Q76" s="13">
        <f t="shared" ref="Q76:Q104" si="244">CF76*Q75+DN76</f>
        <v>274.5499203641034</v>
      </c>
      <c r="R76" s="13">
        <f t="shared" ref="R76:R104" si="245">CG76*R75+DO76</f>
        <v>262.26787731612683</v>
      </c>
      <c r="S76" s="13">
        <f t="shared" ref="S76:S104" si="246">CH76*S75+DP76</f>
        <v>249.77461330058196</v>
      </c>
      <c r="T76" s="13">
        <f t="shared" ref="T76:T104" si="247">CI76*T75+DQ76</f>
        <v>237.29689697608978</v>
      </c>
      <c r="U76" s="13">
        <f t="shared" ref="U76:U104" si="248">CJ76*U75+DR76</f>
        <v>225.022145284587</v>
      </c>
      <c r="V76" s="13">
        <f t="shared" ref="V76:V104" si="249">CK76*V75+DS76</f>
        <v>213.10046466595287</v>
      </c>
      <c r="W76" s="13">
        <f t="shared" ref="W76:W104" si="250">CL76*W75+DT76</f>
        <v>201.64762549138885</v>
      </c>
      <c r="X76" s="13">
        <f t="shared" ref="X76:X104" si="251">CM76*X75+DU76</f>
        <v>190.748414370143</v>
      </c>
      <c r="Y76" s="13">
        <f t="shared" ref="Y76:Y104" si="252">CN76*Y75+DV76</f>
        <v>180.46002644291212</v>
      </c>
      <c r="Z76" s="13">
        <f t="shared" ref="Z76:Z104" si="253">CO76*Z75+DW76</f>
        <v>170.81530916468949</v>
      </c>
      <c r="AA76" s="13">
        <f t="shared" ref="AA76:AA104" si="254">CP76*AA75+DX76</f>
        <v>161.82576644764185</v>
      </c>
      <c r="AB76" s="13">
        <f t="shared" ref="AB76:AB104" si="255">CQ76*AB75+DY76</f>
        <v>153.48429225065075</v>
      </c>
      <c r="AC76" s="13">
        <f t="shared" ref="AC76:AC104" si="256">CR76*AC75+DZ76</f>
        <v>145.76763766381728</v>
      </c>
      <c r="AD76" s="13">
        <f t="shared" ref="AD76:AD104" si="257">CS76*AD75+EA76</f>
        <v>138.63863404932542</v>
      </c>
      <c r="AE76" s="13">
        <f t="shared" ref="AE76:AE104" si="258">CT76*AE75+EB76</f>
        <v>132.04820305882529</v>
      </c>
      <c r="AF76" s="13">
        <f t="shared" ref="AF76:AF104" si="259">CU76*AF75+EC76</f>
        <v>125.93718654338878</v>
      </c>
      <c r="AG76" s="13">
        <f t="shared" ref="AG76:AG104" si="260">CV76*AG75+ED76</f>
        <v>120.23802824697955</v>
      </c>
      <c r="AH76" s="13">
        <f t="shared" ref="AH76:AH104" si="261">CW76*AH75+EE76</f>
        <v>114.87633646292417</v>
      </c>
      <c r="AI76" s="13">
        <f t="shared" ref="AI76:AI104" si="262">CX76*AI75+EF76</f>
        <v>109.7723535929205</v>
      </c>
      <c r="AJ76" s="13">
        <f t="shared" ref="AJ76:AJ104" si="263">CY76*AJ75+EG76</f>
        <v>104.84235539691444</v>
      </c>
      <c r="AK76" s="13">
        <f t="shared" si="141"/>
        <v>100</v>
      </c>
      <c r="AL76" s="86"/>
      <c r="AM76" s="26">
        <v>9.3333333333333338E-2</v>
      </c>
      <c r="AN76" s="13">
        <f t="shared" si="142"/>
        <v>-1076400000</v>
      </c>
      <c r="AO76" s="13">
        <f t="shared" si="143"/>
        <v>-1132528244.5606978</v>
      </c>
      <c r="AP76" s="13">
        <f t="shared" si="144"/>
        <v>-1157893227.5983303</v>
      </c>
      <c r="AQ76" s="13">
        <f t="shared" si="145"/>
        <v>-1165270476.5484953</v>
      </c>
      <c r="AR76" s="13">
        <f t="shared" si="146"/>
        <v>-1160266037.4853113</v>
      </c>
      <c r="AS76" s="13">
        <f t="shared" si="147"/>
        <v>-1145621724.8970563</v>
      </c>
      <c r="AT76" s="13">
        <f t="shared" si="148"/>
        <v>-1123041890.6042485</v>
      </c>
      <c r="AU76" s="13">
        <f t="shared" si="149"/>
        <v>-1093904245.3891068</v>
      </c>
      <c r="AV76" s="13">
        <f t="shared" si="150"/>
        <v>-1059491945.1278489</v>
      </c>
      <c r="AW76" s="13">
        <f t="shared" si="151"/>
        <v>-1021037180.8550078</v>
      </c>
      <c r="AX76" s="13">
        <f t="shared" si="152"/>
        <v>-979702870.7675184</v>
      </c>
      <c r="AY76" s="13">
        <f t="shared" si="153"/>
        <v>-936553615.9111464</v>
      </c>
      <c r="AZ76" s="13">
        <f t="shared" si="154"/>
        <v>-892533583.11238027</v>
      </c>
      <c r="BA76" s="13">
        <f t="shared" si="155"/>
        <v>-848455039.60128236</v>
      </c>
      <c r="BB76" s="13">
        <f t="shared" si="156"/>
        <v>-804996162.90410364</v>
      </c>
      <c r="BC76" s="13">
        <f t="shared" si="157"/>
        <v>-762705432.53358638</v>
      </c>
      <c r="BD76" s="13">
        <f t="shared" si="158"/>
        <v>-722010055.56117582</v>
      </c>
      <c r="BE76" s="13">
        <f t="shared" si="159"/>
        <v>-683226466.48000145</v>
      </c>
      <c r="BF76" s="13">
        <f t="shared" si="160"/>
        <v>-646571559.44187033</v>
      </c>
      <c r="BG76" s="13">
        <f t="shared" si="161"/>
        <v>-612173817.15927577</v>
      </c>
      <c r="BH76" s="13">
        <f t="shared" si="162"/>
        <v>-580083869.71451056</v>
      </c>
      <c r="BI76" s="13">
        <f t="shared" si="163"/>
        <v>-550284265.19592297</v>
      </c>
      <c r="BJ76" s="13">
        <f t="shared" si="164"/>
        <v>-522698390.72473323</v>
      </c>
      <c r="BK76" s="13">
        <f t="shared" si="165"/>
        <v>-497198574.0192154</v>
      </c>
      <c r="BL76" s="13">
        <f t="shared" si="166"/>
        <v>-473613443.87686098</v>
      </c>
      <c r="BM76" s="13">
        <f t="shared" si="167"/>
        <v>-451734648.84545171</v>
      </c>
      <c r="BN76" s="13">
        <f t="shared" si="168"/>
        <v>-431323038.04701555</v>
      </c>
      <c r="BO76" s="13">
        <f t="shared" si="169"/>
        <v>-412114404.04156893</v>
      </c>
      <c r="BP76" s="13">
        <f t="shared" si="170"/>
        <v>-393824879.52808541</v>
      </c>
      <c r="BQ76" s="13">
        <f t="shared" si="171"/>
        <v>-376156070.50725722</v>
      </c>
      <c r="BR76" s="13">
        <f t="shared" si="172"/>
        <v>-358800000</v>
      </c>
      <c r="BT76" s="86"/>
      <c r="BU76" s="26">
        <v>9.3333333333333338E-2</v>
      </c>
      <c r="BV76" s="13">
        <f t="shared" si="173"/>
        <v>0.40647187995004247</v>
      </c>
      <c r="BW76" s="13">
        <f t="shared" si="174"/>
        <v>0.40647187995004247</v>
      </c>
      <c r="BX76" s="13">
        <f t="shared" si="175"/>
        <v>0.40647187995004247</v>
      </c>
      <c r="BY76" s="13">
        <f t="shared" si="176"/>
        <v>0.40647187995004247</v>
      </c>
      <c r="BZ76" s="13">
        <f t="shared" si="177"/>
        <v>0.40647187995004247</v>
      </c>
      <c r="CA76" s="13">
        <f t="shared" si="178"/>
        <v>0.40647187995004247</v>
      </c>
      <c r="CB76" s="13">
        <f t="shared" si="179"/>
        <v>0.40647187995004247</v>
      </c>
      <c r="CC76" s="13">
        <f t="shared" si="180"/>
        <v>0.40647187995004247</v>
      </c>
      <c r="CD76" s="13">
        <f t="shared" si="181"/>
        <v>0.40647187995004247</v>
      </c>
      <c r="CE76" s="13">
        <f t="shared" si="182"/>
        <v>0.40647187995004247</v>
      </c>
      <c r="CF76" s="13">
        <f t="shared" si="183"/>
        <v>0.40647187995004247</v>
      </c>
      <c r="CG76" s="13">
        <f t="shared" si="184"/>
        <v>0.40647187995004247</v>
      </c>
      <c r="CH76" s="13">
        <f t="shared" si="185"/>
        <v>0.40647187995004247</v>
      </c>
      <c r="CI76" s="13">
        <f t="shared" si="186"/>
        <v>0.40647187995004247</v>
      </c>
      <c r="CJ76" s="13">
        <f t="shared" si="187"/>
        <v>0.40647187995004247</v>
      </c>
      <c r="CK76" s="13">
        <f t="shared" si="188"/>
        <v>0.40647187995004247</v>
      </c>
      <c r="CL76" s="13">
        <f t="shared" si="189"/>
        <v>0.40647187995004247</v>
      </c>
      <c r="CM76" s="13">
        <f t="shared" si="190"/>
        <v>0.40647187995004247</v>
      </c>
      <c r="CN76" s="13">
        <f t="shared" si="191"/>
        <v>0.40647187995004247</v>
      </c>
      <c r="CO76" s="13">
        <f t="shared" si="192"/>
        <v>0.40647187995004247</v>
      </c>
      <c r="CP76" s="13">
        <f t="shared" si="193"/>
        <v>0.40647187995004247</v>
      </c>
      <c r="CQ76" s="13">
        <f t="shared" si="194"/>
        <v>0.40647187995004247</v>
      </c>
      <c r="CR76" s="13">
        <f t="shared" si="195"/>
        <v>0.40647187995004247</v>
      </c>
      <c r="CS76" s="13">
        <f t="shared" si="196"/>
        <v>0.40647187995004247</v>
      </c>
      <c r="CT76" s="13">
        <f t="shared" si="197"/>
        <v>0.40647187995004247</v>
      </c>
      <c r="CU76" s="13">
        <f t="shared" si="198"/>
        <v>0.40647187995004247</v>
      </c>
      <c r="CV76" s="13">
        <f t="shared" si="199"/>
        <v>0.40647187995004247</v>
      </c>
      <c r="CW76" s="13">
        <f t="shared" si="200"/>
        <v>0.40647187995004247</v>
      </c>
      <c r="CX76" s="13">
        <f t="shared" si="201"/>
        <v>0.40647187995004247</v>
      </c>
      <c r="CY76" s="13">
        <f t="shared" si="202"/>
        <v>0.40647187995004247</v>
      </c>
      <c r="CZ76" s="13">
        <f t="shared" si="203"/>
        <v>0.40647187995004247</v>
      </c>
      <c r="DB76" s="86"/>
      <c r="DC76" s="26">
        <v>9.3333333333333338E-2</v>
      </c>
      <c r="DD76" s="13">
        <f t="shared" si="204"/>
        <v>178.05843601498725</v>
      </c>
      <c r="DE76" s="13">
        <f t="shared" si="205"/>
        <v>195.75632177183027</v>
      </c>
      <c r="DF76" s="13">
        <f t="shared" si="206"/>
        <v>196.92428142429253</v>
      </c>
      <c r="DG76" s="13">
        <f t="shared" si="207"/>
        <v>196.78029311013572</v>
      </c>
      <c r="DH76" s="13">
        <f t="shared" si="208"/>
        <v>195.27835973336681</v>
      </c>
      <c r="DI76" s="13">
        <f t="shared" si="209"/>
        <v>192.43993372369459</v>
      </c>
      <c r="DJ76" s="13">
        <f t="shared" si="210"/>
        <v>188.37124539913168</v>
      </c>
      <c r="DK76" s="13">
        <f t="shared" si="211"/>
        <v>183.23991028342081</v>
      </c>
      <c r="DL76" s="13">
        <f t="shared" si="212"/>
        <v>177.24556949702279</v>
      </c>
      <c r="DM76" s="13">
        <f t="shared" si="213"/>
        <v>170.59598034549998</v>
      </c>
      <c r="DN76" s="13">
        <f t="shared" si="214"/>
        <v>163.49073401202307</v>
      </c>
      <c r="DO76" s="13">
        <f t="shared" si="215"/>
        <v>156.11158081428823</v>
      </c>
      <c r="DP76" s="13">
        <f t="shared" si="216"/>
        <v>148.6175948489695</v>
      </c>
      <c r="DQ76" s="13">
        <f t="shared" si="217"/>
        <v>141.14354845700035</v>
      </c>
      <c r="DR76" s="13">
        <f t="shared" si="218"/>
        <v>133.80024759606201</v>
      </c>
      <c r="DS76" s="13">
        <f t="shared" si="219"/>
        <v>126.67595835265283</v>
      </c>
      <c r="DT76" s="13">
        <f t="shared" si="220"/>
        <v>119.83835805447873</v>
      </c>
      <c r="DU76" s="13">
        <f t="shared" si="221"/>
        <v>113.33666344024468</v>
      </c>
      <c r="DV76" s="13">
        <f t="shared" si="222"/>
        <v>107.20373678991069</v>
      </c>
      <c r="DW76" s="13">
        <f t="shared" si="223"/>
        <v>101.4580667458977</v>
      </c>
      <c r="DX76" s="13">
        <f t="shared" si="224"/>
        <v>96.105579640411136</v>
      </c>
      <c r="DY76" s="13">
        <f t="shared" si="225"/>
        <v>91.141271718700494</v>
      </c>
      <c r="DZ76" s="13">
        <f t="shared" si="226"/>
        <v>86.550671480181066</v>
      </c>
      <c r="EA76" s="13">
        <f t="shared" si="227"/>
        <v>82.311150449930736</v>
      </c>
      <c r="EB76" s="13">
        <f t="shared" si="228"/>
        <v>78.393104011526717</v>
      </c>
      <c r="EC76" s="13">
        <f t="shared" si="229"/>
        <v>74.761024028184693</v>
      </c>
      <c r="ED76" s="13">
        <f t="shared" si="230"/>
        <v>71.374483443841754</v>
      </c>
      <c r="EE76" s="13">
        <f t="shared" si="231"/>
        <v>68.189050850638651</v>
      </c>
      <c r="EF76" s="13">
        <f t="shared" si="232"/>
        <v>65.157150692437583</v>
      </c>
      <c r="EG76" s="13">
        <f t="shared" si="233"/>
        <v>62.22888265266127</v>
      </c>
      <c r="EH76" s="13">
        <f t="shared" si="234"/>
        <v>59.352812004995762</v>
      </c>
    </row>
    <row r="77" spans="5:138" x14ac:dyDescent="0.25">
      <c r="E77" s="95"/>
      <c r="F77" s="26">
        <v>9.0000000000000011E-2</v>
      </c>
      <c r="G77" s="13">
        <f t="shared" si="139"/>
        <v>300</v>
      </c>
      <c r="H77" s="13">
        <f t="shared" si="235"/>
        <v>340.40812411424929</v>
      </c>
      <c r="I77" s="13">
        <f t="shared" si="236"/>
        <v>338.4033640831226</v>
      </c>
      <c r="J77" s="13">
        <f t="shared" si="237"/>
        <v>336.41413249606887</v>
      </c>
      <c r="K77" s="13">
        <f t="shared" si="238"/>
        <v>333.04495738102707</v>
      </c>
      <c r="L77" s="13">
        <f t="shared" si="239"/>
        <v>327.75766848376759</v>
      </c>
      <c r="M77" s="13">
        <f t="shared" si="240"/>
        <v>320.50163119451929</v>
      </c>
      <c r="N77" s="13">
        <f t="shared" si="241"/>
        <v>311.48173943925985</v>
      </c>
      <c r="O77" s="13">
        <f t="shared" si="242"/>
        <v>301.0184848996509</v>
      </c>
      <c r="P77" s="13">
        <f t="shared" si="243"/>
        <v>289.46700074191779</v>
      </c>
      <c r="Q77" s="13">
        <f t="shared" si="244"/>
        <v>277.17266826398441</v>
      </c>
      <c r="R77" s="13">
        <f t="shared" si="245"/>
        <v>264.44873423682156</v>
      </c>
      <c r="S77" s="13">
        <f t="shared" si="246"/>
        <v>251.56676668605928</v>
      </c>
      <c r="T77" s="13">
        <f t="shared" si="247"/>
        <v>238.75430709121446</v>
      </c>
      <c r="U77" s="13">
        <f t="shared" si="248"/>
        <v>226.1963284117561</v>
      </c>
      <c r="V77" s="13">
        <f t="shared" si="249"/>
        <v>214.0385134862492</v>
      </c>
      <c r="W77" s="13">
        <f t="shared" si="250"/>
        <v>202.3912290100441</v>
      </c>
      <c r="X77" s="13">
        <f t="shared" si="251"/>
        <v>191.33358766713076</v>
      </c>
      <c r="Y77" s="13">
        <f t="shared" si="252"/>
        <v>180.91729539196854</v>
      </c>
      <c r="Z77" s="13">
        <f t="shared" si="253"/>
        <v>171.170154941421</v>
      </c>
      <c r="AA77" s="13">
        <f t="shared" si="254"/>
        <v>162.09919277541289</v>
      </c>
      <c r="AB77" s="13">
        <f t="shared" si="255"/>
        <v>153.69342571429763</v>
      </c>
      <c r="AC77" s="13">
        <f t="shared" si="256"/>
        <v>145.92630654594262</v>
      </c>
      <c r="AD77" s="13">
        <f t="shared" si="257"/>
        <v>138.75789552361769</v>
      </c>
      <c r="AE77" s="13">
        <f t="shared" si="258"/>
        <v>132.13680456608583</v>
      </c>
      <c r="AF77" s="13">
        <f t="shared" si="259"/>
        <v>126.00195705406895</v>
      </c>
      <c r="AG77" s="13">
        <f t="shared" si="260"/>
        <v>120.28420074915898</v>
      </c>
      <c r="AH77" s="13">
        <f t="shared" si="261"/>
        <v>114.90780581872808</v>
      </c>
      <c r="AI77" s="13">
        <f t="shared" si="262"/>
        <v>109.79187488759297</v>
      </c>
      <c r="AJ77" s="13">
        <f t="shared" si="263"/>
        <v>104.85168775304604</v>
      </c>
      <c r="AK77" s="13">
        <f t="shared" si="141"/>
        <v>100</v>
      </c>
      <c r="AL77" s="86"/>
      <c r="AM77" s="26">
        <v>9.0000000000000011E-2</v>
      </c>
      <c r="AN77" s="13">
        <f t="shared" si="142"/>
        <v>-1076400000</v>
      </c>
      <c r="AO77" s="13">
        <f t="shared" si="143"/>
        <v>-1231420948.3850694</v>
      </c>
      <c r="AP77" s="13">
        <f t="shared" si="144"/>
        <v>-1216089167.4847555</v>
      </c>
      <c r="AQ77" s="13">
        <f t="shared" si="145"/>
        <v>-1203095840.5483849</v>
      </c>
      <c r="AR77" s="13">
        <f t="shared" si="146"/>
        <v>-1187702264.2307155</v>
      </c>
      <c r="AS77" s="13">
        <f t="shared" si="147"/>
        <v>-1167368352.1182189</v>
      </c>
      <c r="AT77" s="13">
        <f t="shared" si="148"/>
        <v>-1141220916.9767849</v>
      </c>
      <c r="AU77" s="13">
        <f t="shared" si="149"/>
        <v>-1109450786.978791</v>
      </c>
      <c r="AV77" s="13">
        <f t="shared" si="150"/>
        <v>-1072837753.8035761</v>
      </c>
      <c r="AW77" s="13">
        <f t="shared" si="151"/>
        <v>-1032426811.8015814</v>
      </c>
      <c r="AX77" s="13">
        <f t="shared" si="152"/>
        <v>-989326872.70656312</v>
      </c>
      <c r="AY77" s="13">
        <f t="shared" si="153"/>
        <v>-944595582.79754877</v>
      </c>
      <c r="AZ77" s="13">
        <f t="shared" si="154"/>
        <v>-899180039.77782607</v>
      </c>
      <c r="BA77" s="13">
        <f t="shared" si="155"/>
        <v>-853891723.26573992</v>
      </c>
      <c r="BB77" s="13">
        <f t="shared" si="156"/>
        <v>-809401219.36246073</v>
      </c>
      <c r="BC77" s="13">
        <f t="shared" si="157"/>
        <v>-766243633.11285543</v>
      </c>
      <c r="BD77" s="13">
        <f t="shared" si="158"/>
        <v>-724829178.47053218</v>
      </c>
      <c r="BE77" s="13">
        <f t="shared" si="159"/>
        <v>-685455753.81152594</v>
      </c>
      <c r="BF77" s="13">
        <f t="shared" si="160"/>
        <v>-648321752.71925747</v>
      </c>
      <c r="BG77" s="13">
        <f t="shared" si="161"/>
        <v>-613538227.65336967</v>
      </c>
      <c r="BH77" s="13">
        <f t="shared" si="162"/>
        <v>-581140028.72035503</v>
      </c>
      <c r="BI77" s="13">
        <f t="shared" si="163"/>
        <v>-551095820.45279288</v>
      </c>
      <c r="BJ77" s="13">
        <f t="shared" si="164"/>
        <v>-523317025.67590237</v>
      </c>
      <c r="BK77" s="13">
        <f t="shared" si="165"/>
        <v>-497665813.20753509</v>
      </c>
      <c r="BL77" s="13">
        <f t="shared" si="166"/>
        <v>-473962269.69676274</v>
      </c>
      <c r="BM77" s="13">
        <f t="shared" si="167"/>
        <v>-451990896.06291509</v>
      </c>
      <c r="BN77" s="13">
        <f t="shared" si="168"/>
        <v>-431506557.93790579</v>
      </c>
      <c r="BO77" s="13">
        <f t="shared" si="169"/>
        <v>-412240004.20939988</v>
      </c>
      <c r="BP77" s="13">
        <f t="shared" si="170"/>
        <v>-393903052.04103863</v>
      </c>
      <c r="BQ77" s="13">
        <f t="shared" si="171"/>
        <v>-376193522.59168124</v>
      </c>
      <c r="BR77" s="13">
        <f t="shared" si="172"/>
        <v>-358800000</v>
      </c>
      <c r="BT77" s="86"/>
      <c r="BU77" s="26">
        <v>9.0000000000000011E-2</v>
      </c>
      <c r="BV77" s="13">
        <f t="shared" si="173"/>
        <v>0.40647187995004247</v>
      </c>
      <c r="BW77" s="13">
        <f t="shared" si="174"/>
        <v>0.40647187995004247</v>
      </c>
      <c r="BX77" s="13">
        <f t="shared" si="175"/>
        <v>0.40647187995004247</v>
      </c>
      <c r="BY77" s="13">
        <f t="shared" si="176"/>
        <v>0.40647187995004247</v>
      </c>
      <c r="BZ77" s="13">
        <f t="shared" si="177"/>
        <v>0.40647187995004247</v>
      </c>
      <c r="CA77" s="13">
        <f t="shared" si="178"/>
        <v>0.40647187995004247</v>
      </c>
      <c r="CB77" s="13">
        <f t="shared" si="179"/>
        <v>0.40647187995004247</v>
      </c>
      <c r="CC77" s="13">
        <f t="shared" si="180"/>
        <v>0.40647187995004247</v>
      </c>
      <c r="CD77" s="13">
        <f t="shared" si="181"/>
        <v>0.40647187995004247</v>
      </c>
      <c r="CE77" s="13">
        <f t="shared" si="182"/>
        <v>0.40647187995004247</v>
      </c>
      <c r="CF77" s="13">
        <f t="shared" si="183"/>
        <v>0.40647187995004247</v>
      </c>
      <c r="CG77" s="13">
        <f t="shared" si="184"/>
        <v>0.40647187995004247</v>
      </c>
      <c r="CH77" s="13">
        <f t="shared" si="185"/>
        <v>0.40647187995004247</v>
      </c>
      <c r="CI77" s="13">
        <f t="shared" si="186"/>
        <v>0.40647187995004247</v>
      </c>
      <c r="CJ77" s="13">
        <f t="shared" si="187"/>
        <v>0.40647187995004247</v>
      </c>
      <c r="CK77" s="13">
        <f t="shared" si="188"/>
        <v>0.40647187995004247</v>
      </c>
      <c r="CL77" s="13">
        <f t="shared" si="189"/>
        <v>0.40647187995004247</v>
      </c>
      <c r="CM77" s="13">
        <f t="shared" si="190"/>
        <v>0.40647187995004247</v>
      </c>
      <c r="CN77" s="13">
        <f t="shared" si="191"/>
        <v>0.40647187995004247</v>
      </c>
      <c r="CO77" s="13">
        <f t="shared" si="192"/>
        <v>0.40647187995004247</v>
      </c>
      <c r="CP77" s="13">
        <f t="shared" si="193"/>
        <v>0.40647187995004247</v>
      </c>
      <c r="CQ77" s="13">
        <f t="shared" si="194"/>
        <v>0.40647187995004247</v>
      </c>
      <c r="CR77" s="13">
        <f t="shared" si="195"/>
        <v>0.40647187995004247</v>
      </c>
      <c r="CS77" s="13">
        <f t="shared" si="196"/>
        <v>0.40647187995004247</v>
      </c>
      <c r="CT77" s="13">
        <f t="shared" si="197"/>
        <v>0.40647187995004247</v>
      </c>
      <c r="CU77" s="13">
        <f t="shared" si="198"/>
        <v>0.40647187995004247</v>
      </c>
      <c r="CV77" s="13">
        <f t="shared" si="199"/>
        <v>0.40647187995004247</v>
      </c>
      <c r="CW77" s="13">
        <f t="shared" si="200"/>
        <v>0.40647187995004247</v>
      </c>
      <c r="CX77" s="13">
        <f t="shared" si="201"/>
        <v>0.40647187995004247</v>
      </c>
      <c r="CY77" s="13">
        <f t="shared" si="202"/>
        <v>0.40647187995004247</v>
      </c>
      <c r="CZ77" s="13">
        <f t="shared" si="203"/>
        <v>0.40647187995004247</v>
      </c>
      <c r="DB77" s="86"/>
      <c r="DC77" s="26">
        <v>9.0000000000000011E-2</v>
      </c>
      <c r="DD77" s="13">
        <f t="shared" si="204"/>
        <v>178.05843601498725</v>
      </c>
      <c r="DE77" s="13">
        <f t="shared" si="205"/>
        <v>208.04113529454114</v>
      </c>
      <c r="DF77" s="13">
        <f t="shared" si="206"/>
        <v>204.78773604561147</v>
      </c>
      <c r="DG77" s="13">
        <f t="shared" si="207"/>
        <v>202.65155255491374</v>
      </c>
      <c r="DH77" s="13">
        <f t="shared" si="208"/>
        <v>200.1653055974742</v>
      </c>
      <c r="DI77" s="13">
        <f t="shared" si="209"/>
        <v>196.71949829803998</v>
      </c>
      <c r="DJ77" s="13">
        <f t="shared" si="210"/>
        <v>192.16379874747696</v>
      </c>
      <c r="DK77" s="13">
        <f t="shared" si="211"/>
        <v>186.57779340129116</v>
      </c>
      <c r="DL77" s="13">
        <f t="shared" si="212"/>
        <v>180.14269727035179</v>
      </c>
      <c r="DM77" s="13">
        <f t="shared" si="213"/>
        <v>173.07200311003581</v>
      </c>
      <c r="DN77" s="13">
        <f t="shared" si="214"/>
        <v>165.57584599345284</v>
      </c>
      <c r="DO77" s="13">
        <f t="shared" si="215"/>
        <v>157.84421709362837</v>
      </c>
      <c r="DP77" s="13">
        <f t="shared" si="216"/>
        <v>150.04041005397684</v>
      </c>
      <c r="DQ77" s="13">
        <f t="shared" si="217"/>
        <v>142.29979127103169</v>
      </c>
      <c r="DR77" s="13">
        <f t="shared" si="218"/>
        <v>134.73115398753842</v>
      </c>
      <c r="DS77" s="13">
        <f t="shared" si="219"/>
        <v>127.41916699525176</v>
      </c>
      <c r="DT77" s="13">
        <f t="shared" si="220"/>
        <v>120.42713958909717</v>
      </c>
      <c r="DU77" s="13">
        <f t="shared" si="221"/>
        <v>113.79972108060903</v>
      </c>
      <c r="DV77" s="13">
        <f t="shared" si="222"/>
        <v>107.56536918788368</v>
      </c>
      <c r="DW77" s="13">
        <f t="shared" si="223"/>
        <v>101.73853510100194</v>
      </c>
      <c r="DX77" s="13">
        <f t="shared" si="224"/>
        <v>96.321569263083404</v>
      </c>
      <c r="DY77" s="13">
        <f t="shared" si="225"/>
        <v>91.306376900373877</v>
      </c>
      <c r="DZ77" s="13">
        <f t="shared" si="226"/>
        <v>86.675860828854212</v>
      </c>
      <c r="EA77" s="13">
        <f t="shared" si="227"/>
        <v>82.405189307882424</v>
      </c>
      <c r="EB77" s="13">
        <f t="shared" si="228"/>
        <v>78.462923224740166</v>
      </c>
      <c r="EC77" s="13">
        <f t="shared" si="229"/>
        <v>74.812032084158531</v>
      </c>
      <c r="ED77" s="13">
        <f t="shared" si="230"/>
        <v>71.410823366122898</v>
      </c>
      <c r="EE77" s="13">
        <f t="shared" si="231"/>
        <v>68.213805374869679</v>
      </c>
      <c r="EF77" s="13">
        <f t="shared" si="232"/>
        <v>65.172499956137784</v>
      </c>
      <c r="EG77" s="13">
        <f t="shared" si="233"/>
        <v>62.236218456471747</v>
      </c>
      <c r="EH77" s="13">
        <f t="shared" si="234"/>
        <v>59.352812004995762</v>
      </c>
    </row>
    <row r="78" spans="5:138" x14ac:dyDescent="0.25">
      <c r="E78" s="95"/>
      <c r="F78" s="26">
        <v>8.666666666666667E-2</v>
      </c>
      <c r="G78" s="13">
        <f t="shared" si="139"/>
        <v>300</v>
      </c>
      <c r="H78" s="13">
        <f t="shared" si="235"/>
        <v>352.74337311026056</v>
      </c>
      <c r="I78" s="13">
        <f t="shared" si="236"/>
        <v>347.62782738011788</v>
      </c>
      <c r="J78" s="13">
        <f t="shared" si="237"/>
        <v>344.70231795722668</v>
      </c>
      <c r="K78" s="13">
        <f t="shared" si="238"/>
        <v>340.93444636034747</v>
      </c>
      <c r="L78" s="13">
        <f t="shared" si="239"/>
        <v>335.21952792237425</v>
      </c>
      <c r="M78" s="13">
        <f t="shared" si="240"/>
        <v>327.37805011000182</v>
      </c>
      <c r="N78" s="13">
        <f t="shared" si="241"/>
        <v>317.64300096399808</v>
      </c>
      <c r="O78" s="13">
        <f t="shared" si="242"/>
        <v>306.40212008763024</v>
      </c>
      <c r="P78" s="13">
        <f t="shared" si="243"/>
        <v>294.07257879607732</v>
      </c>
      <c r="Q78" s="13">
        <f t="shared" si="244"/>
        <v>281.04388501039028</v>
      </c>
      <c r="R78" s="13">
        <f t="shared" si="245"/>
        <v>267.65530991214592</v>
      </c>
      <c r="S78" s="13">
        <f t="shared" si="246"/>
        <v>254.1902048763082</v>
      </c>
      <c r="T78" s="13">
        <f t="shared" si="247"/>
        <v>240.87807724922254</v>
      </c>
      <c r="U78" s="13">
        <f t="shared" si="248"/>
        <v>227.89978858697347</v>
      </c>
      <c r="V78" s="13">
        <f t="shared" si="249"/>
        <v>215.39360416060515</v>
      </c>
      <c r="W78" s="13">
        <f t="shared" si="250"/>
        <v>203.4610526295462</v>
      </c>
      <c r="X78" s="13">
        <f t="shared" si="251"/>
        <v>192.17218094917627</v>
      </c>
      <c r="Y78" s="13">
        <f t="shared" si="252"/>
        <v>181.57009650216639</v>
      </c>
      <c r="Z78" s="13">
        <f t="shared" si="253"/>
        <v>171.67482880425126</v>
      </c>
      <c r="AA78" s="13">
        <f t="shared" si="254"/>
        <v>162.48659856159608</v>
      </c>
      <c r="AB78" s="13">
        <f t="shared" si="255"/>
        <v>153.98859565381574</v>
      </c>
      <c r="AC78" s="13">
        <f t="shared" si="256"/>
        <v>146.14936243554135</v>
      </c>
      <c r="AD78" s="13">
        <f t="shared" si="257"/>
        <v>138.9248661600368</v>
      </c>
      <c r="AE78" s="13">
        <f t="shared" si="258"/>
        <v>132.26033000724811</v>
      </c>
      <c r="AF78" s="13">
        <f t="shared" si="259"/>
        <v>126.09187873554245</v>
      </c>
      <c r="AG78" s="13">
        <f t="shared" si="260"/>
        <v>120.34804338420719</v>
      </c>
      <c r="AH78" s="13">
        <f t="shared" si="261"/>
        <v>114.95115997361324</v>
      </c>
      <c r="AI78" s="13">
        <f t="shared" si="262"/>
        <v>109.81868967396713</v>
      </c>
      <c r="AJ78" s="13">
        <f t="shared" si="263"/>
        <v>104.86448220247424</v>
      </c>
      <c r="AK78" s="13">
        <f t="shared" si="141"/>
        <v>100</v>
      </c>
      <c r="AL78" s="86"/>
      <c r="AM78" s="26">
        <v>8.666666666666667E-2</v>
      </c>
      <c r="AN78" s="13">
        <f t="shared" si="142"/>
        <v>-1076400000</v>
      </c>
      <c r="AO78" s="13">
        <f t="shared" si="143"/>
        <v>-1400402499.9616785</v>
      </c>
      <c r="AP78" s="13">
        <f t="shared" si="144"/>
        <v>-1303344980.3075349</v>
      </c>
      <c r="AQ78" s="13">
        <f t="shared" si="145"/>
        <v>-1255562675.2678704</v>
      </c>
      <c r="AR78" s="13">
        <f t="shared" si="146"/>
        <v>-1225077615.5559771</v>
      </c>
      <c r="AS78" s="13">
        <f t="shared" si="147"/>
        <v>-1197509958.0307493</v>
      </c>
      <c r="AT78" s="13">
        <f t="shared" si="148"/>
        <v>-1167046781.7847016</v>
      </c>
      <c r="AU78" s="13">
        <f t="shared" si="149"/>
        <v>-1131958863.5571816</v>
      </c>
      <c r="AV78" s="13">
        <f t="shared" si="150"/>
        <v>-1092374222.4629009</v>
      </c>
      <c r="AW78" s="13">
        <f t="shared" si="151"/>
        <v>-1049180377.8401943</v>
      </c>
      <c r="AX78" s="13">
        <f t="shared" si="152"/>
        <v>-1003493673.8534702</v>
      </c>
      <c r="AY78" s="13">
        <f t="shared" si="153"/>
        <v>-956413323.67227912</v>
      </c>
      <c r="AZ78" s="13">
        <f t="shared" si="154"/>
        <v>-908917226.85335636</v>
      </c>
      <c r="BA78" s="13">
        <f t="shared" si="155"/>
        <v>-861826954.27935946</v>
      </c>
      <c r="BB78" s="13">
        <f t="shared" si="156"/>
        <v>-815805106.07978761</v>
      </c>
      <c r="BC78" s="13">
        <f t="shared" si="157"/>
        <v>-771366588.03141141</v>
      </c>
      <c r="BD78" s="13">
        <f t="shared" si="158"/>
        <v>-728894761.11070764</v>
      </c>
      <c r="BE78" s="13">
        <f t="shared" si="159"/>
        <v>-688658226.80949354</v>
      </c>
      <c r="BF78" s="13">
        <f t="shared" si="160"/>
        <v>-650826437.39744496</v>
      </c>
      <c r="BG78" s="13">
        <f t="shared" si="161"/>
        <v>-615483514.21641588</v>
      </c>
      <c r="BH78" s="13">
        <f t="shared" si="162"/>
        <v>-582640216.60715902</v>
      </c>
      <c r="BI78" s="13">
        <f t="shared" si="163"/>
        <v>-552244241.75935149</v>
      </c>
      <c r="BJ78" s="13">
        <f t="shared" si="164"/>
        <v>-524189114.70186114</v>
      </c>
      <c r="BK78" s="13">
        <f t="shared" si="165"/>
        <v>-498321932.25974107</v>
      </c>
      <c r="BL78" s="13">
        <f t="shared" si="166"/>
        <v>-474450198.14714122</v>
      </c>
      <c r="BM78" s="13">
        <f t="shared" si="167"/>
        <v>-452347949.75625592</v>
      </c>
      <c r="BN78" s="13">
        <f t="shared" si="168"/>
        <v>-431761340.64862889</v>
      </c>
      <c r="BO78" s="13">
        <f t="shared" si="169"/>
        <v>-412413810.48517287</v>
      </c>
      <c r="BP78" s="13">
        <f t="shared" si="170"/>
        <v>-394010947.51732552</v>
      </c>
      <c r="BQ78" s="13">
        <f t="shared" si="171"/>
        <v>-376245127.85093182</v>
      </c>
      <c r="BR78" s="13">
        <f t="shared" si="172"/>
        <v>-358800000</v>
      </c>
      <c r="BT78" s="86"/>
      <c r="BU78" s="26">
        <v>8.666666666666667E-2</v>
      </c>
      <c r="BV78" s="13">
        <f t="shared" si="173"/>
        <v>0.40647187995004247</v>
      </c>
      <c r="BW78" s="13">
        <f t="shared" si="174"/>
        <v>0.40647187995004247</v>
      </c>
      <c r="BX78" s="13">
        <f t="shared" si="175"/>
        <v>0.40647187995004247</v>
      </c>
      <c r="BY78" s="13">
        <f t="shared" si="176"/>
        <v>0.40647187995004247</v>
      </c>
      <c r="BZ78" s="13">
        <f t="shared" si="177"/>
        <v>0.40647187995004247</v>
      </c>
      <c r="CA78" s="13">
        <f t="shared" si="178"/>
        <v>0.40647187995004247</v>
      </c>
      <c r="CB78" s="13">
        <f t="shared" si="179"/>
        <v>0.40647187995004247</v>
      </c>
      <c r="CC78" s="13">
        <f t="shared" si="180"/>
        <v>0.40647187995004247</v>
      </c>
      <c r="CD78" s="13">
        <f t="shared" si="181"/>
        <v>0.40647187995004247</v>
      </c>
      <c r="CE78" s="13">
        <f t="shared" si="182"/>
        <v>0.40647187995004247</v>
      </c>
      <c r="CF78" s="13">
        <f t="shared" si="183"/>
        <v>0.40647187995004247</v>
      </c>
      <c r="CG78" s="13">
        <f t="shared" si="184"/>
        <v>0.40647187995004247</v>
      </c>
      <c r="CH78" s="13">
        <f t="shared" si="185"/>
        <v>0.40647187995004247</v>
      </c>
      <c r="CI78" s="13">
        <f t="shared" si="186"/>
        <v>0.40647187995004247</v>
      </c>
      <c r="CJ78" s="13">
        <f t="shared" si="187"/>
        <v>0.40647187995004247</v>
      </c>
      <c r="CK78" s="13">
        <f t="shared" si="188"/>
        <v>0.40647187995004247</v>
      </c>
      <c r="CL78" s="13">
        <f t="shared" si="189"/>
        <v>0.40647187995004247</v>
      </c>
      <c r="CM78" s="13">
        <f t="shared" si="190"/>
        <v>0.40647187995004247</v>
      </c>
      <c r="CN78" s="13">
        <f t="shared" si="191"/>
        <v>0.40647187995004247</v>
      </c>
      <c r="CO78" s="13">
        <f t="shared" si="192"/>
        <v>0.40647187995004247</v>
      </c>
      <c r="CP78" s="13">
        <f t="shared" si="193"/>
        <v>0.40647187995004247</v>
      </c>
      <c r="CQ78" s="13">
        <f t="shared" si="194"/>
        <v>0.40647187995004247</v>
      </c>
      <c r="CR78" s="13">
        <f t="shared" si="195"/>
        <v>0.40647187995004247</v>
      </c>
      <c r="CS78" s="13">
        <f t="shared" si="196"/>
        <v>0.40647187995004247</v>
      </c>
      <c r="CT78" s="13">
        <f t="shared" si="197"/>
        <v>0.40647187995004247</v>
      </c>
      <c r="CU78" s="13">
        <f t="shared" si="198"/>
        <v>0.40647187995004247</v>
      </c>
      <c r="CV78" s="13">
        <f t="shared" si="199"/>
        <v>0.40647187995004247</v>
      </c>
      <c r="CW78" s="13">
        <f t="shared" si="200"/>
        <v>0.40647187995004247</v>
      </c>
      <c r="CX78" s="13">
        <f t="shared" si="201"/>
        <v>0.40647187995004247</v>
      </c>
      <c r="CY78" s="13">
        <f t="shared" si="202"/>
        <v>0.40647187995004247</v>
      </c>
      <c r="CZ78" s="13">
        <f t="shared" si="203"/>
        <v>0.40647187995004247</v>
      </c>
      <c r="DB78" s="86"/>
      <c r="DC78" s="26">
        <v>8.666666666666667E-2</v>
      </c>
      <c r="DD78" s="13">
        <f t="shared" si="204"/>
        <v>178.05843601498725</v>
      </c>
      <c r="DE78" s="13">
        <f t="shared" si="205"/>
        <v>214.37704295127429</v>
      </c>
      <c r="DF78" s="13">
        <f t="shared" si="206"/>
        <v>210.07637579983236</v>
      </c>
      <c r="DG78" s="13">
        <f t="shared" si="207"/>
        <v>207.95943307978689</v>
      </c>
      <c r="DH78" s="13">
        <f t="shared" si="208"/>
        <v>205.56103642579961</v>
      </c>
      <c r="DI78" s="13">
        <f t="shared" si="209"/>
        <v>201.99525224573449</v>
      </c>
      <c r="DJ78" s="13">
        <f t="shared" si="210"/>
        <v>197.10314955131037</v>
      </c>
      <c r="DK78" s="13">
        <f t="shared" si="211"/>
        <v>191.03443276401282</v>
      </c>
      <c r="DL78" s="13">
        <f t="shared" si="212"/>
        <v>184.0465706307557</v>
      </c>
      <c r="DM78" s="13">
        <f t="shared" si="213"/>
        <v>176.41238282100969</v>
      </c>
      <c r="DN78" s="13">
        <f t="shared" si="214"/>
        <v>168.38098947035905</v>
      </c>
      <c r="DO78" s="13">
        <f t="shared" si="215"/>
        <v>160.16433575649589</v>
      </c>
      <c r="DP78" s="13">
        <f t="shared" si="216"/>
        <v>151.93538828847196</v>
      </c>
      <c r="DQ78" s="13">
        <f t="shared" si="217"/>
        <v>143.83116519968684</v>
      </c>
      <c r="DR78" s="13">
        <f t="shared" si="218"/>
        <v>135.95734173964976</v>
      </c>
      <c r="DS78" s="13">
        <f t="shared" si="219"/>
        <v>128.39296720213693</v>
      </c>
      <c r="DT78" s="13">
        <f t="shared" si="220"/>
        <v>121.19470928843401</v>
      </c>
      <c r="DU78" s="13">
        <f t="shared" si="221"/>
        <v>114.40045787253135</v>
      </c>
      <c r="DV78" s="13">
        <f t="shared" si="222"/>
        <v>108.0323033287158</v>
      </c>
      <c r="DW78" s="13">
        <f t="shared" si="223"/>
        <v>102.09897413387181</v>
      </c>
      <c r="DX78" s="13">
        <f t="shared" si="224"/>
        <v>96.597834935789663</v>
      </c>
      <c r="DY78" s="13">
        <f t="shared" si="225"/>
        <v>91.516539967762981</v>
      </c>
      <c r="DZ78" s="13">
        <f t="shared" si="226"/>
        <v>86.834422279645864</v>
      </c>
      <c r="EA78" s="13">
        <f t="shared" si="227"/>
        <v>82.523683508640346</v>
      </c>
      <c r="EB78" s="13">
        <f t="shared" si="228"/>
        <v>78.550434644679839</v>
      </c>
      <c r="EC78" s="13">
        <f t="shared" si="229"/>
        <v>74.875626374390521</v>
      </c>
      <c r="ED78" s="13">
        <f t="shared" si="230"/>
        <v>71.45589817740823</v>
      </c>
      <c r="EE78" s="13">
        <f t="shared" si="231"/>
        <v>68.244368121540418</v>
      </c>
      <c r="EF78" s="13">
        <f t="shared" si="232"/>
        <v>65.19137988516735</v>
      </c>
      <c r="EG78" s="13">
        <f t="shared" si="233"/>
        <v>62.24521956555877</v>
      </c>
      <c r="EH78" s="13">
        <f t="shared" si="234"/>
        <v>59.352812004995762</v>
      </c>
    </row>
    <row r="79" spans="5:138" x14ac:dyDescent="0.25">
      <c r="E79" s="95"/>
      <c r="F79" s="26">
        <v>8.3333333333333343E-2</v>
      </c>
      <c r="G79" s="13">
        <f t="shared" si="139"/>
        <v>300</v>
      </c>
      <c r="H79" s="13">
        <f t="shared" si="235"/>
        <v>332.52807204780243</v>
      </c>
      <c r="I79" s="13">
        <f t="shared" si="236"/>
        <v>343.31211297960783</v>
      </c>
      <c r="J79" s="13">
        <f t="shared" si="237"/>
        <v>348.45650379583827</v>
      </c>
      <c r="K79" s="13">
        <f t="shared" si="238"/>
        <v>348.38798799303731</v>
      </c>
      <c r="L79" s="13">
        <f t="shared" si="239"/>
        <v>343.95136517613298</v>
      </c>
      <c r="M79" s="13">
        <f t="shared" si="240"/>
        <v>336.08675453514246</v>
      </c>
      <c r="N79" s="13">
        <f t="shared" si="241"/>
        <v>325.67484797222494</v>
      </c>
      <c r="O79" s="13">
        <f t="shared" si="242"/>
        <v>313.47575151027542</v>
      </c>
      <c r="P79" s="13">
        <f t="shared" si="243"/>
        <v>300.11584643480961</v>
      </c>
      <c r="Q79" s="13">
        <f t="shared" si="244"/>
        <v>286.09669247269221</v>
      </c>
      <c r="R79" s="13">
        <f t="shared" si="245"/>
        <v>271.81210981271187</v>
      </c>
      <c r="S79" s="13">
        <f t="shared" si="246"/>
        <v>257.56659674840176</v>
      </c>
      <c r="T79" s="13">
        <f t="shared" si="247"/>
        <v>243.59208578666312</v>
      </c>
      <c r="U79" s="13">
        <f t="shared" si="248"/>
        <v>230.06202542167711</v>
      </c>
      <c r="V79" s="13">
        <f t="shared" si="249"/>
        <v>217.10271988250702</v>
      </c>
      <c r="W79" s="13">
        <f t="shared" si="250"/>
        <v>204.80225202781736</v>
      </c>
      <c r="X79" s="13">
        <f t="shared" si="251"/>
        <v>193.21743085831127</v>
      </c>
      <c r="Y79" s="13">
        <f t="shared" si="252"/>
        <v>182.37919443659808</v>
      </c>
      <c r="Z79" s="13">
        <f t="shared" si="253"/>
        <v>172.296838786221</v>
      </c>
      <c r="AA79" s="13">
        <f t="shared" si="254"/>
        <v>162.9613712636845</v>
      </c>
      <c r="AB79" s="13">
        <f t="shared" si="255"/>
        <v>154.34821956592788</v>
      </c>
      <c r="AC79" s="13">
        <f t="shared" si="256"/>
        <v>146.41947091375388</v>
      </c>
      <c r="AD79" s="13">
        <f t="shared" si="257"/>
        <v>139.12577098062764</v>
      </c>
      <c r="AE79" s="13">
        <f t="shared" si="258"/>
        <v>132.40797765103474</v>
      </c>
      <c r="AF79" s="13">
        <f t="shared" si="259"/>
        <v>126.19863885828896</v>
      </c>
      <c r="AG79" s="13">
        <f t="shared" si="260"/>
        <v>120.42334471826661</v>
      </c>
      <c r="AH79" s="13">
        <f t="shared" si="261"/>
        <v>115.00199033626444</v>
      </c>
      <c r="AI79" s="13">
        <f t="shared" si="262"/>
        <v>109.84997572431917</v>
      </c>
      <c r="AJ79" s="13">
        <f t="shared" si="263"/>
        <v>104.87936222957046</v>
      </c>
      <c r="AK79" s="13">
        <f t="shared" si="141"/>
        <v>100</v>
      </c>
      <c r="AL79" s="86"/>
      <c r="AM79" s="26">
        <v>8.3333333333333343E-2</v>
      </c>
      <c r="AN79" s="13">
        <f t="shared" si="142"/>
        <v>-1076400000</v>
      </c>
      <c r="AO79" s="13">
        <f t="shared" si="143"/>
        <v>-1155781908.3092864</v>
      </c>
      <c r="AP79" s="13">
        <f t="shared" si="144"/>
        <v>-1203160416.4884312</v>
      </c>
      <c r="AQ79" s="13">
        <f t="shared" si="145"/>
        <v>-1226406931.4958889</v>
      </c>
      <c r="AR79" s="13">
        <f t="shared" si="146"/>
        <v>-1230007278.6312375</v>
      </c>
      <c r="AS79" s="13">
        <f t="shared" si="147"/>
        <v>-1217618442.950644</v>
      </c>
      <c r="AT79" s="13">
        <f t="shared" si="148"/>
        <v>-1192607170.9606102</v>
      </c>
      <c r="AU79" s="13">
        <f t="shared" si="149"/>
        <v>-1158040854.8360384</v>
      </c>
      <c r="AV79" s="13">
        <f t="shared" si="150"/>
        <v>-1116604047.4551907</v>
      </c>
      <c r="AW79" s="13">
        <f t="shared" si="151"/>
        <v>-1070558475.3697468</v>
      </c>
      <c r="AX79" s="13">
        <f t="shared" si="152"/>
        <v>-1021752786.3966732</v>
      </c>
      <c r="AY79" s="13">
        <f t="shared" si="153"/>
        <v>-971662822.94914269</v>
      </c>
      <c r="AZ79" s="13">
        <f t="shared" si="154"/>
        <v>-921444227.6519388</v>
      </c>
      <c r="BA79" s="13">
        <f t="shared" si="155"/>
        <v>-871985715.15265763</v>
      </c>
      <c r="BB79" s="13">
        <f t="shared" si="156"/>
        <v>-823957080.88663363</v>
      </c>
      <c r="BC79" s="13">
        <f t="shared" si="157"/>
        <v>-777849765.45675635</v>
      </c>
      <c r="BD79" s="13">
        <f t="shared" si="158"/>
        <v>-734009861.69421601</v>
      </c>
      <c r="BE79" s="13">
        <f t="shared" si="159"/>
        <v>-692664411.48161578</v>
      </c>
      <c r="BF79" s="13">
        <f t="shared" si="160"/>
        <v>-653942161.53280377</v>
      </c>
      <c r="BG79" s="13">
        <f t="shared" si="161"/>
        <v>-617889943.98730075</v>
      </c>
      <c r="BH79" s="13">
        <f t="shared" si="162"/>
        <v>-584485703.29148626</v>
      </c>
      <c r="BI79" s="13">
        <f t="shared" si="163"/>
        <v>-553649004.40371048</v>
      </c>
      <c r="BJ79" s="13">
        <f t="shared" si="164"/>
        <v>-525249676.63869315</v>
      </c>
      <c r="BK79" s="13">
        <f t="shared" si="165"/>
        <v>-499115091.83795851</v>
      </c>
      <c r="BL79" s="13">
        <f t="shared" si="166"/>
        <v>-475036449.88849795</v>
      </c>
      <c r="BM79" s="13">
        <f t="shared" si="167"/>
        <v>-452774347.1226626</v>
      </c>
      <c r="BN79" s="13">
        <f t="shared" si="168"/>
        <v>-432063829.53233045</v>
      </c>
      <c r="BO79" s="13">
        <f t="shared" si="169"/>
        <v>-412619078.28106034</v>
      </c>
      <c r="BP79" s="13">
        <f t="shared" si="170"/>
        <v>-394137835.40463787</v>
      </c>
      <c r="BQ79" s="13">
        <f t="shared" si="171"/>
        <v>-376305649.31333393</v>
      </c>
      <c r="BR79" s="13">
        <f t="shared" si="172"/>
        <v>-358800000</v>
      </c>
      <c r="BT79" s="86"/>
      <c r="BU79" s="26">
        <v>8.3333333333333343E-2</v>
      </c>
      <c r="BV79" s="13">
        <f t="shared" si="173"/>
        <v>0.40647187995004247</v>
      </c>
      <c r="BW79" s="13">
        <f t="shared" si="174"/>
        <v>0.40647187995004247</v>
      </c>
      <c r="BX79" s="13">
        <f t="shared" si="175"/>
        <v>0.40647187995004247</v>
      </c>
      <c r="BY79" s="13">
        <f t="shared" si="176"/>
        <v>0.40647187995004247</v>
      </c>
      <c r="BZ79" s="13">
        <f t="shared" si="177"/>
        <v>0.40647187995004247</v>
      </c>
      <c r="CA79" s="13">
        <f t="shared" si="178"/>
        <v>0.40647187995004247</v>
      </c>
      <c r="CB79" s="13">
        <f t="shared" si="179"/>
        <v>0.40647187995004247</v>
      </c>
      <c r="CC79" s="13">
        <f t="shared" si="180"/>
        <v>0.40647187995004247</v>
      </c>
      <c r="CD79" s="13">
        <f t="shared" si="181"/>
        <v>0.40647187995004247</v>
      </c>
      <c r="CE79" s="13">
        <f t="shared" si="182"/>
        <v>0.40647187995004247</v>
      </c>
      <c r="CF79" s="13">
        <f t="shared" si="183"/>
        <v>0.40647187995004247</v>
      </c>
      <c r="CG79" s="13">
        <f t="shared" si="184"/>
        <v>0.40647187995004247</v>
      </c>
      <c r="CH79" s="13">
        <f t="shared" si="185"/>
        <v>0.40647187995004247</v>
      </c>
      <c r="CI79" s="13">
        <f t="shared" si="186"/>
        <v>0.40647187995004247</v>
      </c>
      <c r="CJ79" s="13">
        <f t="shared" si="187"/>
        <v>0.40647187995004247</v>
      </c>
      <c r="CK79" s="13">
        <f t="shared" si="188"/>
        <v>0.40647187995004247</v>
      </c>
      <c r="CL79" s="13">
        <f t="shared" si="189"/>
        <v>0.40647187995004247</v>
      </c>
      <c r="CM79" s="13">
        <f t="shared" si="190"/>
        <v>0.40647187995004247</v>
      </c>
      <c r="CN79" s="13">
        <f t="shared" si="191"/>
        <v>0.40647187995004247</v>
      </c>
      <c r="CO79" s="13">
        <f t="shared" si="192"/>
        <v>0.40647187995004247</v>
      </c>
      <c r="CP79" s="13">
        <f t="shared" si="193"/>
        <v>0.40647187995004247</v>
      </c>
      <c r="CQ79" s="13">
        <f t="shared" si="194"/>
        <v>0.40647187995004247</v>
      </c>
      <c r="CR79" s="13">
        <f t="shared" si="195"/>
        <v>0.40647187995004247</v>
      </c>
      <c r="CS79" s="13">
        <f t="shared" si="196"/>
        <v>0.40647187995004247</v>
      </c>
      <c r="CT79" s="13">
        <f t="shared" si="197"/>
        <v>0.40647187995004247</v>
      </c>
      <c r="CU79" s="13">
        <f t="shared" si="198"/>
        <v>0.40647187995004247</v>
      </c>
      <c r="CV79" s="13">
        <f t="shared" si="199"/>
        <v>0.40647187995004247</v>
      </c>
      <c r="CW79" s="13">
        <f t="shared" si="200"/>
        <v>0.40647187995004247</v>
      </c>
      <c r="CX79" s="13">
        <f t="shared" si="201"/>
        <v>0.40647187995004247</v>
      </c>
      <c r="CY79" s="13">
        <f t="shared" si="202"/>
        <v>0.40647187995004247</v>
      </c>
      <c r="CZ79" s="13">
        <f t="shared" si="203"/>
        <v>0.40647187995004247</v>
      </c>
      <c r="DB79" s="86"/>
      <c r="DC79" s="26">
        <v>8.3333333333333343E-2</v>
      </c>
      <c r="DD79" s="13">
        <f t="shared" si="204"/>
        <v>178.05843601498725</v>
      </c>
      <c r="DE79" s="13">
        <f t="shared" si="205"/>
        <v>189.14781003975554</v>
      </c>
      <c r="DF79" s="13">
        <f t="shared" si="206"/>
        <v>202.01117646146244</v>
      </c>
      <c r="DG79" s="13">
        <f t="shared" si="207"/>
        <v>208.34470459262707</v>
      </c>
      <c r="DH79" s="13">
        <f t="shared" si="208"/>
        <v>209.80772264121995</v>
      </c>
      <c r="DI79" s="13">
        <f t="shared" si="209"/>
        <v>207.69405346555979</v>
      </c>
      <c r="DJ79" s="13">
        <f t="shared" si="210"/>
        <v>203.01678305255081</v>
      </c>
      <c r="DK79" s="13">
        <f t="shared" si="211"/>
        <v>196.56190021741551</v>
      </c>
      <c r="DL79" s="13">
        <f t="shared" si="212"/>
        <v>188.93190573757769</v>
      </c>
      <c r="DM79" s="13">
        <f t="shared" si="213"/>
        <v>180.58361248981106</v>
      </c>
      <c r="DN79" s="13">
        <f t="shared" si="214"/>
        <v>171.86025618405532</v>
      </c>
      <c r="DO79" s="13">
        <f t="shared" si="215"/>
        <v>163.01775281411068</v>
      </c>
      <c r="DP79" s="13">
        <f t="shared" si="216"/>
        <v>154.24542630744233</v>
      </c>
      <c r="DQ79" s="13">
        <f t="shared" si="217"/>
        <v>145.68192088842008</v>
      </c>
      <c r="DR79" s="13">
        <f t="shared" si="218"/>
        <v>137.42716991451275</v>
      </c>
      <c r="DS79" s="13">
        <f t="shared" si="219"/>
        <v>129.55127667013053</v>
      </c>
      <c r="DT79" s="13">
        <f t="shared" si="220"/>
        <v>122.10105546887119</v>
      </c>
      <c r="DU79" s="13">
        <f t="shared" si="221"/>
        <v>115.10484319379987</v>
      </c>
      <c r="DV79" s="13">
        <f t="shared" si="222"/>
        <v>108.5760559686519</v>
      </c>
      <c r="DW79" s="13">
        <f t="shared" si="223"/>
        <v>102.5158483820553</v>
      </c>
      <c r="DX79" s="13">
        <f t="shared" si="224"/>
        <v>96.915138079664672</v>
      </c>
      <c r="DY79" s="13">
        <f t="shared" si="225"/>
        <v>91.756185599654444</v>
      </c>
      <c r="DZ79" s="13">
        <f t="shared" si="226"/>
        <v>87.013864811079273</v>
      </c>
      <c r="EA79" s="13">
        <f t="shared" si="227"/>
        <v>82.656719460749443</v>
      </c>
      <c r="EB79" s="13">
        <f t="shared" si="228"/>
        <v>78.647872670175587</v>
      </c>
      <c r="EC79" s="13">
        <f t="shared" si="229"/>
        <v>74.945835862220235</v>
      </c>
      <c r="ED79" s="13">
        <f t="shared" si="230"/>
        <v>71.505249275578649</v>
      </c>
      <c r="EE79" s="13">
        <f t="shared" si="231"/>
        <v>68.277576239351788</v>
      </c>
      <c r="EF79" s="13">
        <f t="shared" si="232"/>
        <v>65.211766478891434</v>
      </c>
      <c r="EG79" s="13">
        <f t="shared" si="233"/>
        <v>62.254899008742989</v>
      </c>
      <c r="EH79" s="13">
        <f t="shared" si="234"/>
        <v>59.352812004995762</v>
      </c>
    </row>
    <row r="80" spans="5:138" x14ac:dyDescent="0.25">
      <c r="E80" s="95"/>
      <c r="F80" s="26">
        <v>0.08</v>
      </c>
      <c r="G80" s="13">
        <f t="shared" si="139"/>
        <v>300</v>
      </c>
      <c r="H80" s="13">
        <f t="shared" si="235"/>
        <v>321.32939277235596</v>
      </c>
      <c r="I80" s="13">
        <f t="shared" si="236"/>
        <v>345.9151050724314</v>
      </c>
      <c r="J80" s="13">
        <f t="shared" si="237"/>
        <v>357.97276792516925</v>
      </c>
      <c r="K80" s="13">
        <f t="shared" si="238"/>
        <v>360.67457848750985</v>
      </c>
      <c r="L80" s="13">
        <f t="shared" si="239"/>
        <v>356.66365057030737</v>
      </c>
      <c r="M80" s="13">
        <f t="shared" si="240"/>
        <v>348.00128125774222</v>
      </c>
      <c r="N80" s="13">
        <f t="shared" si="241"/>
        <v>336.23821664429357</v>
      </c>
      <c r="O80" s="13">
        <f t="shared" si="242"/>
        <v>322.51724500144172</v>
      </c>
      <c r="P80" s="13">
        <f t="shared" si="243"/>
        <v>307.67051060454429</v>
      </c>
      <c r="Q80" s="13">
        <f t="shared" si="244"/>
        <v>292.29977679377345</v>
      </c>
      <c r="R80" s="13">
        <f t="shared" si="245"/>
        <v>276.83823992073366</v>
      </c>
      <c r="S80" s="13">
        <f t="shared" si="246"/>
        <v>261.5963029879656</v>
      </c>
      <c r="T80" s="13">
        <f t="shared" si="247"/>
        <v>246.7946664617582</v>
      </c>
      <c r="U80" s="13">
        <f t="shared" si="248"/>
        <v>232.58790146564249</v>
      </c>
      <c r="V80" s="13">
        <f t="shared" si="249"/>
        <v>219.08110939225389</v>
      </c>
      <c r="W80" s="13">
        <f t="shared" si="250"/>
        <v>206.34166847478238</v>
      </c>
      <c r="X80" s="13">
        <f t="shared" si="251"/>
        <v>194.40754319208517</v>
      </c>
      <c r="Y80" s="13">
        <f t="shared" si="252"/>
        <v>183.29321703424478</v>
      </c>
      <c r="Z80" s="13">
        <f t="shared" si="253"/>
        <v>172.99399697535506</v>
      </c>
      <c r="AA80" s="13">
        <f t="shared" si="254"/>
        <v>163.48921082630761</v>
      </c>
      <c r="AB80" s="13">
        <f t="shared" si="255"/>
        <v>154.744656859402</v>
      </c>
      <c r="AC80" s="13">
        <f t="shared" si="256"/>
        <v>146.71455161415375</v>
      </c>
      <c r="AD80" s="13">
        <f t="shared" si="257"/>
        <v>139.34314305738593</v>
      </c>
      <c r="AE80" s="13">
        <f t="shared" si="258"/>
        <v>132.56610208791668</v>
      </c>
      <c r="AF80" s="13">
        <f t="shared" si="259"/>
        <v>126.31176832907366</v>
      </c>
      <c r="AG80" s="13">
        <f t="shared" si="260"/>
        <v>120.50230095976806</v>
      </c>
      <c r="AH80" s="13">
        <f t="shared" si="261"/>
        <v>115.0547682944365</v>
      </c>
      <c r="AI80" s="13">
        <f t="shared" si="262"/>
        <v>109.88219836747778</v>
      </c>
      <c r="AJ80" s="13">
        <f t="shared" si="263"/>
        <v>104.89460514709299</v>
      </c>
      <c r="AK80" s="13">
        <f t="shared" si="141"/>
        <v>100</v>
      </c>
      <c r="AL80" s="86"/>
      <c r="AM80" s="26">
        <v>0.08</v>
      </c>
      <c r="AN80" s="13">
        <f t="shared" si="142"/>
        <v>-1076400000</v>
      </c>
      <c r="AO80" s="13">
        <f t="shared" si="143"/>
        <v>-1146692773.0176873</v>
      </c>
      <c r="AP80" s="13">
        <f t="shared" si="144"/>
        <v>-1211927853.148051</v>
      </c>
      <c r="AQ80" s="13">
        <f t="shared" si="145"/>
        <v>-1252534216.1449792</v>
      </c>
      <c r="AR80" s="13">
        <f t="shared" si="146"/>
        <v>-1266544939.7494512</v>
      </c>
      <c r="AS80" s="13">
        <f t="shared" si="147"/>
        <v>-1258024306.5536702</v>
      </c>
      <c r="AT80" s="13">
        <f t="shared" si="148"/>
        <v>-1232367364.1444223</v>
      </c>
      <c r="AU80" s="13">
        <f t="shared" si="149"/>
        <v>-1194562260.2449346</v>
      </c>
      <c r="AV80" s="13">
        <f t="shared" si="150"/>
        <v>-1148687816.400974</v>
      </c>
      <c r="AW80" s="13">
        <f t="shared" si="151"/>
        <v>-1097891922.3007846</v>
      </c>
      <c r="AX80" s="13">
        <f t="shared" si="152"/>
        <v>-1044529454.2011536</v>
      </c>
      <c r="AY80" s="13">
        <f t="shared" si="153"/>
        <v>-990329689.24001825</v>
      </c>
      <c r="AZ80" s="13">
        <f t="shared" si="154"/>
        <v>-936546112.60987628</v>
      </c>
      <c r="BA80" s="13">
        <f t="shared" si="155"/>
        <v>-884076126.63357162</v>
      </c>
      <c r="BB80" s="13">
        <f t="shared" si="156"/>
        <v>-833551517.06573868</v>
      </c>
      <c r="BC80" s="13">
        <f t="shared" si="157"/>
        <v>-785404777.30412662</v>
      </c>
      <c r="BD80" s="13">
        <f t="shared" si="158"/>
        <v>-739916960.13376856</v>
      </c>
      <c r="BE80" s="13">
        <f t="shared" si="159"/>
        <v>-697251989.00059307</v>
      </c>
      <c r="BF80" s="13">
        <f t="shared" si="160"/>
        <v>-657481308.95946884</v>
      </c>
      <c r="BG80" s="13">
        <f t="shared" si="161"/>
        <v>-620601771.39922571</v>
      </c>
      <c r="BH80" s="13">
        <f t="shared" si="162"/>
        <v>-586548842.63656318</v>
      </c>
      <c r="BI80" s="13">
        <f t="shared" si="163"/>
        <v>-555206614.10391462</v>
      </c>
      <c r="BJ80" s="13">
        <f t="shared" si="164"/>
        <v>-526415643.45522851</v>
      </c>
      <c r="BK80" s="13">
        <f t="shared" si="165"/>
        <v>-499979335.68313962</v>
      </c>
      <c r="BL80" s="13">
        <f t="shared" si="166"/>
        <v>-475669348.49349451</v>
      </c>
      <c r="BM80" s="13">
        <f t="shared" si="167"/>
        <v>-453230350.22315973</v>
      </c>
      <c r="BN80" s="13">
        <f t="shared" si="168"/>
        <v>-432384351.42114705</v>
      </c>
      <c r="BO80" s="13">
        <f t="shared" si="169"/>
        <v>-412834758.16485763</v>
      </c>
      <c r="BP80" s="13">
        <f t="shared" si="170"/>
        <v>-394270245.79357105</v>
      </c>
      <c r="BQ80" s="13">
        <f t="shared" si="171"/>
        <v>-376368518.69101185</v>
      </c>
      <c r="BR80" s="13">
        <f t="shared" si="172"/>
        <v>-358800000</v>
      </c>
      <c r="BT80" s="86"/>
      <c r="BU80" s="26">
        <v>0.08</v>
      </c>
      <c r="BV80" s="13">
        <f t="shared" si="173"/>
        <v>0.40647187995004247</v>
      </c>
      <c r="BW80" s="13">
        <f t="shared" si="174"/>
        <v>0.40647187995004247</v>
      </c>
      <c r="BX80" s="13">
        <f t="shared" si="175"/>
        <v>0.40647187995004247</v>
      </c>
      <c r="BY80" s="13">
        <f t="shared" si="176"/>
        <v>0.40647187995004247</v>
      </c>
      <c r="BZ80" s="13">
        <f t="shared" si="177"/>
        <v>0.40647187995004247</v>
      </c>
      <c r="CA80" s="13">
        <f t="shared" si="178"/>
        <v>0.40647187995004247</v>
      </c>
      <c r="CB80" s="13">
        <f t="shared" si="179"/>
        <v>0.40647187995004247</v>
      </c>
      <c r="CC80" s="13">
        <f t="shared" si="180"/>
        <v>0.40647187995004247</v>
      </c>
      <c r="CD80" s="13">
        <f t="shared" si="181"/>
        <v>0.40647187995004247</v>
      </c>
      <c r="CE80" s="13">
        <f t="shared" si="182"/>
        <v>0.40647187995004247</v>
      </c>
      <c r="CF80" s="13">
        <f t="shared" si="183"/>
        <v>0.40647187995004247</v>
      </c>
      <c r="CG80" s="13">
        <f t="shared" si="184"/>
        <v>0.40647187995004247</v>
      </c>
      <c r="CH80" s="13">
        <f t="shared" si="185"/>
        <v>0.40647187995004247</v>
      </c>
      <c r="CI80" s="13">
        <f t="shared" si="186"/>
        <v>0.40647187995004247</v>
      </c>
      <c r="CJ80" s="13">
        <f t="shared" si="187"/>
        <v>0.40647187995004247</v>
      </c>
      <c r="CK80" s="13">
        <f t="shared" si="188"/>
        <v>0.40647187995004247</v>
      </c>
      <c r="CL80" s="13">
        <f t="shared" si="189"/>
        <v>0.40647187995004247</v>
      </c>
      <c r="CM80" s="13">
        <f t="shared" si="190"/>
        <v>0.40647187995004247</v>
      </c>
      <c r="CN80" s="13">
        <f t="shared" si="191"/>
        <v>0.40647187995004247</v>
      </c>
      <c r="CO80" s="13">
        <f t="shared" si="192"/>
        <v>0.40647187995004247</v>
      </c>
      <c r="CP80" s="13">
        <f t="shared" si="193"/>
        <v>0.40647187995004247</v>
      </c>
      <c r="CQ80" s="13">
        <f t="shared" si="194"/>
        <v>0.40647187995004247</v>
      </c>
      <c r="CR80" s="13">
        <f t="shared" si="195"/>
        <v>0.40647187995004247</v>
      </c>
      <c r="CS80" s="13">
        <f t="shared" si="196"/>
        <v>0.40647187995004247</v>
      </c>
      <c r="CT80" s="13">
        <f t="shared" si="197"/>
        <v>0.40647187995004247</v>
      </c>
      <c r="CU80" s="13">
        <f t="shared" si="198"/>
        <v>0.40647187995004247</v>
      </c>
      <c r="CV80" s="13">
        <f t="shared" si="199"/>
        <v>0.40647187995004247</v>
      </c>
      <c r="CW80" s="13">
        <f t="shared" si="200"/>
        <v>0.40647187995004247</v>
      </c>
      <c r="CX80" s="13">
        <f t="shared" si="201"/>
        <v>0.40647187995004247</v>
      </c>
      <c r="CY80" s="13">
        <f t="shared" si="202"/>
        <v>0.40647187995004247</v>
      </c>
      <c r="CZ80" s="13">
        <f t="shared" si="203"/>
        <v>0.40647187995004247</v>
      </c>
      <c r="DB80" s="86"/>
      <c r="DC80" s="26">
        <v>0.08</v>
      </c>
      <c r="DD80" s="13">
        <f t="shared" si="204"/>
        <v>178.05843601498725</v>
      </c>
      <c r="DE80" s="13">
        <f t="shared" si="205"/>
        <v>186.16608219092254</v>
      </c>
      <c r="DF80" s="13">
        <f t="shared" si="206"/>
        <v>206.36838509998887</v>
      </c>
      <c r="DG80" s="13">
        <f t="shared" si="207"/>
        <v>216.3349977464558</v>
      </c>
      <c r="DH80" s="13">
        <f t="shared" si="208"/>
        <v>219.06465805596713</v>
      </c>
      <c r="DI80" s="13">
        <f t="shared" si="209"/>
        <v>216.85709255578107</v>
      </c>
      <c r="DJ80" s="13">
        <f t="shared" si="210"/>
        <v>211.39146631553442</v>
      </c>
      <c r="DK80" s="13">
        <f t="shared" si="211"/>
        <v>203.86054893657902</v>
      </c>
      <c r="DL80" s="13">
        <f t="shared" si="212"/>
        <v>195.09816696630773</v>
      </c>
      <c r="DM80" s="13">
        <f t="shared" si="213"/>
        <v>185.68185830138896</v>
      </c>
      <c r="DN80" s="13">
        <f t="shared" si="214"/>
        <v>176.00951635690907</v>
      </c>
      <c r="DO80" s="13">
        <f t="shared" si="215"/>
        <v>166.35426065197328</v>
      </c>
      <c r="DP80" s="13">
        <f t="shared" si="216"/>
        <v>156.90272419530822</v>
      </c>
      <c r="DQ80" s="13">
        <f t="shared" si="217"/>
        <v>147.78133341110123</v>
      </c>
      <c r="DR80" s="13">
        <f t="shared" si="218"/>
        <v>139.07415748737893</v>
      </c>
      <c r="DS80" s="13">
        <f t="shared" si="219"/>
        <v>130.83495869934382</v>
      </c>
      <c r="DT80" s="13">
        <f t="shared" si="220"/>
        <v>123.09531207503306</v>
      </c>
      <c r="DU80" s="13">
        <f t="shared" si="221"/>
        <v>115.87009083199004</v>
      </c>
      <c r="DV80" s="13">
        <f t="shared" si="222"/>
        <v>109.16120300782643</v>
      </c>
      <c r="DW80" s="13">
        <f t="shared" si="223"/>
        <v>102.96017700447041</v>
      </c>
      <c r="DX80" s="13">
        <f t="shared" si="224"/>
        <v>97.249995889520932</v>
      </c>
      <c r="DY80" s="13">
        <f t="shared" si="225"/>
        <v>92.006445885497357</v>
      </c>
      <c r="DZ80" s="13">
        <f t="shared" si="226"/>
        <v>87.199154010549648</v>
      </c>
      <c r="EA80" s="13">
        <f t="shared" si="227"/>
        <v>82.792429377391159</v>
      </c>
      <c r="EB80" s="13">
        <f t="shared" si="228"/>
        <v>78.745982491717385</v>
      </c>
      <c r="EC80" s="13">
        <f t="shared" si="229"/>
        <v>75.015570345208474</v>
      </c>
      <c r="ED80" s="13">
        <f t="shared" si="230"/>
        <v>71.553597642262218</v>
      </c>
      <c r="EE80" s="13">
        <f t="shared" si="231"/>
        <v>68.309693084458473</v>
      </c>
      <c r="EF80" s="13">
        <f t="shared" si="232"/>
        <v>65.231272222347243</v>
      </c>
      <c r="EG80" s="13">
        <f t="shared" si="233"/>
        <v>62.264093613678</v>
      </c>
      <c r="EH80" s="13">
        <f t="shared" si="234"/>
        <v>59.352812004995762</v>
      </c>
    </row>
    <row r="81" spans="5:138" x14ac:dyDescent="0.25">
      <c r="E81" s="95"/>
      <c r="F81" s="26">
        <v>7.6666666666666675E-2</v>
      </c>
      <c r="G81" s="13">
        <f t="shared" si="139"/>
        <v>300</v>
      </c>
      <c r="H81" s="13">
        <f t="shared" si="235"/>
        <v>311.63725655235044</v>
      </c>
      <c r="I81" s="13">
        <f t="shared" si="236"/>
        <v>355.5749918154562</v>
      </c>
      <c r="J81" s="13">
        <f t="shared" si="237"/>
        <v>375.18760093627043</v>
      </c>
      <c r="K81" s="13">
        <f t="shared" si="238"/>
        <v>379.61707426307748</v>
      </c>
      <c r="L81" s="13">
        <f t="shared" si="239"/>
        <v>374.61382767766838</v>
      </c>
      <c r="M81" s="13">
        <f t="shared" si="240"/>
        <v>363.84364204033153</v>
      </c>
      <c r="N81" s="13">
        <f t="shared" si="241"/>
        <v>349.66643098660148</v>
      </c>
      <c r="O81" s="13">
        <f t="shared" si="242"/>
        <v>333.61285894289762</v>
      </c>
      <c r="P81" s="13">
        <f t="shared" si="243"/>
        <v>316.6816650516509</v>
      </c>
      <c r="Q81" s="13">
        <f t="shared" si="244"/>
        <v>299.5275338044454</v>
      </c>
      <c r="R81" s="13">
        <f t="shared" si="245"/>
        <v>282.58077476198582</v>
      </c>
      <c r="S81" s="13">
        <f t="shared" si="246"/>
        <v>266.12393737026952</v>
      </c>
      <c r="T81" s="13">
        <f t="shared" si="247"/>
        <v>250.34099994632592</v>
      </c>
      <c r="U81" s="13">
        <f t="shared" si="248"/>
        <v>235.34901262868669</v>
      </c>
      <c r="V81" s="13">
        <f t="shared" si="249"/>
        <v>221.2184948428897</v>
      </c>
      <c r="W81" s="13">
        <f t="shared" si="250"/>
        <v>207.98662751927174</v>
      </c>
      <c r="X81" s="13">
        <f t="shared" si="251"/>
        <v>195.6658381279384</v>
      </c>
      <c r="Y81" s="13">
        <f t="shared" si="252"/>
        <v>184.24945068488694</v>
      </c>
      <c r="Z81" s="13">
        <f t="shared" si="253"/>
        <v>173.7154763597423</v>
      </c>
      <c r="AA81" s="13">
        <f t="shared" si="254"/>
        <v>164.02923536676366</v>
      </c>
      <c r="AB81" s="13">
        <f t="shared" si="255"/>
        <v>155.14525229481322</v>
      </c>
      <c r="AC81" s="13">
        <f t="shared" si="256"/>
        <v>147.00870664700653</v>
      </c>
      <c r="AD81" s="13">
        <f t="shared" si="257"/>
        <v>139.55661697152613</v>
      </c>
      <c r="AE81" s="13">
        <f t="shared" si="258"/>
        <v>132.71887043734705</v>
      </c>
      <c r="AF81" s="13">
        <f t="shared" si="259"/>
        <v>126.41916701279473</v>
      </c>
      <c r="AG81" s="13">
        <f t="shared" si="260"/>
        <v>120.57592010525519</v>
      </c>
      <c r="AH81" s="13">
        <f t="shared" si="261"/>
        <v>115.10313815492268</v>
      </c>
      <c r="AI81" s="13">
        <f t="shared" si="262"/>
        <v>109.9113007084478</v>
      </c>
      <c r="AJ81" s="13">
        <f t="shared" si="263"/>
        <v>104.9082356435425</v>
      </c>
      <c r="AK81" s="13">
        <f t="shared" si="141"/>
        <v>100</v>
      </c>
      <c r="AL81" s="86"/>
      <c r="AM81" s="26">
        <v>7.6666666666666675E-2</v>
      </c>
      <c r="AN81" s="13">
        <f t="shared" si="142"/>
        <v>-1076400000</v>
      </c>
      <c r="AO81" s="13">
        <f t="shared" si="143"/>
        <v>-817420300.07923996</v>
      </c>
      <c r="AP81" s="13">
        <f t="shared" si="144"/>
        <v>-1105451558.2294118</v>
      </c>
      <c r="AQ81" s="13">
        <f t="shared" si="145"/>
        <v>-1246535187.9420919</v>
      </c>
      <c r="AR81" s="13">
        <f t="shared" si="146"/>
        <v>-1302291184.5050819</v>
      </c>
      <c r="AS81" s="13">
        <f t="shared" si="147"/>
        <v>-1307590227.1921747</v>
      </c>
      <c r="AT81" s="13">
        <f t="shared" si="148"/>
        <v>-1282889656.0598946</v>
      </c>
      <c r="AU81" s="13">
        <f t="shared" si="149"/>
        <v>-1240560496.793541</v>
      </c>
      <c r="AV81" s="13">
        <f t="shared" si="150"/>
        <v>-1188267346.4051335</v>
      </c>
      <c r="AW81" s="13">
        <f t="shared" si="151"/>
        <v>-1130848304.5426614</v>
      </c>
      <c r="AX81" s="13">
        <f t="shared" si="152"/>
        <v>-1071399701.1481628</v>
      </c>
      <c r="AY81" s="13">
        <f t="shared" si="153"/>
        <v>-1011921543.6960481</v>
      </c>
      <c r="AZ81" s="13">
        <f t="shared" si="154"/>
        <v>-953710936.7501123</v>
      </c>
      <c r="BA81" s="13">
        <f t="shared" si="155"/>
        <v>-897606209.87520409</v>
      </c>
      <c r="BB81" s="13">
        <f t="shared" si="156"/>
        <v>-844140380.00473797</v>
      </c>
      <c r="BC81" s="13">
        <f t="shared" si="157"/>
        <v>-793638551.83408046</v>
      </c>
      <c r="BD81" s="13">
        <f t="shared" si="158"/>
        <v>-746280235.34735966</v>
      </c>
      <c r="BE81" s="13">
        <f t="shared" si="159"/>
        <v>-702139554.1372335</v>
      </c>
      <c r="BF81" s="13">
        <f t="shared" si="160"/>
        <v>-661211478.37880623</v>
      </c>
      <c r="BG81" s="13">
        <f t="shared" si="161"/>
        <v>-623429226.96589422</v>
      </c>
      <c r="BH81" s="13">
        <f t="shared" si="162"/>
        <v>-588676108.62491393</v>
      </c>
      <c r="BI81" s="13">
        <f t="shared" si="163"/>
        <v>-556793884.09268653</v>
      </c>
      <c r="BJ81" s="13">
        <f t="shared" si="164"/>
        <v>-527588974.09654534</v>
      </c>
      <c r="BK81" s="13">
        <f t="shared" si="165"/>
        <v>-500837353.20758933</v>
      </c>
      <c r="BL81" s="13">
        <f t="shared" si="166"/>
        <v>-476288659.01203585</v>
      </c>
      <c r="BM81" s="13">
        <f t="shared" si="167"/>
        <v>-453669847.01278281</v>
      </c>
      <c r="BN81" s="13">
        <f t="shared" si="168"/>
        <v>-432688594.37610757</v>
      </c>
      <c r="BO81" s="13">
        <f t="shared" si="169"/>
        <v>-413036574.50585574</v>
      </c>
      <c r="BP81" s="13">
        <f t="shared" si="170"/>
        <v>-394392673.00501633</v>
      </c>
      <c r="BQ81" s="13">
        <f t="shared" si="171"/>
        <v>-376426183.27519912</v>
      </c>
      <c r="BR81" s="13">
        <f t="shared" si="172"/>
        <v>-358800000</v>
      </c>
      <c r="BT81" s="86"/>
      <c r="BU81" s="26">
        <v>7.6666666666666675E-2</v>
      </c>
      <c r="BV81" s="13">
        <f t="shared" si="173"/>
        <v>0.40647187995004247</v>
      </c>
      <c r="BW81" s="13">
        <f t="shared" si="174"/>
        <v>0.40647187995004247</v>
      </c>
      <c r="BX81" s="13">
        <f t="shared" si="175"/>
        <v>0.40647187995004247</v>
      </c>
      <c r="BY81" s="13">
        <f t="shared" si="176"/>
        <v>0.40647187995004247</v>
      </c>
      <c r="BZ81" s="13">
        <f t="shared" si="177"/>
        <v>0.40647187995004247</v>
      </c>
      <c r="CA81" s="13">
        <f t="shared" si="178"/>
        <v>0.40647187995004247</v>
      </c>
      <c r="CB81" s="13">
        <f t="shared" si="179"/>
        <v>0.40647187995004247</v>
      </c>
      <c r="CC81" s="13">
        <f t="shared" si="180"/>
        <v>0.40647187995004247</v>
      </c>
      <c r="CD81" s="13">
        <f t="shared" si="181"/>
        <v>0.40647187995004247</v>
      </c>
      <c r="CE81" s="13">
        <f t="shared" si="182"/>
        <v>0.40647187995004247</v>
      </c>
      <c r="CF81" s="13">
        <f t="shared" si="183"/>
        <v>0.40647187995004247</v>
      </c>
      <c r="CG81" s="13">
        <f t="shared" si="184"/>
        <v>0.40647187995004247</v>
      </c>
      <c r="CH81" s="13">
        <f t="shared" si="185"/>
        <v>0.40647187995004247</v>
      </c>
      <c r="CI81" s="13">
        <f t="shared" si="186"/>
        <v>0.40647187995004247</v>
      </c>
      <c r="CJ81" s="13">
        <f t="shared" si="187"/>
        <v>0.40647187995004247</v>
      </c>
      <c r="CK81" s="13">
        <f t="shared" si="188"/>
        <v>0.40647187995004247</v>
      </c>
      <c r="CL81" s="13">
        <f t="shared" si="189"/>
        <v>0.40647187995004247</v>
      </c>
      <c r="CM81" s="13">
        <f t="shared" si="190"/>
        <v>0.40647187995004247</v>
      </c>
      <c r="CN81" s="13">
        <f t="shared" si="191"/>
        <v>0.40647187995004247</v>
      </c>
      <c r="CO81" s="13">
        <f t="shared" si="192"/>
        <v>0.40647187995004247</v>
      </c>
      <c r="CP81" s="13">
        <f t="shared" si="193"/>
        <v>0.40647187995004247</v>
      </c>
      <c r="CQ81" s="13">
        <f t="shared" si="194"/>
        <v>0.40647187995004247</v>
      </c>
      <c r="CR81" s="13">
        <f t="shared" si="195"/>
        <v>0.40647187995004247</v>
      </c>
      <c r="CS81" s="13">
        <f t="shared" si="196"/>
        <v>0.40647187995004247</v>
      </c>
      <c r="CT81" s="13">
        <f t="shared" si="197"/>
        <v>0.40647187995004247</v>
      </c>
      <c r="CU81" s="13">
        <f t="shared" si="198"/>
        <v>0.40647187995004247</v>
      </c>
      <c r="CV81" s="13">
        <f t="shared" si="199"/>
        <v>0.40647187995004247</v>
      </c>
      <c r="CW81" s="13">
        <f t="shared" si="200"/>
        <v>0.40647187995004247</v>
      </c>
      <c r="CX81" s="13">
        <f t="shared" si="201"/>
        <v>0.40647187995004247</v>
      </c>
      <c r="CY81" s="13">
        <f t="shared" si="202"/>
        <v>0.40647187995004247</v>
      </c>
      <c r="CZ81" s="13">
        <f t="shared" si="203"/>
        <v>0.40647187995004247</v>
      </c>
      <c r="DB81" s="86"/>
      <c r="DC81" s="26">
        <v>7.6666666666666675E-2</v>
      </c>
      <c r="DD81" s="13">
        <f t="shared" si="204"/>
        <v>178.05843601498725</v>
      </c>
      <c r="DE81" s="13">
        <f t="shared" si="205"/>
        <v>181.02589418896534</v>
      </c>
      <c r="DF81" s="13">
        <f t="shared" si="206"/>
        <v>214.97022875354853</v>
      </c>
      <c r="DG81" s="13">
        <f t="shared" si="207"/>
        <v>229.68173698680658</v>
      </c>
      <c r="DH81" s="13">
        <f t="shared" si="208"/>
        <v>233.01300029507021</v>
      </c>
      <c r="DI81" s="13">
        <f t="shared" si="209"/>
        <v>229.6400831205105</v>
      </c>
      <c r="DJ81" s="13">
        <f t="shared" si="210"/>
        <v>222.39090702247358</v>
      </c>
      <c r="DK81" s="13">
        <f t="shared" si="211"/>
        <v>212.9950509561458</v>
      </c>
      <c r="DL81" s="13">
        <f t="shared" si="212"/>
        <v>202.51866805085317</v>
      </c>
      <c r="DM81" s="13">
        <f t="shared" si="213"/>
        <v>191.62225420103232</v>
      </c>
      <c r="DN81" s="13">
        <f t="shared" si="214"/>
        <v>180.7158940221025</v>
      </c>
      <c r="DO81" s="13">
        <f t="shared" si="215"/>
        <v>170.05381493934433</v>
      </c>
      <c r="DP81" s="13">
        <f t="shared" si="216"/>
        <v>159.79239630677023</v>
      </c>
      <c r="DQ81" s="13">
        <f t="shared" si="217"/>
        <v>150.02590790797137</v>
      </c>
      <c r="DR81" s="13">
        <f t="shared" si="218"/>
        <v>140.80857106631174</v>
      </c>
      <c r="DS81" s="13">
        <f t="shared" si="219"/>
        <v>132.16818444667936</v>
      </c>
      <c r="DT81" s="13">
        <f t="shared" si="220"/>
        <v>124.11454162229852</v>
      </c>
      <c r="DU81" s="13">
        <f t="shared" si="221"/>
        <v>116.64463857018247</v>
      </c>
      <c r="DV81" s="13">
        <f t="shared" si="222"/>
        <v>109.74591217488631</v>
      </c>
      <c r="DW81" s="13">
        <f t="shared" si="223"/>
        <v>103.39828118909776</v>
      </c>
      <c r="DX81" s="13">
        <f t="shared" si="224"/>
        <v>97.575468490645562</v>
      </c>
      <c r="DY81" s="13">
        <f t="shared" si="225"/>
        <v>92.245900708947858</v>
      </c>
      <c r="DZ81" s="13">
        <f t="shared" si="226"/>
        <v>87.373367036373935</v>
      </c>
      <c r="EA81" s="13">
        <f t="shared" si="227"/>
        <v>82.917547654842764</v>
      </c>
      <c r="EB81" s="13">
        <f t="shared" si="228"/>
        <v>78.834477704022305</v>
      </c>
      <c r="EC81" s="13">
        <f t="shared" si="229"/>
        <v>75.076985080261935</v>
      </c>
      <c r="ED81" s="13">
        <f t="shared" si="230"/>
        <v>71.595123295832465</v>
      </c>
      <c r="EE81" s="13">
        <f t="shared" si="231"/>
        <v>68.336610189066519</v>
      </c>
      <c r="EF81" s="13">
        <f t="shared" si="232"/>
        <v>65.247276964975612</v>
      </c>
      <c r="EG81" s="13">
        <f t="shared" si="233"/>
        <v>62.271528292786215</v>
      </c>
      <c r="EH81" s="13">
        <f t="shared" si="234"/>
        <v>59.352812004995762</v>
      </c>
    </row>
    <row r="82" spans="5:138" x14ac:dyDescent="0.25">
      <c r="E82" s="95"/>
      <c r="F82" s="26">
        <v>7.3333333333333334E-2</v>
      </c>
      <c r="G82" s="13">
        <f t="shared" si="139"/>
        <v>300</v>
      </c>
      <c r="H82" s="13">
        <f t="shared" si="235"/>
        <v>374.58622575036264</v>
      </c>
      <c r="I82" s="13">
        <f t="shared" si="236"/>
        <v>406.38258686873331</v>
      </c>
      <c r="J82" s="13">
        <f t="shared" si="237"/>
        <v>416.4695654008126</v>
      </c>
      <c r="K82" s="13">
        <f t="shared" si="238"/>
        <v>412.99794635527309</v>
      </c>
      <c r="L82" s="13">
        <f t="shared" si="239"/>
        <v>401.38627205925627</v>
      </c>
      <c r="M82" s="13">
        <f t="shared" si="240"/>
        <v>385.14043074099209</v>
      </c>
      <c r="N82" s="13">
        <f t="shared" si="241"/>
        <v>366.486591605814</v>
      </c>
      <c r="O82" s="13">
        <f t="shared" si="242"/>
        <v>346.81851913604021</v>
      </c>
      <c r="P82" s="13">
        <f t="shared" si="243"/>
        <v>326.99849816123617</v>
      </c>
      <c r="Q82" s="13">
        <f t="shared" si="244"/>
        <v>307.55362176733649</v>
      </c>
      <c r="R82" s="13">
        <f t="shared" si="245"/>
        <v>288.80115408390395</v>
      </c>
      <c r="S82" s="13">
        <f t="shared" si="246"/>
        <v>270.92735690581367</v>
      </c>
      <c r="T82" s="13">
        <f t="shared" si="247"/>
        <v>254.03643921162143</v>
      </c>
      <c r="U82" s="13">
        <f t="shared" si="248"/>
        <v>238.18062555670429</v>
      </c>
      <c r="V82" s="13">
        <f t="shared" si="249"/>
        <v>223.37844253077373</v>
      </c>
      <c r="W82" s="13">
        <f t="shared" si="250"/>
        <v>209.62573733472414</v>
      </c>
      <c r="X82" s="13">
        <f t="shared" si="251"/>
        <v>196.90226665456686</v>
      </c>
      <c r="Y82" s="13">
        <f t="shared" si="252"/>
        <v>185.17562411296097</v>
      </c>
      <c r="Z82" s="13">
        <f t="shared" si="253"/>
        <v>174.40359879071428</v>
      </c>
      <c r="AA82" s="13">
        <f t="shared" si="254"/>
        <v>164.53563378911196</v>
      </c>
      <c r="AB82" s="13">
        <f t="shared" si="255"/>
        <v>155.51379003483876</v>
      </c>
      <c r="AC82" s="13">
        <f t="shared" si="256"/>
        <v>147.27345717573232</v>
      </c>
      <c r="AD82" s="13">
        <f t="shared" si="257"/>
        <v>139.74395283886594</v>
      </c>
      <c r="AE82" s="13">
        <f t="shared" si="258"/>
        <v>132.84909002280767</v>
      </c>
      <c r="AF82" s="13">
        <f t="shared" si="259"/>
        <v>126.50775512384061</v>
      </c>
      <c r="AG82" s="13">
        <f t="shared" si="260"/>
        <v>120.6345167776863</v>
      </c>
      <c r="AH82" s="13">
        <f t="shared" si="261"/>
        <v>115.14027255502397</v>
      </c>
      <c r="AI82" s="13">
        <f t="shared" si="262"/>
        <v>109.93293298586573</v>
      </c>
      <c r="AJ82" s="13">
        <f t="shared" si="263"/>
        <v>104.91813817231842</v>
      </c>
      <c r="AK82" s="13">
        <f t="shared" si="141"/>
        <v>100</v>
      </c>
      <c r="AL82" s="86"/>
      <c r="AM82" s="26">
        <v>7.3333333333333334E-2</v>
      </c>
      <c r="AN82" s="13">
        <f t="shared" si="142"/>
        <v>-1076400000</v>
      </c>
      <c r="AO82" s="13">
        <f t="shared" si="143"/>
        <v>-1264051841.7788718</v>
      </c>
      <c r="AP82" s="13">
        <f t="shared" si="144"/>
        <v>-1382748577.2334425</v>
      </c>
      <c r="AQ82" s="13">
        <f t="shared" si="145"/>
        <v>-1436829238.9774952</v>
      </c>
      <c r="AR82" s="13">
        <f t="shared" si="146"/>
        <v>-1442131554.5692201</v>
      </c>
      <c r="AS82" s="13">
        <f t="shared" si="147"/>
        <v>-1414368342.761888</v>
      </c>
      <c r="AT82" s="13">
        <f t="shared" si="148"/>
        <v>-1365892012.1344249</v>
      </c>
      <c r="AU82" s="13">
        <f t="shared" si="149"/>
        <v>-1305494520.6035023</v>
      </c>
      <c r="AV82" s="13">
        <f t="shared" si="150"/>
        <v>-1239101299.9982123</v>
      </c>
      <c r="AW82" s="13">
        <f t="shared" si="151"/>
        <v>-1170569620.2371531</v>
      </c>
      <c r="AX82" s="13">
        <f t="shared" si="152"/>
        <v>-1102347587.4774907</v>
      </c>
      <c r="AY82" s="13">
        <f t="shared" si="153"/>
        <v>-1035954559.4815576</v>
      </c>
      <c r="AZ82" s="13">
        <f t="shared" si="154"/>
        <v>-972309531.21755862</v>
      </c>
      <c r="BA82" s="13">
        <f t="shared" si="155"/>
        <v>-911946986.12048781</v>
      </c>
      <c r="BB82" s="13">
        <f t="shared" si="156"/>
        <v>-855155077.32998419</v>
      </c>
      <c r="BC82" s="13">
        <f t="shared" si="157"/>
        <v>-802062395.08616996</v>
      </c>
      <c r="BD82" s="13">
        <f t="shared" si="158"/>
        <v>-752691648.5434835</v>
      </c>
      <c r="BE82" s="13">
        <f t="shared" si="159"/>
        <v>-706992510.56945777</v>
      </c>
      <c r="BF82" s="13">
        <f t="shared" si="160"/>
        <v>-664861584.98141944</v>
      </c>
      <c r="BG82" s="13">
        <f t="shared" si="161"/>
        <v>-626154566.93438983</v>
      </c>
      <c r="BH82" s="13">
        <f t="shared" si="162"/>
        <v>-590693776.70217597</v>
      </c>
      <c r="BI82" s="13">
        <f t="shared" si="163"/>
        <v>-558273033.46576297</v>
      </c>
      <c r="BJ82" s="13">
        <f t="shared" si="164"/>
        <v>-528661067.31023502</v>
      </c>
      <c r="BK82" s="13">
        <f t="shared" si="165"/>
        <v>-501604186.37443912</v>
      </c>
      <c r="BL82" s="13">
        <f t="shared" si="166"/>
        <v>-476828617.56806427</v>
      </c>
      <c r="BM82" s="13">
        <f t="shared" si="167"/>
        <v>-454042755.8686682</v>
      </c>
      <c r="BN82" s="13">
        <f t="shared" si="168"/>
        <v>-432939445.76028776</v>
      </c>
      <c r="BO82" s="13">
        <f t="shared" si="169"/>
        <v>-413198351.54838812</v>
      </c>
      <c r="BP82" s="13">
        <f t="shared" si="170"/>
        <v>-394488433.89790982</v>
      </c>
      <c r="BQ82" s="13">
        <f t="shared" si="171"/>
        <v>-376470527.2408458</v>
      </c>
      <c r="BR82" s="13">
        <f t="shared" si="172"/>
        <v>-358800000</v>
      </c>
      <c r="BT82" s="86"/>
      <c r="BU82" s="26">
        <v>7.3333333333333334E-2</v>
      </c>
      <c r="BV82" s="13">
        <f t="shared" si="173"/>
        <v>0.40647187995004247</v>
      </c>
      <c r="BW82" s="13">
        <f t="shared" si="174"/>
        <v>0.40647187995004247</v>
      </c>
      <c r="BX82" s="13">
        <f t="shared" si="175"/>
        <v>0.40647187995004247</v>
      </c>
      <c r="BY82" s="13">
        <f t="shared" si="176"/>
        <v>0.40647187995004247</v>
      </c>
      <c r="BZ82" s="13">
        <f t="shared" si="177"/>
        <v>0.40647187995004247</v>
      </c>
      <c r="CA82" s="13">
        <f t="shared" si="178"/>
        <v>0.40647187995004247</v>
      </c>
      <c r="CB82" s="13">
        <f t="shared" si="179"/>
        <v>0.40647187995004247</v>
      </c>
      <c r="CC82" s="13">
        <f t="shared" si="180"/>
        <v>0.40647187995004247</v>
      </c>
      <c r="CD82" s="13">
        <f t="shared" si="181"/>
        <v>0.40647187995004247</v>
      </c>
      <c r="CE82" s="13">
        <f t="shared" si="182"/>
        <v>0.40647187995004247</v>
      </c>
      <c r="CF82" s="13">
        <f t="shared" si="183"/>
        <v>0.40647187995004247</v>
      </c>
      <c r="CG82" s="13">
        <f t="shared" si="184"/>
        <v>0.40647187995004247</v>
      </c>
      <c r="CH82" s="13">
        <f t="shared" si="185"/>
        <v>0.40647187995004247</v>
      </c>
      <c r="CI82" s="13">
        <f t="shared" si="186"/>
        <v>0.40647187995004247</v>
      </c>
      <c r="CJ82" s="13">
        <f t="shared" si="187"/>
        <v>0.40647187995004247</v>
      </c>
      <c r="CK82" s="13">
        <f t="shared" si="188"/>
        <v>0.40647187995004247</v>
      </c>
      <c r="CL82" s="13">
        <f t="shared" si="189"/>
        <v>0.40647187995004247</v>
      </c>
      <c r="CM82" s="13">
        <f t="shared" si="190"/>
        <v>0.40647187995004247</v>
      </c>
      <c r="CN82" s="13">
        <f t="shared" si="191"/>
        <v>0.40647187995004247</v>
      </c>
      <c r="CO82" s="13">
        <f t="shared" si="192"/>
        <v>0.40647187995004247</v>
      </c>
      <c r="CP82" s="13">
        <f t="shared" si="193"/>
        <v>0.40647187995004247</v>
      </c>
      <c r="CQ82" s="13">
        <f t="shared" si="194"/>
        <v>0.40647187995004247</v>
      </c>
      <c r="CR82" s="13">
        <f t="shared" si="195"/>
        <v>0.40647187995004247</v>
      </c>
      <c r="CS82" s="13">
        <f t="shared" si="196"/>
        <v>0.40647187995004247</v>
      </c>
      <c r="CT82" s="13">
        <f t="shared" si="197"/>
        <v>0.40647187995004247</v>
      </c>
      <c r="CU82" s="13">
        <f t="shared" si="198"/>
        <v>0.40647187995004247</v>
      </c>
      <c r="CV82" s="13">
        <f t="shared" si="199"/>
        <v>0.40647187995004247</v>
      </c>
      <c r="CW82" s="13">
        <f t="shared" si="200"/>
        <v>0.40647187995004247</v>
      </c>
      <c r="CX82" s="13">
        <f t="shared" si="201"/>
        <v>0.40647187995004247</v>
      </c>
      <c r="CY82" s="13">
        <f t="shared" si="202"/>
        <v>0.40647187995004247</v>
      </c>
      <c r="CZ82" s="13">
        <f t="shared" si="203"/>
        <v>0.40647187995004247</v>
      </c>
      <c r="DB82" s="86"/>
      <c r="DC82" s="26">
        <v>7.3333333333333334E-2</v>
      </c>
      <c r="DD82" s="13">
        <f t="shared" si="204"/>
        <v>178.05843601498725</v>
      </c>
      <c r="DE82" s="13">
        <f t="shared" si="205"/>
        <v>247.91444421705506</v>
      </c>
      <c r="DF82" s="13">
        <f t="shared" si="206"/>
        <v>261.85135148228386</v>
      </c>
      <c r="DG82" s="13">
        <f t="shared" si="207"/>
        <v>263.96635591430044</v>
      </c>
      <c r="DH82" s="13">
        <f t="shared" si="208"/>
        <v>258.6942805184251</v>
      </c>
      <c r="DI82" s="13">
        <f t="shared" si="209"/>
        <v>249.11628526783315</v>
      </c>
      <c r="DJ82" s="13">
        <f t="shared" si="210"/>
        <v>237.24822155298818</v>
      </c>
      <c r="DK82" s="13">
        <f t="shared" si="211"/>
        <v>224.35702004726832</v>
      </c>
      <c r="DL82" s="13">
        <f t="shared" si="212"/>
        <v>211.21427318601226</v>
      </c>
      <c r="DM82" s="13">
        <f>(DM83*$B$22-AW82)/($B$21-$B$22*CE83)</f>
        <v>198.27630642198199</v>
      </c>
      <c r="DN82" s="13">
        <f t="shared" si="214"/>
        <v>185.80410200504366</v>
      </c>
      <c r="DO82" s="13">
        <f t="shared" si="215"/>
        <v>173.94001532866005</v>
      </c>
      <c r="DP82" s="13">
        <f t="shared" si="216"/>
        <v>162.75545978321284</v>
      </c>
      <c r="DQ82" s="13">
        <f t="shared" si="217"/>
        <v>152.27986233486484</v>
      </c>
      <c r="DR82" s="13">
        <f t="shared" si="218"/>
        <v>142.5178699491357</v>
      </c>
      <c r="DS82" s="13">
        <f t="shared" si="219"/>
        <v>133.45934505226558</v>
      </c>
      <c r="DT82" s="13">
        <f t="shared" si="220"/>
        <v>125.08502184249652</v>
      </c>
      <c r="DU82" s="13">
        <f t="shared" si="221"/>
        <v>117.36960558870302</v>
      </c>
      <c r="DV82" s="13">
        <f t="shared" si="222"/>
        <v>110.28340351331235</v>
      </c>
      <c r="DW82" s="13">
        <f t="shared" si="223"/>
        <v>103.79314253835268</v>
      </c>
      <c r="DX82" s="13">
        <f t="shared" si="224"/>
        <v>97.862362122815526</v>
      </c>
      <c r="DY82" s="13">
        <f t="shared" si="225"/>
        <v>92.451607669242392</v>
      </c>
      <c r="DZ82" s="13">
        <f t="shared" si="226"/>
        <v>87.518551815899272</v>
      </c>
      <c r="EA82" s="13">
        <f t="shared" si="227"/>
        <v>83.018112378981698</v>
      </c>
      <c r="EB82" s="13">
        <f t="shared" si="228"/>
        <v>78.902601251293106</v>
      </c>
      <c r="EC82" s="13">
        <f t="shared" si="229"/>
        <v>75.121918646431538</v>
      </c>
      <c r="ED82" s="13">
        <f t="shared" si="230"/>
        <v>71.623795855797098</v>
      </c>
      <c r="EE82" s="13">
        <f t="shared" si="231"/>
        <v>68.354083601043087</v>
      </c>
      <c r="EF82" s="13">
        <f t="shared" si="232"/>
        <v>65.257079959148513</v>
      </c>
      <c r="EG82" s="13">
        <f t="shared" si="233"/>
        <v>62.275890408045647</v>
      </c>
      <c r="EH82" s="13">
        <f t="shared" si="234"/>
        <v>59.352812004995762</v>
      </c>
    </row>
    <row r="83" spans="5:138" x14ac:dyDescent="0.25">
      <c r="E83" s="95"/>
      <c r="F83" s="26">
        <v>7.0000000000000007E-2</v>
      </c>
      <c r="G83" s="13">
        <f t="shared" si="139"/>
        <v>300</v>
      </c>
      <c r="H83" s="13">
        <f t="shared" si="235"/>
        <v>456.85005876804377</v>
      </c>
      <c r="I83" s="13">
        <f t="shared" si="236"/>
        <v>475.39118299726954</v>
      </c>
      <c r="J83" s="13">
        <f t="shared" si="237"/>
        <v>471.63161722782331</v>
      </c>
      <c r="K83" s="13">
        <f t="shared" si="238"/>
        <v>455.96941674541551</v>
      </c>
      <c r="L83" s="13">
        <f t="shared" si="239"/>
        <v>434.39195349077738</v>
      </c>
      <c r="M83" s="13">
        <f t="shared" si="240"/>
        <v>410.29998595475752</v>
      </c>
      <c r="N83" s="13">
        <f t="shared" si="241"/>
        <v>385.59162422458166</v>
      </c>
      <c r="O83" s="13">
        <f t="shared" si="242"/>
        <v>361.30039832964172</v>
      </c>
      <c r="P83" s="13">
        <f t="shared" si="243"/>
        <v>337.96774459578819</v>
      </c>
      <c r="Q83" s="13">
        <f t="shared" si="244"/>
        <v>315.85864872146243</v>
      </c>
      <c r="R83" s="13">
        <f t="shared" si="245"/>
        <v>295.08529702212388</v>
      </c>
      <c r="S83" s="13">
        <f t="shared" si="246"/>
        <v>275.67711106949804</v>
      </c>
      <c r="T83" s="13">
        <f t="shared" si="247"/>
        <v>257.61974267276469</v>
      </c>
      <c r="U83" s="13">
        <f t="shared" si="248"/>
        <v>240.87624987783067</v>
      </c>
      <c r="V83" s="13">
        <f t="shared" si="249"/>
        <v>225.39816237185727</v>
      </c>
      <c r="W83" s="13">
        <f t="shared" si="250"/>
        <v>211.13090923073369</v>
      </c>
      <c r="X83" s="13">
        <f t="shared" si="251"/>
        <v>198.01618846311024</v>
      </c>
      <c r="Y83" s="13">
        <f t="shared" si="252"/>
        <v>185.99275269463033</v>
      </c>
      <c r="Z83" s="13">
        <f t="shared" si="253"/>
        <v>174.99644236339958</v>
      </c>
      <c r="AA83" s="13">
        <f t="shared" si="254"/>
        <v>164.95992528710218</v>
      </c>
      <c r="AB83" s="13">
        <f t="shared" si="255"/>
        <v>155.81238699690255</v>
      </c>
      <c r="AC83" s="13">
        <f t="shared" si="256"/>
        <v>147.47929394510845</v>
      </c>
      <c r="AD83" s="13">
        <f t="shared" si="257"/>
        <v>139.88228300847911</v>
      </c>
      <c r="AE83" s="13">
        <f t="shared" si="258"/>
        <v>132.93919304637689</v>
      </c>
      <c r="AF83" s="13">
        <f t="shared" si="259"/>
        <v>126.56423442224687</v>
      </c>
      <c r="AG83" s="13">
        <f t="shared" si="260"/>
        <v>120.66828263805232</v>
      </c>
      <c r="AH83" s="13">
        <f t="shared" si="261"/>
        <v>115.15927806117307</v>
      </c>
      <c r="AI83" s="13">
        <f t="shared" si="262"/>
        <v>109.94271252303641</v>
      </c>
      <c r="AJ83" s="13">
        <f t="shared" si="263"/>
        <v>104.92218382221333</v>
      </c>
      <c r="AK83" s="13">
        <f t="shared" si="141"/>
        <v>100</v>
      </c>
      <c r="AL83" s="86"/>
      <c r="AM83" s="26">
        <v>7.0000000000000007E-2</v>
      </c>
      <c r="AN83" s="13">
        <f t="shared" si="142"/>
        <v>-1076400000</v>
      </c>
      <c r="AO83" s="13">
        <f t="shared" si="143"/>
        <v>-1420301723.5964522</v>
      </c>
      <c r="AP83" s="13">
        <f t="shared" si="144"/>
        <v>-1574856595.6732736</v>
      </c>
      <c r="AQ83" s="13">
        <f t="shared" si="145"/>
        <v>-1616698499.5257473</v>
      </c>
      <c r="AR83" s="13">
        <f t="shared" si="146"/>
        <v>-1594114784.7343943</v>
      </c>
      <c r="AS83" s="13">
        <f t="shared" si="147"/>
        <v>-1536557565.7022307</v>
      </c>
      <c r="AT83" s="13">
        <f t="shared" si="148"/>
        <v>-1461546785.0697808</v>
      </c>
      <c r="AU83" s="13">
        <f t="shared" si="149"/>
        <v>-1379275621.4489844</v>
      </c>
      <c r="AV83" s="13">
        <f t="shared" si="150"/>
        <v>-1295538944.5486317</v>
      </c>
      <c r="AW83" s="13">
        <f t="shared" si="151"/>
        <v>-1213538716.5036252</v>
      </c>
      <c r="AX83" s="13">
        <f t="shared" si="152"/>
        <v>-1134972772.2668941</v>
      </c>
      <c r="AY83" s="13">
        <f t="shared" si="153"/>
        <v>-1060680053.3699394</v>
      </c>
      <c r="AZ83" s="13">
        <f t="shared" si="154"/>
        <v>-991017012.85252929</v>
      </c>
      <c r="BA83" s="13">
        <f t="shared" si="155"/>
        <v>-926073643.06860149</v>
      </c>
      <c r="BB83" s="13">
        <f t="shared" si="156"/>
        <v>-865795098.31785202</v>
      </c>
      <c r="BC83" s="13">
        <f t="shared" si="157"/>
        <v>-810048469.4947567</v>
      </c>
      <c r="BD83" s="13">
        <f t="shared" si="158"/>
        <v>-758658166.5839541</v>
      </c>
      <c r="BE83" s="13">
        <f t="shared" si="159"/>
        <v>-711423683.44536602</v>
      </c>
      <c r="BF83" s="13">
        <f t="shared" si="160"/>
        <v>-668127755.47850704</v>
      </c>
      <c r="BG83" s="13">
        <f t="shared" si="161"/>
        <v>-628539515.61768806</v>
      </c>
      <c r="BH83" s="13">
        <f t="shared" si="162"/>
        <v>-592415255.99412942</v>
      </c>
      <c r="BI83" s="13">
        <f t="shared" si="163"/>
        <v>-559498238.16713953</v>
      </c>
      <c r="BJ83" s="13">
        <f t="shared" si="164"/>
        <v>-529518321.76588535</v>
      </c>
      <c r="BK83" s="13">
        <f t="shared" si="165"/>
        <v>-502191796.57872045</v>
      </c>
      <c r="BL83" s="13">
        <f t="shared" si="166"/>
        <v>-477221586.57233006</v>
      </c>
      <c r="BM83" s="13">
        <f t="shared" si="167"/>
        <v>-454297875.33985543</v>
      </c>
      <c r="BN83" s="13">
        <f t="shared" si="168"/>
        <v>-433099139.54630953</v>
      </c>
      <c r="BO83" s="13">
        <f t="shared" si="169"/>
        <v>-413293545.7302953</v>
      </c>
      <c r="BP83" s="13">
        <f t="shared" si="170"/>
        <v>-394540652.11429852</v>
      </c>
      <c r="BQ83" s="13">
        <f t="shared" si="171"/>
        <v>-376493352.5916087</v>
      </c>
      <c r="BR83" s="13">
        <f t="shared" si="172"/>
        <v>-358800000</v>
      </c>
      <c r="BT83" s="86"/>
      <c r="BU83" s="26">
        <v>7.0000000000000007E-2</v>
      </c>
      <c r="BV83" s="13">
        <f t="shared" si="173"/>
        <v>0.40647187995004247</v>
      </c>
      <c r="BW83" s="13">
        <f t="shared" si="174"/>
        <v>0.40647187995004247</v>
      </c>
      <c r="BX83" s="13">
        <f t="shared" si="175"/>
        <v>0.40647187995004247</v>
      </c>
      <c r="BY83" s="13">
        <f t="shared" si="176"/>
        <v>0.40647187995004247</v>
      </c>
      <c r="BZ83" s="13">
        <f t="shared" si="177"/>
        <v>0.40647187995004247</v>
      </c>
      <c r="CA83" s="13">
        <f t="shared" si="178"/>
        <v>0.40647187995004247</v>
      </c>
      <c r="CB83" s="13">
        <f t="shared" si="179"/>
        <v>0.40647187995004247</v>
      </c>
      <c r="CC83" s="13">
        <f t="shared" si="180"/>
        <v>0.40647187995004247</v>
      </c>
      <c r="CD83" s="13">
        <f t="shared" si="181"/>
        <v>0.40647187995004247</v>
      </c>
      <c r="CE83" s="13">
        <f t="shared" si="182"/>
        <v>0.40647187995004247</v>
      </c>
      <c r="CF83" s="13">
        <f t="shared" si="183"/>
        <v>0.40647187995004247</v>
      </c>
      <c r="CG83" s="13">
        <f t="shared" si="184"/>
        <v>0.40647187995004247</v>
      </c>
      <c r="CH83" s="13">
        <f t="shared" si="185"/>
        <v>0.40647187995004247</v>
      </c>
      <c r="CI83" s="13">
        <f t="shared" si="186"/>
        <v>0.40647187995004247</v>
      </c>
      <c r="CJ83" s="13">
        <f t="shared" si="187"/>
        <v>0.40647187995004247</v>
      </c>
      <c r="CK83" s="13">
        <f t="shared" si="188"/>
        <v>0.40647187995004247</v>
      </c>
      <c r="CL83" s="13">
        <f t="shared" si="189"/>
        <v>0.40647187995004247</v>
      </c>
      <c r="CM83" s="13">
        <f t="shared" si="190"/>
        <v>0.40647187995004247</v>
      </c>
      <c r="CN83" s="13">
        <f t="shared" si="191"/>
        <v>0.40647187995004247</v>
      </c>
      <c r="CO83" s="13">
        <f t="shared" si="192"/>
        <v>0.40647187995004247</v>
      </c>
      <c r="CP83" s="13">
        <f t="shared" si="193"/>
        <v>0.40647187995004247</v>
      </c>
      <c r="CQ83" s="13">
        <f t="shared" si="194"/>
        <v>0.40647187995004247</v>
      </c>
      <c r="CR83" s="13">
        <f t="shared" si="195"/>
        <v>0.40647187995004247</v>
      </c>
      <c r="CS83" s="13">
        <f t="shared" si="196"/>
        <v>0.40647187995004247</v>
      </c>
      <c r="CT83" s="13">
        <f t="shared" si="197"/>
        <v>0.40647187995004247</v>
      </c>
      <c r="CU83" s="13">
        <f t="shared" si="198"/>
        <v>0.40647187995004247</v>
      </c>
      <c r="CV83" s="13">
        <f t="shared" si="199"/>
        <v>0.40647187995004247</v>
      </c>
      <c r="CW83" s="13">
        <f t="shared" si="200"/>
        <v>0.40647187995004247</v>
      </c>
      <c r="CX83" s="13">
        <f t="shared" si="201"/>
        <v>0.40647187995004247</v>
      </c>
      <c r="CY83" s="13">
        <f t="shared" si="202"/>
        <v>0.40647187995004247</v>
      </c>
      <c r="CZ83" s="13">
        <f t="shared" si="203"/>
        <v>0.40647187995004247</v>
      </c>
      <c r="DB83" s="86"/>
      <c r="DC83" s="26">
        <v>7.0000000000000007E-2</v>
      </c>
      <c r="DD83" s="13">
        <f t="shared" si="204"/>
        <v>178.05843601498725</v>
      </c>
      <c r="DE83" s="13">
        <f t="shared" si="205"/>
        <v>304.59129138390284</v>
      </c>
      <c r="DF83" s="13">
        <f t="shared" si="206"/>
        <v>310.20808893377404</v>
      </c>
      <c r="DG83" s="13">
        <f t="shared" si="207"/>
        <v>302.34845003737786</v>
      </c>
      <c r="DH83" s="13">
        <f t="shared" si="208"/>
        <v>288.09736507488088</v>
      </c>
      <c r="DI83" s="13">
        <f t="shared" si="209"/>
        <v>271.23972090071226</v>
      </c>
      <c r="DJ83" s="13">
        <f t="shared" si="210"/>
        <v>253.7512310266973</v>
      </c>
      <c r="DK83" s="13">
        <f t="shared" si="211"/>
        <v>236.62513035808297</v>
      </c>
      <c r="DL83" s="13">
        <f t="shared" si="212"/>
        <v>220.32842285492569</v>
      </c>
      <c r="DM83" s="13">
        <f t="shared" si="213"/>
        <v>205.05205030735004</v>
      </c>
      <c r="DN83" s="13">
        <f t="shared" si="214"/>
        <v>190.84674989624887</v>
      </c>
      <c r="DO83" s="13">
        <f t="shared" si="215"/>
        <v>177.69574898989757</v>
      </c>
      <c r="DP83" s="13">
        <f t="shared" si="216"/>
        <v>165.55275897809585</v>
      </c>
      <c r="DQ83" s="13">
        <f t="shared" si="217"/>
        <v>154.36107365060221</v>
      </c>
      <c r="DR83" s="13">
        <f t="shared" si="218"/>
        <v>144.06252324011996</v>
      </c>
      <c r="DS83" s="13">
        <f t="shared" si="219"/>
        <v>134.60110689606117</v>
      </c>
      <c r="DT83" s="13">
        <f t="shared" si="220"/>
        <v>125.92394169037456</v>
      </c>
      <c r="DU83" s="13">
        <f t="shared" si="221"/>
        <v>117.98095396960389</v>
      </c>
      <c r="DV83" s="13">
        <f t="shared" si="222"/>
        <v>110.72406864051267</v>
      </c>
      <c r="DW83" s="13">
        <f t="shared" si="223"/>
        <v>104.106283692885</v>
      </c>
      <c r="DX83" s="13">
        <f t="shared" si="224"/>
        <v>98.080816902070126</v>
      </c>
      <c r="DY83" s="13">
        <f t="shared" si="225"/>
        <v>92.600404403285452</v>
      </c>
      <c r="DZ83" s="13">
        <f t="shared" si="226"/>
        <v>87.61677494014647</v>
      </c>
      <c r="EA83" s="13">
        <f t="shared" si="227"/>
        <v>83.080295786415192</v>
      </c>
      <c r="EB83" s="13">
        <f t="shared" si="228"/>
        <v>78.93977367515383</v>
      </c>
      <c r="EC83" s="13">
        <f t="shared" si="229"/>
        <v>75.142389368799755</v>
      </c>
      <c r="ED83" s="13">
        <f t="shared" si="230"/>
        <v>71.633743816561235</v>
      </c>
      <c r="EE83" s="13">
        <f t="shared" si="231"/>
        <v>68.357995017772197</v>
      </c>
      <c r="EF83" s="13">
        <f t="shared" si="232"/>
        <v>65.258066583849526</v>
      </c>
      <c r="EG83" s="13">
        <f t="shared" si="233"/>
        <v>62.275910958452741</v>
      </c>
      <c r="EH83" s="13">
        <f t="shared" si="234"/>
        <v>59.352812004995748</v>
      </c>
    </row>
    <row r="84" spans="5:138" x14ac:dyDescent="0.25">
      <c r="E84" s="95"/>
      <c r="F84" s="26">
        <v>6.6666666666666666E-2</v>
      </c>
      <c r="G84" s="13">
        <f t="shared" si="139"/>
        <v>300</v>
      </c>
      <c r="H84" s="13">
        <f t="shared" si="235"/>
        <v>591.98256020680924</v>
      </c>
      <c r="I84" s="13">
        <f t="shared" si="236"/>
        <v>576.00532717433953</v>
      </c>
      <c r="J84" s="13">
        <f t="shared" si="237"/>
        <v>545.03418670886367</v>
      </c>
      <c r="K84" s="13">
        <f t="shared" si="238"/>
        <v>509.06250127762473</v>
      </c>
      <c r="L84" s="13">
        <f t="shared" si="239"/>
        <v>472.72149082149622</v>
      </c>
      <c r="M84" s="13">
        <f t="shared" si="240"/>
        <v>438.02223791632218</v>
      </c>
      <c r="N84" s="13">
        <f t="shared" si="241"/>
        <v>405.71770183581657</v>
      </c>
      <c r="O84" s="13">
        <f t="shared" si="242"/>
        <v>375.97717719911839</v>
      </c>
      <c r="P84" s="13">
        <f t="shared" si="243"/>
        <v>348.71707583856806</v>
      </c>
      <c r="Q84" s="13">
        <f t="shared" si="244"/>
        <v>323.75982527600206</v>
      </c>
      <c r="R84" s="13">
        <f t="shared" si="245"/>
        <v>300.90711927083686</v>
      </c>
      <c r="S84" s="13">
        <f t="shared" si="246"/>
        <v>279.97093809908336</v>
      </c>
      <c r="T84" s="13">
        <f t="shared" si="247"/>
        <v>260.78420401827464</v>
      </c>
      <c r="U84" s="13">
        <f t="shared" si="248"/>
        <v>243.20203995833009</v>
      </c>
      <c r="V84" s="13">
        <f t="shared" si="249"/>
        <v>227.0990747480779</v>
      </c>
      <c r="W84" s="13">
        <f t="shared" si="250"/>
        <v>212.36543758469452</v>
      </c>
      <c r="X84" s="13">
        <f t="shared" si="251"/>
        <v>198.90267084176799</v>
      </c>
      <c r="Y84" s="13">
        <f t="shared" si="252"/>
        <v>186.62008446224809</v>
      </c>
      <c r="Z84" s="13">
        <f t="shared" si="253"/>
        <v>175.43173027960898</v>
      </c>
      <c r="AA84" s="13">
        <f t="shared" si="254"/>
        <v>165.25401290489756</v>
      </c>
      <c r="AB84" s="13">
        <f t="shared" si="255"/>
        <v>156.00388405020954</v>
      </c>
      <c r="AC84" s="13">
        <f t="shared" si="256"/>
        <v>147.59754252829228</v>
      </c>
      <c r="AD84" s="13">
        <f t="shared" si="257"/>
        <v>139.94955879541175</v>
      </c>
      <c r="AE84" s="13">
        <f t="shared" si="258"/>
        <v>132.97234874580846</v>
      </c>
      <c r="AF84" s="13">
        <f t="shared" si="259"/>
        <v>126.57593057262567</v>
      </c>
      <c r="AG84" s="13">
        <f t="shared" si="260"/>
        <v>120.6679080537377</v>
      </c>
      <c r="AH84" s="13">
        <f t="shared" si="261"/>
        <v>115.15363234828681</v>
      </c>
      <c r="AI84" s="13">
        <f t="shared" si="262"/>
        <v>109.936501823095</v>
      </c>
      <c r="AJ84" s="13">
        <f t="shared" si="263"/>
        <v>104.91836545338666</v>
      </c>
      <c r="AK84" s="13">
        <f t="shared" si="141"/>
        <v>100</v>
      </c>
      <c r="AL84" s="86"/>
      <c r="AM84" s="26">
        <v>6.6666666666666666E-2</v>
      </c>
      <c r="AN84" s="13">
        <f t="shared" si="142"/>
        <v>-1076400000</v>
      </c>
      <c r="AO84" s="13">
        <f t="shared" si="143"/>
        <v>-1664507473.1892853</v>
      </c>
      <c r="AP84" s="13">
        <f t="shared" si="144"/>
        <v>-1854704287.8823383</v>
      </c>
      <c r="AQ84" s="13">
        <f t="shared" si="145"/>
        <v>-1861851540.6871142</v>
      </c>
      <c r="AR84" s="13">
        <f t="shared" si="146"/>
        <v>-1788784261.011806</v>
      </c>
      <c r="AS84" s="13">
        <f t="shared" si="147"/>
        <v>-1684355807.2444413</v>
      </c>
      <c r="AT84" s="13">
        <f t="shared" si="148"/>
        <v>-1571372440.4442647</v>
      </c>
      <c r="AU84" s="13">
        <f t="shared" si="149"/>
        <v>-1460101552.2588546</v>
      </c>
      <c r="AV84" s="13">
        <f t="shared" si="150"/>
        <v>-1354825406.2939129</v>
      </c>
      <c r="AW84" s="13">
        <f t="shared" si="151"/>
        <v>-1257023047.1113751</v>
      </c>
      <c r="AX84" s="13">
        <f t="shared" si="152"/>
        <v>-1166909467.2177927</v>
      </c>
      <c r="AY84" s="13">
        <f t="shared" si="153"/>
        <v>-1084171894.3452325</v>
      </c>
      <c r="AZ84" s="13">
        <f t="shared" si="154"/>
        <v>-1008313555.8400712</v>
      </c>
      <c r="BA84" s="13">
        <f t="shared" si="155"/>
        <v>-938806402.43116951</v>
      </c>
      <c r="BB84" s="13">
        <f t="shared" si="156"/>
        <v>-875152024.38541591</v>
      </c>
      <c r="BC84" s="13">
        <f t="shared" si="157"/>
        <v>-816899639.84169781</v>
      </c>
      <c r="BD84" s="13">
        <f t="shared" si="158"/>
        <v>-763645118.36145043</v>
      </c>
      <c r="BE84" s="13">
        <f t="shared" si="159"/>
        <v>-715022636.82200944</v>
      </c>
      <c r="BF84" s="13">
        <f t="shared" si="160"/>
        <v>-670694428.46089256</v>
      </c>
      <c r="BG84" s="13">
        <f t="shared" si="161"/>
        <v>-630341055.99643648</v>
      </c>
      <c r="BH84" s="13">
        <f t="shared" si="162"/>
        <v>-593653162.95228624</v>
      </c>
      <c r="BI84" s="13">
        <f t="shared" si="163"/>
        <v>-560324956.54948473</v>
      </c>
      <c r="BJ84" s="13">
        <f t="shared" si="164"/>
        <v>-530049360.38598019</v>
      </c>
      <c r="BK84" s="13">
        <f t="shared" si="165"/>
        <v>-502514649.00160563</v>
      </c>
      <c r="BL84" s="13">
        <f t="shared" si="166"/>
        <v>-477402340.41707146</v>
      </c>
      <c r="BM84" s="13">
        <f t="shared" si="167"/>
        <v>-454386127.35323441</v>
      </c>
      <c r="BN84" s="13">
        <f t="shared" si="168"/>
        <v>-433131648.63817525</v>
      </c>
      <c r="BO84" s="13">
        <f t="shared" si="169"/>
        <v>-413296927.50929576</v>
      </c>
      <c r="BP84" s="13">
        <f t="shared" si="170"/>
        <v>-394533327.67896855</v>
      </c>
      <c r="BQ84" s="13">
        <f t="shared" si="171"/>
        <v>-376486898.84762013</v>
      </c>
      <c r="BR84" s="13">
        <f t="shared" si="172"/>
        <v>-358800000</v>
      </c>
      <c r="BT84" s="86"/>
      <c r="BU84" s="26">
        <v>6.6666666666666666E-2</v>
      </c>
      <c r="BV84" s="13">
        <f t="shared" si="173"/>
        <v>0.40647187995004258</v>
      </c>
      <c r="BW84" s="13">
        <f t="shared" si="174"/>
        <v>0.40647187995004258</v>
      </c>
      <c r="BX84" s="13">
        <f t="shared" si="175"/>
        <v>0.40647187995004258</v>
      </c>
      <c r="BY84" s="13">
        <f t="shared" si="176"/>
        <v>0.40647187995004258</v>
      </c>
      <c r="BZ84" s="13">
        <f t="shared" si="177"/>
        <v>0.40647187995004258</v>
      </c>
      <c r="CA84" s="13">
        <f t="shared" si="178"/>
        <v>0.40647187995004258</v>
      </c>
      <c r="CB84" s="13">
        <f t="shared" si="179"/>
        <v>0.40647187995004258</v>
      </c>
      <c r="CC84" s="13">
        <f t="shared" si="180"/>
        <v>0.40647187995004258</v>
      </c>
      <c r="CD84" s="13">
        <f t="shared" si="181"/>
        <v>0.40647187995004258</v>
      </c>
      <c r="CE84" s="13">
        <f t="shared" si="182"/>
        <v>0.40647187995004258</v>
      </c>
      <c r="CF84" s="13">
        <f t="shared" si="183"/>
        <v>0.40647187995004258</v>
      </c>
      <c r="CG84" s="13">
        <f t="shared" si="184"/>
        <v>0.40647187995004258</v>
      </c>
      <c r="CH84" s="13">
        <f t="shared" si="185"/>
        <v>0.40647187995004258</v>
      </c>
      <c r="CI84" s="13">
        <f t="shared" si="186"/>
        <v>0.40647187995004258</v>
      </c>
      <c r="CJ84" s="13">
        <f t="shared" si="187"/>
        <v>0.40647187995004258</v>
      </c>
      <c r="CK84" s="13">
        <f t="shared" si="188"/>
        <v>0.40647187995004258</v>
      </c>
      <c r="CL84" s="13">
        <f t="shared" si="189"/>
        <v>0.40647187995004258</v>
      </c>
      <c r="CM84" s="13">
        <f t="shared" si="190"/>
        <v>0.40647187995004258</v>
      </c>
      <c r="CN84" s="13">
        <f t="shared" si="191"/>
        <v>0.40647187995004258</v>
      </c>
      <c r="CO84" s="13">
        <f t="shared" si="192"/>
        <v>0.40647187995004258</v>
      </c>
      <c r="CP84" s="13">
        <f t="shared" si="193"/>
        <v>0.40647187995004258</v>
      </c>
      <c r="CQ84" s="13">
        <f t="shared" si="194"/>
        <v>0.40647187995004258</v>
      </c>
      <c r="CR84" s="13">
        <f t="shared" si="195"/>
        <v>0.40647187995004258</v>
      </c>
      <c r="CS84" s="13">
        <f t="shared" si="196"/>
        <v>0.40647187995004258</v>
      </c>
      <c r="CT84" s="13">
        <f t="shared" si="197"/>
        <v>0.40647187995004258</v>
      </c>
      <c r="CU84" s="13">
        <f t="shared" si="198"/>
        <v>0.40647187995004258</v>
      </c>
      <c r="CV84" s="13">
        <f t="shared" si="199"/>
        <v>0.40647187995004258</v>
      </c>
      <c r="CW84" s="13">
        <f t="shared" si="200"/>
        <v>0.40647187995004258</v>
      </c>
      <c r="CX84" s="13">
        <f t="shared" si="201"/>
        <v>0.40647187995004258</v>
      </c>
      <c r="CY84" s="13">
        <f t="shared" si="202"/>
        <v>0.40647187995004258</v>
      </c>
      <c r="CZ84" s="13">
        <f t="shared" si="203"/>
        <v>0.40647187995004258</v>
      </c>
      <c r="DB84" s="86"/>
      <c r="DC84" s="26">
        <v>6.6666666666666666E-2</v>
      </c>
      <c r="DD84" s="13">
        <f t="shared" si="204"/>
        <v>178.05843601498719</v>
      </c>
      <c r="DE84" s="13">
        <f t="shared" si="205"/>
        <v>406.28585796407503</v>
      </c>
      <c r="DF84" s="13">
        <f t="shared" si="206"/>
        <v>382.77217930976462</v>
      </c>
      <c r="DG84" s="13">
        <f t="shared" si="207"/>
        <v>353.32919661039148</v>
      </c>
      <c r="DH84" s="13">
        <f t="shared" si="208"/>
        <v>323.72375525339123</v>
      </c>
      <c r="DI84" s="13">
        <f t="shared" si="209"/>
        <v>296.15337685092845</v>
      </c>
      <c r="DJ84" s="13">
        <f t="shared" si="210"/>
        <v>271.24683128181579</v>
      </c>
      <c r="DK84" s="13">
        <f t="shared" si="211"/>
        <v>248.98554944426047</v>
      </c>
      <c r="DL84" s="13">
        <f t="shared" si="212"/>
        <v>229.11872506336965</v>
      </c>
      <c r="DM84" s="13">
        <f t="shared" si="213"/>
        <v>211.34269133024219</v>
      </c>
      <c r="DN84" s="13">
        <f t="shared" si="214"/>
        <v>195.37216653170915</v>
      </c>
      <c r="DO84" s="13">
        <f t="shared" si="215"/>
        <v>180.96324384463745</v>
      </c>
      <c r="DP84" s="13">
        <f t="shared" si="216"/>
        <v>167.91594450346778</v>
      </c>
      <c r="DQ84" s="13">
        <f t="shared" si="217"/>
        <v>156.06902290182975</v>
      </c>
      <c r="DR84" s="13">
        <f t="shared" si="218"/>
        <v>145.29261783517205</v>
      </c>
      <c r="DS84" s="13">
        <f t="shared" si="219"/>
        <v>135.48105995150411</v>
      </c>
      <c r="DT84" s="13">
        <f t="shared" si="220"/>
        <v>126.5466599941164</v>
      </c>
      <c r="DU84" s="13">
        <f t="shared" si="221"/>
        <v>118.41465845662565</v>
      </c>
      <c r="DV84" s="13">
        <f t="shared" si="222"/>
        <v>111.01926061737836</v>
      </c>
      <c r="DW84" s="13">
        <f t="shared" si="223"/>
        <v>104.30059736758867</v>
      </c>
      <c r="DX84" s="13">
        <f t="shared" si="224"/>
        <v>98.202441957030572</v>
      </c>
      <c r="DY84" s="13">
        <f t="shared" si="225"/>
        <v>92.670530188074977</v>
      </c>
      <c r="DZ84" s="13">
        <f t="shared" si="226"/>
        <v>87.651356664719117</v>
      </c>
      <c r="EA84" s="13">
        <f t="shared" si="227"/>
        <v>83.09134424925135</v>
      </c>
      <c r="EB84" s="13">
        <f t="shared" si="228"/>
        <v>78.936305029206025</v>
      </c>
      <c r="EC84" s="13">
        <f t="shared" si="229"/>
        <v>75.131128272577087</v>
      </c>
      <c r="ED84" s="13">
        <f t="shared" si="230"/>
        <v>71.6196443595055</v>
      </c>
      <c r="EE84" s="13">
        <f t="shared" si="231"/>
        <v>68.344624101072085</v>
      </c>
      <c r="EF84" s="13">
        <f t="shared" si="232"/>
        <v>65.247880777049303</v>
      </c>
      <c r="EG84" s="13">
        <f t="shared" si="233"/>
        <v>62.270448146707658</v>
      </c>
      <c r="EH84" s="13">
        <f t="shared" si="234"/>
        <v>59.352812004995741</v>
      </c>
    </row>
    <row r="85" spans="5:138" x14ac:dyDescent="0.25">
      <c r="E85" s="95"/>
      <c r="F85" s="26">
        <v>6.3333333333333339E-2</v>
      </c>
      <c r="G85" s="13">
        <f t="shared" si="139"/>
        <v>300</v>
      </c>
      <c r="H85" s="13">
        <f t="shared" si="235"/>
        <v>838.11166861000629</v>
      </c>
      <c r="I85" s="13">
        <f t="shared" si="236"/>
        <v>727.82788343333993</v>
      </c>
      <c r="J85" s="13">
        <f t="shared" si="237"/>
        <v>641.07712363538462</v>
      </c>
      <c r="K85" s="13">
        <f t="shared" si="238"/>
        <v>571.26959391908804</v>
      </c>
      <c r="L85" s="13">
        <f t="shared" si="239"/>
        <v>513.89375806117346</v>
      </c>
      <c r="M85" s="13">
        <f t="shared" si="240"/>
        <v>465.80520224491556</v>
      </c>
      <c r="N85" s="13">
        <f t="shared" si="241"/>
        <v>424.78425334271708</v>
      </c>
      <c r="O85" s="13">
        <f t="shared" si="242"/>
        <v>389.24832937693412</v>
      </c>
      <c r="P85" s="13">
        <f t="shared" si="243"/>
        <v>358.05911746719511</v>
      </c>
      <c r="Q85" s="13">
        <f t="shared" si="244"/>
        <v>330.39066025385171</v>
      </c>
      <c r="R85" s="13">
        <f t="shared" si="245"/>
        <v>305.63784238876002</v>
      </c>
      <c r="S85" s="13">
        <f t="shared" si="246"/>
        <v>283.35224581935461</v>
      </c>
      <c r="T85" s="13">
        <f t="shared" si="247"/>
        <v>263.19681067450921</v>
      </c>
      <c r="U85" s="13">
        <f t="shared" si="248"/>
        <v>244.91355346517554</v>
      </c>
      <c r="V85" s="13">
        <f t="shared" si="249"/>
        <v>228.30043165434819</v>
      </c>
      <c r="W85" s="13">
        <f t="shared" si="250"/>
        <v>213.19466924600647</v>
      </c>
      <c r="X85" s="13">
        <f t="shared" si="251"/>
        <v>199.46068610889296</v>
      </c>
      <c r="Y85" s="13">
        <f t="shared" si="252"/>
        <v>186.98133762833294</v>
      </c>
      <c r="Z85" s="13">
        <f t="shared" si="253"/>
        <v>175.65155738586682</v>
      </c>
      <c r="AA85" s="13">
        <f t="shared" si="254"/>
        <v>165.37376123537078</v>
      </c>
      <c r="AB85" s="13">
        <f t="shared" si="255"/>
        <v>156.05455487710759</v>
      </c>
      <c r="AC85" s="13">
        <f t="shared" si="256"/>
        <v>147.60241483261922</v>
      </c>
      <c r="AD85" s="13">
        <f t="shared" si="257"/>
        <v>139.92610220464678</v>
      </c>
      <c r="AE85" s="13">
        <f t="shared" si="258"/>
        <v>132.93363171163844</v>
      </c>
      <c r="AF85" s="13">
        <f t="shared" si="259"/>
        <v>126.53166332719442</v>
      </c>
      <c r="AG85" s="13">
        <f t="shared" si="260"/>
        <v>120.62521594735445</v>
      </c>
      <c r="AH85" s="13">
        <f t="shared" si="261"/>
        <v>115.11762561036606</v>
      </c>
      <c r="AI85" s="13">
        <f t="shared" si="262"/>
        <v>109.91068746670345</v>
      </c>
      <c r="AJ85" s="13">
        <f t="shared" si="263"/>
        <v>104.90493268821487</v>
      </c>
      <c r="AK85" s="13">
        <f t="shared" si="141"/>
        <v>100</v>
      </c>
      <c r="AL85" s="86"/>
      <c r="AM85" s="26">
        <v>6.3333333333333339E-2</v>
      </c>
      <c r="AN85" s="13">
        <f t="shared" si="142"/>
        <v>-1076400000</v>
      </c>
      <c r="AO85" s="13">
        <f t="shared" si="143"/>
        <v>-3247644377.7340226</v>
      </c>
      <c r="AP85" s="13">
        <f t="shared" si="144"/>
        <v>-2757266179.5241051</v>
      </c>
      <c r="AQ85" s="13">
        <f t="shared" si="145"/>
        <v>-2393949663.0075383</v>
      </c>
      <c r="AR85" s="13">
        <f t="shared" si="146"/>
        <v>-2112912766.4111893</v>
      </c>
      <c r="AS85" s="13">
        <f t="shared" si="147"/>
        <v>-1887983689.4971809</v>
      </c>
      <c r="AT85" s="13">
        <f t="shared" si="148"/>
        <v>-1702943986.943887</v>
      </c>
      <c r="AU85" s="13">
        <f t="shared" si="149"/>
        <v>-1547246924.297219</v>
      </c>
      <c r="AV85" s="13">
        <f t="shared" si="150"/>
        <v>-1413776015.6754704</v>
      </c>
      <c r="AW85" s="13">
        <f t="shared" si="151"/>
        <v>-1297595659.0703545</v>
      </c>
      <c r="AX85" s="13">
        <f t="shared" si="152"/>
        <v>-1195210721.0653284</v>
      </c>
      <c r="AY85" s="13">
        <f t="shared" si="153"/>
        <v>-1104103604.3989005</v>
      </c>
      <c r="AZ85" s="13">
        <f t="shared" si="154"/>
        <v>-1022432181.7007629</v>
      </c>
      <c r="BA85" s="13">
        <f t="shared" si="155"/>
        <v>-948826282.81842947</v>
      </c>
      <c r="BB85" s="13">
        <f t="shared" si="156"/>
        <v>-882247351.23405397</v>
      </c>
      <c r="BC85" s="13">
        <f t="shared" si="157"/>
        <v>-821890021.78164113</v>
      </c>
      <c r="BD85" s="13">
        <f t="shared" si="158"/>
        <v>-767112255.80267739</v>
      </c>
      <c r="BE85" s="13">
        <f t="shared" si="159"/>
        <v>-717385322.79243159</v>
      </c>
      <c r="BF85" s="13">
        <f t="shared" si="160"/>
        <v>-672257797.17051291</v>
      </c>
      <c r="BG85" s="13">
        <f t="shared" si="161"/>
        <v>-631329587.33614576</v>
      </c>
      <c r="BH85" s="13">
        <f t="shared" si="162"/>
        <v>-594233233.09811556</v>
      </c>
      <c r="BI85" s="13">
        <f t="shared" si="163"/>
        <v>-560620527.18411124</v>
      </c>
      <c r="BJ85" s="13">
        <f t="shared" si="164"/>
        <v>-530153075.79810631</v>
      </c>
      <c r="BK85" s="13">
        <f t="shared" si="165"/>
        <v>-502495799.32676667</v>
      </c>
      <c r="BL85" s="13">
        <f t="shared" si="166"/>
        <v>-477312643.60234791</v>
      </c>
      <c r="BM85" s="13">
        <f t="shared" si="167"/>
        <v>-454263961.66405904</v>
      </c>
      <c r="BN85" s="13">
        <f t="shared" si="168"/>
        <v>-433005160.42131525</v>
      </c>
      <c r="BO85" s="13">
        <f t="shared" si="169"/>
        <v>-413186302.61312962</v>
      </c>
      <c r="BP85" s="13">
        <f t="shared" si="170"/>
        <v>-394452423.19572806</v>
      </c>
      <c r="BQ85" s="13">
        <f t="shared" si="171"/>
        <v>-376444368.36918783</v>
      </c>
      <c r="BR85" s="13">
        <f t="shared" si="172"/>
        <v>-358800000</v>
      </c>
      <c r="BT85" s="86"/>
      <c r="BU85" s="26">
        <v>6.3333333333333339E-2</v>
      </c>
      <c r="BV85" s="13">
        <f t="shared" si="173"/>
        <v>0.40647187995004358</v>
      </c>
      <c r="BW85" s="13">
        <f t="shared" si="174"/>
        <v>0.40647187995004358</v>
      </c>
      <c r="BX85" s="13">
        <f t="shared" si="175"/>
        <v>0.40647187995004358</v>
      </c>
      <c r="BY85" s="13">
        <f t="shared" si="176"/>
        <v>0.40647187995004358</v>
      </c>
      <c r="BZ85" s="13">
        <f t="shared" si="177"/>
        <v>0.40647187995004358</v>
      </c>
      <c r="CA85" s="13">
        <f t="shared" si="178"/>
        <v>0.40647187995004358</v>
      </c>
      <c r="CB85" s="13">
        <f t="shared" si="179"/>
        <v>0.40647187995004358</v>
      </c>
      <c r="CC85" s="13">
        <f t="shared" si="180"/>
        <v>0.40647187995004358</v>
      </c>
      <c r="CD85" s="13">
        <f t="shared" si="181"/>
        <v>0.40647187995004358</v>
      </c>
      <c r="CE85" s="13">
        <f t="shared" si="182"/>
        <v>0.40647187995004358</v>
      </c>
      <c r="CF85" s="13">
        <f t="shared" si="183"/>
        <v>0.40647187995004358</v>
      </c>
      <c r="CG85" s="13">
        <f t="shared" si="184"/>
        <v>0.40647187995004358</v>
      </c>
      <c r="CH85" s="13">
        <f t="shared" si="185"/>
        <v>0.40647187995004358</v>
      </c>
      <c r="CI85" s="13">
        <f t="shared" si="186"/>
        <v>0.40647187995004358</v>
      </c>
      <c r="CJ85" s="13">
        <f t="shared" si="187"/>
        <v>0.40647187995004358</v>
      </c>
      <c r="CK85" s="13">
        <f t="shared" si="188"/>
        <v>0.40647187995004358</v>
      </c>
      <c r="CL85" s="13">
        <f t="shared" si="189"/>
        <v>0.40647187995004358</v>
      </c>
      <c r="CM85" s="13">
        <f t="shared" si="190"/>
        <v>0.40647187995004358</v>
      </c>
      <c r="CN85" s="13">
        <f t="shared" si="191"/>
        <v>0.40647187995004358</v>
      </c>
      <c r="CO85" s="13">
        <f t="shared" si="192"/>
        <v>0.40647187995004358</v>
      </c>
      <c r="CP85" s="13">
        <f t="shared" si="193"/>
        <v>0.40647187995004358</v>
      </c>
      <c r="CQ85" s="13">
        <f t="shared" si="194"/>
        <v>0.40647187995004358</v>
      </c>
      <c r="CR85" s="13">
        <f t="shared" si="195"/>
        <v>0.40647187995004358</v>
      </c>
      <c r="CS85" s="13">
        <f t="shared" si="196"/>
        <v>0.40647187995004358</v>
      </c>
      <c r="CT85" s="13">
        <f t="shared" si="197"/>
        <v>0.40647187995004358</v>
      </c>
      <c r="CU85" s="13">
        <f t="shared" si="198"/>
        <v>0.40647187995004358</v>
      </c>
      <c r="CV85" s="13">
        <f t="shared" si="199"/>
        <v>0.40647187995004358</v>
      </c>
      <c r="CW85" s="13">
        <f t="shared" si="200"/>
        <v>0.40647187995004358</v>
      </c>
      <c r="CX85" s="13">
        <f t="shared" si="201"/>
        <v>0.40647187995004358</v>
      </c>
      <c r="CY85" s="13">
        <f t="shared" si="202"/>
        <v>0.40647187995004358</v>
      </c>
      <c r="CZ85" s="13">
        <f t="shared" si="203"/>
        <v>0.40647187995004358</v>
      </c>
      <c r="DB85" s="86"/>
      <c r="DC85" s="26">
        <v>6.3333333333333339E-2</v>
      </c>
      <c r="DD85" s="13">
        <f t="shared" si="204"/>
        <v>178.05843601498691</v>
      </c>
      <c r="DE85" s="13">
        <f t="shared" si="205"/>
        <v>597.48740446510465</v>
      </c>
      <c r="DF85" s="13">
        <f t="shared" si="206"/>
        <v>493.69791523554619</v>
      </c>
      <c r="DG85" s="13">
        <f t="shared" si="207"/>
        <v>419.53605312678974</v>
      </c>
      <c r="DH85" s="13">
        <f t="shared" si="208"/>
        <v>364.35000201270043</v>
      </c>
      <c r="DI85" s="13">
        <f t="shared" si="209"/>
        <v>321.74576499417259</v>
      </c>
      <c r="DJ85" s="13">
        <f t="shared" si="210"/>
        <v>287.76147973914283</v>
      </c>
      <c r="DK85" s="13">
        <f t="shared" si="211"/>
        <v>259.87141634850144</v>
      </c>
      <c r="DL85" s="13">
        <f t="shared" si="212"/>
        <v>236.42417934249781</v>
      </c>
      <c r="DM85" s="13">
        <f t="shared" si="213"/>
        <v>216.31543208041043</v>
      </c>
      <c r="DN85" s="13">
        <f t="shared" si="214"/>
        <v>198.79139542161752</v>
      </c>
      <c r="DO85" s="13">
        <f t="shared" si="215"/>
        <v>183.32755992839097</v>
      </c>
      <c r="DP85" s="13">
        <f t="shared" si="216"/>
        <v>169.55193227884294</v>
      </c>
      <c r="DQ85" s="13">
        <f t="shared" si="217"/>
        <v>157.1953650059254</v>
      </c>
      <c r="DR85" s="13">
        <f t="shared" si="218"/>
        <v>146.0587630756275</v>
      </c>
      <c r="DS85" s="13">
        <f t="shared" si="219"/>
        <v>135.9910438065815</v>
      </c>
      <c r="DT85" s="13">
        <f t="shared" si="220"/>
        <v>126.87409059454203</v>
      </c>
      <c r="DU85" s="13">
        <f t="shared" si="221"/>
        <v>118.61234356475481</v>
      </c>
      <c r="DV85" s="13">
        <f t="shared" si="222"/>
        <v>111.12552106052705</v>
      </c>
      <c r="DW85" s="13">
        <f t="shared" si="223"/>
        <v>104.34349217622517</v>
      </c>
      <c r="DX85" s="13">
        <f t="shared" si="224"/>
        <v>98.2026519406283</v>
      </c>
      <c r="DY85" s="13">
        <f t="shared" si="225"/>
        <v>92.643362847710293</v>
      </c>
      <c r="DZ85" s="13">
        <f t="shared" si="226"/>
        <v>87.608164245137758</v>
      </c>
      <c r="EA85" s="13">
        <f t="shared" si="227"/>
        <v>83.04054194289661</v>
      </c>
      <c r="EB85" s="13">
        <f t="shared" si="228"/>
        <v>78.884111135556864</v>
      </c>
      <c r="EC85" s="13">
        <f t="shared" si="229"/>
        <v>75.08210687091308</v>
      </c>
      <c r="ED85" s="13">
        <f t="shared" si="230"/>
        <v>71.57710451111268</v>
      </c>
      <c r="EE85" s="13">
        <f t="shared" si="231"/>
        <v>68.310912186681776</v>
      </c>
      <c r="EF85" s="13">
        <f t="shared" si="232"/>
        <v>65.224590895538626</v>
      </c>
      <c r="EG85" s="13">
        <f t="shared" si="233"/>
        <v>62.258567441091088</v>
      </c>
      <c r="EH85" s="13">
        <f t="shared" si="234"/>
        <v>59.352812004995634</v>
      </c>
    </row>
    <row r="86" spans="5:138" x14ac:dyDescent="0.25">
      <c r="E86" s="95"/>
      <c r="F86" s="26">
        <v>6.0000000000000005E-2</v>
      </c>
      <c r="G86" s="13">
        <f t="shared" si="139"/>
        <v>300</v>
      </c>
      <c r="H86" s="13">
        <f t="shared" si="235"/>
        <v>1026.1490594380052</v>
      </c>
      <c r="I86" s="13">
        <f t="shared" si="236"/>
        <v>844.4282817780213</v>
      </c>
      <c r="J86" s="13">
        <f t="shared" si="237"/>
        <v>714.47152350785291</v>
      </c>
      <c r="K86" s="13">
        <f t="shared" si="238"/>
        <v>618.21159877564764</v>
      </c>
      <c r="L86" s="13">
        <f t="shared" si="239"/>
        <v>544.40590801251972</v>
      </c>
      <c r="M86" s="13">
        <f t="shared" si="240"/>
        <v>485.94688123797039</v>
      </c>
      <c r="N86" s="13">
        <f t="shared" si="241"/>
        <v>438.26601661204506</v>
      </c>
      <c r="O86" s="13">
        <f t="shared" si="242"/>
        <v>398.37624245546709</v>
      </c>
      <c r="P86" s="13">
        <f t="shared" si="243"/>
        <v>364.29015774363421</v>
      </c>
      <c r="Q86" s="13">
        <f t="shared" si="244"/>
        <v>334.66182564848685</v>
      </c>
      <c r="R86" s="13">
        <f t="shared" si="245"/>
        <v>308.56300369314954</v>
      </c>
      <c r="S86" s="13">
        <f t="shared" si="246"/>
        <v>285.34120481959735</v>
      </c>
      <c r="T86" s="13">
        <f t="shared" si="247"/>
        <v>264.5282274470988</v>
      </c>
      <c r="U86" s="13">
        <f t="shared" si="248"/>
        <v>245.78025503941132</v>
      </c>
      <c r="V86" s="13">
        <f t="shared" si="249"/>
        <v>228.83800281041567</v>
      </c>
      <c r="W86" s="13">
        <f t="shared" si="250"/>
        <v>213.49979884258255</v>
      </c>
      <c r="X86" s="13">
        <f t="shared" si="251"/>
        <v>199.60315040168857</v>
      </c>
      <c r="Y86" s="13">
        <f t="shared" si="252"/>
        <v>187.01197297797961</v>
      </c>
      <c r="Z86" s="13">
        <f t="shared" si="253"/>
        <v>175.60766482167645</v>
      </c>
      <c r="AA86" s="13">
        <f t="shared" si="254"/>
        <v>165.28283860313746</v>
      </c>
      <c r="AB86" s="13">
        <f t="shared" si="255"/>
        <v>155.93692032114353</v>
      </c>
      <c r="AC86" s="13">
        <f t="shared" si="256"/>
        <v>147.47308148992479</v>
      </c>
      <c r="AD86" s="13">
        <f t="shared" si="257"/>
        <v>139.79613725240981</v>
      </c>
      <c r="AE86" s="13">
        <f t="shared" si="258"/>
        <v>132.8111530781957</v>
      </c>
      <c r="AF86" s="13">
        <f t="shared" si="259"/>
        <v>126.42257636048652</v>
      </c>
      <c r="AG86" s="13">
        <f t="shared" si="260"/>
        <v>120.53375920275684</v>
      </c>
      <c r="AH86" s="13">
        <f t="shared" si="261"/>
        <v>115.04677299729167</v>
      </c>
      <c r="AI86" s="13">
        <f t="shared" si="262"/>
        <v>109.86243915736603</v>
      </c>
      <c r="AJ86" s="13">
        <f t="shared" si="263"/>
        <v>104.88051685930566</v>
      </c>
      <c r="AK86" s="13">
        <f t="shared" si="141"/>
        <v>100</v>
      </c>
      <c r="AL86" s="86"/>
      <c r="AM86" s="26">
        <v>6.0000000000000005E-2</v>
      </c>
      <c r="AN86" s="13">
        <f t="shared" si="142"/>
        <v>-1076400000</v>
      </c>
      <c r="AO86" s="13">
        <f t="shared" si="143"/>
        <v>-4149344908.5566411</v>
      </c>
      <c r="AP86" s="13">
        <f t="shared" si="144"/>
        <v>-3322219083.4751201</v>
      </c>
      <c r="AQ86" s="13">
        <f t="shared" si="145"/>
        <v>-2749198441.27877</v>
      </c>
      <c r="AR86" s="13">
        <f t="shared" si="146"/>
        <v>-2338109869.4358702</v>
      </c>
      <c r="AS86" s="13">
        <f t="shared" si="147"/>
        <v>-2032325667.3677175</v>
      </c>
      <c r="AT86" s="13">
        <f t="shared" si="148"/>
        <v>-1796642450.657531</v>
      </c>
      <c r="AU86" s="13">
        <f t="shared" si="149"/>
        <v>-1608869732.7471173</v>
      </c>
      <c r="AV86" s="13">
        <f t="shared" si="150"/>
        <v>-1454801137.0135143</v>
      </c>
      <c r="AW86" s="13">
        <f t="shared" si="151"/>
        <v>-1325187868.7977133</v>
      </c>
      <c r="AX86" s="13">
        <f t="shared" si="152"/>
        <v>-1213900530.8484418</v>
      </c>
      <c r="AY86" s="13">
        <f t="shared" si="153"/>
        <v>-1116800095.8442633</v>
      </c>
      <c r="AZ86" s="13">
        <f t="shared" si="154"/>
        <v>-1031035401.2077845</v>
      </c>
      <c r="BA86" s="13">
        <f t="shared" si="155"/>
        <v>-954599715.43470383</v>
      </c>
      <c r="BB86" s="13">
        <f t="shared" si="156"/>
        <v>-886046508.32487702</v>
      </c>
      <c r="BC86" s="13">
        <f t="shared" si="157"/>
        <v>-824304358.88601136</v>
      </c>
      <c r="BD86" s="13">
        <f t="shared" si="158"/>
        <v>-768554509.1183188</v>
      </c>
      <c r="BE86" s="13">
        <f t="shared" si="159"/>
        <v>-718148638.47045565</v>
      </c>
      <c r="BF86" s="13">
        <f t="shared" si="160"/>
        <v>-672552901.1827116</v>
      </c>
      <c r="BG86" s="13">
        <f t="shared" si="161"/>
        <v>-631309416.98050427</v>
      </c>
      <c r="BH86" s="13">
        <f t="shared" si="162"/>
        <v>-594009570.6141268</v>
      </c>
      <c r="BI86" s="13">
        <f t="shared" si="163"/>
        <v>-560275445.07848895</v>
      </c>
      <c r="BJ86" s="13">
        <f t="shared" si="164"/>
        <v>-529746954.56102705</v>
      </c>
      <c r="BK86" s="13">
        <f t="shared" si="165"/>
        <v>-502073036.14299768</v>
      </c>
      <c r="BL86" s="13">
        <f t="shared" si="166"/>
        <v>-476905773.06299919</v>
      </c>
      <c r="BM86" s="13">
        <f t="shared" si="167"/>
        <v>-453896660.0185976</v>
      </c>
      <c r="BN86" s="13">
        <f t="shared" si="168"/>
        <v>-432694446.0103159</v>
      </c>
      <c r="BO86" s="13">
        <f t="shared" si="169"/>
        <v>-412944142.10438442</v>
      </c>
      <c r="BP86" s="13">
        <f t="shared" si="170"/>
        <v>-394286884.99767202</v>
      </c>
      <c r="BQ86" s="13">
        <f t="shared" si="171"/>
        <v>-376360418.10169417</v>
      </c>
      <c r="BR86" s="13">
        <f t="shared" si="172"/>
        <v>-358800000</v>
      </c>
      <c r="BT86" s="86"/>
      <c r="BU86" s="26">
        <v>6.0000000000000005E-2</v>
      </c>
      <c r="BV86" s="13">
        <f t="shared" si="173"/>
        <v>0.40647187995004946</v>
      </c>
      <c r="BW86" s="13">
        <f t="shared" si="174"/>
        <v>0.40647187995004946</v>
      </c>
      <c r="BX86" s="13">
        <f t="shared" si="175"/>
        <v>0.40647187995004946</v>
      </c>
      <c r="BY86" s="13">
        <f t="shared" si="176"/>
        <v>0.40647187995004946</v>
      </c>
      <c r="BZ86" s="13">
        <f t="shared" si="177"/>
        <v>0.40647187995004946</v>
      </c>
      <c r="CA86" s="13">
        <f t="shared" si="178"/>
        <v>0.40647187995004946</v>
      </c>
      <c r="CB86" s="13">
        <f t="shared" si="179"/>
        <v>0.40647187995004946</v>
      </c>
      <c r="CC86" s="13">
        <f t="shared" si="180"/>
        <v>0.40647187995004946</v>
      </c>
      <c r="CD86" s="13">
        <f t="shared" si="181"/>
        <v>0.40647187995004946</v>
      </c>
      <c r="CE86" s="13">
        <f t="shared" si="182"/>
        <v>0.40647187995004946</v>
      </c>
      <c r="CF86" s="13">
        <f t="shared" si="183"/>
        <v>0.40647187995004946</v>
      </c>
      <c r="CG86" s="13">
        <f t="shared" si="184"/>
        <v>0.40647187995004946</v>
      </c>
      <c r="CH86" s="13">
        <f t="shared" si="185"/>
        <v>0.40647187995004946</v>
      </c>
      <c r="CI86" s="13">
        <f t="shared" si="186"/>
        <v>0.40647187995004946</v>
      </c>
      <c r="CJ86" s="13">
        <f t="shared" si="187"/>
        <v>0.40647187995004946</v>
      </c>
      <c r="CK86" s="13">
        <f t="shared" si="188"/>
        <v>0.40647187995004946</v>
      </c>
      <c r="CL86" s="13">
        <f t="shared" si="189"/>
        <v>0.40647187995004946</v>
      </c>
      <c r="CM86" s="13">
        <f t="shared" si="190"/>
        <v>0.40647187995004946</v>
      </c>
      <c r="CN86" s="13">
        <f t="shared" si="191"/>
        <v>0.40647187995004946</v>
      </c>
      <c r="CO86" s="13">
        <f t="shared" si="192"/>
        <v>0.40647187995004946</v>
      </c>
      <c r="CP86" s="13">
        <f t="shared" si="193"/>
        <v>0.40647187995004946</v>
      </c>
      <c r="CQ86" s="13">
        <f t="shared" si="194"/>
        <v>0.40647187995004946</v>
      </c>
      <c r="CR86" s="13">
        <f t="shared" si="195"/>
        <v>0.40647187995004946</v>
      </c>
      <c r="CS86" s="13">
        <f t="shared" si="196"/>
        <v>0.40647187995004946</v>
      </c>
      <c r="CT86" s="13">
        <f t="shared" si="197"/>
        <v>0.40647187995004946</v>
      </c>
      <c r="CU86" s="13">
        <f t="shared" si="198"/>
        <v>0.40647187995004946</v>
      </c>
      <c r="CV86" s="13">
        <f t="shared" si="199"/>
        <v>0.40647187995004946</v>
      </c>
      <c r="CW86" s="13">
        <f t="shared" si="200"/>
        <v>0.40647187995004946</v>
      </c>
      <c r="CX86" s="13">
        <f t="shared" si="201"/>
        <v>0.40647187995004946</v>
      </c>
      <c r="CY86" s="13">
        <f t="shared" si="202"/>
        <v>0.40647187995004946</v>
      </c>
      <c r="CZ86" s="13">
        <f t="shared" si="203"/>
        <v>0.40647187995004946</v>
      </c>
      <c r="DB86" s="86"/>
      <c r="DC86" s="26">
        <v>6.0000000000000005E-2</v>
      </c>
      <c r="DD86" s="13">
        <f t="shared" si="204"/>
        <v>178.05843601498518</v>
      </c>
      <c r="DE86" s="13">
        <f t="shared" si="205"/>
        <v>685.48023389002321</v>
      </c>
      <c r="DF86" s="13">
        <f t="shared" si="206"/>
        <v>548.5867137188061</v>
      </c>
      <c r="DG86" s="13">
        <f t="shared" si="207"/>
        <v>453.89169987080788</v>
      </c>
      <c r="DH86" s="13">
        <f t="shared" si="208"/>
        <v>386.00657297705459</v>
      </c>
      <c r="DI86" s="13">
        <f t="shared" si="209"/>
        <v>335.52254607879865</v>
      </c>
      <c r="DJ86" s="13">
        <f t="shared" si="210"/>
        <v>296.61016499096655</v>
      </c>
      <c r="DK86" s="13">
        <f t="shared" si="211"/>
        <v>265.60316258265277</v>
      </c>
      <c r="DL86" s="13">
        <f t="shared" si="212"/>
        <v>240.15774224620861</v>
      </c>
      <c r="DM86" s="13">
        <f t="shared" si="213"/>
        <v>218.74919513348783</v>
      </c>
      <c r="DN86" s="13">
        <f t="shared" si="214"/>
        <v>200.36731285716567</v>
      </c>
      <c r="DO86" s="13">
        <f t="shared" si="215"/>
        <v>184.32981531351331</v>
      </c>
      <c r="DP86" s="13">
        <f t="shared" si="216"/>
        <v>170.16648477333575</v>
      </c>
      <c r="DQ86" s="13">
        <f t="shared" si="217"/>
        <v>157.54612501537378</v>
      </c>
      <c r="DR86" s="13">
        <f t="shared" si="218"/>
        <v>146.22978253717446</v>
      </c>
      <c r="DS86" s="13">
        <f t="shared" si="219"/>
        <v>136.04029716246498</v>
      </c>
      <c r="DT86" s="13">
        <f t="shared" si="220"/>
        <v>126.84216083882932</v>
      </c>
      <c r="DU86" s="13">
        <f t="shared" si="221"/>
        <v>118.52799034288013</v>
      </c>
      <c r="DV86" s="13">
        <f t="shared" si="222"/>
        <v>111.00931715661618</v>
      </c>
      <c r="DW86" s="13">
        <f t="shared" si="223"/>
        <v>104.21024607488918</v>
      </c>
      <c r="DX86" s="13">
        <f t="shared" si="224"/>
        <v>98.063054979385683</v>
      </c>
      <c r="DY86" s="13">
        <f t="shared" si="225"/>
        <v>92.505132025477437</v>
      </c>
      <c r="DZ86" s="13">
        <f t="shared" si="226"/>
        <v>87.476850447743004</v>
      </c>
      <c r="EA86" s="13">
        <f t="shared" si="227"/>
        <v>82.920111435204277</v>
      </c>
      <c r="EB86" s="13">
        <f t="shared" si="228"/>
        <v>78.777369887778519</v>
      </c>
      <c r="EC86" s="13">
        <f t="shared" si="229"/>
        <v>74.991013294675071</v>
      </c>
      <c r="ED86" s="13">
        <f t="shared" si="230"/>
        <v>71.503000907255</v>
      </c>
      <c r="EE86" s="13">
        <f t="shared" si="231"/>
        <v>68.254695300060206</v>
      </c>
      <c r="EF86" s="13">
        <f t="shared" si="232"/>
        <v>65.186835396172725</v>
      </c>
      <c r="EG86" s="13">
        <f t="shared" si="233"/>
        <v>62.239611653493569</v>
      </c>
      <c r="EH86" s="13">
        <f t="shared" si="234"/>
        <v>59.352812004995052</v>
      </c>
    </row>
    <row r="87" spans="5:138" x14ac:dyDescent="0.25">
      <c r="E87" s="95"/>
      <c r="F87" s="26">
        <v>5.6666666666666671E-2</v>
      </c>
      <c r="G87" s="13">
        <f t="shared" si="139"/>
        <v>300</v>
      </c>
      <c r="H87" s="13">
        <f t="shared" si="235"/>
        <v>1101.258410823232</v>
      </c>
      <c r="I87" s="13">
        <f t="shared" si="236"/>
        <v>890.39814667932615</v>
      </c>
      <c r="J87" s="13">
        <f t="shared" si="237"/>
        <v>743.01698257534713</v>
      </c>
      <c r="K87" s="13">
        <f t="shared" si="238"/>
        <v>636.17615120978053</v>
      </c>
      <c r="L87" s="13">
        <f t="shared" si="239"/>
        <v>555.83659192067842</v>
      </c>
      <c r="M87" s="13">
        <f t="shared" si="240"/>
        <v>493.27091753158243</v>
      </c>
      <c r="N87" s="13">
        <f t="shared" si="241"/>
        <v>442.96245013666305</v>
      </c>
      <c r="O87" s="13">
        <f t="shared" si="242"/>
        <v>401.36232483755117</v>
      </c>
      <c r="P87" s="13">
        <f t="shared" si="243"/>
        <v>366.1456466158333</v>
      </c>
      <c r="Q87" s="13">
        <f t="shared" si="244"/>
        <v>335.76055132774252</v>
      </c>
      <c r="R87" s="13">
        <f t="shared" si="245"/>
        <v>309.15095760786687</v>
      </c>
      <c r="S87" s="13">
        <f t="shared" si="246"/>
        <v>285.58350722199731</v>
      </c>
      <c r="T87" s="13">
        <f t="shared" si="247"/>
        <v>264.53779993115859</v>
      </c>
      <c r="U87" s="13">
        <f t="shared" si="248"/>
        <v>245.63561525049022</v>
      </c>
      <c r="V87" s="13">
        <f t="shared" si="249"/>
        <v>228.59451000458947</v>
      </c>
      <c r="W87" s="13">
        <f t="shared" si="250"/>
        <v>213.19690165869184</v>
      </c>
      <c r="X87" s="13">
        <f t="shared" si="251"/>
        <v>199.26915700627234</v>
      </c>
      <c r="Y87" s="13">
        <f t="shared" si="252"/>
        <v>186.6672599851816</v>
      </c>
      <c r="Z87" s="13">
        <f t="shared" si="253"/>
        <v>175.26688443131968</v>
      </c>
      <c r="AA87" s="13">
        <f t="shared" si="254"/>
        <v>164.95647014818204</v>
      </c>
      <c r="AB87" s="13">
        <f t="shared" si="255"/>
        <v>155.63238359942437</v>
      </c>
      <c r="AC87" s="13">
        <f t="shared" si="256"/>
        <v>147.19555052037609</v>
      </c>
      <c r="AD87" s="13">
        <f t="shared" si="257"/>
        <v>139.54914435781748</v>
      </c>
      <c r="AE87" s="13">
        <f t="shared" si="258"/>
        <v>132.59704260455177</v>
      </c>
      <c r="AF87" s="13">
        <f t="shared" si="259"/>
        <v>126.24284783890616</v>
      </c>
      <c r="AG87" s="13">
        <f t="shared" si="260"/>
        <v>120.38932709805678</v>
      </c>
      <c r="AH87" s="13">
        <f t="shared" si="261"/>
        <v>114.93816178757427</v>
      </c>
      <c r="AI87" s="13">
        <f t="shared" si="262"/>
        <v>109.7899267656511</v>
      </c>
      <c r="AJ87" s="13">
        <f t="shared" si="263"/>
        <v>104.84423542399419</v>
      </c>
      <c r="AK87" s="13">
        <f t="shared" si="141"/>
        <v>100</v>
      </c>
      <c r="AL87" s="86"/>
      <c r="AM87" s="26">
        <v>5.6666666666666671E-2</v>
      </c>
      <c r="AN87" s="13">
        <f t="shared" si="142"/>
        <v>-1076400000</v>
      </c>
      <c r="AO87" s="13">
        <f t="shared" si="143"/>
        <v>-4567602704.6370687</v>
      </c>
      <c r="AP87" s="13">
        <f t="shared" si="144"/>
        <v>-3570063800.0123835</v>
      </c>
      <c r="AQ87" s="13">
        <f t="shared" si="145"/>
        <v>-2898479099.1956906</v>
      </c>
      <c r="AR87" s="13">
        <f t="shared" si="146"/>
        <v>-2429435345.6398206</v>
      </c>
      <c r="AS87" s="13">
        <f t="shared" si="147"/>
        <v>-2088978543.3102424</v>
      </c>
      <c r="AT87" s="13">
        <f t="shared" si="148"/>
        <v>-1832172623.9729729</v>
      </c>
      <c r="AU87" s="13">
        <f t="shared" si="149"/>
        <v>-1631290029.5042381</v>
      </c>
      <c r="AV87" s="13">
        <f t="shared" si="150"/>
        <v>-1468932585.7759986</v>
      </c>
      <c r="AW87" s="13">
        <f t="shared" si="151"/>
        <v>-1333985710.294282</v>
      </c>
      <c r="AX87" s="13">
        <f t="shared" si="152"/>
        <v>-1219212689.7125759</v>
      </c>
      <c r="AY87" s="13">
        <f t="shared" si="153"/>
        <v>-1119806335.7310965</v>
      </c>
      <c r="AZ87" s="13">
        <f t="shared" si="154"/>
        <v>-1032504939.4413624</v>
      </c>
      <c r="BA87" s="13">
        <f t="shared" si="155"/>
        <v>-955044511.21400177</v>
      </c>
      <c r="BB87" s="13">
        <f t="shared" si="156"/>
        <v>-885813913.00215149</v>
      </c>
      <c r="BC87" s="13">
        <f t="shared" si="157"/>
        <v>-823634089.61293578</v>
      </c>
      <c r="BD87" s="13">
        <f t="shared" si="158"/>
        <v>-767614352.68493664</v>
      </c>
      <c r="BE87" s="13">
        <f t="shared" si="159"/>
        <v>-717057289.9054513</v>
      </c>
      <c r="BF87" s="13">
        <f t="shared" si="160"/>
        <v>-671394896.31049788</v>
      </c>
      <c r="BG87" s="13">
        <f t="shared" si="161"/>
        <v>-630145121.09403074</v>
      </c>
      <c r="BH87" s="13">
        <f t="shared" si="162"/>
        <v>-592882015.95307541</v>
      </c>
      <c r="BI87" s="13">
        <f t="shared" si="163"/>
        <v>-559215117.48559976</v>
      </c>
      <c r="BJ87" s="13">
        <f t="shared" si="164"/>
        <v>-528775215.08078241</v>
      </c>
      <c r="BK87" s="13">
        <f t="shared" si="165"/>
        <v>-501204611.92991316</v>
      </c>
      <c r="BL87" s="13">
        <f t="shared" si="166"/>
        <v>-476150597.45770913</v>
      </c>
      <c r="BM87" s="13">
        <f t="shared" si="167"/>
        <v>-453261245.24778903</v>
      </c>
      <c r="BN87" s="13">
        <f t="shared" si="168"/>
        <v>-432182910.77143729</v>
      </c>
      <c r="BO87" s="13">
        <f t="shared" si="169"/>
        <v>-412558976.6447348</v>
      </c>
      <c r="BP87" s="13">
        <f t="shared" si="170"/>
        <v>-394029509.94516599</v>
      </c>
      <c r="BQ87" s="13">
        <f t="shared" si="171"/>
        <v>-376231575.21023095</v>
      </c>
      <c r="BR87" s="13">
        <f t="shared" si="172"/>
        <v>-358800000</v>
      </c>
      <c r="BT87" s="86"/>
      <c r="BU87" s="26">
        <v>5.6666666666666671E-2</v>
      </c>
      <c r="BV87" s="13">
        <f t="shared" si="173"/>
        <v>0.40647187995008499</v>
      </c>
      <c r="BW87" s="13">
        <f t="shared" si="174"/>
        <v>0.40647187995008499</v>
      </c>
      <c r="BX87" s="13">
        <f t="shared" si="175"/>
        <v>0.40647187995008499</v>
      </c>
      <c r="BY87" s="13">
        <f t="shared" si="176"/>
        <v>0.40647187995008499</v>
      </c>
      <c r="BZ87" s="13">
        <f t="shared" si="177"/>
        <v>0.40647187995008499</v>
      </c>
      <c r="CA87" s="13">
        <f t="shared" si="178"/>
        <v>0.40647187995008499</v>
      </c>
      <c r="CB87" s="13">
        <f t="shared" si="179"/>
        <v>0.40647187995008499</v>
      </c>
      <c r="CC87" s="13">
        <f t="shared" si="180"/>
        <v>0.40647187995008499</v>
      </c>
      <c r="CD87" s="13">
        <f t="shared" si="181"/>
        <v>0.40647187995008499</v>
      </c>
      <c r="CE87" s="13">
        <f t="shared" si="182"/>
        <v>0.40647187995008499</v>
      </c>
      <c r="CF87" s="13">
        <f t="shared" si="183"/>
        <v>0.40647187995008499</v>
      </c>
      <c r="CG87" s="13">
        <f t="shared" si="184"/>
        <v>0.40647187995008499</v>
      </c>
      <c r="CH87" s="13">
        <f t="shared" si="185"/>
        <v>0.40647187995008499</v>
      </c>
      <c r="CI87" s="13">
        <f t="shared" si="186"/>
        <v>0.40647187995008499</v>
      </c>
      <c r="CJ87" s="13">
        <f t="shared" si="187"/>
        <v>0.40647187995008499</v>
      </c>
      <c r="CK87" s="13">
        <f t="shared" si="188"/>
        <v>0.40647187995008499</v>
      </c>
      <c r="CL87" s="13">
        <f t="shared" si="189"/>
        <v>0.40647187995008499</v>
      </c>
      <c r="CM87" s="13">
        <f t="shared" si="190"/>
        <v>0.40647187995008499</v>
      </c>
      <c r="CN87" s="13">
        <f t="shared" si="191"/>
        <v>0.40647187995008499</v>
      </c>
      <c r="CO87" s="13">
        <f t="shared" si="192"/>
        <v>0.40647187995008499</v>
      </c>
      <c r="CP87" s="13">
        <f t="shared" si="193"/>
        <v>0.40647187995008499</v>
      </c>
      <c r="CQ87" s="13">
        <f t="shared" si="194"/>
        <v>0.40647187995008499</v>
      </c>
      <c r="CR87" s="13">
        <f t="shared" si="195"/>
        <v>0.40647187995008499</v>
      </c>
      <c r="CS87" s="13">
        <f t="shared" si="196"/>
        <v>0.40647187995008499</v>
      </c>
      <c r="CT87" s="13">
        <f t="shared" si="197"/>
        <v>0.40647187995008499</v>
      </c>
      <c r="CU87" s="13">
        <f t="shared" si="198"/>
        <v>0.40647187995008499</v>
      </c>
      <c r="CV87" s="13">
        <f t="shared" si="199"/>
        <v>0.40647187995008499</v>
      </c>
      <c r="CW87" s="13">
        <f t="shared" si="200"/>
        <v>0.40647187995008499</v>
      </c>
      <c r="CX87" s="13">
        <f t="shared" si="201"/>
        <v>0.40647187995008499</v>
      </c>
      <c r="CY87" s="13">
        <f t="shared" si="202"/>
        <v>0.40647187995008499</v>
      </c>
      <c r="CZ87" s="13">
        <f t="shared" si="203"/>
        <v>0.40647187995008499</v>
      </c>
      <c r="DB87" s="86"/>
      <c r="DC87" s="26">
        <v>5.6666666666666671E-2</v>
      </c>
      <c r="DD87" s="13">
        <f t="shared" si="204"/>
        <v>178.05843601497452</v>
      </c>
      <c r="DE87" s="13">
        <f t="shared" si="205"/>
        <v>684.15767352445448</v>
      </c>
      <c r="DF87" s="13">
        <f t="shared" si="206"/>
        <v>547.16179550199365</v>
      </c>
      <c r="DG87" s="13">
        <f t="shared" si="207"/>
        <v>452.60439924430875</v>
      </c>
      <c r="DH87" s="13">
        <f t="shared" si="208"/>
        <v>384.89052044849535</v>
      </c>
      <c r="DI87" s="13">
        <f t="shared" si="209"/>
        <v>334.55089903489647</v>
      </c>
      <c r="DJ87" s="13">
        <f t="shared" si="210"/>
        <v>295.74717515890393</v>
      </c>
      <c r="DK87" s="13">
        <f t="shared" si="211"/>
        <v>264.81963844612994</v>
      </c>
      <c r="DL87" s="13">
        <f t="shared" si="212"/>
        <v>239.43358463922661</v>
      </c>
      <c r="DM87" s="13">
        <f t="shared" si="213"/>
        <v>218.07194135046529</v>
      </c>
      <c r="DN87" s="13">
        <f t="shared" si="214"/>
        <v>199.72992990887451</v>
      </c>
      <c r="DO87" s="13">
        <f t="shared" si="215"/>
        <v>183.72877341366737</v>
      </c>
      <c r="DP87" s="13">
        <f t="shared" si="216"/>
        <v>169.60033127175333</v>
      </c>
      <c r="DQ87" s="13">
        <f t="shared" si="217"/>
        <v>157.01451402087267</v>
      </c>
      <c r="DR87" s="13">
        <f t="shared" si="218"/>
        <v>145.73285293000936</v>
      </c>
      <c r="DS87" s="13">
        <f t="shared" si="219"/>
        <v>135.57829679821697</v>
      </c>
      <c r="DT87" s="13">
        <f t="shared" si="220"/>
        <v>126.41523705418233</v>
      </c>
      <c r="DU87" s="13">
        <f t="shared" si="221"/>
        <v>118.13608921853843</v>
      </c>
      <c r="DV87" s="13">
        <f t="shared" si="222"/>
        <v>110.65215175564774</v>
      </c>
      <c r="DW87" s="13">
        <f t="shared" si="223"/>
        <v>103.88730677760843</v>
      </c>
      <c r="DX87" s="13">
        <f t="shared" si="224"/>
        <v>97.773644017678265</v>
      </c>
      <c r="DY87" s="13">
        <f t="shared" si="225"/>
        <v>92.24841044286255</v>
      </c>
      <c r="DZ87" s="13">
        <f t="shared" si="226"/>
        <v>87.251889845134286</v>
      </c>
      <c r="EA87" s="13">
        <f t="shared" si="227"/>
        <v>82.72594563907036</v>
      </c>
      <c r="EB87" s="13">
        <f t="shared" si="228"/>
        <v>78.613043534519051</v>
      </c>
      <c r="EC87" s="13">
        <f t="shared" si="229"/>
        <v>74.855625557526025</v>
      </c>
      <c r="ED87" s="13">
        <f t="shared" si="230"/>
        <v>71.395743397461345</v>
      </c>
      <c r="EE87" s="13">
        <f t="shared" si="231"/>
        <v>68.174883685174464</v>
      </c>
      <c r="EF87" s="13">
        <f t="shared" si="232"/>
        <v>65.133934585454696</v>
      </c>
      <c r="EG87" s="13">
        <f t="shared" si="233"/>
        <v>62.213254566055639</v>
      </c>
      <c r="EH87" s="13">
        <f t="shared" si="234"/>
        <v>59.352812004991506</v>
      </c>
    </row>
    <row r="88" spans="5:138" x14ac:dyDescent="0.25">
      <c r="E88" s="95"/>
      <c r="F88" s="26">
        <v>5.3333333333333337E-2</v>
      </c>
      <c r="G88" s="13">
        <f t="shared" si="139"/>
        <v>300</v>
      </c>
      <c r="H88" s="13">
        <f t="shared" si="235"/>
        <v>1027.5060408066925</v>
      </c>
      <c r="I88" s="13">
        <f t="shared" si="236"/>
        <v>845.71215415865913</v>
      </c>
      <c r="J88" s="13">
        <f t="shared" si="237"/>
        <v>715.39476876473839</v>
      </c>
      <c r="K88" s="13">
        <f t="shared" si="238"/>
        <v>618.67323622866502</v>
      </c>
      <c r="L88" s="13">
        <f t="shared" si="239"/>
        <v>544.40813295471912</v>
      </c>
      <c r="M88" s="13">
        <f t="shared" si="240"/>
        <v>485.54264177938387</v>
      </c>
      <c r="N88" s="13">
        <f t="shared" si="241"/>
        <v>437.5282656869112</v>
      </c>
      <c r="O88" s="13">
        <f t="shared" si="242"/>
        <v>397.38112116676928</v>
      </c>
      <c r="P88" s="13">
        <f t="shared" si="243"/>
        <v>363.10859195260423</v>
      </c>
      <c r="Q88" s="13">
        <f t="shared" si="244"/>
        <v>333.35593605322134</v>
      </c>
      <c r="R88" s="13">
        <f t="shared" si="245"/>
        <v>307.18511929213241</v>
      </c>
      <c r="S88" s="13">
        <f t="shared" si="246"/>
        <v>283.93418751598273</v>
      </c>
      <c r="T88" s="13">
        <f t="shared" si="247"/>
        <v>263.12638568550705</v>
      </c>
      <c r="U88" s="13">
        <f t="shared" si="248"/>
        <v>244.41046205978344</v>
      </c>
      <c r="V88" s="13">
        <f t="shared" si="249"/>
        <v>227.52082692908473</v>
      </c>
      <c r="W88" s="13">
        <f t="shared" si="250"/>
        <v>212.25055772756667</v>
      </c>
      <c r="X88" s="13">
        <f t="shared" si="251"/>
        <v>198.43285574444394</v>
      </c>
      <c r="Y88" s="13">
        <f t="shared" si="252"/>
        <v>185.92815871130477</v>
      </c>
      <c r="Z88" s="13">
        <f t="shared" si="253"/>
        <v>174.61510410027307</v>
      </c>
      <c r="AA88" s="13">
        <f t="shared" si="254"/>
        <v>164.38415940786467</v>
      </c>
      <c r="AB88" s="13">
        <f t="shared" si="255"/>
        <v>155.13313066252039</v>
      </c>
      <c r="AC88" s="13">
        <f t="shared" si="256"/>
        <v>146.76401476491603</v>
      </c>
      <c r="AD88" s="13">
        <f t="shared" si="257"/>
        <v>139.18082731490048</v>
      </c>
      <c r="AE88" s="13">
        <f t="shared" si="258"/>
        <v>132.28814744671035</v>
      </c>
      <c r="AF88" s="13">
        <f t="shared" si="259"/>
        <v>125.99019487244806</v>
      </c>
      <c r="AG88" s="13">
        <f t="shared" si="260"/>
        <v>120.19030437895825</v>
      </c>
      <c r="AH88" s="13">
        <f t="shared" si="261"/>
        <v>114.79069740130657</v>
      </c>
      <c r="AI88" s="13">
        <f t="shared" si="262"/>
        <v>109.69247410581782</v>
      </c>
      <c r="AJ88" s="13">
        <f t="shared" si="263"/>
        <v>104.7957659430451</v>
      </c>
      <c r="AK88" s="13">
        <f t="shared" si="141"/>
        <v>100</v>
      </c>
      <c r="AL88" s="86"/>
      <c r="AM88" s="26">
        <v>5.3333333333333337E-2</v>
      </c>
      <c r="AN88" s="13">
        <f t="shared" si="142"/>
        <v>-1076400000</v>
      </c>
      <c r="AO88" s="13">
        <f t="shared" si="143"/>
        <v>-4151939753.9169769</v>
      </c>
      <c r="AP88" s="13">
        <f t="shared" si="144"/>
        <v>-3325436081.6508799</v>
      </c>
      <c r="AQ88" s="13">
        <f t="shared" si="145"/>
        <v>-2751829572.6754637</v>
      </c>
      <c r="AR88" s="13">
        <f t="shared" si="146"/>
        <v>-2339558949.9027123</v>
      </c>
      <c r="AS88" s="13">
        <f t="shared" si="147"/>
        <v>-2032405733.4826732</v>
      </c>
      <c r="AT88" s="13">
        <f t="shared" si="148"/>
        <v>-1795406988.1628194</v>
      </c>
      <c r="AU88" s="13">
        <f t="shared" si="149"/>
        <v>-1606494493.0846124</v>
      </c>
      <c r="AV88" s="13">
        <f t="shared" si="150"/>
        <v>-1451509728.555037</v>
      </c>
      <c r="AW88" s="13">
        <f t="shared" si="151"/>
        <v>-1321208926.3016839</v>
      </c>
      <c r="AX88" s="13">
        <f t="shared" si="152"/>
        <v>-1209445472.4431636</v>
      </c>
      <c r="AY88" s="13">
        <f t="shared" si="153"/>
        <v>-1112053351.1829147</v>
      </c>
      <c r="AZ88" s="13">
        <f t="shared" si="154"/>
        <v>-1026151707.2006483</v>
      </c>
      <c r="BA88" s="13">
        <f t="shared" si="155"/>
        <v>-949705124.02160084</v>
      </c>
      <c r="BB88" s="13">
        <f t="shared" si="156"/>
        <v>-881241136.19211161</v>
      </c>
      <c r="BC88" s="13">
        <f t="shared" si="157"/>
        <v>-819665782.48053324</v>
      </c>
      <c r="BD88" s="13">
        <f t="shared" si="158"/>
        <v>-764141230.25061786</v>
      </c>
      <c r="BE88" s="13">
        <f t="shared" si="159"/>
        <v>-714003343.43844151</v>
      </c>
      <c r="BF88" s="13">
        <f t="shared" si="160"/>
        <v>-668705398.36880064</v>
      </c>
      <c r="BG88" s="13">
        <f t="shared" si="161"/>
        <v>-627779221.50999725</v>
      </c>
      <c r="BH88" s="13">
        <f t="shared" si="162"/>
        <v>-590808144.86926401</v>
      </c>
      <c r="BI88" s="13">
        <f t="shared" si="163"/>
        <v>-557408121.03525639</v>
      </c>
      <c r="BJ88" s="13">
        <f t="shared" si="164"/>
        <v>-527214569.46572602</v>
      </c>
      <c r="BK88" s="13">
        <f t="shared" si="165"/>
        <v>-499873313.08763123</v>
      </c>
      <c r="BL88" s="13">
        <f t="shared" si="166"/>
        <v>-475034475.67392868</v>
      </c>
      <c r="BM88" s="13">
        <f t="shared" si="167"/>
        <v>-452348547.24090737</v>
      </c>
      <c r="BN88" s="13">
        <f t="shared" si="168"/>
        <v>-431464049.51191139</v>
      </c>
      <c r="BO88" s="13">
        <f t="shared" si="169"/>
        <v>-412026385.3916449</v>
      </c>
      <c r="BP88" s="13">
        <f t="shared" si="170"/>
        <v>-393677559.99768078</v>
      </c>
      <c r="BQ88" s="13">
        <f t="shared" si="171"/>
        <v>-376056531.72182894</v>
      </c>
      <c r="BR88" s="13">
        <f t="shared" si="172"/>
        <v>-358800000</v>
      </c>
      <c r="BT88" s="86"/>
      <c r="BU88" s="26">
        <v>5.3333333333333337E-2</v>
      </c>
      <c r="BV88" s="13">
        <f t="shared" si="173"/>
        <v>0.40647187995029982</v>
      </c>
      <c r="BW88" s="13">
        <f t="shared" si="174"/>
        <v>0.40647187995029982</v>
      </c>
      <c r="BX88" s="13">
        <f t="shared" si="175"/>
        <v>0.40647187995029982</v>
      </c>
      <c r="BY88" s="13">
        <f t="shared" si="176"/>
        <v>0.40647187995029982</v>
      </c>
      <c r="BZ88" s="13">
        <f t="shared" si="177"/>
        <v>0.40647187995029982</v>
      </c>
      <c r="CA88" s="13">
        <f t="shared" si="178"/>
        <v>0.40647187995029982</v>
      </c>
      <c r="CB88" s="13">
        <f t="shared" si="179"/>
        <v>0.40647187995029982</v>
      </c>
      <c r="CC88" s="13">
        <f t="shared" si="180"/>
        <v>0.40647187995029982</v>
      </c>
      <c r="CD88" s="13">
        <f t="shared" si="181"/>
        <v>0.40647187995029982</v>
      </c>
      <c r="CE88" s="13">
        <f t="shared" si="182"/>
        <v>0.40647187995029982</v>
      </c>
      <c r="CF88" s="13">
        <f t="shared" si="183"/>
        <v>0.40647187995029982</v>
      </c>
      <c r="CG88" s="13">
        <f t="shared" si="184"/>
        <v>0.40647187995029982</v>
      </c>
      <c r="CH88" s="13">
        <f t="shared" si="185"/>
        <v>0.40647187995029982</v>
      </c>
      <c r="CI88" s="13">
        <f t="shared" si="186"/>
        <v>0.40647187995029982</v>
      </c>
      <c r="CJ88" s="13">
        <f t="shared" si="187"/>
        <v>0.40647187995029982</v>
      </c>
      <c r="CK88" s="13">
        <f t="shared" si="188"/>
        <v>0.40647187995029982</v>
      </c>
      <c r="CL88" s="13">
        <f t="shared" si="189"/>
        <v>0.40647187995029982</v>
      </c>
      <c r="CM88" s="13">
        <f t="shared" si="190"/>
        <v>0.40647187995029982</v>
      </c>
      <c r="CN88" s="13">
        <f t="shared" si="191"/>
        <v>0.40647187995029982</v>
      </c>
      <c r="CO88" s="13">
        <f t="shared" si="192"/>
        <v>0.40647187995029982</v>
      </c>
      <c r="CP88" s="13">
        <f t="shared" si="193"/>
        <v>0.40647187995029982</v>
      </c>
      <c r="CQ88" s="13">
        <f t="shared" si="194"/>
        <v>0.40647187995029982</v>
      </c>
      <c r="CR88" s="13">
        <f t="shared" si="195"/>
        <v>0.40647187995029982</v>
      </c>
      <c r="CS88" s="13">
        <f t="shared" si="196"/>
        <v>0.40647187995029982</v>
      </c>
      <c r="CT88" s="13">
        <f t="shared" si="197"/>
        <v>0.40647187995029982</v>
      </c>
      <c r="CU88" s="13">
        <f t="shared" si="198"/>
        <v>0.40647187995029982</v>
      </c>
      <c r="CV88" s="13">
        <f t="shared" si="199"/>
        <v>0.40647187995029982</v>
      </c>
      <c r="CW88" s="13">
        <f t="shared" si="200"/>
        <v>0.40647187995029982</v>
      </c>
      <c r="CX88" s="13">
        <f t="shared" si="201"/>
        <v>0.40647187995029982</v>
      </c>
      <c r="CY88" s="13">
        <f t="shared" si="202"/>
        <v>0.40647187995029982</v>
      </c>
      <c r="CZ88" s="13">
        <f t="shared" si="203"/>
        <v>0.40647187995029982</v>
      </c>
      <c r="DB88" s="86"/>
      <c r="DC88" s="26">
        <v>5.3333333333333337E-2</v>
      </c>
      <c r="DD88" s="13">
        <f t="shared" si="204"/>
        <v>178.05843601491006</v>
      </c>
      <c r="DE88" s="13">
        <f t="shared" si="205"/>
        <v>579.87546424829361</v>
      </c>
      <c r="DF88" s="13">
        <f t="shared" si="206"/>
        <v>483.79034557365065</v>
      </c>
      <c r="DG88" s="13">
        <f t="shared" si="207"/>
        <v>413.37925902233786</v>
      </c>
      <c r="DH88" s="13">
        <f t="shared" si="208"/>
        <v>360.08552006687938</v>
      </c>
      <c r="DI88" s="13">
        <f t="shared" si="209"/>
        <v>318.47618849155333</v>
      </c>
      <c r="DJ88" s="13">
        <f t="shared" si="210"/>
        <v>285.04188460551228</v>
      </c>
      <c r="DK88" s="13">
        <f t="shared" si="211"/>
        <v>257.47648583247081</v>
      </c>
      <c r="DL88" s="13">
        <f t="shared" si="212"/>
        <v>234.2386224488269</v>
      </c>
      <c r="DM88" s="13">
        <f t="shared" si="213"/>
        <v>214.28068263704836</v>
      </c>
      <c r="DN88" s="13">
        <f t="shared" si="214"/>
        <v>196.87871354188471</v>
      </c>
      <c r="DO88" s="13">
        <f t="shared" si="215"/>
        <v>181.52394836482733</v>
      </c>
      <c r="DP88" s="13">
        <f t="shared" si="216"/>
        <v>167.85252245265747</v>
      </c>
      <c r="DQ88" s="13">
        <f t="shared" si="217"/>
        <v>155.59920882957272</v>
      </c>
      <c r="DR88" s="13">
        <f t="shared" si="218"/>
        <v>144.56649174616814</v>
      </c>
      <c r="DS88" s="13">
        <f t="shared" si="219"/>
        <v>134.60358670120164</v>
      </c>
      <c r="DT88" s="13">
        <f t="shared" si="220"/>
        <v>125.59201231077903</v>
      </c>
      <c r="DU88" s="13">
        <f t="shared" si="221"/>
        <v>117.43554687999297</v>
      </c>
      <c r="DV88" s="13">
        <f t="shared" si="222"/>
        <v>110.05316661995661</v>
      </c>
      <c r="DW88" s="13">
        <f t="shared" si="223"/>
        <v>103.37404409244263</v>
      </c>
      <c r="DX88" s="13">
        <f t="shared" si="224"/>
        <v>97.33399287676761</v>
      </c>
      <c r="DY88" s="13">
        <f t="shared" si="225"/>
        <v>91.87294311971614</v>
      </c>
      <c r="DZ88" s="13">
        <f t="shared" si="226"/>
        <v>86.933162624579424</v>
      </c>
      <c r="EA88" s="13">
        <f t="shared" si="227"/>
        <v>82.458024262322638</v>
      </c>
      <c r="EB88" s="13">
        <f t="shared" si="228"/>
        <v>78.391178263388213</v>
      </c>
      <c r="EC88" s="13">
        <f t="shared" si="229"/>
        <v>74.67602718108823</v>
      </c>
      <c r="ED88" s="13">
        <f t="shared" si="230"/>
        <v>71.255428267459536</v>
      </c>
      <c r="EE88" s="13">
        <f t="shared" si="231"/>
        <v>68.07156670147954</v>
      </c>
      <c r="EF88" s="13">
        <f t="shared" si="232"/>
        <v>65.065956173777877</v>
      </c>
      <c r="EG88" s="13">
        <f t="shared" si="233"/>
        <v>62.179532468302355</v>
      </c>
      <c r="EH88" s="13">
        <f t="shared" si="234"/>
        <v>59.352812004970019</v>
      </c>
    </row>
    <row r="89" spans="5:138" x14ac:dyDescent="0.25">
      <c r="E89" s="95"/>
      <c r="F89" s="26">
        <v>0.05</v>
      </c>
      <c r="G89" s="13">
        <f t="shared" si="139"/>
        <v>300</v>
      </c>
      <c r="H89" s="13">
        <f t="shared" si="235"/>
        <v>841.37490762528182</v>
      </c>
      <c r="I89" s="13">
        <f t="shared" si="236"/>
        <v>730.73126489170932</v>
      </c>
      <c r="J89" s="13">
        <f t="shared" si="237"/>
        <v>643.08822105374725</v>
      </c>
      <c r="K89" s="13">
        <f t="shared" si="238"/>
        <v>572.24293518130264</v>
      </c>
      <c r="L89" s="13">
        <f t="shared" si="239"/>
        <v>513.88079658751781</v>
      </c>
      <c r="M89" s="13">
        <f t="shared" si="240"/>
        <v>464.94480335607659</v>
      </c>
      <c r="N89" s="13">
        <f t="shared" si="241"/>
        <v>423.24309674441167</v>
      </c>
      <c r="O89" s="13">
        <f t="shared" si="242"/>
        <v>387.19067454703338</v>
      </c>
      <c r="P89" s="13">
        <f t="shared" si="243"/>
        <v>355.633059420839</v>
      </c>
      <c r="Q89" s="13">
        <f t="shared" si="244"/>
        <v>327.72321114483407</v>
      </c>
      <c r="R89" s="13">
        <f t="shared" si="245"/>
        <v>302.83446378732936</v>
      </c>
      <c r="S89" s="13">
        <f t="shared" si="246"/>
        <v>280.49843244926706</v>
      </c>
      <c r="T89" s="13">
        <f t="shared" si="247"/>
        <v>260.36046608188406</v>
      </c>
      <c r="U89" s="13">
        <f t="shared" si="248"/>
        <v>242.14753149670742</v>
      </c>
      <c r="V89" s="13">
        <f t="shared" si="249"/>
        <v>225.64495654464832</v>
      </c>
      <c r="W89" s="13">
        <f t="shared" si="250"/>
        <v>210.67952077129451</v>
      </c>
      <c r="X89" s="13">
        <f t="shared" si="251"/>
        <v>197.1071204180318</v>
      </c>
      <c r="Y89" s="13">
        <f t="shared" si="252"/>
        <v>184.803751902974</v>
      </c>
      <c r="Z89" s="13">
        <f t="shared" si="253"/>
        <v>173.65892087110629</v>
      </c>
      <c r="AA89" s="13">
        <f t="shared" si="254"/>
        <v>163.57083878497588</v>
      </c>
      <c r="AB89" s="13">
        <f t="shared" si="255"/>
        <v>154.4429482043281</v>
      </c>
      <c r="AC89" s="13">
        <f t="shared" si="256"/>
        <v>146.18144410868126</v>
      </c>
      <c r="AD89" s="13">
        <f t="shared" si="257"/>
        <v>138.69354778846457</v>
      </c>
      <c r="AE89" s="13">
        <f t="shared" si="258"/>
        <v>131.88635310163903</v>
      </c>
      <c r="AF89" s="13">
        <f t="shared" si="259"/>
        <v>125.66611001261705</v>
      </c>
      <c r="AG89" s="13">
        <f t="shared" si="260"/>
        <v>119.93784267430192</v>
      </c>
      <c r="AH89" s="13">
        <f t="shared" si="261"/>
        <v>114.60522260060483</v>
      </c>
      <c r="AI89" s="13">
        <f t="shared" si="262"/>
        <v>109.57063427062067</v>
      </c>
      <c r="AJ89" s="13">
        <f t="shared" si="263"/>
        <v>104.73538256881504</v>
      </c>
      <c r="AK89" s="13">
        <f t="shared" si="141"/>
        <v>100</v>
      </c>
      <c r="AL89" s="86"/>
      <c r="AM89" s="26">
        <v>0.05</v>
      </c>
      <c r="AN89" s="13">
        <f t="shared" si="142"/>
        <v>-1076400000</v>
      </c>
      <c r="AO89" s="13">
        <f t="shared" si="143"/>
        <v>-3253737424.0565128</v>
      </c>
      <c r="AP89" s="13">
        <f t="shared" si="144"/>
        <v>-2764581785.9621754</v>
      </c>
      <c r="AQ89" s="13">
        <f t="shared" si="145"/>
        <v>-2399792196.7405615</v>
      </c>
      <c r="AR89" s="13">
        <f t="shared" si="146"/>
        <v>-2116080958.6164467</v>
      </c>
      <c r="AS89" s="13">
        <f t="shared" si="147"/>
        <v>-1888182032.446769</v>
      </c>
      <c r="AT89" s="13">
        <f t="shared" si="148"/>
        <v>-1700366806.5591242</v>
      </c>
      <c r="AU89" s="13">
        <f t="shared" si="149"/>
        <v>-1542315198.5097184</v>
      </c>
      <c r="AV89" s="13">
        <f t="shared" si="150"/>
        <v>-1406984168.9050255</v>
      </c>
      <c r="AW89" s="13">
        <f t="shared" si="151"/>
        <v>-1289429568.3935509</v>
      </c>
      <c r="AX89" s="13">
        <f t="shared" si="152"/>
        <v>-1186108607.5684893</v>
      </c>
      <c r="AY89" s="13">
        <f t="shared" si="153"/>
        <v>-1094441205.244849</v>
      </c>
      <c r="AZ89" s="13">
        <f t="shared" si="154"/>
        <v>-1012520801.6965699</v>
      </c>
      <c r="BA89" s="13">
        <f t="shared" si="155"/>
        <v>-938917107.18269646</v>
      </c>
      <c r="BB89" s="13">
        <f t="shared" si="156"/>
        <v>-872538365.03475058</v>
      </c>
      <c r="BC89" s="13">
        <f t="shared" si="157"/>
        <v>-812533625.10954535</v>
      </c>
      <c r="BD89" s="13">
        <f t="shared" si="158"/>
        <v>-758222644.3545953</v>
      </c>
      <c r="BE89" s="13">
        <f t="shared" si="159"/>
        <v>-709045231.00783074</v>
      </c>
      <c r="BF89" s="13">
        <f t="shared" si="160"/>
        <v>-664524470.83822763</v>
      </c>
      <c r="BG89" s="13">
        <f t="shared" si="161"/>
        <v>-624239981.71747983</v>
      </c>
      <c r="BH89" s="13">
        <f t="shared" si="162"/>
        <v>-587808488.25158167</v>
      </c>
      <c r="BI89" s="13">
        <f t="shared" si="163"/>
        <v>-554869791.32913637</v>
      </c>
      <c r="BJ89" s="13">
        <f t="shared" si="164"/>
        <v>-525076749.76952279</v>
      </c>
      <c r="BK89" s="13">
        <f t="shared" si="165"/>
        <v>-498088270.28253394</v>
      </c>
      <c r="BL89" s="13">
        <f t="shared" si="166"/>
        <v>-473564568.79534346</v>
      </c>
      <c r="BM89" s="13">
        <f t="shared" si="167"/>
        <v>-451164155.26873827</v>
      </c>
      <c r="BN89" s="13">
        <f t="shared" si="168"/>
        <v>-430542128.83975965</v>
      </c>
      <c r="BO89" s="13">
        <f t="shared" si="169"/>
        <v>-411349466.53511417</v>
      </c>
      <c r="BP89" s="13">
        <f t="shared" si="170"/>
        <v>-393233057.90523338</v>
      </c>
      <c r="BQ89" s="13">
        <f t="shared" si="171"/>
        <v>-375836287.27221376</v>
      </c>
      <c r="BR89" s="13">
        <f t="shared" si="172"/>
        <v>-358800000</v>
      </c>
      <c r="BT89" s="86"/>
      <c r="BU89" s="26">
        <v>0.05</v>
      </c>
      <c r="BV89" s="13">
        <f t="shared" si="173"/>
        <v>0.40647187995160011</v>
      </c>
      <c r="BW89" s="13">
        <f t="shared" si="174"/>
        <v>0.40647187995160011</v>
      </c>
      <c r="BX89" s="13">
        <f t="shared" si="175"/>
        <v>0.40647187995160011</v>
      </c>
      <c r="BY89" s="13">
        <f t="shared" si="176"/>
        <v>0.40647187995160011</v>
      </c>
      <c r="BZ89" s="13">
        <f t="shared" si="177"/>
        <v>0.40647187995160011</v>
      </c>
      <c r="CA89" s="13">
        <f t="shared" si="178"/>
        <v>0.40647187995160011</v>
      </c>
      <c r="CB89" s="13">
        <f t="shared" si="179"/>
        <v>0.40647187995160011</v>
      </c>
      <c r="CC89" s="13">
        <f t="shared" si="180"/>
        <v>0.40647187995160011</v>
      </c>
      <c r="CD89" s="13">
        <f t="shared" si="181"/>
        <v>0.40647187995160011</v>
      </c>
      <c r="CE89" s="13">
        <f t="shared" si="182"/>
        <v>0.40647187995160011</v>
      </c>
      <c r="CF89" s="13">
        <f t="shared" si="183"/>
        <v>0.40647187995160011</v>
      </c>
      <c r="CG89" s="13">
        <f t="shared" si="184"/>
        <v>0.40647187995160011</v>
      </c>
      <c r="CH89" s="13">
        <f t="shared" si="185"/>
        <v>0.40647187995160011</v>
      </c>
      <c r="CI89" s="13">
        <f t="shared" si="186"/>
        <v>0.40647187995160011</v>
      </c>
      <c r="CJ89" s="13">
        <f t="shared" si="187"/>
        <v>0.40647187995160011</v>
      </c>
      <c r="CK89" s="13">
        <f t="shared" si="188"/>
        <v>0.40647187995160011</v>
      </c>
      <c r="CL89" s="13">
        <f t="shared" si="189"/>
        <v>0.40647187995160011</v>
      </c>
      <c r="CM89" s="13">
        <f t="shared" si="190"/>
        <v>0.40647187995160011</v>
      </c>
      <c r="CN89" s="13">
        <f t="shared" si="191"/>
        <v>0.40647187995160011</v>
      </c>
      <c r="CO89" s="13">
        <f t="shared" si="192"/>
        <v>0.40647187995160011</v>
      </c>
      <c r="CP89" s="13">
        <f t="shared" si="193"/>
        <v>0.40647187995160011</v>
      </c>
      <c r="CQ89" s="13">
        <f t="shared" si="194"/>
        <v>0.40647187995160011</v>
      </c>
      <c r="CR89" s="13">
        <f t="shared" si="195"/>
        <v>0.40647187995160011</v>
      </c>
      <c r="CS89" s="13">
        <f t="shared" si="196"/>
        <v>0.40647187995160011</v>
      </c>
      <c r="CT89" s="13">
        <f t="shared" si="197"/>
        <v>0.40647187995160011</v>
      </c>
      <c r="CU89" s="13">
        <f t="shared" si="198"/>
        <v>0.40647187995160011</v>
      </c>
      <c r="CV89" s="13">
        <f t="shared" si="199"/>
        <v>0.40647187995160011</v>
      </c>
      <c r="CW89" s="13">
        <f t="shared" si="200"/>
        <v>0.40647187995160011</v>
      </c>
      <c r="CX89" s="13">
        <f t="shared" si="201"/>
        <v>0.40647187995160011</v>
      </c>
      <c r="CY89" s="13">
        <f t="shared" si="202"/>
        <v>0.40647187995160011</v>
      </c>
      <c r="CZ89" s="13">
        <f t="shared" si="203"/>
        <v>0.40647187995160011</v>
      </c>
      <c r="DB89" s="86"/>
      <c r="DC89" s="26">
        <v>0.05</v>
      </c>
      <c r="DD89" s="13">
        <f t="shared" si="204"/>
        <v>178.05843601451994</v>
      </c>
      <c r="DE89" s="13">
        <f t="shared" si="205"/>
        <v>423.72259555696007</v>
      </c>
      <c r="DF89" s="13">
        <f t="shared" si="206"/>
        <v>386.97305569292166</v>
      </c>
      <c r="DG89" s="13">
        <f t="shared" si="207"/>
        <v>352.30036448640379</v>
      </c>
      <c r="DH89" s="13">
        <f t="shared" si="208"/>
        <v>320.76966177569682</v>
      </c>
      <c r="DI89" s="13">
        <f t="shared" si="209"/>
        <v>292.59419932447253</v>
      </c>
      <c r="DJ89" s="13">
        <f t="shared" si="210"/>
        <v>267.5853729553441</v>
      </c>
      <c r="DK89" s="13">
        <f t="shared" si="211"/>
        <v>245.40016005868969</v>
      </c>
      <c r="DL89" s="13">
        <f t="shared" si="212"/>
        <v>225.66642316910207</v>
      </c>
      <c r="DM89" s="13">
        <f t="shared" si="213"/>
        <v>208.03962742328548</v>
      </c>
      <c r="DN89" s="13">
        <f t="shared" si="214"/>
        <v>192.22339712425577</v>
      </c>
      <c r="DO89" s="13">
        <f t="shared" si="215"/>
        <v>177.97235085549977</v>
      </c>
      <c r="DP89" s="13">
        <f t="shared" si="216"/>
        <v>165.08716946711544</v>
      </c>
      <c r="DQ89" s="13">
        <f t="shared" si="217"/>
        <v>153.4069894274262</v>
      </c>
      <c r="DR89" s="13">
        <f t="shared" si="218"/>
        <v>142.80155150342799</v>
      </c>
      <c r="DS89" s="13">
        <f t="shared" si="219"/>
        <v>133.16413829464062</v>
      </c>
      <c r="DT89" s="13">
        <f t="shared" si="220"/>
        <v>124.40563755099484</v>
      </c>
      <c r="DU89" s="13">
        <f t="shared" si="221"/>
        <v>116.44974449942298</v>
      </c>
      <c r="DV89" s="13">
        <f t="shared" si="222"/>
        <v>109.22918369565049</v>
      </c>
      <c r="DW89" s="13">
        <f t="shared" si="223"/>
        <v>102.68279123952394</v>
      </c>
      <c r="DX89" s="13">
        <f t="shared" si="224"/>
        <v>96.753300476197623</v>
      </c>
      <c r="DY89" s="13">
        <f t="shared" si="225"/>
        <v>91.385692941156236</v>
      </c>
      <c r="DZ89" s="13">
        <f t="shared" si="226"/>
        <v>86.525999117941438</v>
      </c>
      <c r="EA89" s="13">
        <f t="shared" si="227"/>
        <v>82.120455256557946</v>
      </c>
      <c r="EB89" s="13">
        <f t="shared" si="228"/>
        <v>78.114941113660194</v>
      </c>
      <c r="EC89" s="13">
        <f t="shared" si="229"/>
        <v>74.454638647344638</v>
      </c>
      <c r="ED89" s="13">
        <f t="shared" si="230"/>
        <v>71.083863701431724</v>
      </c>
      <c r="EE89" s="13">
        <f t="shared" si="231"/>
        <v>67.946032026940486</v>
      </c>
      <c r="EF89" s="13">
        <f t="shared" si="232"/>
        <v>64.983728104286683</v>
      </c>
      <c r="EG89" s="13">
        <f t="shared" si="233"/>
        <v>62.138850574977631</v>
      </c>
      <c r="EH89" s="13">
        <f t="shared" si="234"/>
        <v>59.352812004839983</v>
      </c>
    </row>
    <row r="90" spans="5:138" x14ac:dyDescent="0.25">
      <c r="E90" s="95"/>
      <c r="F90" s="26">
        <v>4.6666666666666669E-2</v>
      </c>
      <c r="G90" s="13">
        <f t="shared" si="139"/>
        <v>300</v>
      </c>
      <c r="H90" s="13">
        <f t="shared" si="235"/>
        <v>598.50844702913662</v>
      </c>
      <c r="I90" s="13">
        <f t="shared" si="236"/>
        <v>581.27742694584106</v>
      </c>
      <c r="J90" s="13">
        <f t="shared" si="237"/>
        <v>548.46484735248646</v>
      </c>
      <c r="K90" s="13">
        <f t="shared" si="238"/>
        <v>510.62584495859426</v>
      </c>
      <c r="L90" s="13">
        <f t="shared" si="239"/>
        <v>472.63420072979602</v>
      </c>
      <c r="M90" s="13">
        <f t="shared" si="240"/>
        <v>436.58250789955162</v>
      </c>
      <c r="N90" s="13">
        <f t="shared" si="241"/>
        <v>403.22870862539787</v>
      </c>
      <c r="O90" s="13">
        <f t="shared" si="242"/>
        <v>372.71423067360917</v>
      </c>
      <c r="P90" s="13">
        <f t="shared" si="243"/>
        <v>344.9164275674359</v>
      </c>
      <c r="Q90" s="13">
        <f t="shared" si="244"/>
        <v>319.61760556474997</v>
      </c>
      <c r="R90" s="13">
        <f t="shared" si="245"/>
        <v>296.58256452022897</v>
      </c>
      <c r="S90" s="13">
        <f t="shared" si="246"/>
        <v>275.59107688288975</v>
      </c>
      <c r="T90" s="13">
        <f t="shared" si="247"/>
        <v>256.44871196596722</v>
      </c>
      <c r="U90" s="13">
        <f t="shared" si="248"/>
        <v>238.98773571030671</v>
      </c>
      <c r="V90" s="13">
        <f t="shared" si="249"/>
        <v>223.0638878444276</v>
      </c>
      <c r="W90" s="13">
        <f t="shared" si="250"/>
        <v>208.551835547585</v>
      </c>
      <c r="X90" s="13">
        <f t="shared" si="251"/>
        <v>195.3405921090272</v>
      </c>
      <c r="Y90" s="13">
        <f t="shared" si="252"/>
        <v>183.32943953658605</v>
      </c>
      <c r="Z90" s="13">
        <f t="shared" si="253"/>
        <v>172.42453145064712</v>
      </c>
      <c r="AA90" s="13">
        <f t="shared" si="254"/>
        <v>162.53618514491606</v>
      </c>
      <c r="AB90" s="13">
        <f t="shared" si="255"/>
        <v>153.57680121183463</v>
      </c>
      <c r="AC90" s="13">
        <f t="shared" si="256"/>
        <v>145.45932555206622</v>
      </c>
      <c r="AD90" s="13">
        <f t="shared" si="257"/>
        <v>138.09616661528395</v>
      </c>
      <c r="AE90" s="13">
        <f t="shared" si="258"/>
        <v>131.39848777428205</v>
      </c>
      <c r="AF90" s="13">
        <f t="shared" si="259"/>
        <v>125.27580473165844</v>
      </c>
      <c r="AG90" s="13">
        <f t="shared" si="260"/>
        <v>119.63582799274599</v>
      </c>
      <c r="AH90" s="13">
        <f t="shared" si="261"/>
        <v>114.3844995283707</v>
      </c>
      <c r="AI90" s="13">
        <f t="shared" si="262"/>
        <v>109.42618039140267</v>
      </c>
      <c r="AJ90" s="13">
        <f t="shared" si="263"/>
        <v>104.66395218605713</v>
      </c>
      <c r="AK90" s="13">
        <f t="shared" si="141"/>
        <v>100</v>
      </c>
      <c r="AL90" s="86"/>
      <c r="AM90" s="26">
        <v>4.6666666666666669E-2</v>
      </c>
      <c r="AN90" s="13">
        <f t="shared" si="142"/>
        <v>-1076400000</v>
      </c>
      <c r="AO90" s="13">
        <f t="shared" si="143"/>
        <v>-1676268830.3473713</v>
      </c>
      <c r="AP90" s="13">
        <f t="shared" si="144"/>
        <v>-1868121693.6473711</v>
      </c>
      <c r="AQ90" s="13">
        <f t="shared" si="145"/>
        <v>-1872148186.9388306</v>
      </c>
      <c r="AR90" s="13">
        <f t="shared" si="146"/>
        <v>-1794199439.8476434</v>
      </c>
      <c r="AS90" s="13">
        <f t="shared" si="147"/>
        <v>-1684699636.9904249</v>
      </c>
      <c r="AT90" s="13">
        <f t="shared" si="148"/>
        <v>-1567187769.3047681</v>
      </c>
      <c r="AU90" s="13">
        <f t="shared" si="149"/>
        <v>-1452207487.4934313</v>
      </c>
      <c r="AV90" s="13">
        <f t="shared" si="150"/>
        <v>-1344084826.6301196</v>
      </c>
      <c r="AW90" s="13">
        <f t="shared" si="151"/>
        <v>-1244234752.9555979</v>
      </c>
      <c r="AX90" s="13">
        <f t="shared" si="152"/>
        <v>-1152766293.4681809</v>
      </c>
      <c r="AY90" s="13">
        <f t="shared" si="153"/>
        <v>-1069251782.160463</v>
      </c>
      <c r="AZ90" s="13">
        <f t="shared" si="154"/>
        <v>-993085802.68172061</v>
      </c>
      <c r="BA90" s="13">
        <f t="shared" si="155"/>
        <v>-923643928.01387656</v>
      </c>
      <c r="BB90" s="13">
        <f t="shared" si="156"/>
        <v>-860345179.02604067</v>
      </c>
      <c r="BC90" s="13">
        <f t="shared" si="157"/>
        <v>-802669534.68474483</v>
      </c>
      <c r="BD90" s="13">
        <f t="shared" si="158"/>
        <v>-750155684.89925575</v>
      </c>
      <c r="BE90" s="13">
        <f t="shared" si="159"/>
        <v>-702391203.88568962</v>
      </c>
      <c r="BF90" s="13">
        <f t="shared" si="160"/>
        <v>-659000857.03412902</v>
      </c>
      <c r="BG90" s="13">
        <f t="shared" si="161"/>
        <v>-619635565.48938382</v>
      </c>
      <c r="BH90" s="13">
        <f t="shared" si="162"/>
        <v>-583963004.03578234</v>
      </c>
      <c r="BI90" s="13">
        <f t="shared" si="163"/>
        <v>-551660077.99008262</v>
      </c>
      <c r="BJ90" s="13">
        <f t="shared" si="164"/>
        <v>-522407200.22930181</v>
      </c>
      <c r="BK90" s="13">
        <f t="shared" si="165"/>
        <v>-495884162.16806024</v>
      </c>
      <c r="BL90" s="13">
        <f t="shared" si="166"/>
        <v>-471767358.15920275</v>
      </c>
      <c r="BM90" s="13">
        <f t="shared" si="167"/>
        <v>-449728129.61239582</v>
      </c>
      <c r="BN90" s="13">
        <f t="shared" si="168"/>
        <v>-429432017.80766898</v>
      </c>
      <c r="BO90" s="13">
        <f t="shared" si="169"/>
        <v>-410538740.93568611</v>
      </c>
      <c r="BP90" s="13">
        <f t="shared" si="170"/>
        <v>-392702735.93794614</v>
      </c>
      <c r="BQ90" s="13">
        <f t="shared" si="171"/>
        <v>-375574127.06292391</v>
      </c>
      <c r="BR90" s="13">
        <f t="shared" si="172"/>
        <v>-358800000</v>
      </c>
      <c r="BT90" s="86"/>
      <c r="BU90" s="26">
        <v>4.6666666666666669E-2</v>
      </c>
      <c r="BV90" s="13">
        <f t="shared" si="173"/>
        <v>0.40647187995947059</v>
      </c>
      <c r="BW90" s="13">
        <f t="shared" si="174"/>
        <v>0.40647187995947059</v>
      </c>
      <c r="BX90" s="13">
        <f t="shared" si="175"/>
        <v>0.40647187995947059</v>
      </c>
      <c r="BY90" s="13">
        <f t="shared" si="176"/>
        <v>0.40647187995947059</v>
      </c>
      <c r="BZ90" s="13">
        <f t="shared" si="177"/>
        <v>0.40647187995947059</v>
      </c>
      <c r="CA90" s="13">
        <f t="shared" si="178"/>
        <v>0.40647187995947059</v>
      </c>
      <c r="CB90" s="13">
        <f t="shared" si="179"/>
        <v>0.40647187995947059</v>
      </c>
      <c r="CC90" s="13">
        <f t="shared" si="180"/>
        <v>0.40647187995947059</v>
      </c>
      <c r="CD90" s="13">
        <f t="shared" si="181"/>
        <v>0.40647187995947059</v>
      </c>
      <c r="CE90" s="13">
        <f t="shared" si="182"/>
        <v>0.40647187995947059</v>
      </c>
      <c r="CF90" s="13">
        <f t="shared" si="183"/>
        <v>0.40647187995947059</v>
      </c>
      <c r="CG90" s="13">
        <f t="shared" si="184"/>
        <v>0.40647187995947059</v>
      </c>
      <c r="CH90" s="13">
        <f t="shared" si="185"/>
        <v>0.40647187995947059</v>
      </c>
      <c r="CI90" s="13">
        <f t="shared" si="186"/>
        <v>0.40647187995947059</v>
      </c>
      <c r="CJ90" s="13">
        <f t="shared" si="187"/>
        <v>0.40647187995947059</v>
      </c>
      <c r="CK90" s="13">
        <f t="shared" si="188"/>
        <v>0.40647187995947059</v>
      </c>
      <c r="CL90" s="13">
        <f t="shared" si="189"/>
        <v>0.40647187995947059</v>
      </c>
      <c r="CM90" s="13">
        <f t="shared" si="190"/>
        <v>0.40647187995947059</v>
      </c>
      <c r="CN90" s="13">
        <f t="shared" si="191"/>
        <v>0.40647187995947059</v>
      </c>
      <c r="CO90" s="13">
        <f t="shared" si="192"/>
        <v>0.40647187995947059</v>
      </c>
      <c r="CP90" s="13">
        <f t="shared" si="193"/>
        <v>0.40647187995947059</v>
      </c>
      <c r="CQ90" s="13">
        <f t="shared" si="194"/>
        <v>0.40647187995947059</v>
      </c>
      <c r="CR90" s="13">
        <f t="shared" si="195"/>
        <v>0.40647187995947059</v>
      </c>
      <c r="CS90" s="13">
        <f t="shared" si="196"/>
        <v>0.40647187995947059</v>
      </c>
      <c r="CT90" s="13">
        <f t="shared" si="197"/>
        <v>0.40647187995947059</v>
      </c>
      <c r="CU90" s="13">
        <f t="shared" si="198"/>
        <v>0.40647187995947059</v>
      </c>
      <c r="CV90" s="13">
        <f t="shared" si="199"/>
        <v>0.40647187995947059</v>
      </c>
      <c r="CW90" s="13">
        <f t="shared" si="200"/>
        <v>0.40647187995947059</v>
      </c>
      <c r="CX90" s="13">
        <f t="shared" si="201"/>
        <v>0.40647187995947059</v>
      </c>
      <c r="CY90" s="13">
        <f t="shared" si="202"/>
        <v>0.40647187995947059</v>
      </c>
      <c r="CZ90" s="13">
        <f t="shared" si="203"/>
        <v>0.40647187995947059</v>
      </c>
      <c r="DB90" s="86"/>
      <c r="DC90" s="26">
        <v>4.6666666666666669E-2</v>
      </c>
      <c r="DD90" s="13">
        <f t="shared" si="204"/>
        <v>178.05843601215884</v>
      </c>
      <c r="DE90" s="13">
        <f t="shared" si="205"/>
        <v>256.51320657596239</v>
      </c>
      <c r="DF90" s="13">
        <f t="shared" si="206"/>
        <v>284.25571596014606</v>
      </c>
      <c r="DG90" s="13">
        <f t="shared" si="207"/>
        <v>287.06756916097828</v>
      </c>
      <c r="DH90" s="13">
        <f t="shared" si="208"/>
        <v>278.0251833019247</v>
      </c>
      <c r="DI90" s="13">
        <f t="shared" si="209"/>
        <v>263.75610726579737</v>
      </c>
      <c r="DJ90" s="13">
        <f t="shared" si="210"/>
        <v>247.59551960202083</v>
      </c>
      <c r="DK90" s="13">
        <f t="shared" si="211"/>
        <v>231.19229141182876</v>
      </c>
      <c r="DL90" s="13">
        <f t="shared" si="212"/>
        <v>215.33210928770097</v>
      </c>
      <c r="DM90" s="13">
        <f t="shared" si="213"/>
        <v>200.36158932890939</v>
      </c>
      <c r="DN90" s="13">
        <f t="shared" si="214"/>
        <v>186.40733582435476</v>
      </c>
      <c r="DO90" s="13">
        <f t="shared" si="215"/>
        <v>173.48887070807498</v>
      </c>
      <c r="DP90" s="13">
        <f t="shared" si="216"/>
        <v>161.57635171955158</v>
      </c>
      <c r="DQ90" s="13">
        <f t="shared" si="217"/>
        <v>150.61950385053981</v>
      </c>
      <c r="DR90" s="13">
        <f t="shared" si="218"/>
        <v>140.56157335529491</v>
      </c>
      <c r="DS90" s="13">
        <f t="shared" si="219"/>
        <v>131.34555815435135</v>
      </c>
      <c r="DT90" s="13">
        <f t="shared" si="220"/>
        <v>122.91653467071659</v>
      </c>
      <c r="DU90" s="13">
        <f t="shared" si="221"/>
        <v>115.22209031931206</v>
      </c>
      <c r="DV90" s="13">
        <f t="shared" si="222"/>
        <v>108.21191107702062</v>
      </c>
      <c r="DW90" s="13">
        <f t="shared" si="223"/>
        <v>101.83706341243563</v>
      </c>
      <c r="DX90" s="13">
        <f t="shared" si="224"/>
        <v>96.049238797439429</v>
      </c>
      <c r="DY90" s="13">
        <f t="shared" si="225"/>
        <v>90.800085708738251</v>
      </c>
      <c r="DZ90" s="13">
        <f t="shared" si="226"/>
        <v>86.040679150020281</v>
      </c>
      <c r="EA90" s="13">
        <f t="shared" si="227"/>
        <v>81.721139507458076</v>
      </c>
      <c r="EB90" s="13">
        <f t="shared" si="228"/>
        <v>77.790393888060279</v>
      </c>
      <c r="EC90" s="13">
        <f t="shared" si="229"/>
        <v>74.196064747636342</v>
      </c>
      <c r="ED90" s="13">
        <f t="shared" si="230"/>
        <v>70.884467602639276</v>
      </c>
      <c r="EE90" s="13">
        <f t="shared" si="231"/>
        <v>67.800699244729245</v>
      </c>
      <c r="EF90" s="13">
        <f t="shared" si="232"/>
        <v>64.888798691071884</v>
      </c>
      <c r="EG90" s="13">
        <f t="shared" si="233"/>
        <v>62.091964335036515</v>
      </c>
      <c r="EH90" s="13">
        <f t="shared" si="234"/>
        <v>59.35281200405295</v>
      </c>
    </row>
    <row r="91" spans="5:138" x14ac:dyDescent="0.25">
      <c r="E91" s="95"/>
      <c r="F91" s="26">
        <v>4.3333333333333335E-2</v>
      </c>
      <c r="G91" s="13">
        <f t="shared" si="139"/>
        <v>300</v>
      </c>
      <c r="H91" s="13">
        <f t="shared" si="235"/>
        <v>469.45345445066539</v>
      </c>
      <c r="I91" s="13">
        <f t="shared" si="236"/>
        <v>484.36023495028826</v>
      </c>
      <c r="J91" s="13">
        <f t="shared" si="237"/>
        <v>476.96796769999162</v>
      </c>
      <c r="K91" s="13">
        <f t="shared" si="238"/>
        <v>458.16964649042518</v>
      </c>
      <c r="L91" s="13">
        <f t="shared" si="239"/>
        <v>434.07163270494448</v>
      </c>
      <c r="M91" s="13">
        <f t="shared" si="240"/>
        <v>408.04394892583412</v>
      </c>
      <c r="N91" s="13">
        <f t="shared" si="241"/>
        <v>381.90444588186614</v>
      </c>
      <c r="O91" s="13">
        <f t="shared" si="242"/>
        <v>356.59861603370905</v>
      </c>
      <c r="P91" s="13">
        <f t="shared" si="243"/>
        <v>332.58757087257436</v>
      </c>
      <c r="Q91" s="13">
        <f t="shared" si="244"/>
        <v>310.0679602016084</v>
      </c>
      <c r="R91" s="13">
        <f t="shared" si="245"/>
        <v>289.09551050388183</v>
      </c>
      <c r="S91" s="13">
        <f t="shared" si="246"/>
        <v>269.65352353247562</v>
      </c>
      <c r="T91" s="13">
        <f t="shared" si="247"/>
        <v>251.69011014957056</v>
      </c>
      <c r="U91" s="13">
        <f t="shared" si="248"/>
        <v>235.13779903079961</v>
      </c>
      <c r="V91" s="13">
        <f t="shared" si="249"/>
        <v>219.92332515895595</v>
      </c>
      <c r="W91" s="13">
        <f t="shared" si="250"/>
        <v>205.97204912713133</v>
      </c>
      <c r="X91" s="13">
        <f t="shared" si="251"/>
        <v>193.20953254434625</v>
      </c>
      <c r="Y91" s="13">
        <f t="shared" si="252"/>
        <v>181.56169046081203</v>
      </c>
      <c r="Z91" s="13">
        <f t="shared" si="253"/>
        <v>170.95430950737108</v>
      </c>
      <c r="AA91" s="13">
        <f t="shared" si="254"/>
        <v>161.31235958799067</v>
      </c>
      <c r="AB91" s="13">
        <f t="shared" si="255"/>
        <v>152.55932203527834</v>
      </c>
      <c r="AC91" s="13">
        <f t="shared" si="256"/>
        <v>144.61664174219317</v>
      </c>
      <c r="AD91" s="13">
        <f t="shared" si="257"/>
        <v>137.40334670963435</v>
      </c>
      <c r="AE91" s="13">
        <f t="shared" si="258"/>
        <v>130.83584369690607</v>
      </c>
      <c r="AF91" s="13">
        <f t="shared" si="259"/>
        <v>124.82788055330724</v>
      </c>
      <c r="AG91" s="13">
        <f t="shared" si="260"/>
        <v>119.29065703831655</v>
      </c>
      <c r="AH91" s="13">
        <f t="shared" si="261"/>
        <v>114.13306229480997</v>
      </c>
      <c r="AI91" s="13">
        <f t="shared" si="262"/>
        <v>109.26201619972248</v>
      </c>
      <c r="AJ91" s="13">
        <f t="shared" si="263"/>
        <v>104.5828921850985</v>
      </c>
      <c r="AK91" s="13">
        <f t="shared" si="141"/>
        <v>100</v>
      </c>
      <c r="AL91" s="86"/>
      <c r="AM91" s="26">
        <v>4.3333333333333335E-2</v>
      </c>
      <c r="AN91" s="13">
        <f t="shared" si="142"/>
        <v>-1076400000</v>
      </c>
      <c r="AO91" s="13">
        <f t="shared" si="143"/>
        <v>-1442066048.510181</v>
      </c>
      <c r="AP91" s="13">
        <f t="shared" si="144"/>
        <v>-1598048785.3753326</v>
      </c>
      <c r="AQ91" s="13">
        <f t="shared" si="145"/>
        <v>-1633513667.2185888</v>
      </c>
      <c r="AR91" s="13">
        <f t="shared" si="146"/>
        <v>-1602510455.6989629</v>
      </c>
      <c r="AS91" s="13">
        <f t="shared" si="147"/>
        <v>-1536939632.4854517</v>
      </c>
      <c r="AT91" s="13">
        <f t="shared" si="148"/>
        <v>-1455207453.9083383</v>
      </c>
      <c r="AU91" s="13">
        <f t="shared" si="149"/>
        <v>-1367695150.6341379</v>
      </c>
      <c r="AV91" s="13">
        <f t="shared" si="150"/>
        <v>-1280100006.1723378</v>
      </c>
      <c r="AW91" s="13">
        <f t="shared" si="151"/>
        <v>-1195430008.0020919</v>
      </c>
      <c r="AX91" s="13">
        <f t="shared" si="152"/>
        <v>-1115174349.2463117</v>
      </c>
      <c r="AY91" s="13">
        <f t="shared" si="153"/>
        <v>-1039980382.4285814</v>
      </c>
      <c r="AZ91" s="13">
        <f t="shared" si="154"/>
        <v>-970039584.37780893</v>
      </c>
      <c r="BA91" s="13">
        <f t="shared" si="155"/>
        <v>-905304045.59200549</v>
      </c>
      <c r="BB91" s="13">
        <f t="shared" si="156"/>
        <v>-845605332.45672953</v>
      </c>
      <c r="BC91" s="13">
        <f t="shared" si="157"/>
        <v>-790717760.96937394</v>
      </c>
      <c r="BD91" s="13">
        <f t="shared" si="158"/>
        <v>-740390474.66088212</v>
      </c>
      <c r="BE91" s="13">
        <f t="shared" si="159"/>
        <v>-694362373.50565112</v>
      </c>
      <c r="BF91" s="13">
        <f t="shared" si="160"/>
        <v>-652367916.66895044</v>
      </c>
      <c r="BG91" s="13">
        <f t="shared" si="161"/>
        <v>-614138333.44998515</v>
      </c>
      <c r="BH91" s="13">
        <f t="shared" si="162"/>
        <v>-579400766.37496662</v>
      </c>
      <c r="BI91" s="13">
        <f t="shared" si="163"/>
        <v>-547876717.84645855</v>
      </c>
      <c r="BJ91" s="13">
        <f t="shared" si="164"/>
        <v>-519280515.40239</v>
      </c>
      <c r="BK91" s="13">
        <f t="shared" si="165"/>
        <v>-493318140.41649449</v>
      </c>
      <c r="BL91" s="13">
        <f t="shared" si="166"/>
        <v>-469686559.27690941</v>
      </c>
      <c r="BM91" s="13">
        <f t="shared" si="167"/>
        <v>-448073584.31316215</v>
      </c>
      <c r="BN91" s="13">
        <f t="shared" si="168"/>
        <v>-428158233.32644844</v>
      </c>
      <c r="BO91" s="13">
        <f t="shared" si="169"/>
        <v>-409611528.0289408</v>
      </c>
      <c r="BP91" s="13">
        <f t="shared" si="170"/>
        <v>-392097659.46706617</v>
      </c>
      <c r="BQ91" s="13">
        <f t="shared" si="171"/>
        <v>-375275444.78576797</v>
      </c>
      <c r="BR91" s="13">
        <f t="shared" si="172"/>
        <v>-358800000</v>
      </c>
      <c r="BT91" s="86"/>
      <c r="BU91" s="26">
        <v>4.3333333333333335E-2</v>
      </c>
      <c r="BV91" s="13">
        <f t="shared" si="173"/>
        <v>0.40647188000710688</v>
      </c>
      <c r="BW91" s="13">
        <f t="shared" si="174"/>
        <v>0.40647188000710688</v>
      </c>
      <c r="BX91" s="13">
        <f t="shared" si="175"/>
        <v>0.40647188000710688</v>
      </c>
      <c r="BY91" s="13">
        <f t="shared" si="176"/>
        <v>0.40647188000710688</v>
      </c>
      <c r="BZ91" s="13">
        <f t="shared" si="177"/>
        <v>0.40647188000710688</v>
      </c>
      <c r="CA91" s="13">
        <f t="shared" si="178"/>
        <v>0.40647188000710688</v>
      </c>
      <c r="CB91" s="13">
        <f t="shared" si="179"/>
        <v>0.40647188000710688</v>
      </c>
      <c r="CC91" s="13">
        <f t="shared" si="180"/>
        <v>0.40647188000710688</v>
      </c>
      <c r="CD91" s="13">
        <f t="shared" si="181"/>
        <v>0.40647188000710688</v>
      </c>
      <c r="CE91" s="13">
        <f t="shared" si="182"/>
        <v>0.40647188000710688</v>
      </c>
      <c r="CF91" s="13">
        <f t="shared" si="183"/>
        <v>0.40647188000710688</v>
      </c>
      <c r="CG91" s="13">
        <f t="shared" si="184"/>
        <v>0.40647188000710688</v>
      </c>
      <c r="CH91" s="13">
        <f t="shared" si="185"/>
        <v>0.40647188000710688</v>
      </c>
      <c r="CI91" s="13">
        <f t="shared" si="186"/>
        <v>0.40647188000710688</v>
      </c>
      <c r="CJ91" s="13">
        <f t="shared" si="187"/>
        <v>0.40647188000710688</v>
      </c>
      <c r="CK91" s="13">
        <f t="shared" si="188"/>
        <v>0.40647188000710688</v>
      </c>
      <c r="CL91" s="13">
        <f t="shared" si="189"/>
        <v>0.40647188000710688</v>
      </c>
      <c r="CM91" s="13">
        <f t="shared" si="190"/>
        <v>0.40647188000710688</v>
      </c>
      <c r="CN91" s="13">
        <f t="shared" si="191"/>
        <v>0.40647188000710688</v>
      </c>
      <c r="CO91" s="13">
        <f t="shared" si="192"/>
        <v>0.40647188000710688</v>
      </c>
      <c r="CP91" s="13">
        <f t="shared" si="193"/>
        <v>0.40647188000710688</v>
      </c>
      <c r="CQ91" s="13">
        <f t="shared" si="194"/>
        <v>0.40647188000710688</v>
      </c>
      <c r="CR91" s="13">
        <f t="shared" si="195"/>
        <v>0.40647188000710688</v>
      </c>
      <c r="CS91" s="13">
        <f t="shared" si="196"/>
        <v>0.40647188000710688</v>
      </c>
      <c r="CT91" s="13">
        <f t="shared" si="197"/>
        <v>0.40647188000710688</v>
      </c>
      <c r="CU91" s="13">
        <f t="shared" si="198"/>
        <v>0.40647188000710688</v>
      </c>
      <c r="CV91" s="13">
        <f t="shared" si="199"/>
        <v>0.40647188000710688</v>
      </c>
      <c r="CW91" s="13">
        <f t="shared" si="200"/>
        <v>0.40647188000710688</v>
      </c>
      <c r="CX91" s="13">
        <f t="shared" si="201"/>
        <v>0.40647188000710688</v>
      </c>
      <c r="CY91" s="13">
        <f t="shared" si="202"/>
        <v>0.40647188000710688</v>
      </c>
      <c r="CZ91" s="13">
        <f t="shared" si="203"/>
        <v>0.40647188000710688</v>
      </c>
      <c r="DB91" s="86"/>
      <c r="DC91" s="26">
        <v>4.3333333333333335E-2</v>
      </c>
      <c r="DD91" s="13">
        <f t="shared" si="204"/>
        <v>178.05843599786795</v>
      </c>
      <c r="DE91" s="13">
        <f t="shared" si="205"/>
        <v>226.17660078659827</v>
      </c>
      <c r="DF91" s="13">
        <f t="shared" si="206"/>
        <v>248.0873064139185</v>
      </c>
      <c r="DG91" s="13">
        <f t="shared" si="207"/>
        <v>254.03243007881554</v>
      </c>
      <c r="DH91" s="13">
        <f t="shared" si="208"/>
        <v>250.61459930988792</v>
      </c>
      <c r="DI91" s="13">
        <f t="shared" si="209"/>
        <v>241.959120578648</v>
      </c>
      <c r="DJ91" s="13">
        <f t="shared" si="210"/>
        <v>230.58543616168581</v>
      </c>
      <c r="DK91" s="13">
        <f t="shared" si="211"/>
        <v>218.00331461406276</v>
      </c>
      <c r="DL91" s="13">
        <f t="shared" si="212"/>
        <v>205.10076198640465</v>
      </c>
      <c r="DM91" s="13">
        <f t="shared" si="213"/>
        <v>192.38874211390362</v>
      </c>
      <c r="DN91" s="13">
        <f t="shared" si="214"/>
        <v>180.15239118433453</v>
      </c>
      <c r="DO91" s="13">
        <f t="shared" si="215"/>
        <v>168.54303792601527</v>
      </c>
      <c r="DP91" s="13">
        <f t="shared" si="216"/>
        <v>157.63350039870429</v>
      </c>
      <c r="DQ91" s="13">
        <f t="shared" si="217"/>
        <v>147.45092007136282</v>
      </c>
      <c r="DR91" s="13">
        <f t="shared" si="218"/>
        <v>137.99600479798966</v>
      </c>
      <c r="DS91" s="13">
        <f t="shared" si="219"/>
        <v>129.25412730513705</v>
      </c>
      <c r="DT91" s="13">
        <f t="shared" si="220"/>
        <v>121.20159245317147</v>
      </c>
      <c r="DU91" s="13">
        <f t="shared" si="221"/>
        <v>113.80907482808851</v>
      </c>
      <c r="DV91" s="13">
        <f t="shared" si="222"/>
        <v>107.04342851172667</v>
      </c>
      <c r="DW91" s="13">
        <f t="shared" si="223"/>
        <v>100.86858604928203</v>
      </c>
      <c r="DX91" s="13">
        <f t="shared" si="224"/>
        <v>95.245970842953426</v>
      </c>
      <c r="DY91" s="13">
        <f t="shared" si="225"/>
        <v>90.134670921226203</v>
      </c>
      <c r="DZ91" s="13">
        <f t="shared" si="226"/>
        <v>85.491516220478999</v>
      </c>
      <c r="EA91" s="13">
        <f t="shared" si="227"/>
        <v>81.271138243745213</v>
      </c>
      <c r="EB91" s="13">
        <f t="shared" si="228"/>
        <v>77.426053341202788</v>
      </c>
      <c r="EC91" s="13">
        <f t="shared" si="229"/>
        <v>73.906788684626818</v>
      </c>
      <c r="ED91" s="13">
        <f t="shared" si="230"/>
        <v>70.662057117898229</v>
      </c>
      <c r="EE91" s="13">
        <f t="shared" si="231"/>
        <v>67.638979727841104</v>
      </c>
      <c r="EF91" s="13">
        <f t="shared" si="232"/>
        <v>64.783350934032228</v>
      </c>
      <c r="EG91" s="13">
        <f t="shared" si="233"/>
        <v>62.039938771057912</v>
      </c>
      <c r="EH91" s="13">
        <f t="shared" si="234"/>
        <v>59.352811999289315</v>
      </c>
    </row>
    <row r="92" spans="5:138" x14ac:dyDescent="0.25">
      <c r="E92" s="95"/>
      <c r="F92" s="26">
        <v>0.04</v>
      </c>
      <c r="G92" s="13">
        <f t="shared" si="139"/>
        <v>300</v>
      </c>
      <c r="H92" s="13">
        <f t="shared" si="235"/>
        <v>398.9329899057222</v>
      </c>
      <c r="I92" s="13">
        <f t="shared" si="236"/>
        <v>421.21979117364879</v>
      </c>
      <c r="J92" s="13">
        <f t="shared" si="237"/>
        <v>424.27480806898967</v>
      </c>
      <c r="K92" s="13">
        <f t="shared" si="238"/>
        <v>415.71398809681716</v>
      </c>
      <c r="L92" s="13">
        <f t="shared" si="239"/>
        <v>400.46302256895513</v>
      </c>
      <c r="M92" s="13">
        <f t="shared" si="240"/>
        <v>381.64409401915873</v>
      </c>
      <c r="N92" s="13">
        <f t="shared" si="241"/>
        <v>361.20288873978313</v>
      </c>
      <c r="O92" s="13">
        <f t="shared" si="242"/>
        <v>340.3322352480626</v>
      </c>
      <c r="P92" s="13">
        <f t="shared" si="243"/>
        <v>319.75006593826964</v>
      </c>
      <c r="Q92" s="13">
        <f t="shared" si="244"/>
        <v>299.87809550442313</v>
      </c>
      <c r="R92" s="13">
        <f t="shared" si="245"/>
        <v>280.95490799945418</v>
      </c>
      <c r="S92" s="13">
        <f t="shared" si="246"/>
        <v>263.1066122247459</v>
      </c>
      <c r="T92" s="13">
        <f t="shared" si="247"/>
        <v>246.39046234879072</v>
      </c>
      <c r="U92" s="13">
        <f t="shared" si="248"/>
        <v>230.82145908215716</v>
      </c>
      <c r="V92" s="13">
        <f t="shared" si="249"/>
        <v>216.38834935777413</v>
      </c>
      <c r="W92" s="13">
        <f t="shared" si="250"/>
        <v>203.06309304659675</v>
      </c>
      <c r="X92" s="13">
        <f t="shared" si="251"/>
        <v>190.80635444426986</v>
      </c>
      <c r="Y92" s="13">
        <f t="shared" si="252"/>
        <v>179.57061498514506</v>
      </c>
      <c r="Z92" s="13">
        <f t="shared" si="253"/>
        <v>169.30189651638065</v>
      </c>
      <c r="AA92" s="13">
        <f t="shared" si="254"/>
        <v>159.94070307134155</v>
      </c>
      <c r="AB92" s="13">
        <f t="shared" si="255"/>
        <v>151.42255049546606</v>
      </c>
      <c r="AC92" s="13">
        <f t="shared" si="256"/>
        <v>143.67830459140197</v>
      </c>
      <c r="AD92" s="13">
        <f t="shared" si="257"/>
        <v>136.63445617057255</v>
      </c>
      <c r="AE92" s="13">
        <f t="shared" si="258"/>
        <v>130.21340442812658</v>
      </c>
      <c r="AF92" s="13">
        <f t="shared" si="259"/>
        <v>124.33378514599569</v>
      </c>
      <c r="AG92" s="13">
        <f t="shared" si="260"/>
        <v>118.91085906143095</v>
      </c>
      <c r="AH92" s="13">
        <f t="shared" si="261"/>
        <v>113.85696310106505</v>
      </c>
      <c r="AI92" s="13">
        <f t="shared" si="262"/>
        <v>109.08201979971818</v>
      </c>
      <c r="AJ92" s="13">
        <f t="shared" si="263"/>
        <v>104.49409604268224</v>
      </c>
      <c r="AK92" s="13">
        <f t="shared" si="141"/>
        <v>100</v>
      </c>
      <c r="AL92" s="86"/>
      <c r="AM92" s="26">
        <v>0.04</v>
      </c>
      <c r="AN92" s="13">
        <f t="shared" si="142"/>
        <v>-1076400000</v>
      </c>
      <c r="AO92" s="13">
        <f t="shared" si="143"/>
        <v>-1304181131.4961498</v>
      </c>
      <c r="AP92" s="13">
        <f t="shared" si="144"/>
        <v>-1422068131.3804219</v>
      </c>
      <c r="AQ92" s="13">
        <f t="shared" si="145"/>
        <v>-1463260255.529907</v>
      </c>
      <c r="AR92" s="13">
        <f t="shared" si="146"/>
        <v>-1454283042.4884377</v>
      </c>
      <c r="AS92" s="13">
        <f t="shared" si="147"/>
        <v>-1414290716.6052699</v>
      </c>
      <c r="AT92" s="13">
        <f t="shared" si="148"/>
        <v>-1356345909.1590521</v>
      </c>
      <c r="AU92" s="13">
        <f t="shared" si="149"/>
        <v>-1289028410.1567614</v>
      </c>
      <c r="AV92" s="13">
        <f t="shared" si="150"/>
        <v>-1217817490.3285556</v>
      </c>
      <c r="AW92" s="13">
        <f t="shared" si="151"/>
        <v>-1146128500.1506491</v>
      </c>
      <c r="AX92" s="13">
        <f t="shared" si="152"/>
        <v>-1076037816.5488842</v>
      </c>
      <c r="AY92" s="13">
        <f t="shared" si="153"/>
        <v>-1008768833.6711267</v>
      </c>
      <c r="AZ92" s="13">
        <f t="shared" si="154"/>
        <v>-945008554.87599504</v>
      </c>
      <c r="BA92" s="13">
        <f t="shared" si="155"/>
        <v>-885109469.24409771</v>
      </c>
      <c r="BB92" s="13">
        <f t="shared" si="156"/>
        <v>-829216036.20290089</v>
      </c>
      <c r="BC92" s="13">
        <f t="shared" si="157"/>
        <v>-777342679.2366178</v>
      </c>
      <c r="BD92" s="13">
        <f t="shared" si="158"/>
        <v>-729421124.43046558</v>
      </c>
      <c r="BE92" s="13">
        <f t="shared" si="159"/>
        <v>-685328661.14017308</v>
      </c>
      <c r="BF92" s="13">
        <f t="shared" si="160"/>
        <v>-644904724.45865381</v>
      </c>
      <c r="BG92" s="13">
        <f t="shared" si="161"/>
        <v>-607960471.0356642</v>
      </c>
      <c r="BH92" s="13">
        <f t="shared" si="162"/>
        <v>-574284264.77410328</v>
      </c>
      <c r="BI92" s="13">
        <f t="shared" si="163"/>
        <v>-543644871.93321812</v>
      </c>
      <c r="BJ92" s="13">
        <f t="shared" si="164"/>
        <v>-515793460.02843672</v>
      </c>
      <c r="BK92" s="13">
        <f t="shared" si="165"/>
        <v>-490465052.80079246</v>
      </c>
      <c r="BL92" s="13">
        <f t="shared" si="166"/>
        <v>-467379818.13251716</v>
      </c>
      <c r="BM92" s="13">
        <f t="shared" si="167"/>
        <v>-446244395.47821611</v>
      </c>
      <c r="BN92" s="13">
        <f t="shared" si="168"/>
        <v>-426753365.00325352</v>
      </c>
      <c r="BO92" s="13">
        <f t="shared" si="169"/>
        <v>-408590897.40242875</v>
      </c>
      <c r="BP92" s="13">
        <f t="shared" si="170"/>
        <v>-391432585.68742424</v>
      </c>
      <c r="BQ92" s="13">
        <f t="shared" si="171"/>
        <v>-374947438.24433726</v>
      </c>
      <c r="BR92" s="13">
        <f t="shared" si="172"/>
        <v>-358800000</v>
      </c>
      <c r="BT92" s="86"/>
      <c r="BU92" s="26">
        <v>0.04</v>
      </c>
      <c r="BV92" s="13">
        <f t="shared" si="173"/>
        <v>0.40647188029542825</v>
      </c>
      <c r="BW92" s="13">
        <f t="shared" si="174"/>
        <v>0.40647188029542825</v>
      </c>
      <c r="BX92" s="13">
        <f t="shared" si="175"/>
        <v>0.40647188029542825</v>
      </c>
      <c r="BY92" s="13">
        <f t="shared" si="176"/>
        <v>0.40647188029542825</v>
      </c>
      <c r="BZ92" s="13">
        <f t="shared" si="177"/>
        <v>0.40647188029542825</v>
      </c>
      <c r="CA92" s="13">
        <f t="shared" si="178"/>
        <v>0.40647188029542825</v>
      </c>
      <c r="CB92" s="13">
        <f t="shared" si="179"/>
        <v>0.40647188029542825</v>
      </c>
      <c r="CC92" s="13">
        <f t="shared" si="180"/>
        <v>0.40647188029542825</v>
      </c>
      <c r="CD92" s="13">
        <f t="shared" si="181"/>
        <v>0.40647188029542825</v>
      </c>
      <c r="CE92" s="13">
        <f t="shared" si="182"/>
        <v>0.40647188029542825</v>
      </c>
      <c r="CF92" s="13">
        <f t="shared" si="183"/>
        <v>0.40647188029542825</v>
      </c>
      <c r="CG92" s="13">
        <f t="shared" si="184"/>
        <v>0.40647188029542825</v>
      </c>
      <c r="CH92" s="13">
        <f t="shared" si="185"/>
        <v>0.40647188029542825</v>
      </c>
      <c r="CI92" s="13">
        <f t="shared" si="186"/>
        <v>0.40647188029542825</v>
      </c>
      <c r="CJ92" s="13">
        <f t="shared" si="187"/>
        <v>0.40647188029542825</v>
      </c>
      <c r="CK92" s="13">
        <f t="shared" si="188"/>
        <v>0.40647188029542825</v>
      </c>
      <c r="CL92" s="13">
        <f t="shared" si="189"/>
        <v>0.40647188029542825</v>
      </c>
      <c r="CM92" s="13">
        <f t="shared" si="190"/>
        <v>0.40647188029542825</v>
      </c>
      <c r="CN92" s="13">
        <f t="shared" si="191"/>
        <v>0.40647188029542825</v>
      </c>
      <c r="CO92" s="13">
        <f t="shared" si="192"/>
        <v>0.40647188029542825</v>
      </c>
      <c r="CP92" s="13">
        <f t="shared" si="193"/>
        <v>0.40647188029542825</v>
      </c>
      <c r="CQ92" s="13">
        <f t="shared" si="194"/>
        <v>0.40647188029542825</v>
      </c>
      <c r="CR92" s="13">
        <f t="shared" si="195"/>
        <v>0.40647188029542825</v>
      </c>
      <c r="CS92" s="13">
        <f t="shared" si="196"/>
        <v>0.40647188029542825</v>
      </c>
      <c r="CT92" s="13">
        <f t="shared" si="197"/>
        <v>0.40647188029542825</v>
      </c>
      <c r="CU92" s="13">
        <f t="shared" si="198"/>
        <v>0.40647188029542825</v>
      </c>
      <c r="CV92" s="13">
        <f t="shared" si="199"/>
        <v>0.40647188029542825</v>
      </c>
      <c r="CW92" s="13">
        <f t="shared" si="200"/>
        <v>0.40647188029542825</v>
      </c>
      <c r="CX92" s="13">
        <f t="shared" si="201"/>
        <v>0.40647188029542825</v>
      </c>
      <c r="CY92" s="13">
        <f t="shared" si="202"/>
        <v>0.40647188029542825</v>
      </c>
      <c r="CZ92" s="13">
        <f t="shared" si="203"/>
        <v>0.40647188029542825</v>
      </c>
      <c r="DB92" s="86"/>
      <c r="DC92" s="26">
        <v>0.04</v>
      </c>
      <c r="DD92" s="13">
        <f t="shared" si="204"/>
        <v>178.05843591137156</v>
      </c>
      <c r="DE92" s="13">
        <f t="shared" si="205"/>
        <v>208.11336156397607</v>
      </c>
      <c r="DF92" s="13">
        <f t="shared" si="206"/>
        <v>224.34097573306971</v>
      </c>
      <c r="DG92" s="13">
        <f t="shared" si="207"/>
        <v>230.400741397285</v>
      </c>
      <c r="DH92" s="13">
        <f t="shared" si="208"/>
        <v>229.4809103935624</v>
      </c>
      <c r="DI92" s="13">
        <f t="shared" si="209"/>
        <v>224.02510984046981</v>
      </c>
      <c r="DJ92" s="13">
        <f t="shared" si="210"/>
        <v>215.78570285610328</v>
      </c>
      <c r="DK92" s="13">
        <f t="shared" si="211"/>
        <v>205.96947052899742</v>
      </c>
      <c r="DL92" s="13">
        <f t="shared" si="212"/>
        <v>195.38492527809345</v>
      </c>
      <c r="DM92" s="13">
        <f t="shared" si="213"/>
        <v>184.56257064280533</v>
      </c>
      <c r="DN92" s="13">
        <f t="shared" si="214"/>
        <v>173.84418870190734</v>
      </c>
      <c r="DO92" s="13">
        <f t="shared" si="215"/>
        <v>163.44571225997461</v>
      </c>
      <c r="DP92" s="13">
        <f t="shared" si="216"/>
        <v>153.50003748621305</v>
      </c>
      <c r="DQ92" s="13">
        <f t="shared" si="217"/>
        <v>144.08551002453135</v>
      </c>
      <c r="DR92" s="13">
        <f t="shared" si="218"/>
        <v>135.24455578157952</v>
      </c>
      <c r="DS92" s="13">
        <f t="shared" si="219"/>
        <v>126.99570185959045</v>
      </c>
      <c r="DT92" s="13">
        <f t="shared" si="220"/>
        <v>119.34124694958936</v>
      </c>
      <c r="DU92" s="13">
        <f t="shared" si="221"/>
        <v>112.2721124599687</v>
      </c>
      <c r="DV92" s="13">
        <f t="shared" si="222"/>
        <v>105.77089327392227</v>
      </c>
      <c r="DW92" s="13">
        <f t="shared" si="223"/>
        <v>99.813776886312922</v>
      </c>
      <c r="DX92" s="13">
        <f t="shared" si="224"/>
        <v>94.371764954718714</v>
      </c>
      <c r="DY92" s="13">
        <f t="shared" si="225"/>
        <v>89.4114760111907</v>
      </c>
      <c r="DZ92" s="13">
        <f t="shared" si="226"/>
        <v>84.895706300442399</v>
      </c>
      <c r="EA92" s="13">
        <f t="shared" si="227"/>
        <v>80.78385947462283</v>
      </c>
      <c r="EB92" s="13">
        <f t="shared" si="228"/>
        <v>77.032313030606431</v>
      </c>
      <c r="EC92" s="13">
        <f t="shared" si="229"/>
        <v>73.594761824199779</v>
      </c>
      <c r="ED92" s="13">
        <f t="shared" si="230"/>
        <v>70.422561393389358</v>
      </c>
      <c r="EE92" s="13">
        <f t="shared" si="231"/>
        <v>67.465082666218393</v>
      </c>
      <c r="EF92" s="13">
        <f t="shared" si="232"/>
        <v>64.670082630147434</v>
      </c>
      <c r="EG92" s="13">
        <f t="shared" si="233"/>
        <v>61.98409120947121</v>
      </c>
      <c r="EH92" s="13">
        <f t="shared" si="234"/>
        <v>59.352811970457175</v>
      </c>
    </row>
    <row r="93" spans="5:138" x14ac:dyDescent="0.25">
      <c r="E93" s="95"/>
      <c r="F93" s="26">
        <v>3.6666666666666667E-2</v>
      </c>
      <c r="G93" s="13">
        <f t="shared" si="139"/>
        <v>300</v>
      </c>
      <c r="H93" s="13">
        <f t="shared" si="235"/>
        <v>359.13485296599191</v>
      </c>
      <c r="I93" s="13">
        <f t="shared" si="236"/>
        <v>379.64178202276537</v>
      </c>
      <c r="J93" s="13">
        <f t="shared" si="237"/>
        <v>385.84197593113458</v>
      </c>
      <c r="K93" s="13">
        <f t="shared" si="238"/>
        <v>382.26768883435466</v>
      </c>
      <c r="L93" s="13">
        <f t="shared" si="239"/>
        <v>372.30625020401425</v>
      </c>
      <c r="M93" s="13">
        <f t="shared" si="240"/>
        <v>358.3826691080605</v>
      </c>
      <c r="N93" s="13">
        <f t="shared" si="241"/>
        <v>342.18431581064237</v>
      </c>
      <c r="O93" s="13">
        <f t="shared" si="242"/>
        <v>324.86164425504734</v>
      </c>
      <c r="P93" s="13">
        <f t="shared" si="243"/>
        <v>307.18665193050174</v>
      </c>
      <c r="Q93" s="13">
        <f t="shared" si="244"/>
        <v>289.6700641697949</v>
      </c>
      <c r="R93" s="13">
        <f t="shared" si="245"/>
        <v>272.64458960877403</v>
      </c>
      <c r="S93" s="13">
        <f t="shared" si="246"/>
        <v>256.32249555141073</v>
      </c>
      <c r="T93" s="13">
        <f t="shared" si="247"/>
        <v>240.83465746186681</v>
      </c>
      <c r="U93" s="13">
        <f t="shared" si="248"/>
        <v>226.25665511995891</v>
      </c>
      <c r="V93" s="13">
        <f t="shared" si="249"/>
        <v>212.62601081723864</v>
      </c>
      <c r="W93" s="13">
        <f t="shared" si="250"/>
        <v>199.95347354111618</v>
      </c>
      <c r="X93" s="13">
        <f t="shared" si="251"/>
        <v>188.2303595823256</v>
      </c>
      <c r="Y93" s="13">
        <f t="shared" si="252"/>
        <v>177.43331779644586</v>
      </c>
      <c r="Z93" s="13">
        <f t="shared" si="253"/>
        <v>167.5274385169626</v>
      </c>
      <c r="AA93" s="13">
        <f t="shared" si="254"/>
        <v>158.46831656577211</v>
      </c>
      <c r="AB93" s="13">
        <f t="shared" si="255"/>
        <v>150.20346959442526</v>
      </c>
      <c r="AC93" s="13">
        <f t="shared" si="256"/>
        <v>142.67337247575898</v>
      </c>
      <c r="AD93" s="13">
        <f t="shared" si="257"/>
        <v>135.81227479557398</v>
      </c>
      <c r="AE93" s="13">
        <f t="shared" si="258"/>
        <v>129.54890645297053</v>
      </c>
      <c r="AF93" s="13">
        <f t="shared" si="259"/>
        <v>123.80713554197314</v>
      </c>
      <c r="AG93" s="13">
        <f t="shared" si="260"/>
        <v>118.50661599013969</v>
      </c>
      <c r="AH93" s="13">
        <f t="shared" si="261"/>
        <v>113.5634451160623</v>
      </c>
      <c r="AI93" s="13">
        <f t="shared" si="262"/>
        <v>108.89084015187922</v>
      </c>
      <c r="AJ93" s="13">
        <f t="shared" si="263"/>
        <v>104.39983573524346</v>
      </c>
      <c r="AK93" s="13">
        <f t="shared" si="141"/>
        <v>100</v>
      </c>
      <c r="AL93" s="86"/>
      <c r="AM93" s="26">
        <v>3.6666666666666667E-2</v>
      </c>
      <c r="AN93" s="13">
        <f t="shared" si="142"/>
        <v>-1076400000</v>
      </c>
      <c r="AO93" s="13">
        <f t="shared" si="143"/>
        <v>-1220192698.5012529</v>
      </c>
      <c r="AP93" s="13">
        <f t="shared" si="144"/>
        <v>-1305056604.680351</v>
      </c>
      <c r="AQ93" s="13">
        <f t="shared" si="145"/>
        <v>-1341104690.4588816</v>
      </c>
      <c r="AR93" s="13">
        <f t="shared" si="146"/>
        <v>-1340623149.195112</v>
      </c>
      <c r="AS93" s="13">
        <f t="shared" si="147"/>
        <v>-1314622097.3363051</v>
      </c>
      <c r="AT93" s="13">
        <f t="shared" si="148"/>
        <v>-1271840769.5763922</v>
      </c>
      <c r="AU93" s="13">
        <f t="shared" si="149"/>
        <v>-1218777267.7367904</v>
      </c>
      <c r="AV93" s="13">
        <f t="shared" si="150"/>
        <v>-1160070021.8294806</v>
      </c>
      <c r="AW93" s="13">
        <f t="shared" si="151"/>
        <v>-1098937436.742193</v>
      </c>
      <c r="AX93" s="13">
        <f t="shared" si="152"/>
        <v>-1037564039.1541176</v>
      </c>
      <c r="AY93" s="13">
        <f t="shared" si="153"/>
        <v>-977403416.64034545</v>
      </c>
      <c r="AZ93" s="13">
        <f t="shared" si="154"/>
        <v>-919401625.62316322</v>
      </c>
      <c r="BA93" s="13">
        <f t="shared" si="155"/>
        <v>-864155665.59417927</v>
      </c>
      <c r="BB93" s="13">
        <f t="shared" si="156"/>
        <v>-812022942.2540139</v>
      </c>
      <c r="BC93" s="13">
        <f t="shared" si="157"/>
        <v>-763195439.01653683</v>
      </c>
      <c r="BD93" s="13">
        <f t="shared" si="158"/>
        <v>-717749268.80175591</v>
      </c>
      <c r="BE93" s="13">
        <f t="shared" si="159"/>
        <v>-675677450.01695669</v>
      </c>
      <c r="BF93" s="13">
        <f t="shared" si="160"/>
        <v>-636911469.71679759</v>
      </c>
      <c r="BG93" s="13">
        <f t="shared" si="161"/>
        <v>-601335483.42362261</v>
      </c>
      <c r="BH93" s="13">
        <f t="shared" si="162"/>
        <v>-568795766.91006088</v>
      </c>
      <c r="BI93" s="13">
        <f t="shared" si="163"/>
        <v>-539107170.24852121</v>
      </c>
      <c r="BJ93" s="13">
        <f t="shared" si="164"/>
        <v>-512057729.48757994</v>
      </c>
      <c r="BK93" s="13">
        <f t="shared" si="165"/>
        <v>-487412187.68400556</v>
      </c>
      <c r="BL93" s="13">
        <f t="shared" si="166"/>
        <v>-464914906.07583272</v>
      </c>
      <c r="BM93" s="13">
        <f t="shared" si="167"/>
        <v>-444292465.92345595</v>
      </c>
      <c r="BN93" s="13">
        <f t="shared" si="168"/>
        <v>-425256142.60897869</v>
      </c>
      <c r="BO93" s="13">
        <f t="shared" si="169"/>
        <v>-407504355.77653921</v>
      </c>
      <c r="BP93" s="13">
        <f t="shared" si="170"/>
        <v>-390725148.89152467</v>
      </c>
      <c r="BQ93" s="13">
        <f t="shared" si="171"/>
        <v>-374598719.3486551</v>
      </c>
      <c r="BR93" s="13">
        <f t="shared" si="172"/>
        <v>-358800000</v>
      </c>
      <c r="BT93" s="86"/>
      <c r="BU93" s="26">
        <v>3.6666666666666667E-2</v>
      </c>
      <c r="BV93" s="13">
        <f t="shared" si="173"/>
        <v>0.40647188204051027</v>
      </c>
      <c r="BW93" s="13">
        <f t="shared" si="174"/>
        <v>0.40647188204051027</v>
      </c>
      <c r="BX93" s="13">
        <f t="shared" si="175"/>
        <v>0.40647188204051027</v>
      </c>
      <c r="BY93" s="13">
        <f t="shared" si="176"/>
        <v>0.40647188204051027</v>
      </c>
      <c r="BZ93" s="13">
        <f t="shared" si="177"/>
        <v>0.40647188204051027</v>
      </c>
      <c r="CA93" s="13">
        <f t="shared" si="178"/>
        <v>0.40647188204051027</v>
      </c>
      <c r="CB93" s="13">
        <f t="shared" si="179"/>
        <v>0.40647188204051027</v>
      </c>
      <c r="CC93" s="13">
        <f t="shared" si="180"/>
        <v>0.40647188204051027</v>
      </c>
      <c r="CD93" s="13">
        <f t="shared" si="181"/>
        <v>0.40647188204051027</v>
      </c>
      <c r="CE93" s="13">
        <f t="shared" si="182"/>
        <v>0.40647188204051027</v>
      </c>
      <c r="CF93" s="13">
        <f t="shared" si="183"/>
        <v>0.40647188204051027</v>
      </c>
      <c r="CG93" s="13">
        <f t="shared" si="184"/>
        <v>0.40647188204051027</v>
      </c>
      <c r="CH93" s="13">
        <f t="shared" si="185"/>
        <v>0.40647188204051027</v>
      </c>
      <c r="CI93" s="13">
        <f t="shared" si="186"/>
        <v>0.40647188204051027</v>
      </c>
      <c r="CJ93" s="13">
        <f t="shared" si="187"/>
        <v>0.40647188204051027</v>
      </c>
      <c r="CK93" s="13">
        <f t="shared" si="188"/>
        <v>0.40647188204051027</v>
      </c>
      <c r="CL93" s="13">
        <f t="shared" si="189"/>
        <v>0.40647188204051027</v>
      </c>
      <c r="CM93" s="13">
        <f t="shared" si="190"/>
        <v>0.40647188204051027</v>
      </c>
      <c r="CN93" s="13">
        <f t="shared" si="191"/>
        <v>0.40647188204051027</v>
      </c>
      <c r="CO93" s="13">
        <f t="shared" si="192"/>
        <v>0.40647188204051027</v>
      </c>
      <c r="CP93" s="13">
        <f t="shared" si="193"/>
        <v>0.40647188204051027</v>
      </c>
      <c r="CQ93" s="13">
        <f t="shared" si="194"/>
        <v>0.40647188204051027</v>
      </c>
      <c r="CR93" s="13">
        <f t="shared" si="195"/>
        <v>0.40647188204051027</v>
      </c>
      <c r="CS93" s="13">
        <f t="shared" si="196"/>
        <v>0.40647188204051027</v>
      </c>
      <c r="CT93" s="13">
        <f t="shared" si="197"/>
        <v>0.40647188204051027</v>
      </c>
      <c r="CU93" s="13">
        <f t="shared" si="198"/>
        <v>0.40647188204051027</v>
      </c>
      <c r="CV93" s="13">
        <f t="shared" si="199"/>
        <v>0.40647188204051027</v>
      </c>
      <c r="CW93" s="13">
        <f t="shared" si="200"/>
        <v>0.40647188204051027</v>
      </c>
      <c r="CX93" s="13">
        <f t="shared" si="201"/>
        <v>0.40647188204051027</v>
      </c>
      <c r="CY93" s="13">
        <f t="shared" si="202"/>
        <v>0.40647188204051027</v>
      </c>
      <c r="CZ93" s="13">
        <f t="shared" si="203"/>
        <v>0.40647188204051027</v>
      </c>
      <c r="DB93" s="86"/>
      <c r="DC93" s="26">
        <v>3.6666666666666667E-2</v>
      </c>
      <c r="DD93" s="13">
        <f t="shared" si="204"/>
        <v>178.05843538784694</v>
      </c>
      <c r="DE93" s="13">
        <f t="shared" si="205"/>
        <v>196.97980975096513</v>
      </c>
      <c r="DF93" s="13">
        <f t="shared" si="206"/>
        <v>208.42778075170159</v>
      </c>
      <c r="DG93" s="13">
        <f t="shared" si="207"/>
        <v>213.38619619295608</v>
      </c>
      <c r="DH93" s="13">
        <f t="shared" si="208"/>
        <v>213.29164170207508</v>
      </c>
      <c r="DI93" s="13">
        <f t="shared" si="209"/>
        <v>209.52929173277971</v>
      </c>
      <c r="DJ93" s="13">
        <f t="shared" si="210"/>
        <v>203.2550759424476</v>
      </c>
      <c r="DK93" s="13">
        <f t="shared" si="211"/>
        <v>195.36549782611368</v>
      </c>
      <c r="DL93" s="13">
        <f t="shared" si="212"/>
        <v>186.52616007471366</v>
      </c>
      <c r="DM93" s="13">
        <f t="shared" si="213"/>
        <v>177.217240845996</v>
      </c>
      <c r="DN93" s="13">
        <f t="shared" si="214"/>
        <v>167.77805030738813</v>
      </c>
      <c r="DO93" s="13">
        <f t="shared" si="215"/>
        <v>158.44431938571751</v>
      </c>
      <c r="DP93" s="13">
        <f t="shared" si="216"/>
        <v>149.37705570311556</v>
      </c>
      <c r="DQ93" s="13">
        <f t="shared" si="217"/>
        <v>140.68386251412235</v>
      </c>
      <c r="DR93" s="13">
        <f t="shared" si="218"/>
        <v>132.43422223149787</v>
      </c>
      <c r="DS93" s="13">
        <f t="shared" si="219"/>
        <v>124.67023120214476</v>
      </c>
      <c r="DT93" s="13">
        <f t="shared" si="220"/>
        <v>117.41403593749874</v>
      </c>
      <c r="DU93" s="13">
        <f t="shared" si="221"/>
        <v>110.67294158607457</v>
      </c>
      <c r="DV93" s="13">
        <f t="shared" si="222"/>
        <v>104.44291196426208</v>
      </c>
      <c r="DW93" s="13">
        <f t="shared" si="223"/>
        <v>98.71097800692165</v>
      </c>
      <c r="DX93" s="13">
        <f t="shared" si="224"/>
        <v>93.456917973481509</v>
      </c>
      <c r="DY93" s="13">
        <f t="shared" si="225"/>
        <v>88.654460511158959</v>
      </c>
      <c r="DZ93" s="13">
        <f t="shared" si="226"/>
        <v>84.27218160010213</v>
      </c>
      <c r="EA93" s="13">
        <f t="shared" si="227"/>
        <v>80.274210244339741</v>
      </c>
      <c r="EB93" s="13">
        <f t="shared" si="228"/>
        <v>76.620818888167818</v>
      </c>
      <c r="EC93" s="13">
        <f t="shared" si="229"/>
        <v>73.268947892459835</v>
      </c>
      <c r="ED93" s="13">
        <f t="shared" si="230"/>
        <v>70.172695312385997</v>
      </c>
      <c r="EE93" s="13">
        <f t="shared" si="231"/>
        <v>67.28379104095545</v>
      </c>
      <c r="EF93" s="13">
        <f t="shared" si="232"/>
        <v>64.552066267107563</v>
      </c>
      <c r="EG93" s="13">
        <f t="shared" si="233"/>
        <v>61.925923854652567</v>
      </c>
      <c r="EH93" s="13">
        <f t="shared" si="234"/>
        <v>59.35281179594898</v>
      </c>
    </row>
    <row r="94" spans="5:138" x14ac:dyDescent="0.25">
      <c r="E94" s="95"/>
      <c r="F94" s="26">
        <v>3.3333333333333333E-2</v>
      </c>
      <c r="G94" s="13">
        <f t="shared" si="139"/>
        <v>300</v>
      </c>
      <c r="H94" s="13">
        <f t="shared" si="235"/>
        <v>335.85438606025343</v>
      </c>
      <c r="I94" s="13">
        <f t="shared" si="236"/>
        <v>351.85558669249315</v>
      </c>
      <c r="J94" s="13">
        <f t="shared" si="237"/>
        <v>357.86719190488077</v>
      </c>
      <c r="K94" s="13">
        <f t="shared" si="238"/>
        <v>356.29803651453756</v>
      </c>
      <c r="L94" s="13">
        <f t="shared" si="239"/>
        <v>349.2733252776477</v>
      </c>
      <c r="M94" s="13">
        <f t="shared" si="240"/>
        <v>338.51164206733148</v>
      </c>
      <c r="N94" s="13">
        <f t="shared" si="241"/>
        <v>325.33483886985761</v>
      </c>
      <c r="O94" s="13">
        <f t="shared" si="242"/>
        <v>310.72766141604882</v>
      </c>
      <c r="P94" s="13">
        <f t="shared" si="243"/>
        <v>295.40784429578866</v>
      </c>
      <c r="Q94" s="13">
        <f t="shared" si="244"/>
        <v>279.89008865330828</v>
      </c>
      <c r="R94" s="13">
        <f t="shared" si="245"/>
        <v>264.53846708184653</v>
      </c>
      <c r="S94" s="13">
        <f t="shared" si="246"/>
        <v>249.60685434070808</v>
      </c>
      <c r="T94" s="13">
        <f t="shared" si="247"/>
        <v>235.26896981624694</v>
      </c>
      <c r="U94" s="13">
        <f t="shared" si="248"/>
        <v>221.64014495399221</v>
      </c>
      <c r="V94" s="13">
        <f t="shared" si="249"/>
        <v>208.79282391818032</v>
      </c>
      <c r="W94" s="13">
        <f t="shared" si="250"/>
        <v>196.76747583847828</v>
      </c>
      <c r="X94" s="13">
        <f t="shared" si="251"/>
        <v>185.58022949439771</v>
      </c>
      <c r="Y94" s="13">
        <f t="shared" si="252"/>
        <v>175.22821252486017</v>
      </c>
      <c r="Z94" s="13">
        <f t="shared" si="253"/>
        <v>165.69331046325448</v>
      </c>
      <c r="AA94" s="13">
        <f t="shared" si="254"/>
        <v>156.94485588820498</v>
      </c>
      <c r="AB94" s="13">
        <f t="shared" si="255"/>
        <v>148.94160576011791</v>
      </c>
      <c r="AC94" s="13">
        <f t="shared" si="256"/>
        <v>141.6332546005612</v>
      </c>
      <c r="AD94" s="13">
        <f t="shared" si="257"/>
        <v>134.96165242601353</v>
      </c>
      <c r="AE94" s="13">
        <f t="shared" si="258"/>
        <v>128.86184091197524</v>
      </c>
      <c r="AF94" s="13">
        <f t="shared" si="259"/>
        <v>123.26298265320268</v>
      </c>
      <c r="AG94" s="13">
        <f t="shared" si="260"/>
        <v>118.08923175064615</v>
      </c>
      <c r="AH94" s="13">
        <f t="shared" si="261"/>
        <v>113.26057575422192</v>
      </c>
      <c r="AI94" s="13">
        <f t="shared" si="262"/>
        <v>108.69366668119433</v>
      </c>
      <c r="AJ94" s="13">
        <f t="shared" si="263"/>
        <v>104.30265061364969</v>
      </c>
      <c r="AK94" s="13">
        <f t="shared" si="141"/>
        <v>100</v>
      </c>
      <c r="AL94" s="86"/>
      <c r="AM94" s="26">
        <v>3.3333333333333333E-2</v>
      </c>
      <c r="AN94" s="13">
        <f t="shared" si="142"/>
        <v>-1076400000</v>
      </c>
      <c r="AO94" s="13">
        <f t="shared" si="143"/>
        <v>-1167227104.0401361</v>
      </c>
      <c r="AP94" s="13">
        <f t="shared" si="144"/>
        <v>-1225613904.4017746</v>
      </c>
      <c r="AQ94" s="13">
        <f t="shared" si="145"/>
        <v>-1252736636.6177018</v>
      </c>
      <c r="AR94" s="13">
        <f t="shared" si="146"/>
        <v>-1253731721.5743511</v>
      </c>
      <c r="AS94" s="13">
        <f t="shared" si="147"/>
        <v>-1234652993.4634199</v>
      </c>
      <c r="AT94" s="13">
        <f t="shared" si="148"/>
        <v>-1201106163.8326449</v>
      </c>
      <c r="AU94" s="13">
        <f t="shared" si="149"/>
        <v>-1157759559.9944859</v>
      </c>
      <c r="AV94" s="13">
        <f t="shared" si="150"/>
        <v>-1108276406.1144235</v>
      </c>
      <c r="AW94" s="13">
        <f t="shared" si="151"/>
        <v>-1055424585.754922</v>
      </c>
      <c r="AX94" s="13">
        <f t="shared" si="152"/>
        <v>-1001241079.8286431</v>
      </c>
      <c r="AY94" s="13">
        <f t="shared" si="153"/>
        <v>-947194675.32667065</v>
      </c>
      <c r="AZ94" s="13">
        <f t="shared" si="154"/>
        <v>-894325021.35270023</v>
      </c>
      <c r="BA94" s="13">
        <f t="shared" si="155"/>
        <v>-843352837.86360681</v>
      </c>
      <c r="BB94" s="13">
        <f t="shared" si="156"/>
        <v>-794763377.94063962</v>
      </c>
      <c r="BC94" s="13">
        <f t="shared" si="157"/>
        <v>-748867789.57029796</v>
      </c>
      <c r="BD94" s="13">
        <f t="shared" si="158"/>
        <v>-705847350.18254507</v>
      </c>
      <c r="BE94" s="13">
        <f t="shared" si="159"/>
        <v>-665784966.19272935</v>
      </c>
      <c r="BF94" s="13">
        <f t="shared" si="160"/>
        <v>-628687479.90088737</v>
      </c>
      <c r="BG94" s="13">
        <f t="shared" si="161"/>
        <v>-594501493.13784385</v>
      </c>
      <c r="BH94" s="13">
        <f t="shared" si="162"/>
        <v>-563124708.74709821</v>
      </c>
      <c r="BI94" s="13">
        <f t="shared" si="163"/>
        <v>-534414230.99553204</v>
      </c>
      <c r="BJ94" s="13">
        <f t="shared" si="164"/>
        <v>-508192842.29666454</v>
      </c>
      <c r="BK94" s="13">
        <f t="shared" si="165"/>
        <v>-484253962.2713576</v>
      </c>
      <c r="BL94" s="13">
        <f t="shared" si="166"/>
        <v>-462365771.09780931</v>
      </c>
      <c r="BM94" s="13">
        <f t="shared" si="167"/>
        <v>-442274820.39328736</v>
      </c>
      <c r="BN94" s="13">
        <f t="shared" si="168"/>
        <v>-423709343.91637719</v>
      </c>
      <c r="BO94" s="13">
        <f t="shared" si="169"/>
        <v>-406382403.71528679</v>
      </c>
      <c r="BP94" s="13">
        <f t="shared" si="170"/>
        <v>-389994955.00105751</v>
      </c>
      <c r="BQ94" s="13">
        <f t="shared" si="171"/>
        <v>-374238877.77764881</v>
      </c>
      <c r="BR94" s="13">
        <f t="shared" si="172"/>
        <v>-358800000</v>
      </c>
      <c r="BT94" s="86"/>
      <c r="BU94" s="26">
        <v>3.3333333333333333E-2</v>
      </c>
      <c r="BV94" s="13">
        <f t="shared" si="173"/>
        <v>0.40647189260272093</v>
      </c>
      <c r="BW94" s="13">
        <f t="shared" si="174"/>
        <v>0.40647189260272093</v>
      </c>
      <c r="BX94" s="13">
        <f t="shared" si="175"/>
        <v>0.40647189260272093</v>
      </c>
      <c r="BY94" s="13">
        <f t="shared" si="176"/>
        <v>0.40647189260272093</v>
      </c>
      <c r="BZ94" s="13">
        <f t="shared" si="177"/>
        <v>0.40647189260272093</v>
      </c>
      <c r="CA94" s="13">
        <f t="shared" si="178"/>
        <v>0.40647189260272093</v>
      </c>
      <c r="CB94" s="13">
        <f t="shared" si="179"/>
        <v>0.40647189260272093</v>
      </c>
      <c r="CC94" s="13">
        <f t="shared" si="180"/>
        <v>0.40647189260272093</v>
      </c>
      <c r="CD94" s="13">
        <f t="shared" si="181"/>
        <v>0.40647189260272093</v>
      </c>
      <c r="CE94" s="13">
        <f t="shared" si="182"/>
        <v>0.40647189260272093</v>
      </c>
      <c r="CF94" s="13">
        <f t="shared" si="183"/>
        <v>0.40647189260272093</v>
      </c>
      <c r="CG94" s="13">
        <f t="shared" si="184"/>
        <v>0.40647189260272093</v>
      </c>
      <c r="CH94" s="13">
        <f t="shared" si="185"/>
        <v>0.40647189260272093</v>
      </c>
      <c r="CI94" s="13">
        <f t="shared" si="186"/>
        <v>0.40647189260272093</v>
      </c>
      <c r="CJ94" s="13">
        <f t="shared" si="187"/>
        <v>0.40647189260272093</v>
      </c>
      <c r="CK94" s="13">
        <f t="shared" si="188"/>
        <v>0.40647189260272093</v>
      </c>
      <c r="CL94" s="13">
        <f t="shared" si="189"/>
        <v>0.40647189260272093</v>
      </c>
      <c r="CM94" s="13">
        <f t="shared" si="190"/>
        <v>0.40647189260272093</v>
      </c>
      <c r="CN94" s="13">
        <f t="shared" si="191"/>
        <v>0.40647189260272093</v>
      </c>
      <c r="CO94" s="13">
        <f t="shared" si="192"/>
        <v>0.40647189260272093</v>
      </c>
      <c r="CP94" s="13">
        <f t="shared" si="193"/>
        <v>0.40647189260272093</v>
      </c>
      <c r="CQ94" s="13">
        <f t="shared" si="194"/>
        <v>0.40647189260272093</v>
      </c>
      <c r="CR94" s="13">
        <f t="shared" si="195"/>
        <v>0.40647189260272093</v>
      </c>
      <c r="CS94" s="13">
        <f t="shared" si="196"/>
        <v>0.40647189260272093</v>
      </c>
      <c r="CT94" s="13">
        <f t="shared" si="197"/>
        <v>0.40647189260272093</v>
      </c>
      <c r="CU94" s="13">
        <f t="shared" si="198"/>
        <v>0.40647189260272093</v>
      </c>
      <c r="CV94" s="13">
        <f t="shared" si="199"/>
        <v>0.40647189260272093</v>
      </c>
      <c r="CW94" s="13">
        <f t="shared" si="200"/>
        <v>0.40647189260272093</v>
      </c>
      <c r="CX94" s="13">
        <f t="shared" si="201"/>
        <v>0.40647189260272093</v>
      </c>
      <c r="CY94" s="13">
        <f t="shared" si="202"/>
        <v>0.40647189260272093</v>
      </c>
      <c r="CZ94" s="13">
        <f t="shared" si="203"/>
        <v>0.40647189260272093</v>
      </c>
      <c r="DB94" s="86"/>
      <c r="DC94" s="26">
        <v>3.3333333333333333E-2</v>
      </c>
      <c r="DD94" s="13">
        <f t="shared" si="204"/>
        <v>178.05843221918371</v>
      </c>
      <c r="DE94" s="13">
        <f t="shared" si="205"/>
        <v>189.87616267556677</v>
      </c>
      <c r="DF94" s="13">
        <f t="shared" si="206"/>
        <v>197.5418730426301</v>
      </c>
      <c r="DG94" s="13">
        <f t="shared" si="207"/>
        <v>201.03327370257898</v>
      </c>
      <c r="DH94" s="13">
        <f t="shared" si="208"/>
        <v>200.91696555316943</v>
      </c>
      <c r="DI94" s="13">
        <f t="shared" si="209"/>
        <v>197.94129912939985</v>
      </c>
      <c r="DJ94" s="13">
        <f t="shared" si="210"/>
        <v>192.83916027896345</v>
      </c>
      <c r="DK94" s="13">
        <f t="shared" si="211"/>
        <v>186.24653240333865</v>
      </c>
      <c r="DL94" s="13">
        <f t="shared" si="212"/>
        <v>178.68053404166787</v>
      </c>
      <c r="DM94" s="13">
        <f t="shared" si="213"/>
        <v>170.54510450330437</v>
      </c>
      <c r="DN94" s="13">
        <f t="shared" si="214"/>
        <v>162.14734943986014</v>
      </c>
      <c r="DO94" s="13">
        <f t="shared" si="215"/>
        <v>153.716104735676</v>
      </c>
      <c r="DP94" s="13">
        <f t="shared" si="216"/>
        <v>145.41896445727366</v>
      </c>
      <c r="DQ94" s="13">
        <f t="shared" si="217"/>
        <v>137.37645079339393</v>
      </c>
      <c r="DR94" s="13">
        <f t="shared" si="218"/>
        <v>129.67317413342141</v>
      </c>
      <c r="DS94" s="13">
        <f t="shared" si="219"/>
        <v>122.36632688473073</v>
      </c>
      <c r="DT94" s="13">
        <f t="shared" si="220"/>
        <v>115.49200901573272</v>
      </c>
      <c r="DU94" s="13">
        <f t="shared" si="221"/>
        <v>109.0698789896791</v>
      </c>
      <c r="DV94" s="13">
        <f t="shared" si="222"/>
        <v>103.10655602935876</v>
      </c>
      <c r="DW94" s="13">
        <f t="shared" si="223"/>
        <v>97.598115466378729</v>
      </c>
      <c r="DX94" s="13">
        <f t="shared" si="224"/>
        <v>92.531939336148469</v>
      </c>
      <c r="DY94" s="13">
        <f t="shared" si="225"/>
        <v>87.888117198576623</v>
      </c>
      <c r="DZ94" s="13">
        <f t="shared" si="226"/>
        <v>83.640538866326494</v>
      </c>
      <c r="EA94" s="13">
        <f t="shared" si="227"/>
        <v>79.757780051175772</v>
      </c>
      <c r="EB94" s="13">
        <f t="shared" si="228"/>
        <v>76.203851721423462</v>
      </c>
      <c r="EC94" s="13">
        <f t="shared" si="229"/>
        <v>72.938861951735262</v>
      </c>
      <c r="ED94" s="13">
        <f t="shared" si="230"/>
        <v>69.919623263190189</v>
      </c>
      <c r="EE94" s="13">
        <f t="shared" si="231"/>
        <v>67.100227287410846</v>
      </c>
      <c r="EF94" s="13">
        <f t="shared" si="232"/>
        <v>64.43260079755963</v>
      </c>
      <c r="EG94" s="13">
        <f t="shared" si="233"/>
        <v>61.867051794932102</v>
      </c>
      <c r="EH94" s="13">
        <f t="shared" si="234"/>
        <v>59.352810739727914</v>
      </c>
    </row>
    <row r="95" spans="5:138" x14ac:dyDescent="0.25">
      <c r="E95" s="95"/>
      <c r="F95" s="26">
        <v>3.0000000000000002E-2</v>
      </c>
      <c r="G95" s="13">
        <f t="shared" si="139"/>
        <v>300</v>
      </c>
      <c r="H95" s="13">
        <f t="shared" si="235"/>
        <v>321.70880638737799</v>
      </c>
      <c r="I95" s="13">
        <f t="shared" si="236"/>
        <v>332.96889393489994</v>
      </c>
      <c r="J95" s="13">
        <f t="shared" si="237"/>
        <v>337.45058370882265</v>
      </c>
      <c r="K95" s="13">
        <f t="shared" si="238"/>
        <v>336.28626666810447</v>
      </c>
      <c r="L95" s="13">
        <f t="shared" si="239"/>
        <v>330.71858818528597</v>
      </c>
      <c r="M95" s="13">
        <f t="shared" si="240"/>
        <v>321.89510968963157</v>
      </c>
      <c r="N95" s="13">
        <f t="shared" si="241"/>
        <v>310.79015465143107</v>
      </c>
      <c r="O95" s="13">
        <f t="shared" si="242"/>
        <v>298.19137013414201</v>
      </c>
      <c r="P95" s="13">
        <f t="shared" si="243"/>
        <v>284.71569356406303</v>
      </c>
      <c r="Q95" s="13">
        <f t="shared" si="244"/>
        <v>270.83585184682823</v>
      </c>
      <c r="R95" s="13">
        <f t="shared" si="245"/>
        <v>256.90803164742988</v>
      </c>
      <c r="S95" s="13">
        <f t="shared" si="246"/>
        <v>243.19661699999588</v>
      </c>
      <c r="T95" s="13">
        <f t="shared" si="247"/>
        <v>229.89464106847419</v>
      </c>
      <c r="U95" s="13">
        <f t="shared" si="248"/>
        <v>217.13992999437446</v>
      </c>
      <c r="V95" s="13">
        <f t="shared" si="249"/>
        <v>205.02747823847781</v>
      </c>
      <c r="W95" s="13">
        <f t="shared" si="250"/>
        <v>193.618761499588</v>
      </c>
      <c r="X95" s="13">
        <f t="shared" si="251"/>
        <v>182.94867361738034</v>
      </c>
      <c r="Y95" s="13">
        <f t="shared" si="252"/>
        <v>173.03067890504036</v>
      </c>
      <c r="Z95" s="13">
        <f t="shared" si="253"/>
        <v>163.86065699996021</v>
      </c>
      <c r="AA95" s="13">
        <f t="shared" si="254"/>
        <v>155.41980926372511</v>
      </c>
      <c r="AB95" s="13">
        <f t="shared" si="255"/>
        <v>147.67690387551369</v>
      </c>
      <c r="AC95" s="13">
        <f t="shared" si="256"/>
        <v>140.59006310462649</v>
      </c>
      <c r="AD95" s="13">
        <f t="shared" si="257"/>
        <v>134.10823938813886</v>
      </c>
      <c r="AE95" s="13">
        <f t="shared" si="258"/>
        <v>128.17248408942385</v>
      </c>
      <c r="AF95" s="13">
        <f t="shared" si="259"/>
        <v>122.71708130221093</v>
      </c>
      <c r="AG95" s="13">
        <f t="shared" si="260"/>
        <v>117.67059620799827</v>
      </c>
      <c r="AH95" s="13">
        <f t="shared" si="261"/>
        <v>112.95687114862825</v>
      </c>
      <c r="AI95" s="13">
        <f t="shared" si="262"/>
        <v>108.49599104893159</v>
      </c>
      <c r="AJ95" s="13">
        <f t="shared" si="263"/>
        <v>104.20523182638594</v>
      </c>
      <c r="AK95" s="13">
        <f t="shared" si="141"/>
        <v>100</v>
      </c>
      <c r="AL95" s="86"/>
      <c r="AM95" s="26">
        <v>3.0000000000000002E-2</v>
      </c>
      <c r="AN95" s="13">
        <f t="shared" si="142"/>
        <v>-1076400000</v>
      </c>
      <c r="AO95" s="13">
        <f t="shared" si="143"/>
        <v>-1132682405.5357673</v>
      </c>
      <c r="AP95" s="13">
        <f t="shared" si="144"/>
        <v>-1170571976.1264436</v>
      </c>
      <c r="AQ95" s="13">
        <f t="shared" si="145"/>
        <v>-1188222770.6229005</v>
      </c>
      <c r="AR95" s="13">
        <f t="shared" si="146"/>
        <v>-1187318767.9340134</v>
      </c>
      <c r="AS95" s="13">
        <f t="shared" si="147"/>
        <v>-1171008218.8803654</v>
      </c>
      <c r="AT95" s="13">
        <f t="shared" si="148"/>
        <v>-1142764354.6001272</v>
      </c>
      <c r="AU95" s="13">
        <f t="shared" si="149"/>
        <v>-1105823635.950515</v>
      </c>
      <c r="AV95" s="13">
        <f t="shared" si="150"/>
        <v>-1062957766.835714</v>
      </c>
      <c r="AW95" s="13">
        <f t="shared" si="151"/>
        <v>-1016423711.4570549</v>
      </c>
      <c r="AX95" s="13">
        <f t="shared" si="152"/>
        <v>-967998780.92455256</v>
      </c>
      <c r="AY95" s="13">
        <f t="shared" si="153"/>
        <v>-919048823.41643226</v>
      </c>
      <c r="AZ95" s="13">
        <f t="shared" si="154"/>
        <v>-870602593.03419638</v>
      </c>
      <c r="BA95" s="13">
        <f t="shared" si="155"/>
        <v>-823419839.7933253</v>
      </c>
      <c r="BB95" s="13">
        <f t="shared" si="156"/>
        <v>-778048541.89676392</v>
      </c>
      <c r="BC95" s="13">
        <f t="shared" si="157"/>
        <v>-734870680.72251821</v>
      </c>
      <c r="BD95" s="13">
        <f t="shared" si="158"/>
        <v>-694137741.74520862</v>
      </c>
      <c r="BE95" s="13">
        <f t="shared" si="159"/>
        <v>-655997737.82836163</v>
      </c>
      <c r="BF95" s="13">
        <f t="shared" si="160"/>
        <v>-620515587.71454608</v>
      </c>
      <c r="BG95" s="13">
        <f t="shared" si="161"/>
        <v>-587688469.00597453</v>
      </c>
      <c r="BH95" s="13">
        <f t="shared" si="162"/>
        <v>-557457472.04802227</v>
      </c>
      <c r="BI95" s="13">
        <f t="shared" si="163"/>
        <v>-529716591.08845299</v>
      </c>
      <c r="BJ95" s="13">
        <f t="shared" si="164"/>
        <v>-504319836.21888274</v>
      </c>
      <c r="BK95" s="13">
        <f t="shared" si="165"/>
        <v>-481087043.74811912</v>
      </c>
      <c r="BL95" s="13">
        <f t="shared" si="166"/>
        <v>-459808802.12410009</v>
      </c>
      <c r="BM95" s="13">
        <f t="shared" si="167"/>
        <v>-440250789.01256645</v>
      </c>
      <c r="BN95" s="13">
        <f t="shared" si="168"/>
        <v>-422157725.21406907</v>
      </c>
      <c r="BO95" s="13">
        <f t="shared" si="169"/>
        <v>-405257085.76617473</v>
      </c>
      <c r="BP95" s="13">
        <f t="shared" si="170"/>
        <v>-389262661.90979552</v>
      </c>
      <c r="BQ95" s="13">
        <f t="shared" si="171"/>
        <v>-373878034.8697443</v>
      </c>
      <c r="BR95" s="13">
        <f t="shared" si="172"/>
        <v>-358800000</v>
      </c>
      <c r="BT95" s="86"/>
      <c r="BU95" s="26">
        <v>3.0000000000000002E-2</v>
      </c>
      <c r="BV95" s="13">
        <f t="shared" si="173"/>
        <v>0.40647195653111551</v>
      </c>
      <c r="BW95" s="13">
        <f t="shared" si="174"/>
        <v>0.40647195653111551</v>
      </c>
      <c r="BX95" s="13">
        <f t="shared" si="175"/>
        <v>0.40647195653111551</v>
      </c>
      <c r="BY95" s="13">
        <f t="shared" si="176"/>
        <v>0.40647195653111551</v>
      </c>
      <c r="BZ95" s="13">
        <f t="shared" si="177"/>
        <v>0.40647195653111551</v>
      </c>
      <c r="CA95" s="13">
        <f t="shared" si="178"/>
        <v>0.40647195653111551</v>
      </c>
      <c r="CB95" s="13">
        <f t="shared" si="179"/>
        <v>0.40647195653111551</v>
      </c>
      <c r="CC95" s="13">
        <f t="shared" si="180"/>
        <v>0.40647195653111551</v>
      </c>
      <c r="CD95" s="13">
        <f t="shared" si="181"/>
        <v>0.40647195653111551</v>
      </c>
      <c r="CE95" s="13">
        <f t="shared" si="182"/>
        <v>0.40647195653111551</v>
      </c>
      <c r="CF95" s="13">
        <f t="shared" si="183"/>
        <v>0.40647195653111551</v>
      </c>
      <c r="CG95" s="13">
        <f t="shared" si="184"/>
        <v>0.40647195653111551</v>
      </c>
      <c r="CH95" s="13">
        <f t="shared" si="185"/>
        <v>0.40647195653111551</v>
      </c>
      <c r="CI95" s="13">
        <f t="shared" si="186"/>
        <v>0.40647195653111551</v>
      </c>
      <c r="CJ95" s="13">
        <f t="shared" si="187"/>
        <v>0.40647195653111551</v>
      </c>
      <c r="CK95" s="13">
        <f t="shared" si="188"/>
        <v>0.40647195653111551</v>
      </c>
      <c r="CL95" s="13">
        <f t="shared" si="189"/>
        <v>0.40647195653111551</v>
      </c>
      <c r="CM95" s="13">
        <f t="shared" si="190"/>
        <v>0.40647195653111551</v>
      </c>
      <c r="CN95" s="13">
        <f t="shared" si="191"/>
        <v>0.40647195653111551</v>
      </c>
      <c r="CO95" s="13">
        <f t="shared" si="192"/>
        <v>0.40647195653111551</v>
      </c>
      <c r="CP95" s="13">
        <f t="shared" si="193"/>
        <v>0.40647195653111551</v>
      </c>
      <c r="CQ95" s="13">
        <f t="shared" si="194"/>
        <v>0.40647195653111551</v>
      </c>
      <c r="CR95" s="13">
        <f t="shared" si="195"/>
        <v>0.40647195653111551</v>
      </c>
      <c r="CS95" s="13">
        <f t="shared" si="196"/>
        <v>0.40647195653111551</v>
      </c>
      <c r="CT95" s="13">
        <f t="shared" si="197"/>
        <v>0.40647195653111551</v>
      </c>
      <c r="CU95" s="13">
        <f t="shared" si="198"/>
        <v>0.40647195653111551</v>
      </c>
      <c r="CV95" s="13">
        <f t="shared" si="199"/>
        <v>0.40647195653111551</v>
      </c>
      <c r="CW95" s="13">
        <f t="shared" si="200"/>
        <v>0.40647195653111551</v>
      </c>
      <c r="CX95" s="13">
        <f t="shared" si="201"/>
        <v>0.40647195653111551</v>
      </c>
      <c r="CY95" s="13">
        <f t="shared" si="202"/>
        <v>0.40647195653111551</v>
      </c>
      <c r="CZ95" s="13">
        <f t="shared" si="203"/>
        <v>0.40647195653111551</v>
      </c>
      <c r="DB95" s="86"/>
      <c r="DC95" s="26">
        <v>3.0000000000000002E-2</v>
      </c>
      <c r="DD95" s="13">
        <f t="shared" si="204"/>
        <v>178.05841304066536</v>
      </c>
      <c r="DE95" s="13">
        <f t="shared" si="205"/>
        <v>185.1934169759102</v>
      </c>
      <c r="DF95" s="13">
        <f t="shared" si="206"/>
        <v>189.94946519559869</v>
      </c>
      <c r="DG95" s="13">
        <f t="shared" si="207"/>
        <v>191.98760603694959</v>
      </c>
      <c r="DH95" s="13">
        <f t="shared" si="208"/>
        <v>191.46110665784556</v>
      </c>
      <c r="DI95" s="13">
        <f t="shared" si="209"/>
        <v>188.74877629555175</v>
      </c>
      <c r="DJ95" s="13">
        <f t="shared" si="210"/>
        <v>184.2996202299627</v>
      </c>
      <c r="DK95" s="13">
        <f t="shared" si="211"/>
        <v>178.55066616826485</v>
      </c>
      <c r="DL95" s="13">
        <f t="shared" si="212"/>
        <v>171.88928965002262</v>
      </c>
      <c r="DM95" s="13">
        <f t="shared" si="213"/>
        <v>164.6406891185147</v>
      </c>
      <c r="DN95" s="13">
        <f t="shared" si="214"/>
        <v>157.06837989825064</v>
      </c>
      <c r="DO95" s="13">
        <f t="shared" si="215"/>
        <v>149.38056335492959</v>
      </c>
      <c r="DP95" s="13">
        <f t="shared" si="216"/>
        <v>141.73843055255111</v>
      </c>
      <c r="DQ95" s="13">
        <f t="shared" si="217"/>
        <v>134.26440259620432</v>
      </c>
      <c r="DR95" s="13">
        <f t="shared" si="218"/>
        <v>127.04942662908519</v>
      </c>
      <c r="DS95" s="13">
        <f t="shared" si="219"/>
        <v>120.15905059079837</v>
      </c>
      <c r="DT95" s="13">
        <f t="shared" si="220"/>
        <v>113.63830061383275</v>
      </c>
      <c r="DU95" s="13">
        <f t="shared" si="221"/>
        <v>107.51551464129908</v>
      </c>
      <c r="DV95" s="13">
        <f t="shared" si="222"/>
        <v>101.80532452061033</v>
      </c>
      <c r="DW95" s="13">
        <f t="shared" si="223"/>
        <v>96.510972911843623</v>
      </c>
      <c r="DX95" s="13">
        <f t="shared" si="224"/>
        <v>91.626126623352462</v>
      </c>
      <c r="DY95" s="13">
        <f t="shared" si="225"/>
        <v>87.136317973312515</v>
      </c>
      <c r="DZ95" s="13">
        <f t="shared" si="226"/>
        <v>83.020116997266754</v>
      </c>
      <c r="EA95" s="13">
        <f t="shared" si="227"/>
        <v>79.250112469864774</v>
      </c>
      <c r="EB95" s="13">
        <f t="shared" si="228"/>
        <v>75.793759491731933</v>
      </c>
      <c r="EC95" s="13">
        <f t="shared" si="229"/>
        <v>72.614135575302683</v>
      </c>
      <c r="ED95" s="13">
        <f t="shared" si="230"/>
        <v>69.670635133056805</v>
      </c>
      <c r="EE95" s="13">
        <f t="shared" si="231"/>
        <v>66.919623323969049</v>
      </c>
      <c r="EF95" s="13">
        <f t="shared" si="232"/>
        <v>64.315063690485616</v>
      </c>
      <c r="EG95" s="13">
        <f t="shared" si="233"/>
        <v>61.809129360074394</v>
      </c>
      <c r="EH95" s="13">
        <f t="shared" si="234"/>
        <v>59.352804346888455</v>
      </c>
    </row>
    <row r="96" spans="5:138" x14ac:dyDescent="0.25">
      <c r="E96" s="95"/>
      <c r="F96" s="26">
        <v>2.6666666666666668E-2</v>
      </c>
      <c r="G96" s="13">
        <f t="shared" si="139"/>
        <v>300</v>
      </c>
      <c r="H96" s="13">
        <f t="shared" si="235"/>
        <v>312.78274163772608</v>
      </c>
      <c r="I96" s="13">
        <f t="shared" si="236"/>
        <v>319.9083884507312</v>
      </c>
      <c r="J96" s="13">
        <f t="shared" si="237"/>
        <v>322.48081699207734</v>
      </c>
      <c r="K96" s="13">
        <f t="shared" si="238"/>
        <v>320.93062166977415</v>
      </c>
      <c r="L96" s="13">
        <f t="shared" si="239"/>
        <v>315.93440073747502</v>
      </c>
      <c r="M96" s="13">
        <f t="shared" si="240"/>
        <v>308.22430169991981</v>
      </c>
      <c r="N96" s="13">
        <f t="shared" si="241"/>
        <v>298.48977935542473</v>
      </c>
      <c r="O96" s="13">
        <f t="shared" si="242"/>
        <v>287.33451585841567</v>
      </c>
      <c r="P96" s="13">
        <f t="shared" si="243"/>
        <v>275.26417013929472</v>
      </c>
      <c r="Q96" s="13">
        <f t="shared" si="244"/>
        <v>262.6898893161615</v>
      </c>
      <c r="R96" s="13">
        <f t="shared" si="245"/>
        <v>249.93875421652672</v>
      </c>
      <c r="S96" s="13">
        <f t="shared" si="246"/>
        <v>237.2662996500539</v>
      </c>
      <c r="T96" s="13">
        <f t="shared" si="247"/>
        <v>224.86865347054686</v>
      </c>
      <c r="U96" s="13">
        <f t="shared" si="248"/>
        <v>212.89322395336819</v>
      </c>
      <c r="V96" s="13">
        <f t="shared" si="249"/>
        <v>201.44761835518597</v>
      </c>
      <c r="W96" s="13">
        <f t="shared" si="250"/>
        <v>190.60685259917918</v>
      </c>
      <c r="X96" s="13">
        <f t="shared" si="251"/>
        <v>180.41907501350283</v>
      </c>
      <c r="Y96" s="13">
        <f t="shared" si="252"/>
        <v>170.91007480134101</v>
      </c>
      <c r="Z96" s="13">
        <f t="shared" si="253"/>
        <v>162.08683646175842</v>
      </c>
      <c r="AA96" s="13">
        <f t="shared" si="254"/>
        <v>153.94036737118324</v>
      </c>
      <c r="AB96" s="13">
        <f t="shared" si="255"/>
        <v>146.44798460368492</v>
      </c>
      <c r="AC96" s="13">
        <f t="shared" si="256"/>
        <v>139.57520740591815</v>
      </c>
      <c r="AD96" s="13">
        <f t="shared" si="257"/>
        <v>133.27736721415869</v>
      </c>
      <c r="AE96" s="13">
        <f t="shared" si="258"/>
        <v>127.50101876174028</v>
      </c>
      <c r="AF96" s="13">
        <f t="shared" si="259"/>
        <v>122.1852134535782</v>
      </c>
      <c r="AG96" s="13">
        <f t="shared" si="260"/>
        <v>117.26267901806264</v>
      </c>
      <c r="AH96" s="13">
        <f t="shared" si="261"/>
        <v>112.66093657083732</v>
      </c>
      <c r="AI96" s="13">
        <f t="shared" si="262"/>
        <v>108.30337676299038</v>
      </c>
      <c r="AJ96" s="13">
        <f t="shared" si="263"/>
        <v>104.11030988050587</v>
      </c>
      <c r="AK96" s="13">
        <f t="shared" si="141"/>
        <v>100</v>
      </c>
      <c r="AL96" s="86"/>
      <c r="AM96" s="26">
        <v>2.6666666666666668E-2</v>
      </c>
      <c r="AN96" s="13">
        <f t="shared" si="142"/>
        <v>-1076400000</v>
      </c>
      <c r="AO96" s="13">
        <f t="shared" si="143"/>
        <v>-1109450677.6465411</v>
      </c>
      <c r="AP96" s="13">
        <f t="shared" si="144"/>
        <v>-1131730021.5080929</v>
      </c>
      <c r="AQ96" s="13">
        <f t="shared" si="145"/>
        <v>-1140718868.7869906</v>
      </c>
      <c r="AR96" s="13">
        <f t="shared" si="146"/>
        <v>-1136530421.0906951</v>
      </c>
      <c r="AS96" s="13">
        <f t="shared" si="147"/>
        <v>-1120665572.2485051</v>
      </c>
      <c r="AT96" s="13">
        <f t="shared" si="148"/>
        <v>-1095206096.7067456</v>
      </c>
      <c r="AU96" s="13">
        <f t="shared" si="149"/>
        <v>-1062338749.5826453</v>
      </c>
      <c r="AV96" s="13">
        <f t="shared" si="150"/>
        <v>-1024103370.5453259</v>
      </c>
      <c r="AW96" s="13">
        <f t="shared" si="151"/>
        <v>-982280683.06764114</v>
      </c>
      <c r="AX96" s="13">
        <f t="shared" si="152"/>
        <v>-938360676.80594027</v>
      </c>
      <c r="AY96" s="13">
        <f t="shared" si="153"/>
        <v>-893553279.46028066</v>
      </c>
      <c r="AZ96" s="13">
        <f t="shared" si="154"/>
        <v>-848818106.13348484</v>
      </c>
      <c r="BA96" s="13">
        <f t="shared" si="155"/>
        <v>-804900149.40740478</v>
      </c>
      <c r="BB96" s="13">
        <f t="shared" si="156"/>
        <v>-762364600.52352345</v>
      </c>
      <c r="BC96" s="13">
        <f t="shared" si="157"/>
        <v>-721627746.60981643</v>
      </c>
      <c r="BD96" s="13">
        <f t="shared" si="158"/>
        <v>-682982982.3590188</v>
      </c>
      <c r="BE96" s="13">
        <f t="shared" si="159"/>
        <v>-646622048.85008359</v>
      </c>
      <c r="BF96" s="13">
        <f t="shared" si="160"/>
        <v>-612652091.65133047</v>
      </c>
      <c r="BG96" s="13">
        <f t="shared" si="161"/>
        <v>-581109282.05749702</v>
      </c>
      <c r="BH96" s="13">
        <f t="shared" si="162"/>
        <v>-551969730.2292906</v>
      </c>
      <c r="BI96" s="13">
        <f t="shared" si="163"/>
        <v>-525158329.8077637</v>
      </c>
      <c r="BJ96" s="13">
        <f t="shared" si="164"/>
        <v>-500556060.8351143</v>
      </c>
      <c r="BK96" s="13">
        <f t="shared" si="165"/>
        <v>-478006167.0923788</v>
      </c>
      <c r="BL96" s="13">
        <f t="shared" si="166"/>
        <v>-457319526.58761615</v>
      </c>
      <c r="BM96" s="13">
        <f t="shared" si="167"/>
        <v>-438279453.51871866</v>
      </c>
      <c r="BN96" s="13">
        <f t="shared" si="168"/>
        <v>-420646106.3503803</v>
      </c>
      <c r="BO96" s="13">
        <f t="shared" si="169"/>
        <v>-404160627.74325234</v>
      </c>
      <c r="BP96" s="13">
        <f t="shared" si="170"/>
        <v>-388549105.48154986</v>
      </c>
      <c r="BQ96" s="13">
        <f t="shared" si="171"/>
        <v>-373526416.84778446</v>
      </c>
      <c r="BR96" s="13">
        <f t="shared" si="172"/>
        <v>-358800000</v>
      </c>
      <c r="BT96" s="86"/>
      <c r="BU96" s="26">
        <v>2.6666666666666668E-2</v>
      </c>
      <c r="BV96" s="13">
        <f t="shared" si="173"/>
        <v>0.40647234346137129</v>
      </c>
      <c r="BW96" s="13">
        <f t="shared" si="174"/>
        <v>0.40647234346137129</v>
      </c>
      <c r="BX96" s="13">
        <f t="shared" si="175"/>
        <v>0.40647234346137129</v>
      </c>
      <c r="BY96" s="13">
        <f t="shared" si="176"/>
        <v>0.40647234346137129</v>
      </c>
      <c r="BZ96" s="13">
        <f t="shared" si="177"/>
        <v>0.40647234346137129</v>
      </c>
      <c r="CA96" s="13">
        <f t="shared" si="178"/>
        <v>0.40647234346137129</v>
      </c>
      <c r="CB96" s="13">
        <f t="shared" si="179"/>
        <v>0.40647234346137129</v>
      </c>
      <c r="CC96" s="13">
        <f t="shared" si="180"/>
        <v>0.40647234346137129</v>
      </c>
      <c r="CD96" s="13">
        <f t="shared" si="181"/>
        <v>0.40647234346137129</v>
      </c>
      <c r="CE96" s="13">
        <f t="shared" si="182"/>
        <v>0.40647234346137129</v>
      </c>
      <c r="CF96" s="13">
        <f t="shared" si="183"/>
        <v>0.40647234346137129</v>
      </c>
      <c r="CG96" s="13">
        <f t="shared" si="184"/>
        <v>0.40647234346137129</v>
      </c>
      <c r="CH96" s="13">
        <f t="shared" si="185"/>
        <v>0.40647234346137129</v>
      </c>
      <c r="CI96" s="13">
        <f t="shared" si="186"/>
        <v>0.40647234346137129</v>
      </c>
      <c r="CJ96" s="13">
        <f t="shared" si="187"/>
        <v>0.40647234346137129</v>
      </c>
      <c r="CK96" s="13">
        <f t="shared" si="188"/>
        <v>0.40647234346137129</v>
      </c>
      <c r="CL96" s="13">
        <f t="shared" si="189"/>
        <v>0.40647234346137129</v>
      </c>
      <c r="CM96" s="13">
        <f t="shared" si="190"/>
        <v>0.40647234346137129</v>
      </c>
      <c r="CN96" s="13">
        <f t="shared" si="191"/>
        <v>0.40647234346137129</v>
      </c>
      <c r="CO96" s="13">
        <f t="shared" si="192"/>
        <v>0.40647234346137129</v>
      </c>
      <c r="CP96" s="13">
        <f t="shared" si="193"/>
        <v>0.40647234346137129</v>
      </c>
      <c r="CQ96" s="13">
        <f t="shared" si="194"/>
        <v>0.40647234346137129</v>
      </c>
      <c r="CR96" s="13">
        <f t="shared" si="195"/>
        <v>0.40647234346137129</v>
      </c>
      <c r="CS96" s="13">
        <f t="shared" si="196"/>
        <v>0.40647234346137129</v>
      </c>
      <c r="CT96" s="13">
        <f t="shared" si="197"/>
        <v>0.40647234346137129</v>
      </c>
      <c r="CU96" s="13">
        <f t="shared" si="198"/>
        <v>0.40647234346137129</v>
      </c>
      <c r="CV96" s="13">
        <f t="shared" si="199"/>
        <v>0.40647234346137129</v>
      </c>
      <c r="CW96" s="13">
        <f t="shared" si="200"/>
        <v>0.40647234346137129</v>
      </c>
      <c r="CX96" s="13">
        <f t="shared" si="201"/>
        <v>0.40647234346137129</v>
      </c>
      <c r="CY96" s="13">
        <f t="shared" si="202"/>
        <v>0.40647234346137129</v>
      </c>
      <c r="CZ96" s="13">
        <f t="shared" si="203"/>
        <v>0.40647234346137129</v>
      </c>
      <c r="DB96" s="86"/>
      <c r="DC96" s="26">
        <v>2.6666666666666668E-2</v>
      </c>
      <c r="DD96" s="13">
        <f t="shared" si="204"/>
        <v>178.05829696158864</v>
      </c>
      <c r="DE96" s="13">
        <f t="shared" si="205"/>
        <v>182.01700919328795</v>
      </c>
      <c r="DF96" s="13">
        <f t="shared" si="206"/>
        <v>184.56574183327163</v>
      </c>
      <c r="DG96" s="13">
        <f t="shared" si="207"/>
        <v>185.31648742954457</v>
      </c>
      <c r="DH96" s="13">
        <f t="shared" si="208"/>
        <v>184.23955478331411</v>
      </c>
      <c r="DI96" s="13">
        <f t="shared" si="209"/>
        <v>181.50644117156565</v>
      </c>
      <c r="DJ96" s="13">
        <f t="shared" si="210"/>
        <v>177.38284211562012</v>
      </c>
      <c r="DK96" s="13">
        <f t="shared" si="211"/>
        <v>172.16217686953556</v>
      </c>
      <c r="DL96" s="13">
        <f t="shared" si="212"/>
        <v>166.12797084003381</v>
      </c>
      <c r="DM96" s="13">
        <f t="shared" si="213"/>
        <v>159.53511495608035</v>
      </c>
      <c r="DN96" s="13">
        <f t="shared" si="214"/>
        <v>152.60260592262446</v>
      </c>
      <c r="DO96" s="13">
        <f t="shared" si="215"/>
        <v>145.51274453874774</v>
      </c>
      <c r="DP96" s="13">
        <f t="shared" si="216"/>
        <v>138.41360081618799</v>
      </c>
      <c r="DQ96" s="13">
        <f t="shared" si="217"/>
        <v>131.42283996623334</v>
      </c>
      <c r="DR96" s="13">
        <f t="shared" si="218"/>
        <v>124.63184774951671</v>
      </c>
      <c r="DS96" s="13">
        <f t="shared" si="219"/>
        <v>118.10961880161659</v>
      </c>
      <c r="DT96" s="13">
        <f t="shared" si="220"/>
        <v>111.90618087435331</v>
      </c>
      <c r="DU96" s="13">
        <f t="shared" si="221"/>
        <v>106.05549891509669</v>
      </c>
      <c r="DV96" s="13">
        <f t="shared" si="222"/>
        <v>100.57788925609721</v>
      </c>
      <c r="DW96" s="13">
        <f t="shared" si="223"/>
        <v>95.482011209864638</v>
      </c>
      <c r="DX96" s="13">
        <f t="shared" si="224"/>
        <v>90.766513279437547</v>
      </c>
      <c r="DY96" s="13">
        <f t="shared" si="225"/>
        <v>86.421407410285198</v>
      </c>
      <c r="DZ96" s="13">
        <f t="shared" si="226"/>
        <v>82.429234988398534</v>
      </c>
      <c r="EA96" s="13">
        <f t="shared" si="227"/>
        <v>78.766076872583326</v>
      </c>
      <c r="EB96" s="13">
        <f t="shared" si="228"/>
        <v>75.402448786646843</v>
      </c>
      <c r="EC96" s="13">
        <f t="shared" si="229"/>
        <v>72.304113833928895</v>
      </c>
      <c r="ED96" s="13">
        <f t="shared" si="230"/>
        <v>69.432836020900837</v>
      </c>
      <c r="EE96" s="13">
        <f t="shared" si="231"/>
        <v>66.747092444990244</v>
      </c>
      <c r="EF96" s="13">
        <f t="shared" si="232"/>
        <v>64.202757025167188</v>
      </c>
      <c r="EG96" s="13">
        <f t="shared" si="233"/>
        <v>61.753765099099297</v>
      </c>
      <c r="EH96" s="13">
        <f t="shared" si="234"/>
        <v>59.352765653862882</v>
      </c>
    </row>
    <row r="97" spans="5:138" x14ac:dyDescent="0.25">
      <c r="E97" s="95"/>
      <c r="F97" s="26">
        <v>2.3333333333333334E-2</v>
      </c>
      <c r="G97" s="13">
        <f t="shared" si="139"/>
        <v>300</v>
      </c>
      <c r="H97" s="13">
        <f t="shared" si="235"/>
        <v>306.95179750392435</v>
      </c>
      <c r="I97" s="13">
        <f t="shared" si="236"/>
        <v>310.73708012915438</v>
      </c>
      <c r="J97" s="13">
        <f t="shared" si="237"/>
        <v>311.45846635759841</v>
      </c>
      <c r="K97" s="13">
        <f t="shared" si="238"/>
        <v>309.19059248314784</v>
      </c>
      <c r="L97" s="13">
        <f t="shared" si="239"/>
        <v>304.26786005235857</v>
      </c>
      <c r="M97" s="13">
        <f t="shared" si="240"/>
        <v>297.13868641372665</v>
      </c>
      <c r="N97" s="13">
        <f t="shared" si="241"/>
        <v>288.2769834663311</v>
      </c>
      <c r="O97" s="13">
        <f t="shared" si="242"/>
        <v>278.13294476014568</v>
      </c>
      <c r="P97" s="13">
        <f t="shared" si="243"/>
        <v>267.10906202663955</v>
      </c>
      <c r="Q97" s="13">
        <f t="shared" si="244"/>
        <v>255.55132921555449</v>
      </c>
      <c r="R97" s="13">
        <f t="shared" si="245"/>
        <v>243.74893829978225</v>
      </c>
      <c r="S97" s="13">
        <f t="shared" si="246"/>
        <v>231.93824727859214</v>
      </c>
      <c r="T97" s="13">
        <f t="shared" si="247"/>
        <v>220.30850626994254</v>
      </c>
      <c r="U97" s="13">
        <f t="shared" si="248"/>
        <v>209.00793989814974</v>
      </c>
      <c r="V97" s="13">
        <f t="shared" si="249"/>
        <v>198.14947539184357</v>
      </c>
      <c r="W97" s="13">
        <f t="shared" si="250"/>
        <v>187.81581441539743</v>
      </c>
      <c r="X97" s="13">
        <f t="shared" si="251"/>
        <v>178.06377406623508</v>
      </c>
      <c r="Y97" s="13">
        <f t="shared" si="252"/>
        <v>168.927938508241</v>
      </c>
      <c r="Z97" s="13">
        <f t="shared" si="253"/>
        <v>160.42371330696051</v>
      </c>
      <c r="AA97" s="13">
        <f t="shared" si="254"/>
        <v>152.54988873915215</v>
      </c>
      <c r="AB97" s="13">
        <f t="shared" si="255"/>
        <v>145.29081387056576</v>
      </c>
      <c r="AC97" s="13">
        <f t="shared" si="256"/>
        <v>138.61827038772188</v>
      </c>
      <c r="AD97" s="13">
        <f t="shared" si="257"/>
        <v>132.49311979187482</v>
      </c>
      <c r="AE97" s="13">
        <f t="shared" si="258"/>
        <v>126.8667825957736</v>
      </c>
      <c r="AF97" s="13">
        <f t="shared" si="259"/>
        <v>121.68259496550584</v>
      </c>
      <c r="AG97" s="13">
        <f t="shared" si="260"/>
        <v>116.87707727895517</v>
      </c>
      <c r="AH97" s="13">
        <f t="shared" si="261"/>
        <v>112.38114031983672</v>
      </c>
      <c r="AI97" s="13">
        <f t="shared" si="262"/>
        <v>108.12124806740172</v>
      </c>
      <c r="AJ97" s="13">
        <f t="shared" si="263"/>
        <v>104.02055097894234</v>
      </c>
      <c r="AK97" s="13">
        <f t="shared" si="141"/>
        <v>100</v>
      </c>
      <c r="AL97" s="86"/>
      <c r="AM97" s="26">
        <v>2.3333333333333334E-2</v>
      </c>
      <c r="AN97" s="13">
        <f t="shared" si="142"/>
        <v>-1076400000</v>
      </c>
      <c r="AO97" s="13">
        <f t="shared" si="143"/>
        <v>-1093421725.3230913</v>
      </c>
      <c r="AP97" s="13">
        <f t="shared" si="144"/>
        <v>-1103911509.9219513</v>
      </c>
      <c r="AQ97" s="13">
        <f t="shared" si="145"/>
        <v>-1105519026.6257133</v>
      </c>
      <c r="AR97" s="13">
        <f t="shared" si="146"/>
        <v>-1097715600.7069502</v>
      </c>
      <c r="AS97" s="13">
        <f t="shared" si="147"/>
        <v>-1081100141.0960693</v>
      </c>
      <c r="AT97" s="13">
        <f t="shared" si="148"/>
        <v>-1056874711.8478541</v>
      </c>
      <c r="AU97" s="13">
        <f t="shared" si="149"/>
        <v>-1026488511.6927408</v>
      </c>
      <c r="AV97" s="13">
        <f t="shared" si="150"/>
        <v>-991417021.78385615</v>
      </c>
      <c r="AW97" s="13">
        <f t="shared" si="151"/>
        <v>-953037988.82888472</v>
      </c>
      <c r="AX97" s="13">
        <f t="shared" si="152"/>
        <v>-912571375.23903978</v>
      </c>
      <c r="AY97" s="13">
        <f t="shared" si="153"/>
        <v>-871058612.33337545</v>
      </c>
      <c r="AZ97" s="13">
        <f t="shared" si="154"/>
        <v>-829364142.39366138</v>
      </c>
      <c r="BA97" s="13">
        <f t="shared" si="155"/>
        <v>-788188260.57413089</v>
      </c>
      <c r="BB97" s="13">
        <f t="shared" si="156"/>
        <v>-748084587.07755947</v>
      </c>
      <c r="BC97" s="13">
        <f t="shared" si="157"/>
        <v>-709478398.42787337</v>
      </c>
      <c r="BD97" s="13">
        <f t="shared" si="158"/>
        <v>-672683886.84300232</v>
      </c>
      <c r="BE97" s="13">
        <f t="shared" si="159"/>
        <v>-637919522.98479056</v>
      </c>
      <c r="BF97" s="13">
        <f t="shared" si="160"/>
        <v>-605321321.45886576</v>
      </c>
      <c r="BG97" s="13">
        <f t="shared" si="161"/>
        <v>-574954130.47976029</v>
      </c>
      <c r="BH97" s="13">
        <f t="shared" si="162"/>
        <v>-546821208.91334748</v>
      </c>
      <c r="BI97" s="13">
        <f t="shared" si="163"/>
        <v>-520872394.17425966</v>
      </c>
      <c r="BJ97" s="13">
        <f t="shared" si="164"/>
        <v>-497011151.98291796</v>
      </c>
      <c r="BK97" s="13">
        <f t="shared" si="165"/>
        <v>-475100762.73229146</v>
      </c>
      <c r="BL97" s="13">
        <f t="shared" si="166"/>
        <v>-454969855.48977554</v>
      </c>
      <c r="BM97" s="13">
        <f t="shared" si="167"/>
        <v>-436417458.00653476</v>
      </c>
      <c r="BN97" s="13">
        <f t="shared" si="168"/>
        <v>-419217693.48017001</v>
      </c>
      <c r="BO97" s="13">
        <f t="shared" si="169"/>
        <v>-403124223.59307969</v>
      </c>
      <c r="BP97" s="13">
        <f t="shared" si="170"/>
        <v>-387874512.5549466</v>
      </c>
      <c r="BQ97" s="13">
        <f t="shared" si="171"/>
        <v>-373193967.91748923</v>
      </c>
      <c r="BR97" s="13">
        <f t="shared" si="172"/>
        <v>-358800000</v>
      </c>
      <c r="BT97" s="86"/>
      <c r="BU97" s="26">
        <v>2.3333333333333334E-2</v>
      </c>
      <c r="BV97" s="13">
        <f t="shared" si="173"/>
        <v>0.40647468537622489</v>
      </c>
      <c r="BW97" s="13">
        <f t="shared" si="174"/>
        <v>0.40647468537622489</v>
      </c>
      <c r="BX97" s="13">
        <f t="shared" si="175"/>
        <v>0.40647468537622489</v>
      </c>
      <c r="BY97" s="13">
        <f t="shared" si="176"/>
        <v>0.40647468537622489</v>
      </c>
      <c r="BZ97" s="13">
        <f t="shared" si="177"/>
        <v>0.40647468537622489</v>
      </c>
      <c r="CA97" s="13">
        <f t="shared" si="178"/>
        <v>0.40647468537622489</v>
      </c>
      <c r="CB97" s="13">
        <f t="shared" si="179"/>
        <v>0.40647468537622489</v>
      </c>
      <c r="CC97" s="13">
        <f t="shared" si="180"/>
        <v>0.40647468537622489</v>
      </c>
      <c r="CD97" s="13">
        <f t="shared" si="181"/>
        <v>0.40647468537622489</v>
      </c>
      <c r="CE97" s="13">
        <f t="shared" si="182"/>
        <v>0.40647468537622489</v>
      </c>
      <c r="CF97" s="13">
        <f t="shared" si="183"/>
        <v>0.40647468537622489</v>
      </c>
      <c r="CG97" s="13">
        <f t="shared" si="184"/>
        <v>0.40647468537622489</v>
      </c>
      <c r="CH97" s="13">
        <f t="shared" si="185"/>
        <v>0.40647468537622489</v>
      </c>
      <c r="CI97" s="13">
        <f t="shared" si="186"/>
        <v>0.40647468537622489</v>
      </c>
      <c r="CJ97" s="13">
        <f t="shared" si="187"/>
        <v>0.40647468537622489</v>
      </c>
      <c r="CK97" s="13">
        <f t="shared" si="188"/>
        <v>0.40647468537622489</v>
      </c>
      <c r="CL97" s="13">
        <f t="shared" si="189"/>
        <v>0.40647468537622489</v>
      </c>
      <c r="CM97" s="13">
        <f t="shared" si="190"/>
        <v>0.40647468537622489</v>
      </c>
      <c r="CN97" s="13">
        <f t="shared" si="191"/>
        <v>0.40647468537622489</v>
      </c>
      <c r="CO97" s="13">
        <f t="shared" si="192"/>
        <v>0.40647468537622489</v>
      </c>
      <c r="CP97" s="13">
        <f t="shared" si="193"/>
        <v>0.40647468537622489</v>
      </c>
      <c r="CQ97" s="13">
        <f t="shared" si="194"/>
        <v>0.40647468537622489</v>
      </c>
      <c r="CR97" s="13">
        <f t="shared" si="195"/>
        <v>0.40647468537622489</v>
      </c>
      <c r="CS97" s="13">
        <f t="shared" si="196"/>
        <v>0.40647468537622489</v>
      </c>
      <c r="CT97" s="13">
        <f t="shared" si="197"/>
        <v>0.40647468537622489</v>
      </c>
      <c r="CU97" s="13">
        <f t="shared" si="198"/>
        <v>0.40647468537622489</v>
      </c>
      <c r="CV97" s="13">
        <f t="shared" si="199"/>
        <v>0.40647468537622489</v>
      </c>
      <c r="CW97" s="13">
        <f t="shared" si="200"/>
        <v>0.40647468537622489</v>
      </c>
      <c r="CX97" s="13">
        <f t="shared" si="201"/>
        <v>0.40647468537622489</v>
      </c>
      <c r="CY97" s="13">
        <f t="shared" si="202"/>
        <v>0.40647468537622489</v>
      </c>
      <c r="CZ97" s="13">
        <f t="shared" si="203"/>
        <v>0.40647468537622489</v>
      </c>
      <c r="DB97" s="86"/>
      <c r="DC97" s="26">
        <v>2.3333333333333334E-2</v>
      </c>
      <c r="DD97" s="13">
        <f t="shared" si="204"/>
        <v>178.05759438713258</v>
      </c>
      <c r="DE97" s="13">
        <f t="shared" si="205"/>
        <v>179.8135310056166</v>
      </c>
      <c r="DF97" s="13">
        <f t="shared" si="206"/>
        <v>180.70241858442824</v>
      </c>
      <c r="DG97" s="13">
        <f t="shared" si="207"/>
        <v>180.37817773087582</v>
      </c>
      <c r="DH97" s="13">
        <f t="shared" si="208"/>
        <v>178.74041901233011</v>
      </c>
      <c r="DI97" s="13">
        <f t="shared" si="209"/>
        <v>175.84852391306725</v>
      </c>
      <c r="DJ97" s="13">
        <f t="shared" si="210"/>
        <v>171.85331035494511</v>
      </c>
      <c r="DK97" s="13">
        <f t="shared" si="211"/>
        <v>166.94844431481604</v>
      </c>
      <c r="DL97" s="13">
        <f t="shared" si="212"/>
        <v>161.33873782886627</v>
      </c>
      <c r="DM97" s="13">
        <f t="shared" si="213"/>
        <v>155.22114507392206</v>
      </c>
      <c r="DN97" s="13">
        <f t="shared" si="214"/>
        <v>148.7745391042524</v>
      </c>
      <c r="DO97" s="13">
        <f t="shared" si="215"/>
        <v>142.15516181629397</v>
      </c>
      <c r="DP97" s="13">
        <f t="shared" si="216"/>
        <v>135.49550277795541</v>
      </c>
      <c r="DQ97" s="13">
        <f t="shared" si="217"/>
        <v>128.90509109952666</v>
      </c>
      <c r="DR97" s="13">
        <f t="shared" si="218"/>
        <v>122.47223367297423</v>
      </c>
      <c r="DS97" s="13">
        <f t="shared" si="219"/>
        <v>116.26611810112954</v>
      </c>
      <c r="DT97" s="13">
        <f t="shared" si="220"/>
        <v>110.33895397459358</v>
      </c>
      <c r="DU97" s="13">
        <f t="shared" si="221"/>
        <v>104.727987314252</v>
      </c>
      <c r="DV97" s="13">
        <f t="shared" si="222"/>
        <v>99.457319625738847</v>
      </c>
      <c r="DW97" s="13">
        <f t="shared" si="223"/>
        <v>94.539517452539641</v>
      </c>
      <c r="DX97" s="13">
        <f t="shared" si="224"/>
        <v>89.977026345249982</v>
      </c>
      <c r="DY97" s="13">
        <f t="shared" si="225"/>
        <v>85.763415404800696</v>
      </c>
      <c r="DZ97" s="13">
        <f t="shared" si="226"/>
        <v>81.884481871079956</v>
      </c>
      <c r="EA97" s="13">
        <f t="shared" si="227"/>
        <v>78.319243885728071</v>
      </c>
      <c r="EB97" s="13">
        <f t="shared" si="228"/>
        <v>75.040846109447074</v>
      </c>
      <c r="EC97" s="13">
        <f t="shared" si="229"/>
        <v>72.017398769335756</v>
      </c>
      <c r="ED97" s="13">
        <f t="shared" si="230"/>
        <v>69.212766718714903</v>
      </c>
      <c r="EE97" s="13">
        <f t="shared" si="231"/>
        <v>66.58732157301479</v>
      </c>
      <c r="EF97" s="13">
        <f t="shared" si="232"/>
        <v>64.098667072482456</v>
      </c>
      <c r="EG97" s="13">
        <f t="shared" si="233"/>
        <v>61.702345525842439</v>
      </c>
      <c r="EH97" s="13">
        <f t="shared" si="234"/>
        <v>59.35253146237752</v>
      </c>
    </row>
    <row r="98" spans="5:138" x14ac:dyDescent="0.25">
      <c r="E98" s="95"/>
      <c r="F98" s="26">
        <v>0.02</v>
      </c>
      <c r="G98" s="13">
        <f t="shared" si="139"/>
        <v>300</v>
      </c>
      <c r="H98" s="13">
        <f t="shared" si="235"/>
        <v>303.03421668437113</v>
      </c>
      <c r="I98" s="13">
        <f t="shared" si="236"/>
        <v>304.22594900116542</v>
      </c>
      <c r="J98" s="13">
        <f t="shared" si="237"/>
        <v>303.33320525581263</v>
      </c>
      <c r="K98" s="13">
        <f t="shared" si="238"/>
        <v>300.26704762564799</v>
      </c>
      <c r="L98" s="13">
        <f t="shared" si="239"/>
        <v>295.16483163096018</v>
      </c>
      <c r="M98" s="13">
        <f t="shared" si="240"/>
        <v>288.28951919627661</v>
      </c>
      <c r="N98" s="13">
        <f t="shared" si="241"/>
        <v>279.96015496478691</v>
      </c>
      <c r="O98" s="13">
        <f t="shared" si="242"/>
        <v>270.50721521152451</v>
      </c>
      <c r="P98" s="13">
        <f t="shared" si="243"/>
        <v>260.24606157647167</v>
      </c>
      <c r="Q98" s="13">
        <f t="shared" si="244"/>
        <v>249.46271935320095</v>
      </c>
      <c r="R98" s="13">
        <f t="shared" si="245"/>
        <v>238.40757124444917</v>
      </c>
      <c r="S98" s="13">
        <f t="shared" si="246"/>
        <v>227.29383955493893</v>
      </c>
      <c r="T98" s="13">
        <f t="shared" si="247"/>
        <v>216.29876001678335</v>
      </c>
      <c r="U98" s="13">
        <f t="shared" si="248"/>
        <v>205.56611025766603</v>
      </c>
      <c r="V98" s="13">
        <f t="shared" si="249"/>
        <v>195.20928394494106</v>
      </c>
      <c r="W98" s="13">
        <f t="shared" si="250"/>
        <v>185.31445141988704</v>
      </c>
      <c r="X98" s="13">
        <f t="shared" si="251"/>
        <v>175.94356934236367</v>
      </c>
      <c r="Y98" s="13">
        <f t="shared" si="252"/>
        <v>167.13713600951365</v>
      </c>
      <c r="Z98" s="13">
        <f t="shared" si="253"/>
        <v>158.91666572356692</v>
      </c>
      <c r="AA98" s="13">
        <f t="shared" si="254"/>
        <v>151.28689606913326</v>
      </c>
      <c r="AB98" s="13">
        <f t="shared" si="255"/>
        <v>144.23776052713987</v>
      </c>
      <c r="AC98" s="13">
        <f t="shared" si="256"/>
        <v>137.74616481112656</v>
      </c>
      <c r="AD98" s="13">
        <f t="shared" si="257"/>
        <v>131.77760451474921</v>
      </c>
      <c r="AE98" s="13">
        <f t="shared" si="258"/>
        <v>126.28765765296154</v>
      </c>
      <c r="AF98" s="13">
        <f t="shared" si="259"/>
        <v>121.22338051842382</v>
      </c>
      <c r="AG98" s="13">
        <f t="shared" si="260"/>
        <v>116.52463008011846</v>
      </c>
      <c r="AH98" s="13">
        <f t="shared" si="261"/>
        <v>112.12533147813429</v>
      </c>
      <c r="AI98" s="13">
        <f t="shared" si="262"/>
        <v>107.95470524400886</v>
      </c>
      <c r="AJ98" s="13">
        <f t="shared" si="263"/>
        <v>103.938465747658</v>
      </c>
      <c r="AK98" s="13">
        <f t="shared" si="141"/>
        <v>100</v>
      </c>
      <c r="AL98" s="86"/>
      <c r="AM98" s="26">
        <v>0.02</v>
      </c>
      <c r="AN98" s="13">
        <f t="shared" si="142"/>
        <v>-1076400000</v>
      </c>
      <c r="AO98" s="13">
        <f t="shared" si="143"/>
        <v>-1082157977.25686</v>
      </c>
      <c r="AP98" s="13">
        <f t="shared" si="144"/>
        <v>-1083803540.5988207</v>
      </c>
      <c r="AQ98" s="13">
        <f t="shared" si="145"/>
        <v>-1079385615.8874385</v>
      </c>
      <c r="AR98" s="13">
        <f t="shared" si="146"/>
        <v>-1068172134.8836105</v>
      </c>
      <c r="AS98" s="13">
        <f t="shared" si="147"/>
        <v>-1050288350.0297238</v>
      </c>
      <c r="AT98" s="13">
        <f t="shared" si="148"/>
        <v>-1026394645.4373411</v>
      </c>
      <c r="AU98" s="13">
        <f t="shared" si="149"/>
        <v>-997437759.66414309</v>
      </c>
      <c r="AV98" s="13">
        <f t="shared" si="150"/>
        <v>-964476049.58836794</v>
      </c>
      <c r="AW98" s="13">
        <f t="shared" si="151"/>
        <v>-928566244.38005078</v>
      </c>
      <c r="AX98" s="13">
        <f t="shared" si="152"/>
        <v>-890696125.13292825</v>
      </c>
      <c r="AY98" s="13">
        <f t="shared" si="153"/>
        <v>-851749036.93296063</v>
      </c>
      <c r="AZ98" s="13">
        <f t="shared" si="154"/>
        <v>-812489107.4439187</v>
      </c>
      <c r="BA98" s="13">
        <f t="shared" si="155"/>
        <v>-773559094.66499734</v>
      </c>
      <c r="BB98" s="13">
        <f t="shared" si="156"/>
        <v>-735485355.06758082</v>
      </c>
      <c r="BC98" s="13">
        <f t="shared" si="157"/>
        <v>-698686375.3895942</v>
      </c>
      <c r="BD98" s="13">
        <f t="shared" si="158"/>
        <v>-663482696.97354424</v>
      </c>
      <c r="BE98" s="13">
        <f t="shared" si="159"/>
        <v>-630106993.99471819</v>
      </c>
      <c r="BF98" s="13">
        <f t="shared" si="160"/>
        <v>-598713665.05914521</v>
      </c>
      <c r="BG98" s="13">
        <f t="shared" si="161"/>
        <v>-569387662.77771163</v>
      </c>
      <c r="BH98" s="13">
        <f t="shared" si="162"/>
        <v>-542152495.98084414</v>
      </c>
      <c r="BI98" s="13">
        <f t="shared" si="163"/>
        <v>-516977450.38623029</v>
      </c>
      <c r="BJ98" s="13">
        <f t="shared" si="164"/>
        <v>-493784124.33207983</v>
      </c>
      <c r="BK98" s="13">
        <f t="shared" si="165"/>
        <v>-472452392.07771677</v>
      </c>
      <c r="BL98" s="13">
        <f t="shared" si="166"/>
        <v>-452825904.31442279</v>
      </c>
      <c r="BM98" s="13">
        <f t="shared" si="167"/>
        <v>-434717223.79688078</v>
      </c>
      <c r="BN98" s="13">
        <f t="shared" si="168"/>
        <v>-417912679.1591844</v>
      </c>
      <c r="BO98" s="13">
        <f t="shared" si="169"/>
        <v>-402177005.17717373</v>
      </c>
      <c r="BP98" s="13">
        <f t="shared" si="170"/>
        <v>-387257824.55385369</v>
      </c>
      <c r="BQ98" s="13">
        <f t="shared" si="171"/>
        <v>-372890015.38887388</v>
      </c>
      <c r="BR98" s="13">
        <f t="shared" si="172"/>
        <v>-358800000</v>
      </c>
      <c r="BT98" s="86"/>
      <c r="BU98" s="26">
        <v>0.02</v>
      </c>
      <c r="BV98" s="13">
        <f t="shared" si="173"/>
        <v>0.40648885983862293</v>
      </c>
      <c r="BW98" s="13">
        <f t="shared" si="174"/>
        <v>0.40648885983862293</v>
      </c>
      <c r="BX98" s="13">
        <f t="shared" si="175"/>
        <v>0.40648885983862293</v>
      </c>
      <c r="BY98" s="13">
        <f t="shared" si="176"/>
        <v>0.40648885983862293</v>
      </c>
      <c r="BZ98" s="13">
        <f t="shared" si="177"/>
        <v>0.40648885983862293</v>
      </c>
      <c r="CA98" s="13">
        <f t="shared" si="178"/>
        <v>0.40648885983862293</v>
      </c>
      <c r="CB98" s="13">
        <f t="shared" si="179"/>
        <v>0.40648885983862293</v>
      </c>
      <c r="CC98" s="13">
        <f t="shared" si="180"/>
        <v>0.40648885983862293</v>
      </c>
      <c r="CD98" s="13">
        <f t="shared" si="181"/>
        <v>0.40648885983862293</v>
      </c>
      <c r="CE98" s="13">
        <f t="shared" si="182"/>
        <v>0.40648885983862293</v>
      </c>
      <c r="CF98" s="13">
        <f t="shared" si="183"/>
        <v>0.40648885983862293</v>
      </c>
      <c r="CG98" s="13">
        <f t="shared" si="184"/>
        <v>0.40648885983862293</v>
      </c>
      <c r="CH98" s="13">
        <f t="shared" si="185"/>
        <v>0.40648885983862293</v>
      </c>
      <c r="CI98" s="13">
        <f t="shared" si="186"/>
        <v>0.40648885983862293</v>
      </c>
      <c r="CJ98" s="13">
        <f t="shared" si="187"/>
        <v>0.40648885983862293</v>
      </c>
      <c r="CK98" s="13">
        <f t="shared" si="188"/>
        <v>0.40648885983862293</v>
      </c>
      <c r="CL98" s="13">
        <f t="shared" si="189"/>
        <v>0.40648885983862293</v>
      </c>
      <c r="CM98" s="13">
        <f t="shared" si="190"/>
        <v>0.40648885983862293</v>
      </c>
      <c r="CN98" s="13">
        <f t="shared" si="191"/>
        <v>0.40648885983862293</v>
      </c>
      <c r="CO98" s="13">
        <f t="shared" si="192"/>
        <v>0.40648885983862293</v>
      </c>
      <c r="CP98" s="13">
        <f t="shared" si="193"/>
        <v>0.40648885983862293</v>
      </c>
      <c r="CQ98" s="13">
        <f t="shared" si="194"/>
        <v>0.40648885983862293</v>
      </c>
      <c r="CR98" s="13">
        <f t="shared" si="195"/>
        <v>0.40648885983862293</v>
      </c>
      <c r="CS98" s="13">
        <f t="shared" si="196"/>
        <v>0.40648885983862293</v>
      </c>
      <c r="CT98" s="13">
        <f t="shared" si="197"/>
        <v>0.40648885983862293</v>
      </c>
      <c r="CU98" s="13">
        <f t="shared" si="198"/>
        <v>0.40648885983862293</v>
      </c>
      <c r="CV98" s="13">
        <f t="shared" si="199"/>
        <v>0.40648885983862293</v>
      </c>
      <c r="CW98" s="13">
        <f t="shared" si="200"/>
        <v>0.40648885983862293</v>
      </c>
      <c r="CX98" s="13">
        <f t="shared" si="201"/>
        <v>0.40648885983862293</v>
      </c>
      <c r="CY98" s="13">
        <f t="shared" si="202"/>
        <v>0.40648885983862293</v>
      </c>
      <c r="CZ98" s="13">
        <f t="shared" si="203"/>
        <v>0.40648885983862293</v>
      </c>
      <c r="DB98" s="86"/>
      <c r="DC98" s="26">
        <v>0.02</v>
      </c>
      <c r="DD98" s="13">
        <f t="shared" si="204"/>
        <v>178.05334204841316</v>
      </c>
      <c r="DE98" s="13">
        <f t="shared" si="205"/>
        <v>178.26173049158507</v>
      </c>
      <c r="DF98" s="13">
        <f t="shared" si="206"/>
        <v>177.91478758988265</v>
      </c>
      <c r="DG98" s="13">
        <f t="shared" si="207"/>
        <v>176.72880837902636</v>
      </c>
      <c r="DH98" s="13">
        <f t="shared" si="208"/>
        <v>174.58451621434494</v>
      </c>
      <c r="DI98" s="13">
        <f t="shared" si="209"/>
        <v>171.48333611273929</v>
      </c>
      <c r="DJ98" s="13">
        <f t="shared" si="210"/>
        <v>167.50595334201478</v>
      </c>
      <c r="DK98" s="13">
        <f t="shared" si="211"/>
        <v>162.77877263784043</v>
      </c>
      <c r="DL98" s="13">
        <f t="shared" si="212"/>
        <v>157.44927161241421</v>
      </c>
      <c r="DM98" s="13">
        <f t="shared" si="213"/>
        <v>151.66920350069896</v>
      </c>
      <c r="DN98" s="13">
        <f t="shared" si="214"/>
        <v>145.58395091012565</v>
      </c>
      <c r="DO98" s="13">
        <f t="shared" si="215"/>
        <v>139.32634322809582</v>
      </c>
      <c r="DP98" s="13">
        <f t="shared" si="216"/>
        <v>133.01352586569541</v>
      </c>
      <c r="DQ98" s="13">
        <f t="shared" si="217"/>
        <v>126.74580649036429</v>
      </c>
      <c r="DR98" s="13">
        <f t="shared" si="218"/>
        <v>120.6067110712477</v>
      </c>
      <c r="DS98" s="13">
        <f t="shared" si="219"/>
        <v>114.6637296152893</v>
      </c>
      <c r="DT98" s="13">
        <f t="shared" si="220"/>
        <v>108.96941515850973</v>
      </c>
      <c r="DU98" s="13">
        <f t="shared" si="221"/>
        <v>103.5626288436176</v>
      </c>
      <c r="DV98" s="13">
        <f t="shared" si="222"/>
        <v>98.469810890409747</v>
      </c>
      <c r="DW98" s="13">
        <f t="shared" si="223"/>
        <v>93.706213410342428</v>
      </c>
      <c r="DX98" s="13">
        <f t="shared" si="224"/>
        <v>89.277065727046534</v>
      </c>
      <c r="DY98" s="13">
        <f t="shared" si="225"/>
        <v>85.178663251868016</v>
      </c>
      <c r="DZ98" s="13">
        <f t="shared" si="226"/>
        <v>81.399382128419532</v>
      </c>
      <c r="EA98" s="13">
        <f t="shared" si="227"/>
        <v>77.920627314087923</v>
      </c>
      <c r="EB98" s="13">
        <f t="shared" si="228"/>
        <v>74.717723844211079</v>
      </c>
      <c r="EC98" s="13">
        <f t="shared" si="229"/>
        <v>71.760761228690399</v>
      </c>
      <c r="ED98" s="13">
        <f t="shared" si="230"/>
        <v>69.015400195725348</v>
      </c>
      <c r="EE98" s="13">
        <f t="shared" si="231"/>
        <v>66.443649882159562</v>
      </c>
      <c r="EF98" s="13">
        <f t="shared" si="232"/>
        <v>64.004622392761831</v>
      </c>
      <c r="EG98" s="13">
        <f t="shared" si="233"/>
        <v>61.655270580442384</v>
      </c>
      <c r="EH98" s="13">
        <f t="shared" si="234"/>
        <v>59.351114016137714</v>
      </c>
    </row>
    <row r="99" spans="5:138" x14ac:dyDescent="0.25">
      <c r="E99" s="95"/>
      <c r="F99" s="26">
        <v>1.6666666666666666E-2</v>
      </c>
      <c r="G99" s="13">
        <f t="shared" si="139"/>
        <v>300</v>
      </c>
      <c r="H99" s="13">
        <f t="shared" si="235"/>
        <v>300.35547456207962</v>
      </c>
      <c r="I99" s="13">
        <f t="shared" si="236"/>
        <v>299.5890121768868</v>
      </c>
      <c r="J99" s="13">
        <f t="shared" si="237"/>
        <v>297.37555878456243</v>
      </c>
      <c r="K99" s="13">
        <f t="shared" si="238"/>
        <v>293.56235107665407</v>
      </c>
      <c r="L99" s="13">
        <f t="shared" si="239"/>
        <v>288.17848578496319</v>
      </c>
      <c r="M99" s="13">
        <f t="shared" si="240"/>
        <v>281.36985667421294</v>
      </c>
      <c r="N99" s="13">
        <f t="shared" si="241"/>
        <v>273.34846567810075</v>
      </c>
      <c r="O99" s="13">
        <f t="shared" si="242"/>
        <v>264.35584281038695</v>
      </c>
      <c r="P99" s="13">
        <f t="shared" si="243"/>
        <v>254.63828444908873</v>
      </c>
      <c r="Q99" s="13">
        <f t="shared" si="244"/>
        <v>244.43114135228626</v>
      </c>
      <c r="R99" s="13">
        <f t="shared" si="245"/>
        <v>233.94961691668198</v>
      </c>
      <c r="S99" s="13">
        <f t="shared" si="246"/>
        <v>223.38401851708335</v>
      </c>
      <c r="T99" s="13">
        <f t="shared" si="247"/>
        <v>212.89791624556159</v>
      </c>
      <c r="U99" s="13">
        <f t="shared" si="248"/>
        <v>202.6281087661979</v>
      </c>
      <c r="V99" s="13">
        <f t="shared" si="249"/>
        <v>192.68564694365551</v>
      </c>
      <c r="W99" s="13">
        <f t="shared" si="250"/>
        <v>183.15742531350958</v>
      </c>
      <c r="X99" s="13">
        <f t="shared" si="251"/>
        <v>174.10803437831893</v>
      </c>
      <c r="Y99" s="13">
        <f t="shared" si="252"/>
        <v>165.58169074339247</v>
      </c>
      <c r="Z99" s="13">
        <f t="shared" si="253"/>
        <v>157.60414322192366</v>
      </c>
      <c r="AA99" s="13">
        <f t="shared" si="254"/>
        <v>150.18450415157963</v>
      </c>
      <c r="AB99" s="13">
        <f t="shared" si="255"/>
        <v>143.31698602070617</v>
      </c>
      <c r="AC99" s="13">
        <f t="shared" si="256"/>
        <v>136.98254112106315</v>
      </c>
      <c r="AD99" s="13">
        <f t="shared" si="257"/>
        <v>131.1504111992669</v>
      </c>
      <c r="AE99" s="13">
        <f t="shared" si="258"/>
        <v>125.77959825227585</v>
      </c>
      <c r="AF99" s="13">
        <f t="shared" si="259"/>
        <v>120.8202688498983</v>
      </c>
      <c r="AG99" s="13">
        <f t="shared" si="260"/>
        <v>116.21510403304032</v>
      </c>
      <c r="AH99" s="13">
        <f t="shared" si="261"/>
        <v>111.90060576840577</v>
      </c>
      <c r="AI99" s="13">
        <f t="shared" si="262"/>
        <v>107.80836963357494</v>
      </c>
      <c r="AJ99" s="13">
        <f t="shared" si="263"/>
        <v>103.86633213804591</v>
      </c>
      <c r="AK99" s="13">
        <f t="shared" si="141"/>
        <v>100</v>
      </c>
      <c r="AL99" s="86"/>
      <c r="AM99" s="26">
        <v>1.6666666666666666E-2</v>
      </c>
      <c r="AN99" s="13">
        <f t="shared" si="142"/>
        <v>-1076400000</v>
      </c>
      <c r="AO99" s="13">
        <f t="shared" si="143"/>
        <v>-1074178902.3755953</v>
      </c>
      <c r="AP99" s="13">
        <f t="shared" si="144"/>
        <v>-1069259436.2833318</v>
      </c>
      <c r="AQ99" s="13">
        <f t="shared" si="145"/>
        <v>-1060089471.9209054</v>
      </c>
      <c r="AR99" s="13">
        <f t="shared" si="146"/>
        <v>-1045924833.7430683</v>
      </c>
      <c r="AS99" s="13">
        <f t="shared" si="147"/>
        <v>-1026655600.7307787</v>
      </c>
      <c r="AT99" s="13">
        <f t="shared" si="148"/>
        <v>-1002616748.333012</v>
      </c>
      <c r="AU99" s="13">
        <f t="shared" si="149"/>
        <v>-974421391.55102456</v>
      </c>
      <c r="AV99" s="13">
        <f t="shared" si="150"/>
        <v>-942829773.89153683</v>
      </c>
      <c r="AW99" s="13">
        <f t="shared" si="151"/>
        <v>-908654248.60672486</v>
      </c>
      <c r="AX99" s="13">
        <f t="shared" si="152"/>
        <v>-872694935.4501853</v>
      </c>
      <c r="AY99" s="13">
        <f t="shared" si="153"/>
        <v>-835699174.00516498</v>
      </c>
      <c r="AZ99" s="13">
        <f t="shared" si="154"/>
        <v>-798338267.23031151</v>
      </c>
      <c r="BA99" s="13">
        <f t="shared" si="155"/>
        <v>-761196139.48889875</v>
      </c>
      <c r="BB99" s="13">
        <f t="shared" si="156"/>
        <v>-724765811.54815042</v>
      </c>
      <c r="BC99" s="13">
        <f t="shared" si="157"/>
        <v>-689450743.82296157</v>
      </c>
      <c r="BD99" s="13">
        <f t="shared" si="158"/>
        <v>-655569022.98056126</v>
      </c>
      <c r="BE99" s="13">
        <f t="shared" si="159"/>
        <v>-623359060.05771744</v>
      </c>
      <c r="BF99" s="13">
        <f t="shared" si="160"/>
        <v>-592985962.40910685</v>
      </c>
      <c r="BG99" s="13">
        <f t="shared" si="161"/>
        <v>-564548079.76990712</v>
      </c>
      <c r="BH99" s="13">
        <f t="shared" si="162"/>
        <v>-538083447.17875338</v>
      </c>
      <c r="BI99" s="13">
        <f t="shared" si="163"/>
        <v>-513575988.33278197</v>
      </c>
      <c r="BJ99" s="13">
        <f t="shared" si="164"/>
        <v>-490961428.20236474</v>
      </c>
      <c r="BK99" s="13">
        <f t="shared" si="165"/>
        <v>-470132912.45993954</v>
      </c>
      <c r="BL99" s="13">
        <f t="shared" si="166"/>
        <v>-450946356.83902693</v>
      </c>
      <c r="BM99" s="13">
        <f t="shared" si="167"/>
        <v>-433225561.00690687</v>
      </c>
      <c r="BN99" s="13">
        <f t="shared" si="168"/>
        <v>-416767124.87738836</v>
      </c>
      <c r="BO99" s="13">
        <f t="shared" si="169"/>
        <v>-401345204.3174988</v>
      </c>
      <c r="BP99" s="13">
        <f t="shared" si="170"/>
        <v>-386716140.26264405</v>
      </c>
      <c r="BQ99" s="13">
        <f t="shared" si="171"/>
        <v>-372622991.74057847</v>
      </c>
      <c r="BR99" s="13">
        <f t="shared" si="172"/>
        <v>-358800000</v>
      </c>
      <c r="BT99" s="86"/>
      <c r="BU99" s="26">
        <v>1.6666666666666666E-2</v>
      </c>
      <c r="BV99" s="13">
        <f t="shared" si="173"/>
        <v>0.40657464742411625</v>
      </c>
      <c r="BW99" s="13">
        <f t="shared" si="174"/>
        <v>0.40657464742411625</v>
      </c>
      <c r="BX99" s="13">
        <f t="shared" si="175"/>
        <v>0.40657464742411625</v>
      </c>
      <c r="BY99" s="13">
        <f t="shared" si="176"/>
        <v>0.40657464742411625</v>
      </c>
      <c r="BZ99" s="13">
        <f t="shared" si="177"/>
        <v>0.40657464742411625</v>
      </c>
      <c r="CA99" s="13">
        <f t="shared" si="178"/>
        <v>0.40657464742411625</v>
      </c>
      <c r="CB99" s="13">
        <f t="shared" si="179"/>
        <v>0.40657464742411625</v>
      </c>
      <c r="CC99" s="13">
        <f t="shared" si="180"/>
        <v>0.40657464742411625</v>
      </c>
      <c r="CD99" s="13">
        <f t="shared" si="181"/>
        <v>0.40657464742411625</v>
      </c>
      <c r="CE99" s="13">
        <f t="shared" si="182"/>
        <v>0.40657464742411625</v>
      </c>
      <c r="CF99" s="13">
        <f t="shared" si="183"/>
        <v>0.40657464742411625</v>
      </c>
      <c r="CG99" s="13">
        <f t="shared" si="184"/>
        <v>0.40657464742411625</v>
      </c>
      <c r="CH99" s="13">
        <f t="shared" si="185"/>
        <v>0.40657464742411625</v>
      </c>
      <c r="CI99" s="13">
        <f t="shared" si="186"/>
        <v>0.40657464742411625</v>
      </c>
      <c r="CJ99" s="13">
        <f t="shared" si="187"/>
        <v>0.40657464742411625</v>
      </c>
      <c r="CK99" s="13">
        <f t="shared" si="188"/>
        <v>0.40657464742411625</v>
      </c>
      <c r="CL99" s="13">
        <f t="shared" si="189"/>
        <v>0.40657464742411625</v>
      </c>
      <c r="CM99" s="13">
        <f t="shared" si="190"/>
        <v>0.40657464742411625</v>
      </c>
      <c r="CN99" s="13">
        <f t="shared" si="191"/>
        <v>0.40657464742411625</v>
      </c>
      <c r="CO99" s="13">
        <f t="shared" si="192"/>
        <v>0.40657464742411625</v>
      </c>
      <c r="CP99" s="13">
        <f t="shared" si="193"/>
        <v>0.40657464742411625</v>
      </c>
      <c r="CQ99" s="13">
        <f t="shared" si="194"/>
        <v>0.40657464742411625</v>
      </c>
      <c r="CR99" s="13">
        <f t="shared" si="195"/>
        <v>0.40657464742411625</v>
      </c>
      <c r="CS99" s="13">
        <f t="shared" si="196"/>
        <v>0.40657464742411625</v>
      </c>
      <c r="CT99" s="13">
        <f t="shared" si="197"/>
        <v>0.40657464742411625</v>
      </c>
      <c r="CU99" s="13">
        <f t="shared" si="198"/>
        <v>0.40657464742411625</v>
      </c>
      <c r="CV99" s="13">
        <f t="shared" si="199"/>
        <v>0.40657464742411625</v>
      </c>
      <c r="CW99" s="13">
        <f t="shared" si="200"/>
        <v>0.40657464742411625</v>
      </c>
      <c r="CX99" s="13">
        <f t="shared" si="201"/>
        <v>0.40657464742411625</v>
      </c>
      <c r="CY99" s="13">
        <f t="shared" si="202"/>
        <v>0.40657464742411625</v>
      </c>
      <c r="CZ99" s="13">
        <f t="shared" si="203"/>
        <v>0.40657464742411625</v>
      </c>
      <c r="DB99" s="86"/>
      <c r="DC99" s="26">
        <v>1.6666666666666666E-2</v>
      </c>
      <c r="DD99" s="13">
        <f t="shared" si="204"/>
        <v>178.02760577276516</v>
      </c>
      <c r="DE99" s="13">
        <f t="shared" si="205"/>
        <v>177.14944475618819</v>
      </c>
      <c r="DF99" s="13">
        <f t="shared" si="206"/>
        <v>175.89845422447078</v>
      </c>
      <c r="DG99" s="13">
        <f t="shared" si="207"/>
        <v>174.04796780565331</v>
      </c>
      <c r="DH99" s="13">
        <f t="shared" si="208"/>
        <v>171.48138205517589</v>
      </c>
      <c r="DI99" s="13">
        <f t="shared" si="209"/>
        <v>168.17194843260694</v>
      </c>
      <c r="DJ99" s="13">
        <f t="shared" si="210"/>
        <v>164.1586470509188</v>
      </c>
      <c r="DK99" s="13">
        <f t="shared" si="211"/>
        <v>159.52376438049154</v>
      </c>
      <c r="DL99" s="13">
        <f t="shared" si="212"/>
        <v>154.37446716008182</v>
      </c>
      <c r="DM99" s="13">
        <f t="shared" si="213"/>
        <v>148.82883372011992</v>
      </c>
      <c r="DN99" s="13">
        <f t="shared" si="214"/>
        <v>143.00592418579734</v>
      </c>
      <c r="DO99" s="13">
        <f t="shared" si="215"/>
        <v>137.01914269473016</v>
      </c>
      <c r="DP99" s="13">
        <f t="shared" si="216"/>
        <v>130.97210583836039</v>
      </c>
      <c r="DQ99" s="13">
        <f t="shared" si="217"/>
        <v>124.95632415346437</v>
      </c>
      <c r="DR99" s="13">
        <f t="shared" si="218"/>
        <v>119.05013996584034</v>
      </c>
      <c r="DS99" s="13">
        <f t="shared" si="219"/>
        <v>113.3185011498269</v>
      </c>
      <c r="DT99" s="13">
        <f t="shared" si="220"/>
        <v>107.81326756487549</v>
      </c>
      <c r="DU99" s="13">
        <f t="shared" si="221"/>
        <v>102.57383970640687</v>
      </c>
      <c r="DV99" s="13">
        <f t="shared" si="222"/>
        <v>97.627968598847872</v>
      </c>
      <c r="DW99" s="13">
        <f t="shared" si="223"/>
        <v>92.992655885548302</v>
      </c>
      <c r="DX99" s="13">
        <f t="shared" si="224"/>
        <v>88.675087722382841</v>
      </c>
      <c r="DY99" s="13">
        <f t="shared" si="225"/>
        <v>84.67356938914017</v>
      </c>
      <c r="DZ99" s="13">
        <f t="shared" si="226"/>
        <v>80.978442728955159</v>
      </c>
      <c r="EA99" s="13">
        <f t="shared" si="227"/>
        <v>77.572978105288115</v>
      </c>
      <c r="EB99" s="13">
        <f t="shared" si="228"/>
        <v>74.434238368005509</v>
      </c>
      <c r="EC99" s="13">
        <f t="shared" si="229"/>
        <v>71.533915656060657</v>
      </c>
      <c r="ED99" s="13">
        <f t="shared" si="230"/>
        <v>68.839143641990589</v>
      </c>
      <c r="EE99" s="13">
        <f t="shared" si="231"/>
        <v>66.313288655371153</v>
      </c>
      <c r="EF99" s="13">
        <f t="shared" si="232"/>
        <v>63.916723411217646</v>
      </c>
      <c r="EG99" s="13">
        <f t="shared" si="233"/>
        <v>61.607587072888272</v>
      </c>
      <c r="EH99" s="13">
        <f t="shared" si="234"/>
        <v>59.342535257588374</v>
      </c>
    </row>
    <row r="100" spans="5:138" x14ac:dyDescent="0.25">
      <c r="E100" s="95"/>
      <c r="F100" s="26">
        <v>1.3333333333333334E-2</v>
      </c>
      <c r="G100" s="13">
        <f t="shared" si="139"/>
        <v>300</v>
      </c>
      <c r="H100" s="13">
        <f t="shared" si="235"/>
        <v>298.52130740431619</v>
      </c>
      <c r="I100" s="13">
        <f t="shared" si="236"/>
        <v>296.32065975051586</v>
      </c>
      <c r="J100" s="13">
        <f t="shared" si="237"/>
        <v>293.08313767517325</v>
      </c>
      <c r="K100" s="13">
        <f t="shared" si="238"/>
        <v>288.63951006388379</v>
      </c>
      <c r="L100" s="13">
        <f t="shared" si="239"/>
        <v>282.96238299830657</v>
      </c>
      <c r="M100" s="13">
        <f t="shared" si="240"/>
        <v>276.1261114019232</v>
      </c>
      <c r="N100" s="13">
        <f t="shared" si="241"/>
        <v>268.27129409721181</v>
      </c>
      <c r="O100" s="13">
        <f t="shared" si="242"/>
        <v>259.57620715131009</v>
      </c>
      <c r="P100" s="13">
        <f t="shared" si="243"/>
        <v>250.23531794890516</v>
      </c>
      <c r="Q100" s="13">
        <f t="shared" si="244"/>
        <v>240.44400772862224</v>
      </c>
      <c r="R100" s="13">
        <f t="shared" si="245"/>
        <v>230.38829338405719</v>
      </c>
      <c r="S100" s="13">
        <f t="shared" si="246"/>
        <v>220.23834994516574</v>
      </c>
      <c r="T100" s="13">
        <f t="shared" si="247"/>
        <v>210.14479807824711</v>
      </c>
      <c r="U100" s="13">
        <f t="shared" si="248"/>
        <v>200.2369291841423</v>
      </c>
      <c r="V100" s="13">
        <f t="shared" si="249"/>
        <v>190.62224120103528</v>
      </c>
      <c r="W100" s="13">
        <f t="shared" si="250"/>
        <v>181.38682892798022</v>
      </c>
      <c r="X100" s="13">
        <f t="shared" si="251"/>
        <v>172.59630793883719</v>
      </c>
      <c r="Y100" s="13">
        <f t="shared" si="252"/>
        <v>164.29705320147053</v>
      </c>
      <c r="Z100" s="13">
        <f t="shared" si="253"/>
        <v>156.51760770345794</v>
      </c>
      <c r="AA100" s="13">
        <f t="shared" si="254"/>
        <v>149.27016868743522</v>
      </c>
      <c r="AB100" s="13">
        <f t="shared" si="255"/>
        <v>142.55209497067631</v>
      </c>
      <c r="AC100" s="13">
        <f t="shared" si="256"/>
        <v>136.34740277882818</v>
      </c>
      <c r="AD100" s="13">
        <f t="shared" si="257"/>
        <v>130.62823308258413</v>
      </c>
      <c r="AE100" s="13">
        <f t="shared" si="258"/>
        <v>125.35628322118887</v>
      </c>
      <c r="AF100" s="13">
        <f t="shared" si="259"/>
        <v>120.48420153560664</v>
      </c>
      <c r="AG100" s="13">
        <f t="shared" si="260"/>
        <v>115.95694716305404</v>
      </c>
      <c r="AH100" s="13">
        <f t="shared" si="261"/>
        <v>111.71311899093354</v>
      </c>
      <c r="AI100" s="13">
        <f t="shared" si="262"/>
        <v>107.68625865662479</v>
      </c>
      <c r="AJ100" s="13">
        <f t="shared" si="263"/>
        <v>103.80613282088072</v>
      </c>
      <c r="AK100" s="13">
        <f t="shared" si="141"/>
        <v>100</v>
      </c>
      <c r="AL100" s="86"/>
      <c r="AM100" s="26">
        <v>1.3333333333333334E-2</v>
      </c>
      <c r="AN100" s="13">
        <f t="shared" si="142"/>
        <v>-1076400000</v>
      </c>
      <c r="AO100" s="13">
        <f t="shared" si="143"/>
        <v>-1068567614.7072587</v>
      </c>
      <c r="AP100" s="13">
        <f t="shared" si="144"/>
        <v>-1058876801.7980886</v>
      </c>
      <c r="AQ100" s="13">
        <f t="shared" si="145"/>
        <v>-1046099543.1890216</v>
      </c>
      <c r="AR100" s="13">
        <f t="shared" si="146"/>
        <v>-1029549333.6109066</v>
      </c>
      <c r="AS100" s="13">
        <f t="shared" si="147"/>
        <v>-1009008675.6083701</v>
      </c>
      <c r="AT100" s="13">
        <f t="shared" si="148"/>
        <v>-984622157.16063559</v>
      </c>
      <c r="AU100" s="13">
        <f t="shared" si="149"/>
        <v>-956787154.38778949</v>
      </c>
      <c r="AV100" s="13">
        <f t="shared" si="150"/>
        <v>-926057886.41580403</v>
      </c>
      <c r="AW100" s="13">
        <f t="shared" si="151"/>
        <v>-893068540.63788283</v>
      </c>
      <c r="AX100" s="13">
        <f t="shared" si="152"/>
        <v>-858475689.97737491</v>
      </c>
      <c r="AY100" s="13">
        <f t="shared" si="153"/>
        <v>-822917631.0914824</v>
      </c>
      <c r="AZ100" s="13">
        <f t="shared" si="154"/>
        <v>-786987384.71324372</v>
      </c>
      <c r="BA100" s="13">
        <f t="shared" si="155"/>
        <v>-751216114.33181584</v>
      </c>
      <c r="BB100" s="13">
        <f t="shared" si="156"/>
        <v>-716064143.73277235</v>
      </c>
      <c r="BC100" s="13">
        <f t="shared" si="157"/>
        <v>-681917307.94148278</v>
      </c>
      <c r="BD100" s="13">
        <f t="shared" si="158"/>
        <v>-649086912.58897531</v>
      </c>
      <c r="BE100" s="13">
        <f t="shared" si="159"/>
        <v>-617812041.35990763</v>
      </c>
      <c r="BF100" s="13">
        <f t="shared" si="160"/>
        <v>-588263322.19444442</v>
      </c>
      <c r="BG100" s="13">
        <f t="shared" si="161"/>
        <v>-560547544.59502041</v>
      </c>
      <c r="BH100" s="13">
        <f t="shared" si="162"/>
        <v>-534712726.2031914</v>
      </c>
      <c r="BI100" s="13">
        <f t="shared" si="163"/>
        <v>-510753372.49718302</v>
      </c>
      <c r="BJ100" s="13">
        <f t="shared" si="164"/>
        <v>-488615773.70116663</v>
      </c>
      <c r="BK100" s="13">
        <f t="shared" si="165"/>
        <v>-468203250.11592627</v>
      </c>
      <c r="BL100" s="13">
        <f t="shared" si="166"/>
        <v>-449381300.77952248</v>
      </c>
      <c r="BM100" s="13">
        <f t="shared" si="167"/>
        <v>-431982637.95379114</v>
      </c>
      <c r="BN100" s="13">
        <f t="shared" si="168"/>
        <v>-415812106.72962517</v>
      </c>
      <c r="BO100" s="13">
        <f t="shared" si="169"/>
        <v>-400651498.81853592</v>
      </c>
      <c r="BP100" s="13">
        <f t="shared" si="170"/>
        <v>-386264274.95096266</v>
      </c>
      <c r="BQ100" s="13">
        <f t="shared" si="171"/>
        <v>-372400212.98561531</v>
      </c>
      <c r="BR100" s="13">
        <f t="shared" si="172"/>
        <v>-358800000</v>
      </c>
      <c r="BT100" s="86"/>
      <c r="BU100" s="26">
        <v>1.3333333333333334E-2</v>
      </c>
      <c r="BV100" s="13">
        <f t="shared" si="173"/>
        <v>0.40709372886650147</v>
      </c>
      <c r="BW100" s="13">
        <f t="shared" si="174"/>
        <v>0.40709372886650147</v>
      </c>
      <c r="BX100" s="13">
        <f t="shared" si="175"/>
        <v>0.40709372886650147</v>
      </c>
      <c r="BY100" s="13">
        <f t="shared" si="176"/>
        <v>0.40709372886650147</v>
      </c>
      <c r="BZ100" s="13">
        <f t="shared" si="177"/>
        <v>0.40709372886650147</v>
      </c>
      <c r="CA100" s="13">
        <f t="shared" si="178"/>
        <v>0.40709372886650147</v>
      </c>
      <c r="CB100" s="13">
        <f t="shared" si="179"/>
        <v>0.40709372886650147</v>
      </c>
      <c r="CC100" s="13">
        <f t="shared" si="180"/>
        <v>0.40709372886650147</v>
      </c>
      <c r="CD100" s="13">
        <f t="shared" si="181"/>
        <v>0.40709372886650147</v>
      </c>
      <c r="CE100" s="13">
        <f t="shared" si="182"/>
        <v>0.40709372886650147</v>
      </c>
      <c r="CF100" s="13">
        <f t="shared" si="183"/>
        <v>0.40709372886650147</v>
      </c>
      <c r="CG100" s="13">
        <f t="shared" si="184"/>
        <v>0.40709372886650147</v>
      </c>
      <c r="CH100" s="13">
        <f t="shared" si="185"/>
        <v>0.40709372886650147</v>
      </c>
      <c r="CI100" s="13">
        <f t="shared" si="186"/>
        <v>0.40709372886650147</v>
      </c>
      <c r="CJ100" s="13">
        <f t="shared" si="187"/>
        <v>0.40709372886650147</v>
      </c>
      <c r="CK100" s="13">
        <f t="shared" si="188"/>
        <v>0.40709372886650147</v>
      </c>
      <c r="CL100" s="13">
        <f t="shared" si="189"/>
        <v>0.40709372886650147</v>
      </c>
      <c r="CM100" s="13">
        <f t="shared" si="190"/>
        <v>0.40709372886650147</v>
      </c>
      <c r="CN100" s="13">
        <f t="shared" si="191"/>
        <v>0.40709372886650147</v>
      </c>
      <c r="CO100" s="13">
        <f t="shared" si="192"/>
        <v>0.40709372886650147</v>
      </c>
      <c r="CP100" s="13">
        <f t="shared" si="193"/>
        <v>0.40709372886650147</v>
      </c>
      <c r="CQ100" s="13">
        <f t="shared" si="194"/>
        <v>0.40709372886650147</v>
      </c>
      <c r="CR100" s="13">
        <f t="shared" si="195"/>
        <v>0.40709372886650147</v>
      </c>
      <c r="CS100" s="13">
        <f t="shared" si="196"/>
        <v>0.40709372886650147</v>
      </c>
      <c r="CT100" s="13">
        <f t="shared" si="197"/>
        <v>0.40709372886650147</v>
      </c>
      <c r="CU100" s="13">
        <f t="shared" si="198"/>
        <v>0.40709372886650147</v>
      </c>
      <c r="CV100" s="13">
        <f t="shared" si="199"/>
        <v>0.40709372886650147</v>
      </c>
      <c r="CW100" s="13">
        <f t="shared" si="200"/>
        <v>0.40709372886650147</v>
      </c>
      <c r="CX100" s="13">
        <f t="shared" si="201"/>
        <v>0.40709372886650147</v>
      </c>
      <c r="CY100" s="13">
        <f t="shared" si="202"/>
        <v>0.40709372886650147</v>
      </c>
      <c r="CZ100" s="13">
        <f t="shared" si="203"/>
        <v>0.40709372886650147</v>
      </c>
      <c r="DB100" s="86"/>
      <c r="DC100" s="26">
        <v>1.3333333333333334E-2</v>
      </c>
      <c r="DD100" s="13">
        <f t="shared" si="204"/>
        <v>177.87188134004958</v>
      </c>
      <c r="DE100" s="13">
        <f t="shared" si="205"/>
        <v>176.24847727937157</v>
      </c>
      <c r="DF100" s="13">
        <f t="shared" si="206"/>
        <v>174.3598516559953</v>
      </c>
      <c r="DG100" s="13">
        <f t="shared" si="207"/>
        <v>172.02341257580622</v>
      </c>
      <c r="DH100" s="13">
        <f t="shared" si="208"/>
        <v>169.1321179092717</v>
      </c>
      <c r="DI100" s="13">
        <f t="shared" si="209"/>
        <v>165.64672864100382</v>
      </c>
      <c r="DJ100" s="13">
        <f t="shared" si="210"/>
        <v>161.58220725778477</v>
      </c>
      <c r="DK100" s="13">
        <f t="shared" si="211"/>
        <v>156.99284792437689</v>
      </c>
      <c r="DL100" s="13">
        <f t="shared" si="212"/>
        <v>151.95860135398294</v>
      </c>
      <c r="DM100" s="13">
        <f t="shared" si="213"/>
        <v>146.57366922035678</v>
      </c>
      <c r="DN100" s="13">
        <f t="shared" si="214"/>
        <v>140.93762294442513</v>
      </c>
      <c r="DO100" s="13">
        <f t="shared" si="215"/>
        <v>135.14887146655556</v>
      </c>
      <c r="DP100" s="13">
        <f t="shared" si="216"/>
        <v>129.30011687786265</v>
      </c>
      <c r="DQ100" s="13">
        <f t="shared" si="217"/>
        <v>123.47539148593332</v>
      </c>
      <c r="DR100" s="13">
        <f t="shared" si="218"/>
        <v>117.74829681334377</v>
      </c>
      <c r="DS100" s="13">
        <f t="shared" si="219"/>
        <v>112.18112268768836</v>
      </c>
      <c r="DT100" s="13">
        <f t="shared" si="220"/>
        <v>106.82458968751585</v>
      </c>
      <c r="DU100" s="13">
        <f t="shared" si="221"/>
        <v>101.7180189981503</v>
      </c>
      <c r="DV100" s="13">
        <f t="shared" si="222"/>
        <v>96.889785284723033</v>
      </c>
      <c r="DW100" s="13">
        <f t="shared" si="223"/>
        <v>92.357949354434879</v>
      </c>
      <c r="DX100" s="13">
        <f t="shared" si="224"/>
        <v>88.130998874402096</v>
      </c>
      <c r="DY100" s="13">
        <f t="shared" si="225"/>
        <v>84.208648721598763</v>
      </c>
      <c r="DZ100" s="13">
        <f t="shared" si="226"/>
        <v>80.582669324245714</v>
      </c>
      <c r="EA100" s="13">
        <f t="shared" si="227"/>
        <v>77.237723145099608</v>
      </c>
      <c r="EB100" s="13">
        <f t="shared" si="228"/>
        <v>74.152197553339406</v>
      </c>
      <c r="EC100" s="13">
        <f t="shared" si="229"/>
        <v>71.299027766848326</v>
      </c>
      <c r="ED100" s="13">
        <f t="shared" si="230"/>
        <v>68.646507111635259</v>
      </c>
      <c r="EE100" s="13">
        <f t="shared" si="231"/>
        <v>66.159084126252893</v>
      </c>
      <c r="EF100" s="13">
        <f t="shared" si="232"/>
        <v>63.798147459474663</v>
      </c>
      <c r="EG100" s="13">
        <f t="shared" si="233"/>
        <v>61.522800367117071</v>
      </c>
      <c r="EH100" s="13">
        <f t="shared" si="234"/>
        <v>59.290627113349856</v>
      </c>
    </row>
    <row r="101" spans="5:138" x14ac:dyDescent="0.25">
      <c r="E101" s="95"/>
      <c r="F101" s="26">
        <v>0.01</v>
      </c>
      <c r="G101" s="13">
        <f t="shared" si="139"/>
        <v>300</v>
      </c>
      <c r="H101" s="13">
        <f t="shared" si="235"/>
        <v>297.29748716911979</v>
      </c>
      <c r="I101" s="13">
        <f t="shared" si="236"/>
        <v>294.09620234510191</v>
      </c>
      <c r="J101" s="13">
        <f t="shared" si="237"/>
        <v>290.11505347146033</v>
      </c>
      <c r="K101" s="13">
        <f t="shared" si="238"/>
        <v>285.18749719080165</v>
      </c>
      <c r="L101" s="13">
        <f t="shared" si="239"/>
        <v>279.25844315598658</v>
      </c>
      <c r="M101" s="13">
        <f t="shared" si="240"/>
        <v>272.3602237502771</v>
      </c>
      <c r="N101" s="13">
        <f t="shared" si="241"/>
        <v>264.58790242767708</v>
      </c>
      <c r="O101" s="13">
        <f t="shared" si="242"/>
        <v>256.0771378794546</v>
      </c>
      <c r="P101" s="13">
        <f t="shared" si="243"/>
        <v>246.98592153635173</v>
      </c>
      <c r="Q101" s="13">
        <f t="shared" si="244"/>
        <v>237.48040303078466</v>
      </c>
      <c r="R101" s="13">
        <f t="shared" si="245"/>
        <v>227.7244494578369</v>
      </c>
      <c r="S101" s="13">
        <f t="shared" si="246"/>
        <v>217.87234680561784</v>
      </c>
      <c r="T101" s="13">
        <f t="shared" si="247"/>
        <v>208.06400386574774</v>
      </c>
      <c r="U101" s="13">
        <f t="shared" si="248"/>
        <v>198.42206800303603</v>
      </c>
      <c r="V101" s="13">
        <f t="shared" si="249"/>
        <v>189.05045224291547</v>
      </c>
      <c r="W101" s="13">
        <f t="shared" si="250"/>
        <v>180.03387254356619</v>
      </c>
      <c r="X101" s="13">
        <f t="shared" si="251"/>
        <v>171.43808669854388</v>
      </c>
      <c r="Y101" s="13">
        <f t="shared" si="252"/>
        <v>163.31060519878332</v>
      </c>
      <c r="Z101" s="13">
        <f t="shared" si="253"/>
        <v>155.68170789634163</v>
      </c>
      <c r="AA101" s="13">
        <f t="shared" si="254"/>
        <v>148.56564941829708</v>
      </c>
      <c r="AB101" s="13">
        <f t="shared" si="255"/>
        <v>141.96197306499511</v>
      </c>
      <c r="AC101" s="13">
        <f t="shared" si="256"/>
        <v>135.85687976733448</v>
      </c>
      <c r="AD101" s="13">
        <f t="shared" si="257"/>
        <v>130.22461781237135</v>
      </c>
      <c r="AE101" s="13">
        <f t="shared" si="258"/>
        <v>125.02887239737318</v>
      </c>
      <c r="AF101" s="13">
        <f t="shared" si="259"/>
        <v>120.22414319618582</v>
      </c>
      <c r="AG101" s="13">
        <f t="shared" si="260"/>
        <v>115.75710422819158</v>
      </c>
      <c r="AH101" s="13">
        <f t="shared" si="261"/>
        <v>111.567944319967</v>
      </c>
      <c r="AI101" s="13">
        <f t="shared" si="262"/>
        <v>107.59168901035268</v>
      </c>
      <c r="AJ101" s="13">
        <f t="shared" si="263"/>
        <v>103.75950634808865</v>
      </c>
      <c r="AK101" s="13">
        <f t="shared" si="141"/>
        <v>100</v>
      </c>
      <c r="AL101" s="86"/>
      <c r="AM101" s="26">
        <v>0.01</v>
      </c>
      <c r="AN101" s="13">
        <f t="shared" si="142"/>
        <v>-1076400000</v>
      </c>
      <c r="AO101" s="13">
        <f t="shared" si="143"/>
        <v>-1064750896.195809</v>
      </c>
      <c r="AP101" s="13">
        <f t="shared" si="144"/>
        <v>-1051740774.8450638</v>
      </c>
      <c r="AQ101" s="13">
        <f t="shared" si="145"/>
        <v>-1036376111.0432922</v>
      </c>
      <c r="AR101" s="13">
        <f t="shared" si="146"/>
        <v>-1018040018.2072009</v>
      </c>
      <c r="AS101" s="13">
        <f t="shared" si="147"/>
        <v>-996471725.64841521</v>
      </c>
      <c r="AT101" s="13">
        <f t="shared" si="148"/>
        <v>-971708281.56334531</v>
      </c>
      <c r="AU101" s="13">
        <f t="shared" si="149"/>
        <v>-944012731.6408385</v>
      </c>
      <c r="AV101" s="13">
        <f t="shared" si="150"/>
        <v>-913803354.43579578</v>
      </c>
      <c r="AW101" s="13">
        <f t="shared" si="151"/>
        <v>-881591497.52654505</v>
      </c>
      <c r="AX101" s="13">
        <f t="shared" si="152"/>
        <v>-847930961.89050078</v>
      </c>
      <c r="AY101" s="13">
        <f t="shared" si="153"/>
        <v>-813379171.91466033</v>
      </c>
      <c r="AZ101" s="13">
        <f t="shared" si="154"/>
        <v>-778468965.21931863</v>
      </c>
      <c r="BA101" s="13">
        <f t="shared" si="155"/>
        <v>-743689262.50945091</v>
      </c>
      <c r="BB101" s="13">
        <f t="shared" si="156"/>
        <v>-709472785.18611038</v>
      </c>
      <c r="BC101" s="13">
        <f t="shared" si="157"/>
        <v>-676189144.89815903</v>
      </c>
      <c r="BD101" s="13">
        <f t="shared" si="158"/>
        <v>-644141890.23099196</v>
      </c>
      <c r="BE101" s="13">
        <f t="shared" si="159"/>
        <v>-613568378.54241204</v>
      </c>
      <c r="BF101" s="13">
        <f t="shared" si="160"/>
        <v>-584641602.89237261</v>
      </c>
      <c r="BG101" s="13">
        <f t="shared" si="161"/>
        <v>-557473326.86062467</v>
      </c>
      <c r="BH101" s="13">
        <f t="shared" si="162"/>
        <v>-532118059.47321224</v>
      </c>
      <c r="BI101" s="13">
        <f t="shared" si="163"/>
        <v>-508577541.27014118</v>
      </c>
      <c r="BJ101" s="13">
        <f t="shared" si="164"/>
        <v>-486805516.62570739</v>
      </c>
      <c r="BK101" s="13">
        <f t="shared" si="165"/>
        <v>-466712643.45838201</v>
      </c>
      <c r="BL101" s="13">
        <f t="shared" si="166"/>
        <v>-448171445.74121201</v>
      </c>
      <c r="BM101" s="13">
        <f t="shared" si="167"/>
        <v>-431021252.1627475</v>
      </c>
      <c r="BN101" s="13">
        <f t="shared" si="168"/>
        <v>-415073090.28249127</v>
      </c>
      <c r="BO101" s="13">
        <f t="shared" si="169"/>
        <v>-400114522.98612559</v>
      </c>
      <c r="BP101" s="13">
        <f t="shared" si="170"/>
        <v>-385914425.54080194</v>
      </c>
      <c r="BQ101" s="13">
        <f t="shared" si="171"/>
        <v>-372227708.95554799</v>
      </c>
      <c r="BR101" s="13">
        <f t="shared" si="172"/>
        <v>-358800000</v>
      </c>
      <c r="BT101" s="86"/>
      <c r="BU101" s="26">
        <v>0.01</v>
      </c>
      <c r="BV101" s="13">
        <f t="shared" si="173"/>
        <v>0.41022990753415084</v>
      </c>
      <c r="BW101" s="13">
        <f t="shared" si="174"/>
        <v>0.41022990753415084</v>
      </c>
      <c r="BX101" s="13">
        <f t="shared" si="175"/>
        <v>0.41022990753415084</v>
      </c>
      <c r="BY101" s="13">
        <f t="shared" si="176"/>
        <v>0.41022990753415084</v>
      </c>
      <c r="BZ101" s="13">
        <f t="shared" si="177"/>
        <v>0.41022990753415084</v>
      </c>
      <c r="CA101" s="13">
        <f t="shared" si="178"/>
        <v>0.41022990753415084</v>
      </c>
      <c r="CB101" s="13">
        <f t="shared" si="179"/>
        <v>0.41022990753415084</v>
      </c>
      <c r="CC101" s="13">
        <f t="shared" si="180"/>
        <v>0.41022990753415084</v>
      </c>
      <c r="CD101" s="13">
        <f t="shared" si="181"/>
        <v>0.41022990753415084</v>
      </c>
      <c r="CE101" s="13">
        <f t="shared" si="182"/>
        <v>0.41022990753415084</v>
      </c>
      <c r="CF101" s="13">
        <f t="shared" si="183"/>
        <v>0.41022990753415084</v>
      </c>
      <c r="CG101" s="13">
        <f t="shared" si="184"/>
        <v>0.41022990753415084</v>
      </c>
      <c r="CH101" s="13">
        <f t="shared" si="185"/>
        <v>0.41022990753415084</v>
      </c>
      <c r="CI101" s="13">
        <f t="shared" si="186"/>
        <v>0.41022990753415084</v>
      </c>
      <c r="CJ101" s="13">
        <f t="shared" si="187"/>
        <v>0.41022990753415084</v>
      </c>
      <c r="CK101" s="13">
        <f t="shared" si="188"/>
        <v>0.41022990753415084</v>
      </c>
      <c r="CL101" s="13">
        <f t="shared" si="189"/>
        <v>0.41022990753415084</v>
      </c>
      <c r="CM101" s="13">
        <f t="shared" si="190"/>
        <v>0.41022990753415084</v>
      </c>
      <c r="CN101" s="13">
        <f t="shared" si="191"/>
        <v>0.41022990753415084</v>
      </c>
      <c r="CO101" s="13">
        <f t="shared" si="192"/>
        <v>0.41022990753415084</v>
      </c>
      <c r="CP101" s="13">
        <f t="shared" si="193"/>
        <v>0.41022990753415084</v>
      </c>
      <c r="CQ101" s="13">
        <f t="shared" si="194"/>
        <v>0.41022990753415084</v>
      </c>
      <c r="CR101" s="13">
        <f t="shared" si="195"/>
        <v>0.41022990753415084</v>
      </c>
      <c r="CS101" s="13">
        <f t="shared" si="196"/>
        <v>0.41022990753415084</v>
      </c>
      <c r="CT101" s="13">
        <f t="shared" si="197"/>
        <v>0.41022990753415084</v>
      </c>
      <c r="CU101" s="13">
        <f t="shared" si="198"/>
        <v>0.41022990753415084</v>
      </c>
      <c r="CV101" s="13">
        <f t="shared" si="199"/>
        <v>0.41022990753415084</v>
      </c>
      <c r="CW101" s="13">
        <f t="shared" si="200"/>
        <v>0.41022990753415084</v>
      </c>
      <c r="CX101" s="13">
        <f t="shared" si="201"/>
        <v>0.41022990753415084</v>
      </c>
      <c r="CY101" s="13">
        <f t="shared" si="202"/>
        <v>0.41022990753415084</v>
      </c>
      <c r="CZ101" s="13">
        <f t="shared" si="203"/>
        <v>0.41022990753415084</v>
      </c>
      <c r="DB101" s="86"/>
      <c r="DC101" s="26">
        <v>0.01</v>
      </c>
      <c r="DD101" s="13">
        <f t="shared" si="204"/>
        <v>176.93102773975474</v>
      </c>
      <c r="DE101" s="13">
        <f t="shared" si="205"/>
        <v>174.83511883567334</v>
      </c>
      <c r="DF101" s="13">
        <f t="shared" si="206"/>
        <v>172.53660549518924</v>
      </c>
      <c r="DG101" s="13">
        <f t="shared" si="207"/>
        <v>169.88358500315522</v>
      </c>
      <c r="DH101" s="13">
        <f t="shared" si="208"/>
        <v>166.77893766659199</v>
      </c>
      <c r="DI101" s="13">
        <f t="shared" si="209"/>
        <v>163.1788109429483</v>
      </c>
      <c r="DJ101" s="13">
        <f t="shared" si="210"/>
        <v>159.0850346021015</v>
      </c>
      <c r="DK101" s="13">
        <f t="shared" si="211"/>
        <v>154.53499425611088</v>
      </c>
      <c r="DL101" s="13">
        <f t="shared" si="212"/>
        <v>149.59121442170706</v>
      </c>
      <c r="DM101" s="13">
        <f t="shared" si="213"/>
        <v>144.33191019239354</v>
      </c>
      <c r="DN101" s="13">
        <f t="shared" si="214"/>
        <v>138.84307997313132</v>
      </c>
      <c r="DO101" s="13">
        <f t="shared" si="215"/>
        <v>133.21228116594432</v>
      </c>
      <c r="DP101" s="13">
        <f t="shared" si="216"/>
        <v>127.52398887213856</v>
      </c>
      <c r="DQ101" s="13">
        <f t="shared" si="217"/>
        <v>121.85632278132564</v>
      </c>
      <c r="DR101" s="13">
        <f t="shared" si="218"/>
        <v>116.27889105890301</v>
      </c>
      <c r="DS101" s="13">
        <f t="shared" si="219"/>
        <v>110.85150786106216</v>
      </c>
      <c r="DT101" s="13">
        <f t="shared" si="220"/>
        <v>105.62357048452802</v>
      </c>
      <c r="DU101" s="13">
        <f t="shared" si="221"/>
        <v>100.63391925205889</v>
      </c>
      <c r="DV101" s="13">
        <f t="shared" si="222"/>
        <v>95.911040255810619</v>
      </c>
      <c r="DW101" s="13">
        <f t="shared" si="223"/>
        <v>91.473504160685593</v>
      </c>
      <c r="DX101" s="13">
        <f t="shared" si="224"/>
        <v>87.330561920043451</v>
      </c>
      <c r="DY101" s="13">
        <f t="shared" si="225"/>
        <v>83.482840326375069</v>
      </c>
      <c r="DZ101" s="13">
        <f t="shared" si="226"/>
        <v>79.923097332854184</v>
      </c>
      <c r="EA101" s="13">
        <f t="shared" si="227"/>
        <v>76.63700983355335</v>
      </c>
      <c r="EB101" s="13">
        <f t="shared" si="228"/>
        <v>73.603975922720039</v>
      </c>
      <c r="EC101" s="13">
        <f t="shared" si="229"/>
        <v>70.797920340907922</v>
      </c>
      <c r="ED101" s="13">
        <f t="shared" si="230"/>
        <v>68.188096515549503</v>
      </c>
      <c r="EE101" s="13">
        <f t="shared" si="231"/>
        <v>65.739881845964746</v>
      </c>
      <c r="EF101" s="13">
        <f t="shared" si="232"/>
        <v>63.415565078946841</v>
      </c>
      <c r="EG101" s="13">
        <f t="shared" si="233"/>
        <v>61.175126079500963</v>
      </c>
      <c r="EH101" s="13">
        <f t="shared" si="234"/>
        <v>58.977009246584913</v>
      </c>
    </row>
    <row r="102" spans="5:138" x14ac:dyDescent="0.25">
      <c r="E102" s="95"/>
      <c r="F102" s="26">
        <v>6.6666666666666671E-3</v>
      </c>
      <c r="G102" s="13">
        <f t="shared" si="139"/>
        <v>300</v>
      </c>
      <c r="H102" s="13">
        <f t="shared" si="235"/>
        <v>296.54528233657868</v>
      </c>
      <c r="I102" s="13">
        <f t="shared" si="236"/>
        <v>292.71145488393006</v>
      </c>
      <c r="J102" s="13">
        <f t="shared" si="237"/>
        <v>288.24762163787005</v>
      </c>
      <c r="K102" s="13">
        <f t="shared" si="238"/>
        <v>282.99459584269425</v>
      </c>
      <c r="L102" s="13">
        <f t="shared" si="239"/>
        <v>276.88483384392384</v>
      </c>
      <c r="M102" s="13">
        <f t="shared" si="240"/>
        <v>269.92771804371529</v>
      </c>
      <c r="N102" s="13">
        <f t="shared" si="241"/>
        <v>262.19162724840004</v>
      </c>
      <c r="O102" s="13">
        <f t="shared" si="242"/>
        <v>253.78614017177478</v>
      </c>
      <c r="P102" s="13">
        <f t="shared" si="243"/>
        <v>244.84618428947101</v>
      </c>
      <c r="Q102" s="13">
        <f t="shared" si="244"/>
        <v>235.51890562375738</v>
      </c>
      <c r="R102" s="13">
        <f t="shared" si="245"/>
        <v>225.95339604853899</v>
      </c>
      <c r="S102" s="13">
        <f t="shared" si="246"/>
        <v>216.29306229390531</v>
      </c>
      <c r="T102" s="13">
        <f t="shared" si="247"/>
        <v>206.67025877422716</v>
      </c>
      <c r="U102" s="13">
        <f t="shared" si="248"/>
        <v>197.20276112356814</v>
      </c>
      <c r="V102" s="13">
        <f t="shared" si="249"/>
        <v>187.99167723393134</v>
      </c>
      <c r="W102" s="13">
        <f t="shared" si="250"/>
        <v>179.12044380536554</v>
      </c>
      <c r="X102" s="13">
        <f t="shared" si="251"/>
        <v>170.65461824374904</v>
      </c>
      <c r="Y102" s="13">
        <f t="shared" si="252"/>
        <v>162.64223655862318</v>
      </c>
      <c r="Z102" s="13">
        <f t="shared" si="253"/>
        <v>155.11456197121788</v>
      </c>
      <c r="AA102" s="13">
        <f t="shared" si="254"/>
        <v>148.08709407177679</v>
      </c>
      <c r="AB102" s="13">
        <f t="shared" si="255"/>
        <v>141.56074441705817</v>
      </c>
      <c r="AC102" s="13">
        <f t="shared" si="256"/>
        <v>135.52311230644196</v>
      </c>
      <c r="AD102" s="13">
        <f t="shared" si="257"/>
        <v>129.94981540505864</v>
      </c>
      <c r="AE102" s="13">
        <f t="shared" si="258"/>
        <v>124.80584525002197</v>
      </c>
      <c r="AF102" s="13">
        <f t="shared" si="259"/>
        <v>120.04692872757838</v>
      </c>
      <c r="AG102" s="13">
        <f t="shared" si="260"/>
        <v>115.62088440643542</v>
      </c>
      <c r="AH102" s="13">
        <f t="shared" si="261"/>
        <v>111.46896801468066</v>
      </c>
      <c r="AI102" s="13">
        <f t="shared" si="262"/>
        <v>107.52720502310075</v>
      </c>
      <c r="AJ102" s="13">
        <f t="shared" si="263"/>
        <v>103.72771075002944</v>
      </c>
      <c r="AK102" s="13">
        <f t="shared" si="141"/>
        <v>100</v>
      </c>
      <c r="AL102" s="86"/>
      <c r="AM102" s="26">
        <v>6.6666666666666671E-3</v>
      </c>
      <c r="AN102" s="13">
        <f t="shared" si="142"/>
        <v>-1076400000</v>
      </c>
      <c r="AO102" s="13">
        <f t="shared" si="143"/>
        <v>-1062374676.4212412</v>
      </c>
      <c r="AP102" s="13">
        <f t="shared" si="144"/>
        <v>-1047267758.7006879</v>
      </c>
      <c r="AQ102" s="13">
        <f t="shared" si="145"/>
        <v>-1030235213.7001313</v>
      </c>
      <c r="AR102" s="13">
        <f t="shared" si="146"/>
        <v>-1010715379.8024899</v>
      </c>
      <c r="AS102" s="13">
        <f t="shared" si="147"/>
        <v>-988433432.89130557</v>
      </c>
      <c r="AT102" s="13">
        <f t="shared" si="148"/>
        <v>-963369637.22498059</v>
      </c>
      <c r="AU102" s="13">
        <f t="shared" si="149"/>
        <v>-935709679.09641159</v>
      </c>
      <c r="AV102" s="13">
        <f t="shared" si="150"/>
        <v>-905789838.29695857</v>
      </c>
      <c r="AW102" s="13">
        <f t="shared" si="151"/>
        <v>-874044859.04769671</v>
      </c>
      <c r="AX102" s="13">
        <f t="shared" si="152"/>
        <v>-840962666.27008367</v>
      </c>
      <c r="AY102" s="13">
        <f t="shared" si="153"/>
        <v>-807047538.14313519</v>
      </c>
      <c r="AZ102" s="13">
        <f t="shared" si="154"/>
        <v>-772791782.10314691</v>
      </c>
      <c r="BA102" s="13">
        <f t="shared" si="155"/>
        <v>-738655109.55746937</v>
      </c>
      <c r="BB102" s="13">
        <f t="shared" si="156"/>
        <v>-705050530.42928565</v>
      </c>
      <c r="BC102" s="13">
        <f t="shared" si="157"/>
        <v>-672335508.81949258</v>
      </c>
      <c r="BD102" s="13">
        <f t="shared" si="158"/>
        <v>-640807204.62142444</v>
      </c>
      <c r="BE102" s="13">
        <f t="shared" si="159"/>
        <v>-610700786.14520144</v>
      </c>
      <c r="BF102" s="13">
        <f t="shared" si="160"/>
        <v>-582189982.40666282</v>
      </c>
      <c r="BG102" s="13">
        <f t="shared" si="161"/>
        <v>-555389220.78508317</v>
      </c>
      <c r="BH102" s="13">
        <f t="shared" si="162"/>
        <v>-530356851.6348539</v>
      </c>
      <c r="BI102" s="13">
        <f t="shared" si="163"/>
        <v>-507099090.91459382</v>
      </c>
      <c r="BJ102" s="13">
        <f t="shared" si="164"/>
        <v>-485574415.04988676</v>
      </c>
      <c r="BK102" s="13">
        <f t="shared" si="165"/>
        <v>-465698221.8171345</v>
      </c>
      <c r="BL102" s="13">
        <f t="shared" si="166"/>
        <v>-447347630.8184945</v>
      </c>
      <c r="BM102" s="13">
        <f t="shared" si="167"/>
        <v>-430366341.03050244</v>
      </c>
      <c r="BN102" s="13">
        <f t="shared" si="168"/>
        <v>-414569494.52363646</v>
      </c>
      <c r="BO102" s="13">
        <f t="shared" si="169"/>
        <v>-399748517.79207128</v>
      </c>
      <c r="BP102" s="13">
        <f t="shared" si="170"/>
        <v>-385675927.63817257</v>
      </c>
      <c r="BQ102" s="13">
        <f t="shared" si="171"/>
        <v>-372110099.11001194</v>
      </c>
      <c r="BR102" s="13">
        <f t="shared" si="172"/>
        <v>-358800000</v>
      </c>
      <c r="BT102" s="86"/>
      <c r="BU102" s="26">
        <v>6.6666666666666671E-3</v>
      </c>
      <c r="BV102" s="13">
        <f t="shared" si="173"/>
        <v>0.42900919305413682</v>
      </c>
      <c r="BW102" s="13">
        <f t="shared" si="174"/>
        <v>0.42900919305413682</v>
      </c>
      <c r="BX102" s="13">
        <f t="shared" si="175"/>
        <v>0.42900919305413682</v>
      </c>
      <c r="BY102" s="13">
        <f t="shared" si="176"/>
        <v>0.42900919305413682</v>
      </c>
      <c r="BZ102" s="13">
        <f t="shared" si="177"/>
        <v>0.42900919305413682</v>
      </c>
      <c r="CA102" s="13">
        <f t="shared" si="178"/>
        <v>0.42900919305413682</v>
      </c>
      <c r="CB102" s="13">
        <f t="shared" si="179"/>
        <v>0.42900919305413682</v>
      </c>
      <c r="CC102" s="13">
        <f t="shared" si="180"/>
        <v>0.42900919305413682</v>
      </c>
      <c r="CD102" s="13">
        <f t="shared" si="181"/>
        <v>0.42900919305413682</v>
      </c>
      <c r="CE102" s="13">
        <f t="shared" si="182"/>
        <v>0.42900919305413682</v>
      </c>
      <c r="CF102" s="13">
        <f t="shared" si="183"/>
        <v>0.42900919305413682</v>
      </c>
      <c r="CG102" s="13">
        <f t="shared" si="184"/>
        <v>0.42900919305413682</v>
      </c>
      <c r="CH102" s="13">
        <f t="shared" si="185"/>
        <v>0.42900919305413682</v>
      </c>
      <c r="CI102" s="13">
        <f t="shared" si="186"/>
        <v>0.42900919305413682</v>
      </c>
      <c r="CJ102" s="13">
        <f t="shared" si="187"/>
        <v>0.42900919305413682</v>
      </c>
      <c r="CK102" s="13">
        <f t="shared" si="188"/>
        <v>0.42900919305413682</v>
      </c>
      <c r="CL102" s="13">
        <f t="shared" si="189"/>
        <v>0.42900919305413682</v>
      </c>
      <c r="CM102" s="13">
        <f t="shared" si="190"/>
        <v>0.42900919305413682</v>
      </c>
      <c r="CN102" s="13">
        <f t="shared" si="191"/>
        <v>0.42900919305413682</v>
      </c>
      <c r="CO102" s="13">
        <f t="shared" si="192"/>
        <v>0.42900919305413682</v>
      </c>
      <c r="CP102" s="13">
        <f t="shared" si="193"/>
        <v>0.42900919305413682</v>
      </c>
      <c r="CQ102" s="13">
        <f t="shared" si="194"/>
        <v>0.42900919305413682</v>
      </c>
      <c r="CR102" s="13">
        <f t="shared" si="195"/>
        <v>0.42900919305413682</v>
      </c>
      <c r="CS102" s="13">
        <f t="shared" si="196"/>
        <v>0.42900919305413682</v>
      </c>
      <c r="CT102" s="13">
        <f t="shared" si="197"/>
        <v>0.42900919305413682</v>
      </c>
      <c r="CU102" s="13">
        <f t="shared" si="198"/>
        <v>0.42900919305413682</v>
      </c>
      <c r="CV102" s="13">
        <f t="shared" si="199"/>
        <v>0.42900919305413682</v>
      </c>
      <c r="CW102" s="13">
        <f t="shared" si="200"/>
        <v>0.42900919305413682</v>
      </c>
      <c r="CX102" s="13">
        <f t="shared" si="201"/>
        <v>0.42900919305413682</v>
      </c>
      <c r="CY102" s="13">
        <f t="shared" si="202"/>
        <v>0.42900919305413682</v>
      </c>
      <c r="CZ102" s="13">
        <f t="shared" si="203"/>
        <v>0.42900919305413682</v>
      </c>
      <c r="DB102" s="86"/>
      <c r="DC102" s="26">
        <v>6.6666666666666671E-3</v>
      </c>
      <c r="DD102" s="13">
        <f t="shared" si="204"/>
        <v>171.29724208375893</v>
      </c>
      <c r="DE102" s="13">
        <f t="shared" si="205"/>
        <v>169.00192726913204</v>
      </c>
      <c r="DF102" s="13">
        <f t="shared" si="206"/>
        <v>166.54148043557174</v>
      </c>
      <c r="DG102" s="13">
        <f t="shared" si="207"/>
        <v>163.7855966552211</v>
      </c>
      <c r="DH102" s="13">
        <f t="shared" si="208"/>
        <v>160.64653780373951</v>
      </c>
      <c r="DI102" s="13">
        <f t="shared" si="209"/>
        <v>157.08039449201948</v>
      </c>
      <c r="DJ102" s="13">
        <f t="shared" si="210"/>
        <v>153.08267823256475</v>
      </c>
      <c r="DK102" s="13">
        <f t="shared" si="211"/>
        <v>148.6809847360156</v>
      </c>
      <c r="DL102" s="13">
        <f t="shared" si="212"/>
        <v>143.92669389049701</v>
      </c>
      <c r="DM102" s="13">
        <f t="shared" si="213"/>
        <v>138.88695339542841</v>
      </c>
      <c r="DN102" s="13">
        <f t="shared" si="214"/>
        <v>133.63762955334926</v>
      </c>
      <c r="DO102" s="13">
        <f t="shared" si="215"/>
        <v>128.25751374793484</v>
      </c>
      <c r="DP102" s="13">
        <f t="shared" si="216"/>
        <v>122.82382260201615</v>
      </c>
      <c r="DQ102" s="13">
        <f t="shared" si="217"/>
        <v>117.40888837216993</v>
      </c>
      <c r="DR102" s="13">
        <f t="shared" si="218"/>
        <v>112.07786984545258</v>
      </c>
      <c r="DS102" s="13">
        <f t="shared" si="219"/>
        <v>106.88729527067854</v>
      </c>
      <c r="DT102" s="13">
        <f t="shared" si="220"/>
        <v>101.8842574230389</v>
      </c>
      <c r="DU102" s="13">
        <f t="shared" si="221"/>
        <v>97.106103010461567</v>
      </c>
      <c r="DV102" s="13">
        <f t="shared" si="222"/>
        <v>92.580485605110425</v>
      </c>
      <c r="DW102" s="13">
        <f t="shared" si="223"/>
        <v>88.325678093318515</v>
      </c>
      <c r="DX102" s="13">
        <f t="shared" si="224"/>
        <v>84.351064699269372</v>
      </c>
      <c r="DY102" s="13">
        <f t="shared" si="225"/>
        <v>80.657752908071515</v>
      </c>
      <c r="DZ102" s="13">
        <f t="shared" si="226"/>
        <v>77.239261946604898</v>
      </c>
      <c r="EA102" s="13">
        <f t="shared" si="227"/>
        <v>74.08225720158984</v>
      </c>
      <c r="EB102" s="13">
        <f t="shared" si="228"/>
        <v>71.167309594356269</v>
      </c>
      <c r="EC102" s="13">
        <f t="shared" si="229"/>
        <v>68.4696660693577</v>
      </c>
      <c r="ED102" s="13">
        <f t="shared" si="230"/>
        <v>65.960022531215344</v>
      </c>
      <c r="EE102" s="13">
        <f t="shared" si="231"/>
        <v>63.605294251262748</v>
      </c>
      <c r="EF102" s="13">
        <f t="shared" si="232"/>
        <v>61.369381341437695</v>
      </c>
      <c r="EG102" s="13">
        <f t="shared" si="233"/>
        <v>59.213928659940343</v>
      </c>
      <c r="EH102" s="13">
        <f t="shared" si="234"/>
        <v>57.09908069458632</v>
      </c>
    </row>
    <row r="103" spans="5:138" x14ac:dyDescent="0.25">
      <c r="E103" s="95"/>
      <c r="F103" s="26">
        <v>3.3333333333333335E-3</v>
      </c>
      <c r="G103" s="13">
        <f t="shared" si="139"/>
        <v>300</v>
      </c>
      <c r="H103" s="13">
        <f t="shared" si="235"/>
        <v>296.18674818094667</v>
      </c>
      <c r="I103" s="13">
        <f t="shared" si="236"/>
        <v>292.04674158286775</v>
      </c>
      <c r="J103" s="13">
        <f t="shared" si="237"/>
        <v>287.34570978895283</v>
      </c>
      <c r="K103" s="13">
        <f t="shared" si="238"/>
        <v>281.92952784750889</v>
      </c>
      <c r="L103" s="13">
        <f t="shared" si="239"/>
        <v>275.72604359966135</v>
      </c>
      <c r="M103" s="13">
        <f t="shared" si="240"/>
        <v>268.73458796900604</v>
      </c>
      <c r="N103" s="13">
        <f t="shared" si="241"/>
        <v>261.01126498478669</v>
      </c>
      <c r="O103" s="13">
        <f t="shared" si="242"/>
        <v>252.65331459920827</v>
      </c>
      <c r="P103" s="13">
        <f t="shared" si="243"/>
        <v>243.78452679692003</v>
      </c>
      <c r="Q103" s="13">
        <f t="shared" si="244"/>
        <v>234.54271428145427</v>
      </c>
      <c r="R103" s="13">
        <f t="shared" si="245"/>
        <v>225.0696003394882</v>
      </c>
      <c r="S103" s="13">
        <f t="shared" si="246"/>
        <v>215.50308343615063</v>
      </c>
      <c r="T103" s="13">
        <f t="shared" si="247"/>
        <v>205.9716293649428</v>
      </c>
      <c r="U103" s="13">
        <f t="shared" si="248"/>
        <v>196.59045339436034</v>
      </c>
      <c r="V103" s="13">
        <f t="shared" si="249"/>
        <v>187.45914113698899</v>
      </c>
      <c r="W103" s="13">
        <f t="shared" si="250"/>
        <v>178.66038408944203</v>
      </c>
      <c r="X103" s="13">
        <f t="shared" si="251"/>
        <v>170.25955174870543</v>
      </c>
      <c r="Y103" s="13">
        <f t="shared" si="252"/>
        <v>162.30487332080054</v>
      </c>
      <c r="Z103" s="13">
        <f t="shared" si="253"/>
        <v>154.82805072426964</v>
      </c>
      <c r="AA103" s="13">
        <f t="shared" si="254"/>
        <v>147.84516720223266</v>
      </c>
      <c r="AB103" s="13">
        <f t="shared" si="255"/>
        <v>141.3577911444379</v>
      </c>
      <c r="AC103" s="13">
        <f t="shared" si="256"/>
        <v>135.35420279376851</v>
      </c>
      <c r="AD103" s="13">
        <f t="shared" si="257"/>
        <v>129.81069315625223</v>
      </c>
      <c r="AE103" s="13">
        <f t="shared" si="258"/>
        <v>124.69290069653178</v>
      </c>
      <c r="AF103" s="13">
        <f t="shared" si="259"/>
        <v>119.95716335173634</v>
      </c>
      <c r="AG103" s="13">
        <f t="shared" si="260"/>
        <v>115.55187200657633</v>
      </c>
      <c r="AH103" s="13">
        <f t="shared" si="261"/>
        <v>111.41881766219694</v>
      </c>
      <c r="AI103" s="13">
        <f t="shared" si="262"/>
        <v>107.49452876162486</v>
      </c>
      <c r="AJ103" s="13">
        <f t="shared" si="263"/>
        <v>103.71159801696874</v>
      </c>
      <c r="AK103" s="13">
        <f t="shared" si="141"/>
        <v>100</v>
      </c>
      <c r="AL103" s="86"/>
      <c r="AM103" s="26">
        <v>3.3333333333333335E-3</v>
      </c>
      <c r="AN103" s="13">
        <f t="shared" si="142"/>
        <v>-1076400000</v>
      </c>
      <c r="AO103" s="13">
        <f t="shared" si="143"/>
        <v>-1061233721.0689198</v>
      </c>
      <c r="AP103" s="13">
        <f t="shared" si="144"/>
        <v>-1045111795.7329313</v>
      </c>
      <c r="AQ103" s="13">
        <f t="shared" si="145"/>
        <v>-1027262491.6682452</v>
      </c>
      <c r="AR103" s="13">
        <f t="shared" si="146"/>
        <v>-1007153764.4167941</v>
      </c>
      <c r="AS103" s="13">
        <f t="shared" si="147"/>
        <v>-984507652.82433832</v>
      </c>
      <c r="AT103" s="13">
        <f t="shared" si="148"/>
        <v>-959280143.12349749</v>
      </c>
      <c r="AU103" s="13">
        <f t="shared" si="149"/>
        <v>-931621718.99405539</v>
      </c>
      <c r="AV103" s="13">
        <f t="shared" si="150"/>
        <v>-901830194.91153395</v>
      </c>
      <c r="AW103" s="13">
        <f t="shared" si="151"/>
        <v>-870303620.12818813</v>
      </c>
      <c r="AX103" s="13">
        <f t="shared" si="152"/>
        <v>-837497826.6847229</v>
      </c>
      <c r="AY103" s="13">
        <f t="shared" si="153"/>
        <v>-803890811.78261316</v>
      </c>
      <c r="AZ103" s="13">
        <f t="shared" si="154"/>
        <v>-769954550.8978039</v>
      </c>
      <c r="BA103" s="13">
        <f t="shared" si="155"/>
        <v>-736133880.40697742</v>
      </c>
      <c r="BB103" s="13">
        <f t="shared" si="156"/>
        <v>-702831592.78004444</v>
      </c>
      <c r="BC103" s="13">
        <f t="shared" si="157"/>
        <v>-670398698.95817518</v>
      </c>
      <c r="BD103" s="13">
        <f t="shared" si="158"/>
        <v>-639128810.88899457</v>
      </c>
      <c r="BE103" s="13">
        <f t="shared" si="159"/>
        <v>-609255696.38487446</v>
      </c>
      <c r="BF103" s="13">
        <f t="shared" si="160"/>
        <v>-580953201.67044652</v>
      </c>
      <c r="BG103" s="13">
        <f t="shared" si="161"/>
        <v>-554336889.43631375</v>
      </c>
      <c r="BH103" s="13">
        <f t="shared" si="162"/>
        <v>-529466882.68169802</v>
      </c>
      <c r="BI103" s="13">
        <f t="shared" si="163"/>
        <v>-506351528.07759511</v>
      </c>
      <c r="BJ103" s="13">
        <f t="shared" si="164"/>
        <v>-484951594.24157327</v>
      </c>
      <c r="BK103" s="13">
        <f t="shared" si="165"/>
        <v>-465184800.93457437</v>
      </c>
      <c r="BL103" s="13">
        <f t="shared" si="166"/>
        <v>-446930537.24770647</v>
      </c>
      <c r="BM103" s="13">
        <f t="shared" si="167"/>
        <v>-430034673.45004398</v>
      </c>
      <c r="BN103" s="13">
        <f t="shared" si="168"/>
        <v>-414314405.42417914</v>
      </c>
      <c r="BO103" s="13">
        <f t="shared" si="169"/>
        <v>-399563095.31268013</v>
      </c>
      <c r="BP103" s="13">
        <f t="shared" si="170"/>
        <v>-385555089.47419977</v>
      </c>
      <c r="BQ103" s="13">
        <f t="shared" si="171"/>
        <v>-372050506.97001243</v>
      </c>
      <c r="BR103" s="13">
        <f t="shared" si="172"/>
        <v>-358800000</v>
      </c>
      <c r="BT103" s="86"/>
      <c r="BU103" s="26">
        <v>3.3333333333333335E-3</v>
      </c>
      <c r="BV103" s="13">
        <f t="shared" si="173"/>
        <v>0.5357142857142857</v>
      </c>
      <c r="BW103" s="13">
        <f t="shared" si="174"/>
        <v>0.5357142857142857</v>
      </c>
      <c r="BX103" s="13">
        <f t="shared" si="175"/>
        <v>0.5357142857142857</v>
      </c>
      <c r="BY103" s="13">
        <f t="shared" si="176"/>
        <v>0.5357142857142857</v>
      </c>
      <c r="BZ103" s="13">
        <f t="shared" si="177"/>
        <v>0.5357142857142857</v>
      </c>
      <c r="CA103" s="13">
        <f t="shared" si="178"/>
        <v>0.5357142857142857</v>
      </c>
      <c r="CB103" s="13">
        <f t="shared" si="179"/>
        <v>0.5357142857142857</v>
      </c>
      <c r="CC103" s="13">
        <f t="shared" si="180"/>
        <v>0.5357142857142857</v>
      </c>
      <c r="CD103" s="13">
        <f t="shared" si="181"/>
        <v>0.5357142857142857</v>
      </c>
      <c r="CE103" s="13">
        <f t="shared" si="182"/>
        <v>0.5357142857142857</v>
      </c>
      <c r="CF103" s="13">
        <f t="shared" si="183"/>
        <v>0.5357142857142857</v>
      </c>
      <c r="CG103" s="13">
        <f t="shared" si="184"/>
        <v>0.5357142857142857</v>
      </c>
      <c r="CH103" s="13">
        <f t="shared" si="185"/>
        <v>0.5357142857142857</v>
      </c>
      <c r="CI103" s="13">
        <f t="shared" si="186"/>
        <v>0.5357142857142857</v>
      </c>
      <c r="CJ103" s="13">
        <f t="shared" si="187"/>
        <v>0.5357142857142857</v>
      </c>
      <c r="CK103" s="13">
        <f t="shared" si="188"/>
        <v>0.5357142857142857</v>
      </c>
      <c r="CL103" s="13">
        <f t="shared" si="189"/>
        <v>0.5357142857142857</v>
      </c>
      <c r="CM103" s="13">
        <f t="shared" si="190"/>
        <v>0.5357142857142857</v>
      </c>
      <c r="CN103" s="13">
        <f t="shared" si="191"/>
        <v>0.5357142857142857</v>
      </c>
      <c r="CO103" s="13">
        <f t="shared" si="192"/>
        <v>0.5357142857142857</v>
      </c>
      <c r="CP103" s="13">
        <f t="shared" si="193"/>
        <v>0.5357142857142857</v>
      </c>
      <c r="CQ103" s="13">
        <f t="shared" si="194"/>
        <v>0.5357142857142857</v>
      </c>
      <c r="CR103" s="13">
        <f t="shared" si="195"/>
        <v>0.5357142857142857</v>
      </c>
      <c r="CS103" s="13">
        <f t="shared" si="196"/>
        <v>0.5357142857142857</v>
      </c>
      <c r="CT103" s="13">
        <f t="shared" si="197"/>
        <v>0.5357142857142857</v>
      </c>
      <c r="CU103" s="13">
        <f t="shared" si="198"/>
        <v>0.5357142857142857</v>
      </c>
      <c r="CV103" s="13">
        <f t="shared" si="199"/>
        <v>0.5357142857142857</v>
      </c>
      <c r="CW103" s="13">
        <f t="shared" si="200"/>
        <v>0.5357142857142857</v>
      </c>
      <c r="CX103" s="13">
        <f t="shared" si="201"/>
        <v>0.5357142857142857</v>
      </c>
      <c r="CY103" s="13">
        <f t="shared" si="202"/>
        <v>0.5357142857142857</v>
      </c>
      <c r="CZ103" s="13">
        <f t="shared" si="203"/>
        <v>0.5357142857142857</v>
      </c>
      <c r="DB103" s="86"/>
      <c r="DC103" s="26">
        <v>3.3333333333333335E-3</v>
      </c>
      <c r="DD103" s="13">
        <f t="shared" si="204"/>
        <v>139.28571428571431</v>
      </c>
      <c r="DE103" s="13">
        <f t="shared" si="205"/>
        <v>137.32320407206521</v>
      </c>
      <c r="DF103" s="13">
        <f t="shared" si="206"/>
        <v>135.23703360933376</v>
      </c>
      <c r="DG103" s="13">
        <f t="shared" si="207"/>
        <v>132.92734105437958</v>
      </c>
      <c r="DH103" s="13">
        <f t="shared" si="208"/>
        <v>130.32528007463694</v>
      </c>
      <c r="DI103" s="13">
        <f t="shared" si="209"/>
        <v>127.39488261184503</v>
      </c>
      <c r="DJ103" s="13">
        <f t="shared" si="210"/>
        <v>124.13045330273002</v>
      </c>
      <c r="DK103" s="13">
        <f t="shared" si="211"/>
        <v>120.55146467314383</v>
      </c>
      <c r="DL103" s="13">
        <f t="shared" si="212"/>
        <v>116.69645379290037</v>
      </c>
      <c r="DM103" s="13">
        <f t="shared" si="213"/>
        <v>112.61692807041773</v>
      </c>
      <c r="DN103" s="13">
        <f t="shared" si="214"/>
        <v>108.37187198301281</v>
      </c>
      <c r="DO103" s="13">
        <f t="shared" si="215"/>
        <v>104.02313817062802</v>
      </c>
      <c r="DP103" s="13">
        <f t="shared" si="216"/>
        <v>99.631800064415629</v>
      </c>
      <c r="DQ103" s="13">
        <f t="shared" si="217"/>
        <v>95.255419307321105</v>
      </c>
      <c r="DR103" s="13">
        <f t="shared" si="218"/>
        <v>90.946117078163113</v>
      </c>
      <c r="DS103" s="13">
        <f t="shared" si="219"/>
        <v>86.749314047382924</v>
      </c>
      <c r="DT103" s="13">
        <f t="shared" si="220"/>
        <v>82.70300347942478</v>
      </c>
      <c r="DU103" s="13">
        <f t="shared" si="221"/>
        <v>78.837434832411304</v>
      </c>
      <c r="DV103" s="13">
        <f t="shared" si="222"/>
        <v>75.175103735823839</v>
      </c>
      <c r="DW103" s="13">
        <f t="shared" si="223"/>
        <v>71.730963953974353</v>
      </c>
      <c r="DX103" s="13">
        <f t="shared" si="224"/>
        <v>68.512795378066528</v>
      </c>
      <c r="DY103" s="13">
        <f t="shared" si="225"/>
        <v>65.521678063871008</v>
      </c>
      <c r="DZ103" s="13">
        <f t="shared" si="226"/>
        <v>62.752535486746034</v>
      </c>
      <c r="EA103" s="13">
        <f t="shared" si="227"/>
        <v>60.194720617827954</v>
      </c>
      <c r="EB103" s="13">
        <f t="shared" si="228"/>
        <v>57.832626455448569</v>
      </c>
      <c r="EC103" s="13">
        <f t="shared" si="229"/>
        <v>55.646308676247934</v>
      </c>
      <c r="ED103" s="13">
        <f t="shared" si="230"/>
        <v>53.612112503128778</v>
      </c>
      <c r="EE103" s="13">
        <f t="shared" si="231"/>
        <v>51.703299082903747</v>
      </c>
      <c r="EF103" s="13">
        <f t="shared" si="232"/>
        <v>49.89066892782089</v>
      </c>
      <c r="EG103" s="13">
        <f t="shared" si="233"/>
        <v>48.14318154373867</v>
      </c>
      <c r="EH103" s="13">
        <f t="shared" si="234"/>
        <v>46.428571428571438</v>
      </c>
    </row>
    <row r="104" spans="5:138" x14ac:dyDescent="0.25">
      <c r="E104" s="95"/>
      <c r="F104" s="26">
        <v>0</v>
      </c>
      <c r="G104" s="13">
        <f t="shared" si="139"/>
        <v>300</v>
      </c>
      <c r="H104" s="13">
        <f t="shared" si="235"/>
        <v>296.18674818094667</v>
      </c>
      <c r="I104" s="13">
        <f t="shared" si="236"/>
        <v>292.04674158286775</v>
      </c>
      <c r="J104" s="13">
        <f t="shared" si="237"/>
        <v>287.34570978895283</v>
      </c>
      <c r="K104" s="13">
        <f t="shared" si="238"/>
        <v>281.92952784750889</v>
      </c>
      <c r="L104" s="13">
        <f t="shared" si="239"/>
        <v>275.72604359966135</v>
      </c>
      <c r="M104" s="13">
        <f t="shared" si="240"/>
        <v>268.73458796900604</v>
      </c>
      <c r="N104" s="13">
        <f t="shared" si="241"/>
        <v>261.01126498478669</v>
      </c>
      <c r="O104" s="13">
        <f t="shared" si="242"/>
        <v>252.65331459920827</v>
      </c>
      <c r="P104" s="13">
        <f t="shared" si="243"/>
        <v>243.78452679692003</v>
      </c>
      <c r="Q104" s="13">
        <f t="shared" si="244"/>
        <v>234.54271428145427</v>
      </c>
      <c r="R104" s="13">
        <f t="shared" si="245"/>
        <v>225.0696003394882</v>
      </c>
      <c r="S104" s="13">
        <f t="shared" si="246"/>
        <v>215.50308343615063</v>
      </c>
      <c r="T104" s="13">
        <f t="shared" si="247"/>
        <v>205.9716293649428</v>
      </c>
      <c r="U104" s="13">
        <f t="shared" si="248"/>
        <v>196.59045339436034</v>
      </c>
      <c r="V104" s="13">
        <f t="shared" si="249"/>
        <v>187.45914113698899</v>
      </c>
      <c r="W104" s="13">
        <f t="shared" si="250"/>
        <v>178.66038408944203</v>
      </c>
      <c r="X104" s="13">
        <f t="shared" si="251"/>
        <v>170.25955174870543</v>
      </c>
      <c r="Y104" s="13">
        <f t="shared" si="252"/>
        <v>162.30487332080054</v>
      </c>
      <c r="Z104" s="13">
        <f t="shared" si="253"/>
        <v>154.82805072426964</v>
      </c>
      <c r="AA104" s="13">
        <f t="shared" si="254"/>
        <v>147.84516720223266</v>
      </c>
      <c r="AB104" s="13">
        <f t="shared" si="255"/>
        <v>141.3577911444379</v>
      </c>
      <c r="AC104" s="13">
        <f t="shared" si="256"/>
        <v>135.35420279376851</v>
      </c>
      <c r="AD104" s="13">
        <f t="shared" si="257"/>
        <v>129.81069315625223</v>
      </c>
      <c r="AE104" s="13">
        <f t="shared" si="258"/>
        <v>124.69290069653178</v>
      </c>
      <c r="AF104" s="13">
        <f t="shared" si="259"/>
        <v>119.95716335173634</v>
      </c>
      <c r="AG104" s="13">
        <f t="shared" si="260"/>
        <v>115.55187200657633</v>
      </c>
      <c r="AH104" s="13">
        <f t="shared" si="261"/>
        <v>111.41881766219694</v>
      </c>
      <c r="AI104" s="13">
        <f t="shared" si="262"/>
        <v>107.49452876162486</v>
      </c>
      <c r="AJ104" s="13">
        <f t="shared" si="263"/>
        <v>103.71159801696874</v>
      </c>
      <c r="AK104" s="13">
        <f t="shared" si="141"/>
        <v>100</v>
      </c>
      <c r="AL104" s="86"/>
      <c r="AM104" s="26">
        <v>0</v>
      </c>
      <c r="AN104" s="13">
        <f t="shared" si="142"/>
        <v>-1076400000</v>
      </c>
      <c r="AO104" s="13">
        <f t="shared" si="143"/>
        <v>-1061233721.0689198</v>
      </c>
      <c r="AP104" s="13">
        <f t="shared" si="144"/>
        <v>-1045111795.7329313</v>
      </c>
      <c r="AQ104" s="13">
        <f t="shared" si="145"/>
        <v>-1027262491.6682452</v>
      </c>
      <c r="AR104" s="13">
        <f t="shared" si="146"/>
        <v>-1007153764.4167941</v>
      </c>
      <c r="AS104" s="13">
        <f t="shared" si="147"/>
        <v>-984507652.82433832</v>
      </c>
      <c r="AT104" s="13">
        <f t="shared" si="148"/>
        <v>-959280143.12349749</v>
      </c>
      <c r="AU104" s="13">
        <f t="shared" si="149"/>
        <v>-931621718.99405539</v>
      </c>
      <c r="AV104" s="13">
        <f t="shared" si="150"/>
        <v>-901830194.91153395</v>
      </c>
      <c r="AW104" s="13">
        <f t="shared" si="151"/>
        <v>-870303620.12818813</v>
      </c>
      <c r="AX104" s="13">
        <f t="shared" si="152"/>
        <v>-837497826.6847229</v>
      </c>
      <c r="AY104" s="13">
        <f t="shared" si="153"/>
        <v>-803890811.78261316</v>
      </c>
      <c r="AZ104" s="13">
        <f t="shared" si="154"/>
        <v>-769954550.8978039</v>
      </c>
      <c r="BA104" s="13">
        <f t="shared" si="155"/>
        <v>-736133880.40697742</v>
      </c>
      <c r="BB104" s="13">
        <f t="shared" si="156"/>
        <v>-702831592.78004444</v>
      </c>
      <c r="BC104" s="13">
        <f t="shared" si="157"/>
        <v>-670398698.95817518</v>
      </c>
      <c r="BD104" s="13">
        <f t="shared" si="158"/>
        <v>-639128810.88899457</v>
      </c>
      <c r="BE104" s="13">
        <f t="shared" si="159"/>
        <v>-609255696.38487446</v>
      </c>
      <c r="BF104" s="13">
        <f t="shared" si="160"/>
        <v>-580953201.67044652</v>
      </c>
      <c r="BG104" s="13">
        <f t="shared" si="161"/>
        <v>-554336889.43631375</v>
      </c>
      <c r="BH104" s="13">
        <f t="shared" si="162"/>
        <v>-529466882.68169802</v>
      </c>
      <c r="BI104" s="13">
        <f t="shared" si="163"/>
        <v>-506351528.07759511</v>
      </c>
      <c r="BJ104" s="13">
        <f t="shared" si="164"/>
        <v>-484951594.24157327</v>
      </c>
      <c r="BK104" s="13">
        <f t="shared" si="165"/>
        <v>-465184800.93457437</v>
      </c>
      <c r="BL104" s="13">
        <f t="shared" si="166"/>
        <v>-446930537.24770647</v>
      </c>
      <c r="BM104" s="13">
        <f t="shared" si="167"/>
        <v>-430034673.45004398</v>
      </c>
      <c r="BN104" s="13">
        <f t="shared" si="168"/>
        <v>-414314405.42417914</v>
      </c>
      <c r="BO104" s="13">
        <f t="shared" si="169"/>
        <v>-399563095.31268013</v>
      </c>
      <c r="BP104" s="13">
        <f t="shared" si="170"/>
        <v>-385555089.47419977</v>
      </c>
      <c r="BQ104" s="13">
        <f t="shared" si="171"/>
        <v>-372050506.97001243</v>
      </c>
      <c r="BR104" s="13">
        <f t="shared" si="172"/>
        <v>-358800000</v>
      </c>
      <c r="BT104" s="86"/>
      <c r="BU104" s="26">
        <v>0</v>
      </c>
      <c r="BV104" s="13">
        <v>1</v>
      </c>
      <c r="BW104" s="13">
        <v>1</v>
      </c>
      <c r="BX104" s="13">
        <v>1</v>
      </c>
      <c r="BY104" s="13">
        <v>1</v>
      </c>
      <c r="BZ104" s="13">
        <v>1</v>
      </c>
      <c r="CA104" s="13">
        <v>1</v>
      </c>
      <c r="CB104" s="13">
        <v>1</v>
      </c>
      <c r="CC104" s="13">
        <v>1</v>
      </c>
      <c r="CD104" s="13">
        <v>1</v>
      </c>
      <c r="CE104" s="13">
        <v>1</v>
      </c>
      <c r="CF104" s="13">
        <v>1</v>
      </c>
      <c r="CG104" s="13">
        <v>1</v>
      </c>
      <c r="CH104" s="13">
        <v>1</v>
      </c>
      <c r="CI104" s="13">
        <v>1</v>
      </c>
      <c r="CJ104" s="13">
        <v>1</v>
      </c>
      <c r="CK104" s="13">
        <v>1</v>
      </c>
      <c r="CL104" s="13">
        <v>1</v>
      </c>
      <c r="CM104" s="13">
        <v>1</v>
      </c>
      <c r="CN104" s="13">
        <v>1</v>
      </c>
      <c r="CO104" s="13">
        <v>1</v>
      </c>
      <c r="CP104" s="13">
        <v>1</v>
      </c>
      <c r="CQ104" s="13">
        <v>1</v>
      </c>
      <c r="CR104" s="13">
        <v>1</v>
      </c>
      <c r="CS104" s="13">
        <v>1</v>
      </c>
      <c r="CT104" s="13">
        <v>1</v>
      </c>
      <c r="CU104" s="13">
        <v>1</v>
      </c>
      <c r="CV104" s="13">
        <v>1</v>
      </c>
      <c r="CW104" s="13">
        <v>1</v>
      </c>
      <c r="CX104" s="13">
        <v>1</v>
      </c>
      <c r="CY104" s="13">
        <v>1</v>
      </c>
      <c r="CZ104" s="13">
        <v>1</v>
      </c>
      <c r="DB104" s="86"/>
      <c r="DC104" s="26">
        <v>0</v>
      </c>
      <c r="DD104" s="13">
        <v>0</v>
      </c>
      <c r="DE104" s="13">
        <v>0</v>
      </c>
      <c r="DF104" s="13">
        <v>0</v>
      </c>
      <c r="DG104" s="13">
        <v>0</v>
      </c>
      <c r="DH104" s="13">
        <v>0</v>
      </c>
      <c r="DI104" s="13">
        <v>0</v>
      </c>
      <c r="DJ104" s="13">
        <v>0</v>
      </c>
      <c r="DK104" s="13">
        <v>0</v>
      </c>
      <c r="DL104" s="13">
        <v>0</v>
      </c>
      <c r="DM104" s="13">
        <v>0</v>
      </c>
      <c r="DN104" s="13">
        <v>0</v>
      </c>
      <c r="DO104" s="13">
        <v>0</v>
      </c>
      <c r="DP104" s="13">
        <v>0</v>
      </c>
      <c r="DQ104" s="13">
        <v>0</v>
      </c>
      <c r="DR104" s="13">
        <v>0</v>
      </c>
      <c r="DS104" s="13">
        <v>0</v>
      </c>
      <c r="DT104" s="13">
        <v>0</v>
      </c>
      <c r="DU104" s="13">
        <v>0</v>
      </c>
      <c r="DV104" s="13">
        <v>0</v>
      </c>
      <c r="DW104" s="13">
        <v>0</v>
      </c>
      <c r="DX104" s="13">
        <v>0</v>
      </c>
      <c r="DY104" s="13">
        <v>0</v>
      </c>
      <c r="DZ104" s="13">
        <v>0</v>
      </c>
      <c r="EA104" s="13">
        <v>0</v>
      </c>
      <c r="EB104" s="13">
        <v>0</v>
      </c>
      <c r="EC104" s="13">
        <v>0</v>
      </c>
      <c r="ED104" s="13">
        <v>0</v>
      </c>
      <c r="EE104" s="13">
        <v>0</v>
      </c>
      <c r="EF104" s="13">
        <v>0</v>
      </c>
      <c r="EG104" s="13">
        <v>0</v>
      </c>
      <c r="EH104" s="13">
        <v>0</v>
      </c>
    </row>
    <row r="105" spans="5:138" x14ac:dyDescent="0.25">
      <c r="AM105" s="28"/>
    </row>
    <row r="106" spans="5:138" x14ac:dyDescent="0.25">
      <c r="AM106" s="28"/>
    </row>
    <row r="107" spans="5:138" x14ac:dyDescent="0.25">
      <c r="AM107" s="28"/>
    </row>
    <row r="108" spans="5:138" x14ac:dyDescent="0.25">
      <c r="AM108" s="28"/>
    </row>
    <row r="109" spans="5:138" x14ac:dyDescent="0.25">
      <c r="AM109" s="28"/>
    </row>
    <row r="110" spans="5:138" x14ac:dyDescent="0.25">
      <c r="AM110" s="28"/>
    </row>
    <row r="111" spans="5:138" x14ac:dyDescent="0.25">
      <c r="AM111" s="28"/>
    </row>
    <row r="112" spans="5:138" x14ac:dyDescent="0.25">
      <c r="AM112" s="28"/>
    </row>
    <row r="113" spans="39:39" x14ac:dyDescent="0.25">
      <c r="AM113" s="28"/>
    </row>
    <row r="114" spans="39:39" x14ac:dyDescent="0.25">
      <c r="AM114" s="28"/>
    </row>
    <row r="115" spans="39:39" x14ac:dyDescent="0.25">
      <c r="AM115" s="28"/>
    </row>
    <row r="116" spans="39:39" x14ac:dyDescent="0.25">
      <c r="AM116" s="28"/>
    </row>
    <row r="117" spans="39:39" x14ac:dyDescent="0.25">
      <c r="AM117" s="28"/>
    </row>
    <row r="118" spans="39:39" x14ac:dyDescent="0.25">
      <c r="AM118" s="28"/>
    </row>
    <row r="119" spans="39:39" x14ac:dyDescent="0.25">
      <c r="AM119" s="28"/>
    </row>
    <row r="120" spans="39:39" x14ac:dyDescent="0.25">
      <c r="AM120" s="28"/>
    </row>
    <row r="121" spans="39:39" x14ac:dyDescent="0.25">
      <c r="AM121" s="28"/>
    </row>
    <row r="122" spans="39:39" x14ac:dyDescent="0.25">
      <c r="AM122" s="28"/>
    </row>
    <row r="123" spans="39:39" x14ac:dyDescent="0.25">
      <c r="AM123" s="28"/>
    </row>
    <row r="124" spans="39:39" x14ac:dyDescent="0.25">
      <c r="AM124" s="28"/>
    </row>
    <row r="125" spans="39:39" x14ac:dyDescent="0.25">
      <c r="AM125" s="28"/>
    </row>
    <row r="126" spans="39:39" x14ac:dyDescent="0.25">
      <c r="AM126" s="28"/>
    </row>
    <row r="127" spans="39:39" x14ac:dyDescent="0.25">
      <c r="AM127" s="28"/>
    </row>
    <row r="128" spans="39:39" x14ac:dyDescent="0.25">
      <c r="AM128" s="28"/>
    </row>
    <row r="129" spans="39:39" x14ac:dyDescent="0.25">
      <c r="AM129" s="28"/>
    </row>
    <row r="130" spans="39:39" x14ac:dyDescent="0.25">
      <c r="AM130" s="28"/>
    </row>
    <row r="131" spans="39:39" x14ac:dyDescent="0.25">
      <c r="AM131" s="28"/>
    </row>
    <row r="132" spans="39:39" x14ac:dyDescent="0.25">
      <c r="AM132" s="28"/>
    </row>
    <row r="133" spans="39:39" x14ac:dyDescent="0.25">
      <c r="AM133" s="28"/>
    </row>
    <row r="134" spans="39:39" x14ac:dyDescent="0.25">
      <c r="AM134" s="28"/>
    </row>
    <row r="135" spans="39:39" x14ac:dyDescent="0.25">
      <c r="AM135" s="28"/>
    </row>
    <row r="136" spans="39:39" x14ac:dyDescent="0.25">
      <c r="AM136" s="28"/>
    </row>
    <row r="137" spans="39:39" x14ac:dyDescent="0.25">
      <c r="AM137" s="28"/>
    </row>
    <row r="138" spans="39:39" x14ac:dyDescent="0.25">
      <c r="AM138" s="28"/>
    </row>
    <row r="139" spans="39:39" x14ac:dyDescent="0.25">
      <c r="AM139" s="28"/>
    </row>
    <row r="140" spans="39:39" x14ac:dyDescent="0.25">
      <c r="AM140" s="28"/>
    </row>
    <row r="141" spans="39:39" x14ac:dyDescent="0.25">
      <c r="AM141" s="28"/>
    </row>
    <row r="142" spans="39:39" x14ac:dyDescent="0.25">
      <c r="AM142" s="28"/>
    </row>
    <row r="143" spans="39:39" x14ac:dyDescent="0.25">
      <c r="AM143" s="28"/>
    </row>
    <row r="144" spans="39:39" x14ac:dyDescent="0.25">
      <c r="AM144" s="28"/>
    </row>
    <row r="145" spans="39:39" x14ac:dyDescent="0.25">
      <c r="AM145" s="28"/>
    </row>
    <row r="146" spans="39:39" x14ac:dyDescent="0.25">
      <c r="AM146" s="28"/>
    </row>
    <row r="147" spans="39:39" x14ac:dyDescent="0.25">
      <c r="AM147" s="28"/>
    </row>
    <row r="148" spans="39:39" x14ac:dyDescent="0.25">
      <c r="AM148" s="28"/>
    </row>
    <row r="149" spans="39:39" x14ac:dyDescent="0.25">
      <c r="AM149" s="28"/>
    </row>
    <row r="150" spans="39:39" x14ac:dyDescent="0.25">
      <c r="AM150" s="28"/>
    </row>
    <row r="151" spans="39:39" x14ac:dyDescent="0.25">
      <c r="AM151" s="28"/>
    </row>
    <row r="152" spans="39:39" x14ac:dyDescent="0.25">
      <c r="AM152" s="28"/>
    </row>
    <row r="153" spans="39:39" x14ac:dyDescent="0.25">
      <c r="AM153" s="28"/>
    </row>
    <row r="154" spans="39:39" x14ac:dyDescent="0.25">
      <c r="AM154" s="28"/>
    </row>
    <row r="155" spans="39:39" x14ac:dyDescent="0.25">
      <c r="AM155" s="28"/>
    </row>
    <row r="156" spans="39:39" x14ac:dyDescent="0.25">
      <c r="AM156" s="28"/>
    </row>
    <row r="157" spans="39:39" x14ac:dyDescent="0.25">
      <c r="AM157" s="28"/>
    </row>
    <row r="158" spans="39:39" x14ac:dyDescent="0.25">
      <c r="AM158" s="28"/>
    </row>
    <row r="159" spans="39:39" x14ac:dyDescent="0.25">
      <c r="AM159" s="28"/>
    </row>
    <row r="160" spans="39:39" x14ac:dyDescent="0.25">
      <c r="AM160" s="28"/>
    </row>
    <row r="161" spans="39:39" x14ac:dyDescent="0.25">
      <c r="AM161" s="28"/>
    </row>
    <row r="162" spans="39:39" x14ac:dyDescent="0.25">
      <c r="AM162" s="28"/>
    </row>
  </sheetData>
  <mergeCells count="13">
    <mergeCell ref="AL38:AL69"/>
    <mergeCell ref="BT38:BT69"/>
    <mergeCell ref="DB38:DB69"/>
    <mergeCell ref="E73:E104"/>
    <mergeCell ref="AL73:AL104"/>
    <mergeCell ref="BT73:BT104"/>
    <mergeCell ref="DB73:DB104"/>
    <mergeCell ref="E38:E69"/>
    <mergeCell ref="A1:B2"/>
    <mergeCell ref="A24:B24"/>
    <mergeCell ref="A19:B19"/>
    <mergeCell ref="A15:B15"/>
    <mergeCell ref="A10:B10"/>
  </mergeCells>
  <conditionalFormatting sqref="G3:AK3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eyacny_2D_0000000">
                <anchor moveWithCells="1">
                  <from>
                    <xdr:col>0</xdr:col>
                    <xdr:colOff>76200</xdr:colOff>
                    <xdr:row>31</xdr:row>
                    <xdr:rowOff>95250</xdr:rowOff>
                  </from>
                  <to>
                    <xdr:col>2</xdr:col>
                    <xdr:colOff>95250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Neyawny_2D">
                <anchor moveWithCells="1">
                  <from>
                    <xdr:col>0</xdr:col>
                    <xdr:colOff>57150</xdr:colOff>
                    <xdr:row>29</xdr:row>
                    <xdr:rowOff>123825</xdr:rowOff>
                  </from>
                  <to>
                    <xdr:col>2</xdr:col>
                    <xdr:colOff>76200</xdr:colOff>
                    <xdr:row>30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44"/>
  <sheetViews>
    <sheetView zoomScale="80" zoomScaleNormal="80" workbookViewId="0">
      <selection activeCell="F18" sqref="F18"/>
    </sheetView>
  </sheetViews>
  <sheetFormatPr defaultRowHeight="15" x14ac:dyDescent="0.25"/>
  <cols>
    <col min="3" max="3" width="14.28515625" customWidth="1"/>
    <col min="6" max="12" width="14.28515625" bestFit="1" customWidth="1"/>
    <col min="13" max="13" width="9.7109375" customWidth="1"/>
    <col min="14" max="35" width="14.28515625" bestFit="1" customWidth="1"/>
    <col min="36" max="36" width="11.7109375" customWidth="1"/>
  </cols>
  <sheetData>
    <row r="3" spans="2:36" x14ac:dyDescent="0.25">
      <c r="B3" s="2" t="s">
        <v>0</v>
      </c>
      <c r="C3" s="3">
        <v>0.1</v>
      </c>
    </row>
    <row r="4" spans="2:36" x14ac:dyDescent="0.25">
      <c r="B4" s="2" t="s">
        <v>1</v>
      </c>
      <c r="C4" s="3">
        <f>C3/30</f>
        <v>3.3333333333333335E-3</v>
      </c>
      <c r="I4" t="s">
        <v>17</v>
      </c>
      <c r="J4">
        <f>(C9*C8*(C4^2))/(2*C10)</f>
        <v>0.4333333333333334</v>
      </c>
      <c r="M4" t="s">
        <v>18</v>
      </c>
    </row>
    <row r="5" spans="2:36" x14ac:dyDescent="0.25">
      <c r="B5" s="2" t="s">
        <v>2</v>
      </c>
      <c r="C5" s="3">
        <v>10</v>
      </c>
    </row>
    <row r="6" spans="2:36" x14ac:dyDescent="0.25">
      <c r="B6" s="2" t="s">
        <v>3</v>
      </c>
      <c r="C6" s="3">
        <v>1000</v>
      </c>
      <c r="D6">
        <v>1010</v>
      </c>
    </row>
    <row r="7" spans="2:36" x14ac:dyDescent="0.25">
      <c r="C7" s="1"/>
      <c r="M7" t="s">
        <v>16</v>
      </c>
    </row>
    <row r="8" spans="2:36" x14ac:dyDescent="0.25">
      <c r="B8" s="2" t="s">
        <v>4</v>
      </c>
      <c r="C8" s="4">
        <v>460</v>
      </c>
    </row>
    <row r="9" spans="2:36" x14ac:dyDescent="0.25">
      <c r="B9" s="2" t="s">
        <v>5</v>
      </c>
      <c r="C9" s="4">
        <v>7800</v>
      </c>
    </row>
    <row r="10" spans="2:36" x14ac:dyDescent="0.25">
      <c r="B10" s="2" t="s">
        <v>6</v>
      </c>
      <c r="C10" s="4">
        <v>46</v>
      </c>
    </row>
    <row r="11" spans="2:36" x14ac:dyDescent="0.25">
      <c r="C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8</v>
      </c>
      <c r="C12" s="3">
        <v>300</v>
      </c>
      <c r="E12" t="s">
        <v>0</v>
      </c>
      <c r="F12" s="5">
        <v>0</v>
      </c>
      <c r="G12" s="5">
        <f>F12+$C$4</f>
        <v>3.3333333333333335E-3</v>
      </c>
      <c r="H12" s="5">
        <f t="shared" ref="H12:AJ12" si="0">G12+$C$4</f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 x14ac:dyDescent="0.25">
      <c r="B13" s="2" t="s">
        <v>9</v>
      </c>
      <c r="C13" s="3">
        <v>100</v>
      </c>
      <c r="E13" t="s">
        <v>7</v>
      </c>
      <c r="F13">
        <v>300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100</v>
      </c>
    </row>
    <row r="14" spans="2:36" x14ac:dyDescent="0.25">
      <c r="B14" s="8" t="s">
        <v>19</v>
      </c>
      <c r="C14" s="2">
        <f>$C$10/($C$4^2)</f>
        <v>4139999.9999999991</v>
      </c>
    </row>
    <row r="15" spans="2:36" x14ac:dyDescent="0.25">
      <c r="B15" s="8" t="s">
        <v>20</v>
      </c>
      <c r="C15" s="2">
        <f>(2*$C$10)/($C$4^2)+($C$9*$C$8)/$C$5</f>
        <v>8638799.9999999981</v>
      </c>
      <c r="E15" t="s">
        <v>10</v>
      </c>
      <c r="G15">
        <f>G17*H15+G18</f>
        <v>223.73970929894193</v>
      </c>
      <c r="H15">
        <f t="shared" ref="H15:AH15" si="1">H17*I15+H18</f>
        <v>166.87019340379214</v>
      </c>
      <c r="I15">
        <f t="shared" si="1"/>
        <v>124.46276093697104</v>
      </c>
      <c r="J15">
        <f t="shared" si="1"/>
        <v>92.842101084687428</v>
      </c>
      <c r="K15">
        <f t="shared" si="1"/>
        <v>69.267756659743384</v>
      </c>
      <c r="L15">
        <f t="shared" si="1"/>
        <v>51.696617811977106</v>
      </c>
      <c r="M15">
        <f t="shared" si="1"/>
        <v>38.605852507915522</v>
      </c>
      <c r="N15">
        <f t="shared" si="1"/>
        <v>28.860927754539947</v>
      </c>
      <c r="O15">
        <f t="shared" si="1"/>
        <v>21.617283406557839</v>
      </c>
      <c r="P15">
        <f t="shared" si="1"/>
        <v>16.247136953810745</v>
      </c>
      <c r="Q15">
        <f t="shared" si="1"/>
        <v>12.285075703727244</v>
      </c>
      <c r="R15">
        <f t="shared" si="1"/>
        <v>9.3877210146334402</v>
      </c>
      <c r="S15">
        <f t="shared" si="1"/>
        <v>7.3039688134745333</v>
      </c>
      <c r="T15">
        <f t="shared" si="1"/>
        <v>5.8532272428167511</v>
      </c>
      <c r="U15">
        <f t="shared" si="1"/>
        <v>4.9097653665364209</v>
      </c>
      <c r="V15">
        <f t="shared" si="1"/>
        <v>4.3918164886892477</v>
      </c>
      <c r="W15">
        <f t="shared" si="1"/>
        <v>4.2544917065284755</v>
      </c>
      <c r="X15">
        <f t="shared" si="1"/>
        <v>4.4858895389335052</v>
      </c>
      <c r="Y15">
        <f t="shared" si="1"/>
        <v>5.1060644647127722</v>
      </c>
      <c r="Z15">
        <f t="shared" si="1"/>
        <v>6.1687649774338125</v>
      </c>
      <c r="AA15">
        <f t="shared" si="1"/>
        <v>7.7660917881991161</v>
      </c>
      <c r="AB15">
        <f t="shared" si="1"/>
        <v>10.036479887275011</v>
      </c>
      <c r="AC15">
        <f t="shared" si="1"/>
        <v>13.176696243248072</v>
      </c>
      <c r="AD15">
        <f t="shared" si="1"/>
        <v>17.458892940302633</v>
      </c>
      <c r="AE15">
        <f t="shared" si="1"/>
        <v>23.254193692183424</v>
      </c>
      <c r="AF15">
        <f t="shared" si="1"/>
        <v>31.064857897386773</v>
      </c>
      <c r="AG15">
        <f t="shared" si="1"/>
        <v>41.567809787030313</v>
      </c>
      <c r="AH15">
        <f t="shared" si="1"/>
        <v>55.673305191549815</v>
      </c>
      <c r="AI15">
        <f>AI17*AJ15+AI18</f>
        <v>74.603820379336966</v>
      </c>
      <c r="AJ15">
        <v>100</v>
      </c>
    </row>
    <row r="16" spans="2:36" x14ac:dyDescent="0.25">
      <c r="B16" s="8" t="s">
        <v>21</v>
      </c>
      <c r="C16" s="2">
        <f>$C$10/($C$4^2)</f>
        <v>4139999.9999999991</v>
      </c>
      <c r="E16" t="s">
        <v>22</v>
      </c>
      <c r="F16">
        <f>-($C$9*$C$8)/$C$5*F13</f>
        <v>-107640000</v>
      </c>
      <c r="G16">
        <f>-($C$9*$C$8)/$C$5*G13</f>
        <v>0</v>
      </c>
      <c r="H16">
        <f t="shared" ref="H16:AH16" si="2">-($C$9*$C$8)/$C$5*H13</f>
        <v>0</v>
      </c>
      <c r="I16">
        <f t="shared" si="2"/>
        <v>0</v>
      </c>
      <c r="J16">
        <f t="shared" si="2"/>
        <v>0</v>
      </c>
      <c r="K16">
        <f t="shared" si="2"/>
        <v>0</v>
      </c>
      <c r="L16">
        <f t="shared" si="2"/>
        <v>0</v>
      </c>
      <c r="M16">
        <f t="shared" si="2"/>
        <v>0</v>
      </c>
      <c r="N16">
        <f t="shared" si="2"/>
        <v>0</v>
      </c>
      <c r="O16">
        <f t="shared" si="2"/>
        <v>0</v>
      </c>
      <c r="P16">
        <f t="shared" si="2"/>
        <v>0</v>
      </c>
      <c r="Q16">
        <f t="shared" si="2"/>
        <v>0</v>
      </c>
      <c r="R16">
        <f t="shared" si="2"/>
        <v>0</v>
      </c>
      <c r="S16">
        <f t="shared" si="2"/>
        <v>0</v>
      </c>
      <c r="T16">
        <f t="shared" si="2"/>
        <v>0</v>
      </c>
      <c r="U16">
        <f t="shared" si="2"/>
        <v>0</v>
      </c>
      <c r="V16">
        <f t="shared" si="2"/>
        <v>0</v>
      </c>
      <c r="W16">
        <f t="shared" si="2"/>
        <v>0</v>
      </c>
      <c r="X16">
        <f t="shared" si="2"/>
        <v>0</v>
      </c>
      <c r="Y16">
        <f t="shared" si="2"/>
        <v>0</v>
      </c>
      <c r="Z16">
        <f t="shared" si="2"/>
        <v>0</v>
      </c>
      <c r="AA16">
        <f t="shared" si="2"/>
        <v>0</v>
      </c>
      <c r="AB16">
        <f t="shared" si="2"/>
        <v>0</v>
      </c>
      <c r="AC16">
        <f t="shared" si="2"/>
        <v>0</v>
      </c>
      <c r="AD16">
        <f t="shared" si="2"/>
        <v>0</v>
      </c>
      <c r="AE16">
        <f t="shared" si="2"/>
        <v>0</v>
      </c>
      <c r="AF16">
        <f t="shared" si="2"/>
        <v>0</v>
      </c>
      <c r="AG16">
        <f t="shared" si="2"/>
        <v>0</v>
      </c>
      <c r="AH16">
        <f t="shared" si="2"/>
        <v>0</v>
      </c>
      <c r="AI16">
        <f>-($C$9*$C$8)/$C$5*AI13</f>
        <v>0</v>
      </c>
      <c r="AJ16">
        <f t="shared" ref="AJ16" si="3">-($C$9*$C$8)/$C$5*AJ13</f>
        <v>-35880000</v>
      </c>
    </row>
    <row r="17" spans="2:36" x14ac:dyDescent="0.25">
      <c r="B17" s="9"/>
      <c r="E17" t="s">
        <v>23</v>
      </c>
      <c r="F17">
        <v>0</v>
      </c>
      <c r="G17">
        <f>$C$14/($C$15-$C$16*F17)</f>
        <v>0.47923322683706071</v>
      </c>
      <c r="H17">
        <f t="shared" ref="H17:AJ17" si="4">$C$14/($C$15-$C$16*G17)</f>
        <v>0.62210974042322009</v>
      </c>
      <c r="I17">
        <f t="shared" si="4"/>
        <v>0.68280036240378583</v>
      </c>
      <c r="J17">
        <f t="shared" si="4"/>
        <v>0.71231854270130357</v>
      </c>
      <c r="K17">
        <f t="shared" si="4"/>
        <v>0.72761768474986643</v>
      </c>
      <c r="L17">
        <f t="shared" si="4"/>
        <v>0.73580865245165905</v>
      </c>
      <c r="M17">
        <f t="shared" si="4"/>
        <v>0.74027025007591674</v>
      </c>
      <c r="N17">
        <f t="shared" si="4"/>
        <v>0.74272330769575978</v>
      </c>
      <c r="O17">
        <f t="shared" si="4"/>
        <v>0.7440789772313966</v>
      </c>
      <c r="P17">
        <f t="shared" si="4"/>
        <v>0.74483030633226499</v>
      </c>
      <c r="Q17">
        <f t="shared" si="4"/>
        <v>0.74524735620578053</v>
      </c>
      <c r="R17">
        <f t="shared" si="4"/>
        <v>0.74547905505879375</v>
      </c>
      <c r="S17">
        <f t="shared" si="4"/>
        <v>0.74560784139748904</v>
      </c>
      <c r="T17">
        <f t="shared" si="4"/>
        <v>0.74567944459802482</v>
      </c>
      <c r="U17">
        <f t="shared" si="4"/>
        <v>0.74571926081247353</v>
      </c>
      <c r="V17">
        <f t="shared" si="4"/>
        <v>0.7457414031559223</v>
      </c>
      <c r="W17">
        <f t="shared" si="4"/>
        <v>0.74575371738604534</v>
      </c>
      <c r="X17">
        <f t="shared" si="4"/>
        <v>0.74576056599086782</v>
      </c>
      <c r="Y17">
        <f t="shared" si="4"/>
        <v>0.74576437492231062</v>
      </c>
      <c r="Z17">
        <f t="shared" si="4"/>
        <v>0.74576649332079048</v>
      </c>
      <c r="AA17">
        <f t="shared" si="4"/>
        <v>0.74576767150738277</v>
      </c>
      <c r="AB17">
        <f t="shared" si="4"/>
        <v>0.74576832677931204</v>
      </c>
      <c r="AC17">
        <f t="shared" si="4"/>
        <v>0.74576869122233935</v>
      </c>
      <c r="AD17">
        <f t="shared" si="4"/>
        <v>0.74576889391501577</v>
      </c>
      <c r="AE17">
        <f t="shared" si="4"/>
        <v>0.74576900664687074</v>
      </c>
      <c r="AF17">
        <f t="shared" si="4"/>
        <v>0.74576906934511078</v>
      </c>
      <c r="AG17">
        <f t="shared" si="4"/>
        <v>0.74576910421608689</v>
      </c>
      <c r="AH17">
        <f t="shared" si="4"/>
        <v>0.74576912361033254</v>
      </c>
      <c r="AI17">
        <f t="shared" si="4"/>
        <v>0.74576913439686099</v>
      </c>
      <c r="AJ17">
        <f t="shared" si="4"/>
        <v>0.74576914039602182</v>
      </c>
    </row>
    <row r="18" spans="2:36" x14ac:dyDescent="0.25">
      <c r="E18" t="s">
        <v>24</v>
      </c>
      <c r="F18">
        <f>F13</f>
        <v>300</v>
      </c>
      <c r="G18">
        <f>(F18*$C$16-G16)/($C$15-$C$16*F17)</f>
        <v>143.76996805111821</v>
      </c>
      <c r="H18">
        <f>(G18*$C$16-H16)/($C$15-$C$16*G17)</f>
        <v>89.440697504935798</v>
      </c>
      <c r="I18">
        <f t="shared" ref="I18:AJ18" si="5">(H18*$C$16-I16)/($C$15-$C$16*H17)</f>
        <v>61.070140670017544</v>
      </c>
      <c r="J18">
        <f t="shared" si="5"/>
        <v>43.501393604630508</v>
      </c>
      <c r="K18">
        <f t="shared" si="5"/>
        <v>31.652383297993897</v>
      </c>
      <c r="L18">
        <f t="shared" si="5"/>
        <v>23.290097501380288</v>
      </c>
      <c r="M18">
        <f t="shared" si="5"/>
        <v>17.240966301639268</v>
      </c>
      <c r="N18">
        <f t="shared" si="5"/>
        <v>12.805267519424646</v>
      </c>
      <c r="O18">
        <f t="shared" si="5"/>
        <v>9.5281303590279123</v>
      </c>
      <c r="P18">
        <f>(O18*$C$16-P16)/($C$15-$C$16*O17)</f>
        <v>7.0968402540885149</v>
      </c>
      <c r="Q18">
        <f t="shared" si="5"/>
        <v>5.2889014367742258</v>
      </c>
      <c r="R18">
        <f t="shared" si="5"/>
        <v>3.9427652453855466</v>
      </c>
      <c r="S18">
        <f t="shared" si="5"/>
        <v>2.9397566837489588</v>
      </c>
      <c r="T18">
        <f t="shared" si="5"/>
        <v>2.1921161311912551</v>
      </c>
      <c r="U18">
        <f t="shared" si="5"/>
        <v>1.6347032209670422</v>
      </c>
      <c r="V18">
        <f t="shared" si="5"/>
        <v>1.2190658737474678</v>
      </c>
      <c r="W18">
        <f t="shared" si="5"/>
        <v>0.90912290708564147</v>
      </c>
      <c r="X18">
        <f t="shared" si="5"/>
        <v>0.67798801374345108</v>
      </c>
      <c r="Y18">
        <f t="shared" si="5"/>
        <v>0.50561930727420379</v>
      </c>
      <c r="Z18">
        <f t="shared" si="5"/>
        <v>0.37707393774117021</v>
      </c>
      <c r="AA18">
        <f t="shared" si="5"/>
        <v>0.28120955253535229</v>
      </c>
      <c r="AB18">
        <f t="shared" si="5"/>
        <v>0.20971717746864871</v>
      </c>
      <c r="AC18">
        <f t="shared" si="5"/>
        <v>0.15640050496763722</v>
      </c>
      <c r="AD18">
        <f t="shared" si="5"/>
        <v>0.11663863159746472</v>
      </c>
      <c r="AE18">
        <f t="shared" si="5"/>
        <v>8.6985476423091568E-2</v>
      </c>
      <c r="AF18">
        <f t="shared" si="5"/>
        <v>6.4871077798590082E-2</v>
      </c>
      <c r="AG18">
        <f t="shared" si="5"/>
        <v>4.8378845579386605E-2</v>
      </c>
      <c r="AH18">
        <f t="shared" si="5"/>
        <v>3.6079449269018758E-2</v>
      </c>
      <c r="AI18">
        <f t="shared" si="5"/>
        <v>2.6906939650871577E-2</v>
      </c>
      <c r="AJ18">
        <f t="shared" si="5"/>
        <v>6.4833989153529767</v>
      </c>
    </row>
    <row r="20" spans="2:36" x14ac:dyDescent="0.25">
      <c r="C20" t="s">
        <v>26</v>
      </c>
      <c r="F20" s="2">
        <v>1</v>
      </c>
      <c r="G20" s="2">
        <v>2</v>
      </c>
      <c r="H20" s="2">
        <v>3</v>
      </c>
      <c r="I20" s="2">
        <v>4</v>
      </c>
      <c r="J20" s="2">
        <v>5</v>
      </c>
      <c r="K20" s="2">
        <v>6</v>
      </c>
      <c r="L20" s="2">
        <v>7</v>
      </c>
      <c r="M20" s="2">
        <v>8</v>
      </c>
      <c r="N20" s="2">
        <v>9</v>
      </c>
      <c r="O20" s="2">
        <v>10</v>
      </c>
      <c r="P20" s="2">
        <v>11</v>
      </c>
      <c r="Q20" s="2">
        <v>12</v>
      </c>
      <c r="R20" s="2">
        <v>13</v>
      </c>
      <c r="S20" s="2">
        <v>14</v>
      </c>
      <c r="T20" s="2">
        <v>15</v>
      </c>
      <c r="U20" s="2">
        <v>16</v>
      </c>
      <c r="V20" s="2">
        <v>17</v>
      </c>
      <c r="W20" s="2">
        <v>18</v>
      </c>
      <c r="X20" s="2">
        <v>19</v>
      </c>
      <c r="Y20" s="2">
        <v>20</v>
      </c>
      <c r="Z20" s="2">
        <v>21</v>
      </c>
      <c r="AA20" s="2">
        <v>22</v>
      </c>
      <c r="AB20" s="2">
        <v>23</v>
      </c>
      <c r="AC20" s="2">
        <v>24</v>
      </c>
      <c r="AD20" s="2">
        <v>25</v>
      </c>
      <c r="AE20" s="2">
        <v>26</v>
      </c>
      <c r="AF20" s="2">
        <v>27</v>
      </c>
      <c r="AG20" s="2">
        <v>28</v>
      </c>
      <c r="AH20" s="2">
        <v>29</v>
      </c>
      <c r="AI20" s="2">
        <v>30</v>
      </c>
      <c r="AJ20" s="2">
        <v>31</v>
      </c>
    </row>
    <row r="21" spans="2:36" x14ac:dyDescent="0.25">
      <c r="B21" s="2" t="s">
        <v>11</v>
      </c>
      <c r="C21" s="3">
        <v>92000</v>
      </c>
      <c r="E21" t="s">
        <v>0</v>
      </c>
      <c r="F21" s="5">
        <v>0</v>
      </c>
      <c r="G21" s="5">
        <f>F21+$C$4</f>
        <v>3.3333333333333335E-3</v>
      </c>
      <c r="H21" s="5">
        <f t="shared" ref="H21" si="6">G21+$C$4</f>
        <v>6.6666666666666671E-3</v>
      </c>
      <c r="I21" s="5">
        <f t="shared" ref="I21" si="7">H21+$C$4</f>
        <v>0.01</v>
      </c>
      <c r="J21" s="5">
        <f t="shared" ref="J21" si="8">I21+$C$4</f>
        <v>1.3333333333333334E-2</v>
      </c>
      <c r="K21" s="5">
        <f t="shared" ref="K21" si="9">J21+$C$4</f>
        <v>1.6666666666666666E-2</v>
      </c>
      <c r="L21" s="5">
        <f t="shared" ref="L21" si="10">K21+$C$4</f>
        <v>0.02</v>
      </c>
      <c r="M21" s="5">
        <f t="shared" ref="M21" si="11">L21+$C$4</f>
        <v>2.3333333333333334E-2</v>
      </c>
      <c r="N21" s="5">
        <f t="shared" ref="N21" si="12">M21+$C$4</f>
        <v>2.6666666666666668E-2</v>
      </c>
      <c r="O21" s="5">
        <f t="shared" ref="O21" si="13">N21+$C$4</f>
        <v>3.0000000000000002E-2</v>
      </c>
      <c r="P21" s="5">
        <f t="shared" ref="P21" si="14">O21+$C$4</f>
        <v>3.3333333333333333E-2</v>
      </c>
      <c r="Q21" s="5">
        <f t="shared" ref="Q21" si="15">P21+$C$4</f>
        <v>3.6666666666666667E-2</v>
      </c>
      <c r="R21" s="5">
        <f t="shared" ref="R21" si="16">Q21+$C$4</f>
        <v>0.04</v>
      </c>
      <c r="S21" s="5">
        <f t="shared" ref="S21" si="17">R21+$C$4</f>
        <v>4.3333333333333335E-2</v>
      </c>
      <c r="T21" s="5">
        <f t="shared" ref="T21" si="18">S21+$C$4</f>
        <v>4.6666666666666669E-2</v>
      </c>
      <c r="U21" s="5">
        <f t="shared" ref="U21" si="19">T21+$C$4</f>
        <v>0.05</v>
      </c>
      <c r="V21" s="5">
        <f t="shared" ref="V21" si="20">U21+$C$4</f>
        <v>5.3333333333333337E-2</v>
      </c>
      <c r="W21" s="5">
        <f t="shared" ref="W21" si="21">V21+$C$4</f>
        <v>5.6666666666666671E-2</v>
      </c>
      <c r="X21" s="5">
        <f t="shared" ref="X21" si="22">W21+$C$4</f>
        <v>6.0000000000000005E-2</v>
      </c>
      <c r="Y21" s="5">
        <f t="shared" ref="Y21" si="23">X21+$C$4</f>
        <v>6.3333333333333339E-2</v>
      </c>
      <c r="Z21" s="5">
        <f t="shared" ref="Z21" si="24">Y21+$C$4</f>
        <v>6.6666666666666666E-2</v>
      </c>
      <c r="AA21" s="5">
        <f t="shared" ref="AA21" si="25">Z21+$C$4</f>
        <v>6.9999999999999993E-2</v>
      </c>
      <c r="AB21" s="5">
        <f t="shared" ref="AB21" si="26">AA21+$C$4</f>
        <v>7.333333333333332E-2</v>
      </c>
      <c r="AC21" s="5">
        <f t="shared" ref="AC21" si="27">AB21+$C$4</f>
        <v>7.6666666666666647E-2</v>
      </c>
      <c r="AD21" s="5">
        <f t="shared" ref="AD21" si="28">AC21+$C$4</f>
        <v>7.9999999999999974E-2</v>
      </c>
      <c r="AE21" s="5">
        <f t="shared" ref="AE21" si="29">AD21+$C$4</f>
        <v>8.3333333333333301E-2</v>
      </c>
      <c r="AF21" s="5">
        <f t="shared" ref="AF21" si="30">AE21+$C$4</f>
        <v>8.6666666666666628E-2</v>
      </c>
      <c r="AG21" s="5">
        <f t="shared" ref="AG21" si="31">AF21+$C$4</f>
        <v>8.9999999999999955E-2</v>
      </c>
      <c r="AH21" s="5">
        <f t="shared" ref="AH21" si="32">AG21+$C$4</f>
        <v>9.3333333333333282E-2</v>
      </c>
      <c r="AI21" s="5">
        <f t="shared" ref="AI21" si="33">AH21+$C$4</f>
        <v>9.6666666666666609E-2</v>
      </c>
      <c r="AJ21" s="5">
        <f t="shared" ref="AJ21" si="34">AI21+$C$4</f>
        <v>9.9999999999999936E-2</v>
      </c>
    </row>
    <row r="22" spans="2:36" x14ac:dyDescent="0.25">
      <c r="B22" s="2" t="s">
        <v>9</v>
      </c>
      <c r="C22" s="3">
        <v>100</v>
      </c>
      <c r="E22" t="s">
        <v>7</v>
      </c>
      <c r="F22">
        <f>F25/C10*C4+G22</f>
        <v>247.64422507446139</v>
      </c>
      <c r="G22">
        <v>240.97755840779473</v>
      </c>
      <c r="H22">
        <v>235.31029114824543</v>
      </c>
      <c r="I22">
        <v>229.7212091003725</v>
      </c>
      <c r="J22">
        <v>224.20867174518264</v>
      </c>
      <c r="K22">
        <v>218.77092203170392</v>
      </c>
      <c r="L22">
        <v>213.40608905190356</v>
      </c>
      <c r="M22">
        <v>208.11219088894143</v>
      </c>
      <c r="N22">
        <v>202.88713763442394</v>
      </c>
      <c r="O22">
        <v>197.72873457006492</v>
      </c>
      <c r="P22">
        <v>192.63468550891042</v>
      </c>
      <c r="Q22">
        <v>187.6025962910411</v>
      </c>
      <c r="R22">
        <v>182.62997842843041</v>
      </c>
      <c r="S22">
        <v>177.71425289341039</v>
      </c>
      <c r="T22">
        <v>172.85275404497793</v>
      </c>
      <c r="U22">
        <v>168.0427336869638</v>
      </c>
      <c r="V22">
        <v>163.28136525188734</v>
      </c>
      <c r="W22">
        <v>158.56574810412664</v>
      </c>
      <c r="X22">
        <v>153.89291195585406</v>
      </c>
      <c r="Y22">
        <v>149.25982138901384</v>
      </c>
      <c r="Z22">
        <v>144.66338047645772</v>
      </c>
      <c r="AA22">
        <v>140.10043749520338</v>
      </c>
      <c r="AB22">
        <v>135.56778972464014</v>
      </c>
      <c r="AC22">
        <v>131.06218832237701</v>
      </c>
      <c r="AD22">
        <v>126.58034327030994</v>
      </c>
      <c r="AE22">
        <v>122.11892838337812</v>
      </c>
      <c r="AF22">
        <v>117.67458637338373</v>
      </c>
      <c r="AG22">
        <v>113.24393396016569</v>
      </c>
      <c r="AH22">
        <v>108.82356702234567</v>
      </c>
      <c r="AI22">
        <v>104.41006577980471</v>
      </c>
      <c r="AJ22">
        <v>100</v>
      </c>
    </row>
    <row r="24" spans="2:36" x14ac:dyDescent="0.25">
      <c r="E24" t="s">
        <v>12</v>
      </c>
      <c r="G24">
        <f>G27*H24+G28</f>
        <v>241.88137449892713</v>
      </c>
      <c r="H24">
        <f t="shared" ref="H24:AI24" si="35">H27*I24+H28</f>
        <v>236.19685465129095</v>
      </c>
      <c r="I24">
        <f t="shared" si="35"/>
        <v>230.58917030725206</v>
      </c>
      <c r="J24">
        <f t="shared" si="35"/>
        <v>225.05670926780942</v>
      </c>
      <c r="K24">
        <f t="shared" si="35"/>
        <v>219.59774481366105</v>
      </c>
      <c r="L24">
        <f t="shared" si="35"/>
        <v>214.21043833394899</v>
      </c>
      <c r="M24">
        <f t="shared" si="35"/>
        <v>208.89284212534753</v>
      </c>
      <c r="N24">
        <f t="shared" si="35"/>
        <v>203.64290235723462</v>
      </c>
      <c r="O24">
        <f t="shared" si="35"/>
        <v>198.45846219843196</v>
      </c>
      <c r="P24">
        <f t="shared" si="35"/>
        <v>193.33726510075445</v>
      </c>
      <c r="Q24">
        <f t="shared" si="35"/>
        <v>188.27695823437006</v>
      </c>
      <c r="R24">
        <f t="shared" si="35"/>
        <v>183.27509606974087</v>
      </c>
      <c r="S24">
        <f t="shared" si="35"/>
        <v>178.32914410069191</v>
      </c>
      <c r="T24">
        <f t="shared" si="35"/>
        <v>173.43648270294062</v>
      </c>
      <c r="U24">
        <f t="shared" si="35"/>
        <v>168.59441112221276</v>
      </c>
      <c r="V24">
        <f t="shared" si="35"/>
        <v>163.80015158587318</v>
      </c>
      <c r="W24">
        <f t="shared" si="35"/>
        <v>159.05085353181235</v>
      </c>
      <c r="X24">
        <f t="shared" si="35"/>
        <v>154.34359794815094</v>
      </c>
      <c r="Y24">
        <f t="shared" si="35"/>
        <v>149.67540181715526</v>
      </c>
      <c r="Z24">
        <f t="shared" si="35"/>
        <v>145.04322265659852</v>
      </c>
      <c r="AA24">
        <f t="shared" si="35"/>
        <v>140.44396315165395</v>
      </c>
      <c r="AB24">
        <f t="shared" si="35"/>
        <v>135.87447587026844</v>
      </c>
      <c r="AC24">
        <f t="shared" si="35"/>
        <v>131.33156805483736</v>
      </c>
      <c r="AD24">
        <f t="shared" si="35"/>
        <v>126.81200648288618</v>
      </c>
      <c r="AE24">
        <f t="shared" si="35"/>
        <v>122.31252238935826</v>
      </c>
      <c r="AF24">
        <f t="shared" si="35"/>
        <v>117.82981644301529</v>
      </c>
      <c r="AG24">
        <f t="shared" si="35"/>
        <v>113.3605637693737</v>
      </c>
      <c r="AH24">
        <f t="shared" si="35"/>
        <v>108.90141901253017</v>
      </c>
      <c r="AI24">
        <f t="shared" si="35"/>
        <v>104.44902142816927</v>
      </c>
      <c r="AJ24">
        <v>100</v>
      </c>
    </row>
    <row r="25" spans="2:36" x14ac:dyDescent="0.25">
      <c r="E25" t="s">
        <v>13</v>
      </c>
      <c r="F25">
        <v>92000</v>
      </c>
      <c r="G25" s="6">
        <f>-$C$10*(G22-F22)/$C$4</f>
        <v>91999.999999999869</v>
      </c>
      <c r="H25" s="6">
        <f t="shared" ref="H25:AI25" si="36">-$C$10*(H22-G22)/$C$4</f>
        <v>78208.288181780415</v>
      </c>
      <c r="I25" s="6">
        <f t="shared" si="36"/>
        <v>77129.332260646304</v>
      </c>
      <c r="J25" s="6">
        <f t="shared" si="36"/>
        <v>76073.015501620102</v>
      </c>
      <c r="K25" s="6">
        <f t="shared" si="36"/>
        <v>75040.946046006371</v>
      </c>
      <c r="L25" s="6">
        <f t="shared" si="36"/>
        <v>74034.695121244891</v>
      </c>
      <c r="M25" s="6">
        <f t="shared" si="36"/>
        <v>73055.794648877476</v>
      </c>
      <c r="N25" s="6">
        <f t="shared" si="36"/>
        <v>72105.734912341359</v>
      </c>
      <c r="O25" s="6">
        <f t="shared" si="36"/>
        <v>71185.962288154493</v>
      </c>
      <c r="P25" s="6">
        <f t="shared" si="36"/>
        <v>70297.877043932007</v>
      </c>
      <c r="Q25" s="6">
        <f t="shared" si="36"/>
        <v>69442.831206596704</v>
      </c>
      <c r="R25" s="6">
        <f t="shared" si="36"/>
        <v>68622.126504027518</v>
      </c>
      <c r="S25" s="6">
        <f t="shared" si="36"/>
        <v>67837.012383276218</v>
      </c>
      <c r="T25" s="6">
        <f t="shared" si="36"/>
        <v>67088.684108367961</v>
      </c>
      <c r="U25" s="6">
        <f t="shared" si="36"/>
        <v>66378.280940594967</v>
      </c>
      <c r="V25" s="6">
        <f t="shared" si="36"/>
        <v>65706.884404055178</v>
      </c>
      <c r="W25" s="6">
        <f t="shared" si="36"/>
        <v>65075.516639097601</v>
      </c>
      <c r="X25" s="6">
        <f t="shared" si="36"/>
        <v>64485.138846161601</v>
      </c>
      <c r="Y25" s="6">
        <f t="shared" si="36"/>
        <v>63936.649822395084</v>
      </c>
      <c r="Z25" s="6">
        <f t="shared" si="36"/>
        <v>63430.884593274437</v>
      </c>
      <c r="AA25" s="6">
        <f t="shared" si="36"/>
        <v>62968.613141309856</v>
      </c>
      <c r="AB25" s="6">
        <f t="shared" si="36"/>
        <v>62550.539233772768</v>
      </c>
      <c r="AC25" s="6">
        <f t="shared" si="36"/>
        <v>62177.299351231115</v>
      </c>
      <c r="AD25" s="6">
        <f t="shared" si="36"/>
        <v>61849.461718525592</v>
      </c>
      <c r="AE25" s="6">
        <f t="shared" si="36"/>
        <v>61567.525439659112</v>
      </c>
      <c r="AF25" s="6">
        <f t="shared" si="36"/>
        <v>61331.91973792253</v>
      </c>
      <c r="AG25" s="6">
        <f t="shared" si="36"/>
        <v>61143.003302408964</v>
      </c>
      <c r="AH25" s="6">
        <f t="shared" si="36"/>
        <v>61001.063741916274</v>
      </c>
      <c r="AI25" s="6">
        <f t="shared" si="36"/>
        <v>60906.317147065245</v>
      </c>
      <c r="AJ25" s="6">
        <f>-$C$10*(AJ22-AI22)/$C$4</f>
        <v>60858.90776130501</v>
      </c>
    </row>
    <row r="26" spans="2:36" x14ac:dyDescent="0.25">
      <c r="E26" t="s">
        <v>22</v>
      </c>
      <c r="F26">
        <f>-($C$9*$C$8)/$C$5*F22</f>
        <v>-88854747.956716746</v>
      </c>
      <c r="G26">
        <f t="shared" ref="G26:AJ26" si="37">-($C$9*$C$8)/$C$5*G22</f>
        <v>-86462747.956716746</v>
      </c>
      <c r="H26">
        <f t="shared" si="37"/>
        <v>-84429332.463990465</v>
      </c>
      <c r="I26">
        <f t="shared" si="37"/>
        <v>-82423969.825213656</v>
      </c>
      <c r="J26">
        <f t="shared" si="37"/>
        <v>-80446071.422171533</v>
      </c>
      <c r="K26">
        <f t="shared" si="37"/>
        <v>-78495006.824975371</v>
      </c>
      <c r="L26">
        <f t="shared" si="37"/>
        <v>-76570104.751822993</v>
      </c>
      <c r="M26">
        <f t="shared" si="37"/>
        <v>-74670654.090952188</v>
      </c>
      <c r="N26">
        <f t="shared" si="37"/>
        <v>-72795904.983231306</v>
      </c>
      <c r="O26">
        <f t="shared" si="37"/>
        <v>-70945069.963739291</v>
      </c>
      <c r="P26">
        <f t="shared" si="37"/>
        <v>-69117325.160597056</v>
      </c>
      <c r="Q26">
        <f t="shared" si="37"/>
        <v>-67311811.549225539</v>
      </c>
      <c r="R26">
        <f t="shared" si="37"/>
        <v>-65527636.260120831</v>
      </c>
      <c r="S26">
        <f t="shared" si="37"/>
        <v>-63763873.938155651</v>
      </c>
      <c r="T26">
        <f t="shared" si="37"/>
        <v>-62019568.151338078</v>
      </c>
      <c r="U26">
        <f t="shared" si="37"/>
        <v>-60293732.846882612</v>
      </c>
      <c r="V26">
        <f t="shared" si="37"/>
        <v>-58585353.852377176</v>
      </c>
      <c r="W26">
        <f t="shared" si="37"/>
        <v>-56893390.419760637</v>
      </c>
      <c r="X26">
        <f t="shared" si="37"/>
        <v>-55216776.809760436</v>
      </c>
      <c r="Y26">
        <f t="shared" si="37"/>
        <v>-53554423.914378166</v>
      </c>
      <c r="Z26">
        <f t="shared" si="37"/>
        <v>-51905220.914953031</v>
      </c>
      <c r="AA26">
        <f t="shared" si="37"/>
        <v>-50268036.97327897</v>
      </c>
      <c r="AB26">
        <f t="shared" si="37"/>
        <v>-48641722.953200884</v>
      </c>
      <c r="AC26">
        <f t="shared" si="37"/>
        <v>-47025113.170068875</v>
      </c>
      <c r="AD26">
        <f t="shared" si="37"/>
        <v>-45417027.165387206</v>
      </c>
      <c r="AE26">
        <f t="shared" si="37"/>
        <v>-43816271.503956072</v>
      </c>
      <c r="AF26">
        <f t="shared" si="37"/>
        <v>-42221641.590770081</v>
      </c>
      <c r="AG26">
        <f t="shared" si="37"/>
        <v>-40631923.504907452</v>
      </c>
      <c r="AH26">
        <f t="shared" si="37"/>
        <v>-39045895.847617626</v>
      </c>
      <c r="AI26">
        <f t="shared" si="37"/>
        <v>-37462331.60179393</v>
      </c>
      <c r="AJ26">
        <f t="shared" si="37"/>
        <v>-35880000</v>
      </c>
    </row>
    <row r="27" spans="2:36" x14ac:dyDescent="0.25">
      <c r="E27" t="s">
        <v>23</v>
      </c>
      <c r="F27">
        <v>0</v>
      </c>
      <c r="G27">
        <f>$C$14/($C$15-$C$16*F27)</f>
        <v>0.47923322683706071</v>
      </c>
      <c r="H27">
        <f t="shared" ref="H27" si="38">$C$14/($C$15-$C$16*G27)</f>
        <v>0.62210974042322009</v>
      </c>
      <c r="I27">
        <f t="shared" ref="I27" si="39">$C$14/($C$15-$C$16*H27)</f>
        <v>0.68280036240378583</v>
      </c>
      <c r="J27">
        <f t="shared" ref="J27" si="40">$C$14/($C$15-$C$16*I27)</f>
        <v>0.71231854270130357</v>
      </c>
      <c r="K27">
        <f t="shared" ref="K27" si="41">$C$14/($C$15-$C$16*J27)</f>
        <v>0.72761768474986643</v>
      </c>
      <c r="L27">
        <f t="shared" ref="L27" si="42">$C$14/($C$15-$C$16*K27)</f>
        <v>0.73580865245165905</v>
      </c>
      <c r="M27">
        <f t="shared" ref="M27" si="43">$C$14/($C$15-$C$16*L27)</f>
        <v>0.74027025007591674</v>
      </c>
      <c r="N27">
        <f t="shared" ref="N27" si="44">$C$14/($C$15-$C$16*M27)</f>
        <v>0.74272330769575978</v>
      </c>
      <c r="O27">
        <f t="shared" ref="O27" si="45">$C$14/($C$15-$C$16*N27)</f>
        <v>0.7440789772313966</v>
      </c>
      <c r="P27">
        <f t="shared" ref="P27" si="46">$C$14/($C$15-$C$16*O27)</f>
        <v>0.74483030633226499</v>
      </c>
      <c r="Q27">
        <f t="shared" ref="Q27" si="47">$C$14/($C$15-$C$16*P27)</f>
        <v>0.74524735620578053</v>
      </c>
      <c r="R27">
        <f t="shared" ref="R27" si="48">$C$14/($C$15-$C$16*Q27)</f>
        <v>0.74547905505879375</v>
      </c>
      <c r="S27">
        <f t="shared" ref="S27" si="49">$C$14/($C$15-$C$16*R27)</f>
        <v>0.74560784139748904</v>
      </c>
      <c r="T27">
        <f t="shared" ref="T27" si="50">$C$14/($C$15-$C$16*S27)</f>
        <v>0.74567944459802482</v>
      </c>
      <c r="U27">
        <f t="shared" ref="U27" si="51">$C$14/($C$15-$C$16*T27)</f>
        <v>0.74571926081247353</v>
      </c>
      <c r="V27">
        <f t="shared" ref="V27" si="52">$C$14/($C$15-$C$16*U27)</f>
        <v>0.7457414031559223</v>
      </c>
      <c r="W27">
        <f t="shared" ref="W27" si="53">$C$14/($C$15-$C$16*V27)</f>
        <v>0.74575371738604534</v>
      </c>
      <c r="X27">
        <f t="shared" ref="X27" si="54">$C$14/($C$15-$C$16*W27)</f>
        <v>0.74576056599086782</v>
      </c>
      <c r="Y27">
        <f t="shared" ref="Y27" si="55">$C$14/($C$15-$C$16*X27)</f>
        <v>0.74576437492231062</v>
      </c>
      <c r="Z27">
        <f t="shared" ref="Z27" si="56">$C$14/($C$15-$C$16*Y27)</f>
        <v>0.74576649332079048</v>
      </c>
      <c r="AA27">
        <f t="shared" ref="AA27" si="57">$C$14/($C$15-$C$16*Z27)</f>
        <v>0.74576767150738277</v>
      </c>
      <c r="AB27">
        <f t="shared" ref="AB27" si="58">$C$14/($C$15-$C$16*AA27)</f>
        <v>0.74576832677931204</v>
      </c>
      <c r="AC27">
        <f t="shared" ref="AC27" si="59">$C$14/($C$15-$C$16*AB27)</f>
        <v>0.74576869122233935</v>
      </c>
      <c r="AD27">
        <f t="shared" ref="AD27" si="60">$C$14/($C$15-$C$16*AC27)</f>
        <v>0.74576889391501577</v>
      </c>
      <c r="AE27">
        <f t="shared" ref="AE27" si="61">$C$14/($C$15-$C$16*AD27)</f>
        <v>0.74576900664687074</v>
      </c>
      <c r="AF27">
        <f t="shared" ref="AF27" si="62">$C$14/($C$15-$C$16*AE27)</f>
        <v>0.74576906934511078</v>
      </c>
      <c r="AG27">
        <f t="shared" ref="AG27" si="63">$C$14/($C$15-$C$16*AF27)</f>
        <v>0.74576910421608689</v>
      </c>
      <c r="AH27">
        <f t="shared" ref="AH27" si="64">$C$14/($C$15-$C$16*AG27)</f>
        <v>0.74576912361033254</v>
      </c>
      <c r="AI27">
        <f t="shared" ref="AI27" si="65">$C$14/($C$15-$C$16*AH27)</f>
        <v>0.74576913439686099</v>
      </c>
      <c r="AJ27">
        <f t="shared" ref="AJ27" si="66">$C$14/($C$15-$C$16*AI27)</f>
        <v>0.74576914039602182</v>
      </c>
    </row>
    <row r="28" spans="2:36" x14ac:dyDescent="0.25">
      <c r="E28" t="s">
        <v>24</v>
      </c>
      <c r="F28">
        <f>F22</f>
        <v>247.64422507446139</v>
      </c>
      <c r="G28">
        <f>(F28*$C$16-G26)/($C$15-$C$16*F27)</f>
        <v>128.68799367562474</v>
      </c>
      <c r="H28">
        <f>(G28*$C$16-H26)/($C$15-$C$16*G27)</f>
        <v>92.745085767040678</v>
      </c>
      <c r="I28">
        <f t="shared" ref="I28" si="67">(H28*$C$16-I26)/($C$15-$C$16*H27)</f>
        <v>76.920367657788333</v>
      </c>
      <c r="J28">
        <f t="shared" ref="J28" si="68">(I28*$C$16-J26)/($C$15-$C$16*I27)</f>
        <v>68.633163701649636</v>
      </c>
      <c r="K28">
        <f t="shared" ref="K28" si="69">(J28*$C$16-K26)/($C$15-$C$16*J27)</f>
        <v>63.734441623859055</v>
      </c>
      <c r="L28">
        <f t="shared" ref="L28" si="70">(K28*$C$16-L26)/($C$15-$C$16*K27)</f>
        <v>60.505277662899857</v>
      </c>
      <c r="M28">
        <f t="shared" ref="M28" si="71">(L28*$C$16-M26)/($C$15-$C$16*L27)</f>
        <v>58.142059871171966</v>
      </c>
      <c r="N28">
        <f t="shared" ref="N28" si="72">(M28*$C$16-N26)/($C$15-$C$16*M27)</f>
        <v>56.24317687300131</v>
      </c>
      <c r="O28">
        <f t="shared" ref="O28" si="73">(N28*$C$16-O26)/($C$15-$C$16*N27)</f>
        <v>54.600267721547205</v>
      </c>
      <c r="P28">
        <f t="shared" ref="P28" si="74">(O28*$C$16-P26)/($C$15-$C$16*O27)</f>
        <v>53.102880623741541</v>
      </c>
      <c r="Q28">
        <f t="shared" ref="Q28" si="75">(P28*$C$16-Q26)/($C$15-$C$16*P27)</f>
        <v>51.691677430035242</v>
      </c>
      <c r="R28">
        <f t="shared" ref="R28" si="76">(Q28*$C$16-R26)/($C$15-$C$16*Q27)</f>
        <v>50.334454236113615</v>
      </c>
      <c r="S28">
        <f t="shared" ref="S28" si="77">(R28*$C$16-S26)/($C$15-$C$16*R27)</f>
        <v>49.013542612979379</v>
      </c>
      <c r="T28">
        <f t="shared" ref="T28" si="78">(S28*$C$16-T26)/($C$15-$C$16*S27)</f>
        <v>47.719095854997931</v>
      </c>
      <c r="U28">
        <f t="shared" ref="U28" si="79">(T28*$C$16-U26)/($C$15-$C$16*T27)</f>
        <v>46.445483160624299</v>
      </c>
      <c r="V28">
        <f t="shared" ref="V28" si="80">(U28*$C$16-V26)/($C$15-$C$16*U27)</f>
        <v>45.189344899912349</v>
      </c>
      <c r="W28">
        <f t="shared" ref="W28" si="81">(V28*$C$16-W26)/($C$15-$C$16*V27)</f>
        <v>43.94854160724158</v>
      </c>
      <c r="X28">
        <f t="shared" ref="X28" si="82">(W28*$C$16-X26)/($C$15-$C$16*W27)</f>
        <v>42.721585574078667</v>
      </c>
      <c r="Y28">
        <f t="shared" ref="Y28" si="83">(X28*$C$16-Y26)/($C$15-$C$16*X27)</f>
        <v>41.507333535939566</v>
      </c>
      <c r="Z28">
        <f t="shared" ref="Z28" si="84">(Y28*$C$16-Z26)/($C$15-$C$16*Y27)</f>
        <v>40.304820748915226</v>
      </c>
      <c r="AA28">
        <f t="shared" ref="AA28" si="85">(Z28*$C$16-AA26)/($C$15-$C$16*Z27)</f>
        <v>39.113171664597793</v>
      </c>
      <c r="AB28">
        <f t="shared" ref="AB28" si="86">(AA28*$C$16-AB26)/($C$15-$C$16*AA27)</f>
        <v>37.93155210870902</v>
      </c>
      <c r="AC28">
        <f t="shared" ref="AC28" si="87">(AB28*$C$16-AC26)/($C$15-$C$16*AB27)</f>
        <v>36.759143948816515</v>
      </c>
      <c r="AD28">
        <f t="shared" ref="AD28" si="88">(AC28*$C$16-AD26)/($C$15-$C$16*AC27)</f>
        <v>35.59513194861885</v>
      </c>
      <c r="AE28">
        <f t="shared" ref="AE28" si="89">(AD28*$C$16-AE26)/($C$15-$C$16*AD27)</f>
        <v>34.438697227267639</v>
      </c>
      <c r="AF28">
        <f t="shared" ref="AF28" si="90">(AE28*$C$16-AF26)/($C$15-$C$16*AE27)</f>
        <v>33.289014300292372</v>
      </c>
      <c r="AG28">
        <f t="shared" ref="AG28" si="91">(AF28*$C$16-AG26)/($C$15-$C$16*AF27)</f>
        <v>32.145250064538352</v>
      </c>
      <c r="AH28">
        <f t="shared" ref="AH28" si="92">(AG28*$C$16-AH26)/($C$15-$C$16*AG27)</f>
        <v>31.006563840087516</v>
      </c>
      <c r="AI28">
        <f t="shared" ref="AI28" si="93">(AH28*$C$16-AI26)/($C$15-$C$16*AH27)</f>
        <v>29.872107988483183</v>
      </c>
      <c r="AJ28">
        <f t="shared" ref="AJ28" si="94">(AI28*$C$16-AJ26)/($C$15-$C$16*AI27)</f>
        <v>28.741028846487097</v>
      </c>
    </row>
    <row r="33" spans="2:36" x14ac:dyDescent="0.25">
      <c r="F33" s="2">
        <v>1</v>
      </c>
      <c r="G33" s="2">
        <v>2</v>
      </c>
      <c r="H33" s="2">
        <v>3</v>
      </c>
      <c r="I33" s="2">
        <v>4</v>
      </c>
      <c r="J33" s="2">
        <v>5</v>
      </c>
      <c r="K33" s="2">
        <v>6</v>
      </c>
      <c r="L33" s="2">
        <v>7</v>
      </c>
      <c r="M33" s="2">
        <v>8</v>
      </c>
      <c r="N33" s="2">
        <v>9</v>
      </c>
      <c r="O33" s="2">
        <v>10</v>
      </c>
      <c r="P33" s="2">
        <v>11</v>
      </c>
      <c r="Q33" s="2">
        <v>12</v>
      </c>
      <c r="R33" s="2">
        <v>13</v>
      </c>
      <c r="S33" s="2">
        <v>14</v>
      </c>
      <c r="T33" s="2">
        <v>15</v>
      </c>
      <c r="U33" s="2">
        <v>16</v>
      </c>
      <c r="V33" s="2">
        <v>17</v>
      </c>
      <c r="W33" s="2">
        <v>18</v>
      </c>
      <c r="X33" s="2">
        <v>19</v>
      </c>
      <c r="Y33" s="2">
        <v>20</v>
      </c>
      <c r="Z33" s="2">
        <v>21</v>
      </c>
      <c r="AA33" s="2">
        <v>22</v>
      </c>
      <c r="AB33" s="2">
        <v>23</v>
      </c>
      <c r="AC33" s="2">
        <v>24</v>
      </c>
      <c r="AD33" s="2">
        <v>25</v>
      </c>
      <c r="AE33" s="2">
        <v>26</v>
      </c>
      <c r="AF33" s="2">
        <v>27</v>
      </c>
      <c r="AG33" s="2">
        <v>28</v>
      </c>
      <c r="AH33" s="2">
        <v>29</v>
      </c>
      <c r="AI33" s="2">
        <v>30</v>
      </c>
      <c r="AJ33" s="2">
        <v>31</v>
      </c>
    </row>
    <row r="34" spans="2:36" x14ac:dyDescent="0.25">
      <c r="B34" s="2" t="s">
        <v>11</v>
      </c>
      <c r="C34" s="3">
        <v>92000</v>
      </c>
      <c r="E34" t="s">
        <v>0</v>
      </c>
      <c r="F34" s="5">
        <v>0</v>
      </c>
      <c r="G34" s="5">
        <f>F34+$C$4</f>
        <v>3.3333333333333335E-3</v>
      </c>
      <c r="H34" s="5">
        <f t="shared" ref="H34" si="95">G34+$C$4</f>
        <v>6.6666666666666671E-3</v>
      </c>
      <c r="I34" s="5">
        <f t="shared" ref="I34" si="96">H34+$C$4</f>
        <v>0.01</v>
      </c>
      <c r="J34" s="5">
        <f t="shared" ref="J34" si="97">I34+$C$4</f>
        <v>1.3333333333333334E-2</v>
      </c>
      <c r="K34" s="5">
        <f t="shared" ref="K34" si="98">J34+$C$4</f>
        <v>1.6666666666666666E-2</v>
      </c>
      <c r="L34" s="5">
        <f t="shared" ref="L34" si="99">K34+$C$4</f>
        <v>0.02</v>
      </c>
      <c r="M34" s="5">
        <f t="shared" ref="M34" si="100">L34+$C$4</f>
        <v>2.3333333333333334E-2</v>
      </c>
      <c r="N34" s="5">
        <f t="shared" ref="N34" si="101">M34+$C$4</f>
        <v>2.6666666666666668E-2</v>
      </c>
      <c r="O34" s="5">
        <f t="shared" ref="O34" si="102">N34+$C$4</f>
        <v>3.0000000000000002E-2</v>
      </c>
      <c r="P34" s="5">
        <f t="shared" ref="P34" si="103">O34+$C$4</f>
        <v>3.3333333333333333E-2</v>
      </c>
      <c r="Q34" s="5">
        <f t="shared" ref="Q34" si="104">P34+$C$4</f>
        <v>3.6666666666666667E-2</v>
      </c>
      <c r="R34" s="5">
        <f t="shared" ref="R34" si="105">Q34+$C$4</f>
        <v>0.04</v>
      </c>
      <c r="S34" s="5">
        <f t="shared" ref="S34" si="106">R34+$C$4</f>
        <v>4.3333333333333335E-2</v>
      </c>
      <c r="T34" s="5">
        <f t="shared" ref="T34" si="107">S34+$C$4</f>
        <v>4.6666666666666669E-2</v>
      </c>
      <c r="U34" s="5">
        <f t="shared" ref="U34" si="108">T34+$C$4</f>
        <v>0.05</v>
      </c>
      <c r="V34" s="5">
        <f t="shared" ref="V34" si="109">U34+$C$4</f>
        <v>5.3333333333333337E-2</v>
      </c>
      <c r="W34" s="5">
        <f t="shared" ref="W34" si="110">V34+$C$4</f>
        <v>5.6666666666666671E-2</v>
      </c>
      <c r="X34" s="5">
        <f t="shared" ref="X34" si="111">W34+$C$4</f>
        <v>6.0000000000000005E-2</v>
      </c>
      <c r="Y34" s="5">
        <f t="shared" ref="Y34" si="112">X34+$C$4</f>
        <v>6.3333333333333339E-2</v>
      </c>
      <c r="Z34" s="5">
        <f t="shared" ref="Z34" si="113">Y34+$C$4</f>
        <v>6.6666666666666666E-2</v>
      </c>
      <c r="AA34" s="5">
        <f t="shared" ref="AA34" si="114">Z34+$C$4</f>
        <v>6.9999999999999993E-2</v>
      </c>
      <c r="AB34" s="5">
        <f t="shared" ref="AB34" si="115">AA34+$C$4</f>
        <v>7.333333333333332E-2</v>
      </c>
      <c r="AC34" s="5">
        <f t="shared" ref="AC34" si="116">AB34+$C$4</f>
        <v>7.6666666666666647E-2</v>
      </c>
      <c r="AD34" s="5">
        <f t="shared" ref="AD34" si="117">AC34+$C$4</f>
        <v>7.9999999999999974E-2</v>
      </c>
      <c r="AE34" s="5">
        <f t="shared" ref="AE34" si="118">AD34+$C$4</f>
        <v>8.3333333333333301E-2</v>
      </c>
      <c r="AF34" s="5">
        <f t="shared" ref="AF34" si="119">AE34+$C$4</f>
        <v>8.6666666666666628E-2</v>
      </c>
      <c r="AG34" s="5">
        <f t="shared" ref="AG34" si="120">AF34+$C$4</f>
        <v>8.9999999999999955E-2</v>
      </c>
      <c r="AH34" s="5">
        <f t="shared" ref="AH34" si="121">AG34+$C$4</f>
        <v>9.3333333333333282E-2</v>
      </c>
      <c r="AI34" s="5">
        <f t="shared" ref="AI34" si="122">AH34+$C$4</f>
        <v>9.6666666666666609E-2</v>
      </c>
      <c r="AJ34" s="5">
        <f t="shared" ref="AJ34" si="123">AI34+$C$4</f>
        <v>9.9999999999999936E-2</v>
      </c>
    </row>
    <row r="35" spans="2:36" x14ac:dyDescent="0.25">
      <c r="B35" s="2" t="s">
        <v>9</v>
      </c>
      <c r="C35" s="3">
        <v>100</v>
      </c>
      <c r="E35" t="s">
        <v>7</v>
      </c>
      <c r="F35">
        <f>($C$37*$C$4*$C$36+$C$10*$G$35)/($C$10+$C$37*$C$4)</f>
        <v>299.99985163261891</v>
      </c>
      <c r="G35">
        <v>293.3331742146928</v>
      </c>
      <c r="H35">
        <v>286.66649776466045</v>
      </c>
      <c r="I35">
        <v>279.99982234203355</v>
      </c>
      <c r="J35">
        <v>273.33314800007156</v>
      </c>
      <c r="K35">
        <v>266.66647478546452</v>
      </c>
      <c r="L35">
        <v>259.99980273803936</v>
      </c>
      <c r="M35">
        <v>253.33313189053024</v>
      </c>
      <c r="N35">
        <v>246.66646226836411</v>
      </c>
      <c r="O35">
        <v>239.99979388952389</v>
      </c>
      <c r="P35">
        <v>233.33312676441892</v>
      </c>
      <c r="Q35">
        <v>226.66646089584373</v>
      </c>
      <c r="R35">
        <v>219.9997962789374</v>
      </c>
      <c r="S35">
        <v>213.33313290123812</v>
      </c>
      <c r="T35">
        <v>206.66647074273277</v>
      </c>
      <c r="U35">
        <v>199.99980977600597</v>
      </c>
      <c r="V35">
        <v>193.33314996637864</v>
      </c>
      <c r="W35">
        <v>186.66649127214777</v>
      </c>
      <c r="X35">
        <v>179.99983364481102</v>
      </c>
      <c r="Y35">
        <v>173.33317702939058</v>
      </c>
      <c r="Z35">
        <v>166.66652136473954</v>
      </c>
      <c r="AA35">
        <v>159.99986658394076</v>
      </c>
      <c r="AB35">
        <v>153.33321261468828</v>
      </c>
      <c r="AC35">
        <v>146.66655937975133</v>
      </c>
      <c r="AD35">
        <v>139.99990679742166</v>
      </c>
      <c r="AE35">
        <v>133.33325478203096</v>
      </c>
      <c r="AF35">
        <v>126.66660324445392</v>
      </c>
      <c r="AG35">
        <v>119.99995209266579</v>
      </c>
      <c r="AH35">
        <v>113.33330123228947</v>
      </c>
      <c r="AI35">
        <v>106.66665056717957</v>
      </c>
      <c r="AJ35">
        <v>100</v>
      </c>
    </row>
    <row r="36" spans="2:36" x14ac:dyDescent="0.25">
      <c r="B36" t="s">
        <v>14</v>
      </c>
      <c r="C36">
        <v>392</v>
      </c>
    </row>
    <row r="37" spans="2:36" x14ac:dyDescent="0.25">
      <c r="B37" t="s">
        <v>15</v>
      </c>
      <c r="C37">
        <v>1000</v>
      </c>
      <c r="E37" t="s">
        <v>12</v>
      </c>
      <c r="G37">
        <f>G35+(($C$10*$C$5)/($C$9*$C$8))*((H35-2*G35+F35)/($C$4^2))</f>
        <v>293.33318538269765</v>
      </c>
      <c r="H37">
        <f t="shared" ref="H37:AI37" si="124">H35+(($C$10*$C$5)/($C$9*$C$8))*((I35-2*H35+G35)/($C$4^2))</f>
        <v>286.66650961933885</v>
      </c>
      <c r="I37">
        <f t="shared" si="124"/>
        <v>279.99983481124394</v>
      </c>
      <c r="J37">
        <f t="shared" si="124"/>
        <v>273.33316100801329</v>
      </c>
      <c r="K37">
        <f t="shared" si="124"/>
        <v>266.66648825294789</v>
      </c>
      <c r="L37">
        <f t="shared" si="124"/>
        <v>259.99981658322429</v>
      </c>
      <c r="M37">
        <f t="shared" si="124"/>
        <v>253.33314602910329</v>
      </c>
      <c r="N37">
        <f t="shared" si="124"/>
        <v>246.66647661443216</v>
      </c>
      <c r="O37">
        <f t="shared" si="124"/>
        <v>239.9998083557</v>
      </c>
      <c r="P37">
        <f t="shared" si="124"/>
        <v>233.33314126283935</v>
      </c>
      <c r="Q37">
        <f t="shared" si="124"/>
        <v>226.66647533817675</v>
      </c>
      <c r="R37">
        <f t="shared" si="124"/>
        <v>219.9998105774803</v>
      </c>
      <c r="S37">
        <f t="shared" si="124"/>
        <v>213.33314696886043</v>
      </c>
      <c r="T37">
        <f t="shared" si="124"/>
        <v>206.66648449402373</v>
      </c>
      <c r="U37">
        <f t="shared" si="124"/>
        <v>199.9998231271536</v>
      </c>
      <c r="V37">
        <f t="shared" si="124"/>
        <v>193.33316283633778</v>
      </c>
      <c r="W37">
        <f t="shared" si="124"/>
        <v>186.66650358246463</v>
      </c>
      <c r="X37">
        <f t="shared" si="124"/>
        <v>179.99984532076846</v>
      </c>
      <c r="Y37">
        <f t="shared" si="124"/>
        <v>173.33318799980663</v>
      </c>
      <c r="Z37">
        <f t="shared" si="124"/>
        <v>166.66653156303491</v>
      </c>
      <c r="AA37">
        <f t="shared" si="124"/>
        <v>159.99987594793654</v>
      </c>
      <c r="AB37">
        <f t="shared" si="124"/>
        <v>153.33322108755982</v>
      </c>
      <c r="AC37">
        <f t="shared" si="124"/>
        <v>146.66656690983521</v>
      </c>
      <c r="AD37">
        <f t="shared" si="124"/>
        <v>139.99991333902526</v>
      </c>
      <c r="AE37">
        <f t="shared" si="124"/>
        <v>133.33326029526563</v>
      </c>
      <c r="AF37">
        <f t="shared" si="124"/>
        <v>126.66660769586424</v>
      </c>
      <c r="AG37">
        <f t="shared" si="124"/>
        <v>119.99995545510974</v>
      </c>
      <c r="AH37">
        <f t="shared" si="124"/>
        <v>113.33330348536359</v>
      </c>
      <c r="AI37">
        <f t="shared" si="124"/>
        <v>106.66665169714486</v>
      </c>
    </row>
    <row r="38" spans="2:36" x14ac:dyDescent="0.25">
      <c r="E38" t="s">
        <v>13</v>
      </c>
      <c r="F38">
        <v>92000</v>
      </c>
      <c r="G38" s="7">
        <f>-$C$10*(G35-F35)/$C$4</f>
        <v>92000.148367380301</v>
      </c>
      <c r="H38" s="7">
        <f t="shared" ref="H38:AI38" si="125">-$C$10*(H35-G35)/$C$4</f>
        <v>92000.135010446495</v>
      </c>
      <c r="I38" s="7">
        <f t="shared" si="125"/>
        <v>92000.120832251137</v>
      </c>
      <c r="J38" s="7">
        <f t="shared" si="125"/>
        <v>92000.105919075504</v>
      </c>
      <c r="K38" s="7">
        <f t="shared" si="125"/>
        <v>92000.090361577211</v>
      </c>
      <c r="L38" s="7">
        <f t="shared" si="125"/>
        <v>92000.074254467094</v>
      </c>
      <c r="M38" s="7">
        <f t="shared" si="125"/>
        <v>92000.057695625903</v>
      </c>
      <c r="N38" s="7">
        <f t="shared" si="125"/>
        <v>92000.040785892532</v>
      </c>
      <c r="O38" s="7">
        <f t="shared" si="125"/>
        <v>92000.023627995135</v>
      </c>
      <c r="P38" s="7">
        <f t="shared" si="125"/>
        <v>92000.006326448507</v>
      </c>
      <c r="Q38" s="7">
        <f t="shared" si="125"/>
        <v>91999.988986337674</v>
      </c>
      <c r="R38" s="7">
        <f t="shared" si="125"/>
        <v>91999.971713307372</v>
      </c>
      <c r="S38" s="7">
        <f t="shared" si="125"/>
        <v>91999.954612250047</v>
      </c>
      <c r="T38" s="7">
        <f t="shared" si="125"/>
        <v>91999.937787373769</v>
      </c>
      <c r="U38" s="7">
        <f t="shared" si="125"/>
        <v>91999.921340829766</v>
      </c>
      <c r="V38" s="7">
        <f t="shared" si="125"/>
        <v>91999.905372857189</v>
      </c>
      <c r="W38" s="7">
        <f t="shared" si="125"/>
        <v>91999.88998038607</v>
      </c>
      <c r="X38" s="7">
        <f t="shared" si="125"/>
        <v>91999.875257247098</v>
      </c>
      <c r="Y38" s="7">
        <f t="shared" si="125"/>
        <v>91999.861292802016</v>
      </c>
      <c r="Z38" s="7">
        <f t="shared" si="125"/>
        <v>91999.848172184429</v>
      </c>
      <c r="AA38" s="7">
        <f t="shared" si="125"/>
        <v>91999.835975023161</v>
      </c>
      <c r="AB38" s="7">
        <f t="shared" si="125"/>
        <v>91999.824775684203</v>
      </c>
      <c r="AC38" s="7">
        <f t="shared" si="125"/>
        <v>91999.81464212983</v>
      </c>
      <c r="AD38" s="7">
        <f t="shared" si="125"/>
        <v>91999.805636149511</v>
      </c>
      <c r="AE38" s="7">
        <f t="shared" si="125"/>
        <v>91999.797812391596</v>
      </c>
      <c r="AF38" s="7">
        <f t="shared" si="125"/>
        <v>91999.791218563143</v>
      </c>
      <c r="AG38" s="7">
        <f t="shared" si="125"/>
        <v>91999.785894676199</v>
      </c>
      <c r="AH38" s="7">
        <f t="shared" si="125"/>
        <v>91999.781873193249</v>
      </c>
      <c r="AI38" s="7">
        <f t="shared" si="125"/>
        <v>91999.77917851659</v>
      </c>
    </row>
    <row r="41" spans="2:36" x14ac:dyDescent="0.25">
      <c r="F41">
        <f>F38/C10*C4+G35</f>
        <v>299.99984088135949</v>
      </c>
    </row>
    <row r="43" spans="2:36" x14ac:dyDescent="0.25">
      <c r="J43" t="s">
        <v>26</v>
      </c>
    </row>
    <row r="44" spans="2:36" x14ac:dyDescent="0.25">
      <c r="F44" t="s">
        <v>25</v>
      </c>
    </row>
  </sheetData>
  <conditionalFormatting sqref="F35:AJ3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:AJ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:AJ1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0:BR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J35"/>
  <sheetViews>
    <sheetView workbookViewId="0">
      <selection activeCell="F31" sqref="F31"/>
    </sheetView>
  </sheetViews>
  <sheetFormatPr defaultRowHeight="15" x14ac:dyDescent="0.25"/>
  <sheetData>
    <row r="2" spans="1:36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</row>
    <row r="3" spans="1:36" x14ac:dyDescent="0.25">
      <c r="A3" s="10"/>
      <c r="B3" s="11" t="s">
        <v>0</v>
      </c>
      <c r="C3" s="11">
        <v>0.1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</row>
    <row r="4" spans="1:36" x14ac:dyDescent="0.25">
      <c r="A4" s="10"/>
      <c r="B4" s="11" t="s">
        <v>1</v>
      </c>
      <c r="C4" s="5">
        <f>C3/30</f>
        <v>3.3333333333333335E-3</v>
      </c>
      <c r="D4" s="10"/>
      <c r="E4" s="10"/>
      <c r="F4" s="10">
        <f>(C9*C8*(C4^2))/(2*C10)</f>
        <v>0.4333333333333334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</row>
    <row r="5" spans="1:36" x14ac:dyDescent="0.25">
      <c r="A5" s="10"/>
      <c r="B5" s="11" t="s">
        <v>2</v>
      </c>
      <c r="C5" s="11">
        <v>0.4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</row>
    <row r="6" spans="1:36" x14ac:dyDescent="0.25">
      <c r="A6" s="10"/>
      <c r="B6" s="11" t="s">
        <v>3</v>
      </c>
      <c r="C6" s="11">
        <v>60</v>
      </c>
      <c r="D6" s="10">
        <v>60.400000000000006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</row>
    <row r="7" spans="1:36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 t="s">
        <v>16</v>
      </c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</row>
    <row r="8" spans="1:36" x14ac:dyDescent="0.25">
      <c r="A8" s="10"/>
      <c r="B8" s="11" t="s">
        <v>4</v>
      </c>
      <c r="C8" s="11">
        <v>460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</row>
    <row r="9" spans="1:36" x14ac:dyDescent="0.25">
      <c r="A9" s="10"/>
      <c r="B9" s="11" t="s">
        <v>5</v>
      </c>
      <c r="C9" s="11">
        <v>7800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</row>
    <row r="10" spans="1:36" x14ac:dyDescent="0.25">
      <c r="A10" s="10"/>
      <c r="B10" s="11" t="s">
        <v>6</v>
      </c>
      <c r="C10" s="11">
        <v>46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</row>
    <row r="11" spans="1:36" x14ac:dyDescent="0.25">
      <c r="A11" s="10"/>
      <c r="B11" s="10"/>
      <c r="C11" s="10"/>
      <c r="D11" s="10"/>
      <c r="E11" s="10"/>
      <c r="F11" s="11">
        <v>1</v>
      </c>
      <c r="G11" s="11">
        <v>2</v>
      </c>
      <c r="H11" s="11">
        <v>3</v>
      </c>
      <c r="I11" s="11">
        <v>4</v>
      </c>
      <c r="J11" s="11">
        <v>5</v>
      </c>
      <c r="K11" s="11">
        <v>6</v>
      </c>
      <c r="L11" s="11">
        <v>7</v>
      </c>
      <c r="M11" s="11">
        <v>8</v>
      </c>
      <c r="N11" s="11">
        <v>9</v>
      </c>
      <c r="O11" s="11">
        <v>10</v>
      </c>
      <c r="P11" s="11">
        <v>11</v>
      </c>
      <c r="Q11" s="11">
        <v>12</v>
      </c>
      <c r="R11" s="11">
        <v>13</v>
      </c>
      <c r="S11" s="11">
        <v>14</v>
      </c>
      <c r="T11" s="11">
        <v>15</v>
      </c>
      <c r="U11" s="11">
        <v>16</v>
      </c>
      <c r="V11" s="11">
        <v>17</v>
      </c>
      <c r="W11" s="11">
        <v>18</v>
      </c>
      <c r="X11" s="11">
        <v>19</v>
      </c>
      <c r="Y11" s="11">
        <v>20</v>
      </c>
      <c r="Z11" s="11">
        <v>21</v>
      </c>
      <c r="AA11" s="11">
        <v>22</v>
      </c>
      <c r="AB11" s="11">
        <v>23</v>
      </c>
      <c r="AC11" s="11">
        <v>24</v>
      </c>
      <c r="AD11" s="11">
        <v>25</v>
      </c>
      <c r="AE11" s="11">
        <v>26</v>
      </c>
      <c r="AF11" s="11">
        <v>27</v>
      </c>
      <c r="AG11" s="11">
        <v>28</v>
      </c>
      <c r="AH11" s="11">
        <v>29</v>
      </c>
      <c r="AI11" s="11">
        <v>30</v>
      </c>
      <c r="AJ11" s="11">
        <v>31</v>
      </c>
    </row>
    <row r="12" spans="1:36" x14ac:dyDescent="0.25">
      <c r="A12" s="10"/>
      <c r="B12" s="11" t="s">
        <v>8</v>
      </c>
      <c r="C12" s="11">
        <v>300</v>
      </c>
      <c r="D12" s="10"/>
      <c r="E12" s="10" t="s">
        <v>0</v>
      </c>
      <c r="F12" s="11">
        <v>0</v>
      </c>
      <c r="G12" s="11">
        <f>F12+$C$4</f>
        <v>3.3333333333333335E-3</v>
      </c>
      <c r="H12" s="11">
        <f t="shared" ref="H12:AJ12" si="0">G12+$C$4</f>
        <v>6.6666666666666671E-3</v>
      </c>
      <c r="I12" s="11">
        <f t="shared" si="0"/>
        <v>0.01</v>
      </c>
      <c r="J12" s="11">
        <f t="shared" si="0"/>
        <v>1.3333333333333334E-2</v>
      </c>
      <c r="K12" s="11">
        <f t="shared" si="0"/>
        <v>1.6666666666666666E-2</v>
      </c>
      <c r="L12" s="11">
        <f t="shared" si="0"/>
        <v>0.02</v>
      </c>
      <c r="M12" s="11">
        <f t="shared" si="0"/>
        <v>2.3333333333333334E-2</v>
      </c>
      <c r="N12" s="11">
        <f t="shared" si="0"/>
        <v>2.6666666666666668E-2</v>
      </c>
      <c r="O12" s="11">
        <f t="shared" si="0"/>
        <v>3.0000000000000002E-2</v>
      </c>
      <c r="P12" s="11">
        <f t="shared" si="0"/>
        <v>3.3333333333333333E-2</v>
      </c>
      <c r="Q12" s="11">
        <f t="shared" si="0"/>
        <v>3.6666666666666667E-2</v>
      </c>
      <c r="R12" s="11">
        <f t="shared" si="0"/>
        <v>0.04</v>
      </c>
      <c r="S12" s="11">
        <f t="shared" si="0"/>
        <v>4.3333333333333335E-2</v>
      </c>
      <c r="T12" s="11">
        <f t="shared" si="0"/>
        <v>4.6666666666666669E-2</v>
      </c>
      <c r="U12" s="11">
        <f t="shared" si="0"/>
        <v>0.05</v>
      </c>
      <c r="V12" s="11">
        <f t="shared" si="0"/>
        <v>5.3333333333333337E-2</v>
      </c>
      <c r="W12" s="11">
        <f t="shared" si="0"/>
        <v>5.6666666666666671E-2</v>
      </c>
      <c r="X12" s="11">
        <f t="shared" si="0"/>
        <v>6.0000000000000005E-2</v>
      </c>
      <c r="Y12" s="11">
        <f t="shared" si="0"/>
        <v>6.3333333333333339E-2</v>
      </c>
      <c r="Z12" s="11">
        <f t="shared" si="0"/>
        <v>6.6666666666666666E-2</v>
      </c>
      <c r="AA12" s="11">
        <f t="shared" si="0"/>
        <v>6.9999999999999993E-2</v>
      </c>
      <c r="AB12" s="11">
        <f t="shared" si="0"/>
        <v>7.333333333333332E-2</v>
      </c>
      <c r="AC12" s="11">
        <f t="shared" si="0"/>
        <v>7.6666666666666647E-2</v>
      </c>
      <c r="AD12" s="11">
        <f t="shared" si="0"/>
        <v>7.9999999999999974E-2</v>
      </c>
      <c r="AE12" s="11">
        <f t="shared" si="0"/>
        <v>8.3333333333333301E-2</v>
      </c>
      <c r="AF12" s="11">
        <f t="shared" si="0"/>
        <v>8.6666666666666628E-2</v>
      </c>
      <c r="AG12" s="11">
        <f t="shared" si="0"/>
        <v>8.9999999999999955E-2</v>
      </c>
      <c r="AH12" s="11">
        <f t="shared" si="0"/>
        <v>9.3333333333333282E-2</v>
      </c>
      <c r="AI12" s="11">
        <f t="shared" si="0"/>
        <v>9.6666666666666609E-2</v>
      </c>
      <c r="AJ12" s="11">
        <f t="shared" si="0"/>
        <v>9.9999999999999936E-2</v>
      </c>
    </row>
    <row r="13" spans="1:36" x14ac:dyDescent="0.25">
      <c r="A13" s="10"/>
      <c r="B13" s="11" t="s">
        <v>9</v>
      </c>
      <c r="C13" s="11">
        <v>100</v>
      </c>
      <c r="D13" s="10"/>
      <c r="E13" s="10" t="s">
        <v>7</v>
      </c>
      <c r="F13" s="10">
        <v>300</v>
      </c>
      <c r="G13" s="10">
        <v>280.33248702411498</v>
      </c>
      <c r="H13" s="10">
        <v>260.82943111125104</v>
      </c>
      <c r="I13" s="10">
        <v>241.65241041627974</v>
      </c>
      <c r="J13" s="10">
        <v>222.95733520467056</v>
      </c>
      <c r="K13" s="10">
        <v>204.89183406861548</v>
      </c>
      <c r="L13" s="10">
        <v>187.59289162100396</v>
      </c>
      <c r="M13" s="10">
        <v>171.18480124452063</v>
      </c>
      <c r="N13" s="10">
        <v>155.77748092073821</v>
      </c>
      <c r="O13" s="10">
        <v>141.46518280387318</v>
      </c>
      <c r="P13" s="10">
        <v>128.32560916526384</v>
      </c>
      <c r="Q13" s="10">
        <v>116.41942975288697</v>
      </c>
      <c r="R13" s="10">
        <v>105.79017953158954</v>
      </c>
      <c r="S13" s="10">
        <v>96.464502083957584</v>
      </c>
      <c r="T13" s="10">
        <v>88.452693321787663</v>
      </c>
      <c r="U13" s="10">
        <v>81.749492991935327</v>
      </c>
      <c r="V13" s="10">
        <v>76.335067884064244</v>
      </c>
      <c r="W13" s="10">
        <v>72.176130526888727</v>
      </c>
      <c r="X13" s="10">
        <v>69.227140117118267</v>
      </c>
      <c r="Y13" s="10">
        <v>67.431537904562404</v>
      </c>
      <c r="Z13" s="10">
        <v>66.722976570188905</v>
      </c>
      <c r="AA13" s="10">
        <v>67.026511544344075</v>
      </c>
      <c r="AB13" s="10">
        <v>68.259730989291498</v>
      </c>
      <c r="AC13" s="10">
        <v>70.333809663175956</v>
      </c>
      <c r="AD13" s="10">
        <v>73.154479558885129</v>
      </c>
      <c r="AE13" s="10">
        <v>76.622916700669137</v>
      </c>
      <c r="AF13" s="10">
        <v>80.636548580288988</v>
      </c>
      <c r="AG13" s="10">
        <v>85.089790392026359</v>
      </c>
      <c r="AH13" s="10">
        <v>89.874720594298054</v>
      </c>
      <c r="AI13" s="10">
        <v>94.881707612924288</v>
      </c>
      <c r="AJ13" s="10">
        <v>100</v>
      </c>
    </row>
    <row r="14" spans="1:36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</row>
    <row r="15" spans="1:36" x14ac:dyDescent="0.25">
      <c r="A15" s="10"/>
      <c r="B15" s="10"/>
      <c r="C15" s="10"/>
      <c r="D15" s="10"/>
      <c r="E15" s="10" t="s">
        <v>10</v>
      </c>
      <c r="F15" s="10"/>
      <c r="G15" s="10">
        <f>G13+(($C$10*$C$5)/($C$9*$C$8))*((H13-2*G13+F13)/($C$4^2))</f>
        <v>280.40839028397085</v>
      </c>
      <c r="H15" s="10">
        <f t="shared" ref="H15:AI15" si="1">H13+(($C$10*$C$5)/($C$9*$C$8))*((I13-2*H13+G13)/($C$4^2))</f>
        <v>260.97990890412456</v>
      </c>
      <c r="I15" s="10">
        <f t="shared" si="1"/>
        <v>241.87484679321611</v>
      </c>
      <c r="J15" s="10">
        <f t="shared" si="1"/>
        <v>223.2479078549263</v>
      </c>
      <c r="K15" s="10">
        <f t="shared" si="1"/>
        <v>205.24563038635867</v>
      </c>
      <c r="L15" s="10">
        <f t="shared" si="1"/>
        <v>188.00405411537082</v>
      </c>
      <c r="M15" s="10">
        <f t="shared" si="1"/>
        <v>171.64669511499798</v>
      </c>
      <c r="N15" s="10">
        <f t="shared" si="1"/>
        <v>156.28287578546932</v>
      </c>
      <c r="O15" s="10">
        <f t="shared" si="1"/>
        <v>142.00644025537582</v>
      </c>
      <c r="P15" s="10">
        <f t="shared" si="1"/>
        <v>128.89486803890961</v>
      </c>
      <c r="Q15" s="10">
        <f t="shared" si="1"/>
        <v>117.00878168723133</v>
      </c>
      <c r="R15" s="10">
        <f t="shared" si="1"/>
        <v>106.39182850405052</v>
      </c>
      <c r="S15" s="10">
        <f t="shared" si="1"/>
        <v>97.070903015709291</v>
      </c>
      <c r="T15" s="10">
        <f t="shared" si="1"/>
        <v>89.056666444395773</v>
      </c>
      <c r="U15" s="10">
        <f t="shared" si="1"/>
        <v>82.344312325157446</v>
      </c>
      <c r="V15" s="10">
        <f t="shared" si="1"/>
        <v>76.914523769000652</v>
      </c>
      <c r="W15" s="10">
        <f t="shared" si="1"/>
        <v>72.734567579537213</v>
      </c>
      <c r="X15" s="10">
        <f t="shared" si="1"/>
        <v>69.759473131217305</v>
      </c>
      <c r="Y15" s="10">
        <f t="shared" si="1"/>
        <v>67.933249079108109</v>
      </c>
      <c r="Z15" s="10">
        <f t="shared" si="1"/>
        <v>67.19009794335598</v>
      </c>
      <c r="AA15" s="10">
        <f t="shared" si="1"/>
        <v>67.455596684709732</v>
      </c>
      <c r="AB15" s="10">
        <f t="shared" si="1"/>
        <v>68.647819864185507</v>
      </c>
      <c r="AC15" s="10">
        <f t="shared" si="1"/>
        <v>70.678390227095051</v>
      </c>
      <c r="AD15" s="10">
        <f t="shared" si="1"/>
        <v>73.453449057073513</v>
      </c>
      <c r="AE15" s="10">
        <f t="shared" si="1"/>
        <v>76.874545041208762</v>
      </c>
      <c r="AF15" s="10">
        <f t="shared" si="1"/>
        <v>80.839445472035536</v>
      </c>
      <c r="AG15" s="10">
        <f t="shared" si="1"/>
        <v>85.242877341503743</v>
      </c>
      <c r="AH15" s="10">
        <f t="shared" si="1"/>
        <v>89.977208355692454</v>
      </c>
      <c r="AI15" s="10">
        <f t="shared" si="1"/>
        <v>94.933079321439436</v>
      </c>
      <c r="AJ15" s="10"/>
    </row>
    <row r="16" spans="1:36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</row>
    <row r="17" spans="1:36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</row>
    <row r="18" spans="1:36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</row>
    <row r="19" spans="1:36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</row>
    <row r="20" spans="1:36" x14ac:dyDescent="0.25">
      <c r="A20" s="10"/>
      <c r="B20" s="10"/>
      <c r="C20" s="10"/>
      <c r="D20" s="10"/>
      <c r="E20" s="10"/>
      <c r="F20" s="11">
        <v>1</v>
      </c>
      <c r="G20" s="11">
        <v>2</v>
      </c>
      <c r="H20" s="11">
        <v>3</v>
      </c>
      <c r="I20" s="11">
        <v>4</v>
      </c>
      <c r="J20" s="11">
        <v>5</v>
      </c>
      <c r="K20" s="11">
        <v>6</v>
      </c>
      <c r="L20" s="11">
        <v>7</v>
      </c>
      <c r="M20" s="11">
        <v>8</v>
      </c>
      <c r="N20" s="11">
        <v>9</v>
      </c>
      <c r="O20" s="11">
        <v>10</v>
      </c>
      <c r="P20" s="11">
        <v>11</v>
      </c>
      <c r="Q20" s="11">
        <v>12</v>
      </c>
      <c r="R20" s="11">
        <v>13</v>
      </c>
      <c r="S20" s="11">
        <v>14</v>
      </c>
      <c r="T20" s="11">
        <v>15</v>
      </c>
      <c r="U20" s="11">
        <v>16</v>
      </c>
      <c r="V20" s="11">
        <v>17</v>
      </c>
      <c r="W20" s="11">
        <v>18</v>
      </c>
      <c r="X20" s="11">
        <v>19</v>
      </c>
      <c r="Y20" s="11">
        <v>20</v>
      </c>
      <c r="Z20" s="11">
        <v>21</v>
      </c>
      <c r="AA20" s="11">
        <v>22</v>
      </c>
      <c r="AB20" s="11">
        <v>23</v>
      </c>
      <c r="AC20" s="11">
        <v>24</v>
      </c>
      <c r="AD20" s="11">
        <v>25</v>
      </c>
      <c r="AE20" s="11">
        <v>26</v>
      </c>
      <c r="AF20" s="11">
        <v>27</v>
      </c>
      <c r="AG20" s="11">
        <v>28</v>
      </c>
      <c r="AH20" s="11">
        <v>29</v>
      </c>
      <c r="AI20" s="11">
        <v>30</v>
      </c>
      <c r="AJ20" s="11">
        <v>31</v>
      </c>
    </row>
    <row r="21" spans="1:36" x14ac:dyDescent="0.25">
      <c r="A21" s="10"/>
      <c r="B21" s="11" t="s">
        <v>11</v>
      </c>
      <c r="C21" s="11">
        <v>92000</v>
      </c>
      <c r="D21" s="10"/>
      <c r="E21" s="10" t="s">
        <v>0</v>
      </c>
      <c r="F21" s="11">
        <v>0</v>
      </c>
      <c r="G21" s="11">
        <f>F21+$C$4</f>
        <v>3.3333333333333335E-3</v>
      </c>
      <c r="H21" s="11">
        <f t="shared" ref="H21:AJ21" si="2">G21+$C$4</f>
        <v>6.6666666666666671E-3</v>
      </c>
      <c r="I21" s="11">
        <f t="shared" si="2"/>
        <v>0.01</v>
      </c>
      <c r="J21" s="11">
        <f t="shared" si="2"/>
        <v>1.3333333333333334E-2</v>
      </c>
      <c r="K21" s="11">
        <f t="shared" si="2"/>
        <v>1.6666666666666666E-2</v>
      </c>
      <c r="L21" s="11">
        <f t="shared" si="2"/>
        <v>0.02</v>
      </c>
      <c r="M21" s="11">
        <f t="shared" si="2"/>
        <v>2.3333333333333334E-2</v>
      </c>
      <c r="N21" s="11">
        <f t="shared" si="2"/>
        <v>2.6666666666666668E-2</v>
      </c>
      <c r="O21" s="11">
        <f t="shared" si="2"/>
        <v>3.0000000000000002E-2</v>
      </c>
      <c r="P21" s="11">
        <f t="shared" si="2"/>
        <v>3.3333333333333333E-2</v>
      </c>
      <c r="Q21" s="11">
        <f t="shared" si="2"/>
        <v>3.6666666666666667E-2</v>
      </c>
      <c r="R21" s="11">
        <f t="shared" si="2"/>
        <v>0.04</v>
      </c>
      <c r="S21" s="11">
        <f t="shared" si="2"/>
        <v>4.3333333333333335E-2</v>
      </c>
      <c r="T21" s="11">
        <f t="shared" si="2"/>
        <v>4.6666666666666669E-2</v>
      </c>
      <c r="U21" s="11">
        <f t="shared" si="2"/>
        <v>0.05</v>
      </c>
      <c r="V21" s="11">
        <f t="shared" si="2"/>
        <v>5.3333333333333337E-2</v>
      </c>
      <c r="W21" s="11">
        <f t="shared" si="2"/>
        <v>5.6666666666666671E-2</v>
      </c>
      <c r="X21" s="11">
        <f t="shared" si="2"/>
        <v>6.0000000000000005E-2</v>
      </c>
      <c r="Y21" s="11">
        <f t="shared" si="2"/>
        <v>6.3333333333333339E-2</v>
      </c>
      <c r="Z21" s="11">
        <f t="shared" si="2"/>
        <v>6.6666666666666666E-2</v>
      </c>
      <c r="AA21" s="11">
        <f t="shared" si="2"/>
        <v>6.9999999999999993E-2</v>
      </c>
      <c r="AB21" s="11">
        <f t="shared" si="2"/>
        <v>7.333333333333332E-2</v>
      </c>
      <c r="AC21" s="11">
        <f t="shared" si="2"/>
        <v>7.6666666666666647E-2</v>
      </c>
      <c r="AD21" s="11">
        <f t="shared" si="2"/>
        <v>7.9999999999999974E-2</v>
      </c>
      <c r="AE21" s="11">
        <f t="shared" si="2"/>
        <v>8.3333333333333301E-2</v>
      </c>
      <c r="AF21" s="11">
        <f t="shared" si="2"/>
        <v>8.6666666666666628E-2</v>
      </c>
      <c r="AG21" s="11">
        <f t="shared" si="2"/>
        <v>8.9999999999999955E-2</v>
      </c>
      <c r="AH21" s="11">
        <f t="shared" si="2"/>
        <v>9.3333333333333282E-2</v>
      </c>
      <c r="AI21" s="11">
        <f t="shared" si="2"/>
        <v>9.6666666666666609E-2</v>
      </c>
      <c r="AJ21" s="11">
        <f t="shared" si="2"/>
        <v>9.9999999999999936E-2</v>
      </c>
    </row>
    <row r="22" spans="1:36" x14ac:dyDescent="0.25">
      <c r="A22" s="10"/>
      <c r="B22" s="11" t="s">
        <v>9</v>
      </c>
      <c r="C22" s="11">
        <v>100</v>
      </c>
      <c r="D22" s="10"/>
      <c r="E22" s="10" t="s">
        <v>7</v>
      </c>
      <c r="F22" s="10">
        <f>F25/C10*C4+G22</f>
        <v>289.14551881260553</v>
      </c>
      <c r="G22" s="10">
        <v>282.47885214593884</v>
      </c>
      <c r="H22" s="10">
        <v>275.84295376549903</v>
      </c>
      <c r="I22" s="10">
        <v>269.23773613614185</v>
      </c>
      <c r="J22" s="10">
        <v>262.66302570846733</v>
      </c>
      <c r="K22" s="10">
        <v>256.11856087966436</v>
      </c>
      <c r="L22" s="10">
        <v>249.60399649581322</v>
      </c>
      <c r="M22" s="10">
        <v>243.11889988245093</v>
      </c>
      <c r="N22" s="10">
        <v>236.66275814983416</v>
      </c>
      <c r="O22" s="10">
        <v>230.23497250586695</v>
      </c>
      <c r="P22" s="10">
        <v>223.83486807556034</v>
      </c>
      <c r="Q22" s="10">
        <v>217.46168680274295</v>
      </c>
      <c r="R22" s="10">
        <v>211.11459939722539</v>
      </c>
      <c r="S22" s="10">
        <v>204.79269721108508</v>
      </c>
      <c r="T22" s="10">
        <v>198.49500584613287</v>
      </c>
      <c r="U22" s="10">
        <v>192.22047645176292</v>
      </c>
      <c r="V22" s="10">
        <v>185.96800046470983</v>
      </c>
      <c r="W22" s="10">
        <v>179.73640081554817</v>
      </c>
      <c r="X22" s="10">
        <v>173.52444723499667</v>
      </c>
      <c r="Y22" s="10">
        <v>167.33084787316977</v>
      </c>
      <c r="Z22" s="10">
        <v>161.15426459338431</v>
      </c>
      <c r="AA22" s="10">
        <v>154.9933055012923</v>
      </c>
      <c r="AB22" s="10">
        <v>148.84653965873562</v>
      </c>
      <c r="AC22" s="10">
        <v>142.71249098910911</v>
      </c>
      <c r="AD22" s="10">
        <v>136.58965187964165</v>
      </c>
      <c r="AE22" s="10">
        <v>130.47647887602361</v>
      </c>
      <c r="AF22" s="10">
        <v>124.37140469984179</v>
      </c>
      <c r="AG22" s="10">
        <v>118.27283607196378</v>
      </c>
      <c r="AH22" s="10">
        <v>112.17916374998953</v>
      </c>
      <c r="AI22" s="10">
        <v>106.08876272935932</v>
      </c>
      <c r="AJ22" s="10">
        <v>100</v>
      </c>
    </row>
    <row r="23" spans="1:36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</row>
    <row r="24" spans="1:36" x14ac:dyDescent="0.25">
      <c r="A24" s="10"/>
      <c r="B24" s="10"/>
      <c r="C24" s="10"/>
      <c r="D24" s="10"/>
      <c r="E24" s="10" t="s">
        <v>12</v>
      </c>
      <c r="F24" s="10"/>
      <c r="G24" s="10">
        <f>G22+(($C$10*$C$5)/($C$9*$C$8))*((H22-2*G22+F22)/($C$4^2))</f>
        <v>282.49305289342817</v>
      </c>
      <c r="H24" s="10">
        <f>H22+(($C$10*$C$5)/($C$9*$C$8))*((I22-2*H22+G22)/($C$4^2))</f>
        <v>275.85711411215254</v>
      </c>
      <c r="I24" s="10">
        <f>I22+(($C$10*$C$5)/($C$9*$C$8))*((J22-2*I22+H22)/($C$4^2))</f>
        <v>269.25181638307231</v>
      </c>
      <c r="J24" s="10">
        <f t="shared" ref="J24:AI24" si="3">J22+(($C$10*$C$5)/($C$9*$C$8))*((K22-2*J22+I22)/($C$4^2))</f>
        <v>262.67698521563881</v>
      </c>
      <c r="K24" s="10">
        <f t="shared" si="3"/>
        <v>256.13236108502673</v>
      </c>
      <c r="L24" s="10">
        <f t="shared" si="3"/>
        <v>249.6175970052696</v>
      </c>
      <c r="M24" s="10">
        <f t="shared" si="3"/>
        <v>243.13226367356424</v>
      </c>
      <c r="N24" s="10">
        <f>N22+(($C$10*$C$5)/($C$9*$C$8))*((O22-2*N22+M22)/($C$4^2))</f>
        <v>236.67584557536472</v>
      </c>
      <c r="O24" s="10">
        <f t="shared" si="3"/>
        <v>230.24774845063337</v>
      </c>
      <c r="P24" s="10">
        <f t="shared" si="3"/>
        <v>223.84729414824767</v>
      </c>
      <c r="Q24" s="10">
        <f t="shared" si="3"/>
        <v>217.47373012611209</v>
      </c>
      <c r="R24" s="10">
        <f t="shared" si="3"/>
        <v>211.12622334463026</v>
      </c>
      <c r="S24" s="10">
        <f t="shared" si="3"/>
        <v>204.80387143624881</v>
      </c>
      <c r="T24" s="10">
        <f t="shared" si="3"/>
        <v>198.50569598640161</v>
      </c>
      <c r="U24" s="10">
        <f t="shared" si="3"/>
        <v>192.23065494744762</v>
      </c>
      <c r="V24" s="10">
        <f t="shared" si="3"/>
        <v>185.9776356975828</v>
      </c>
      <c r="W24" s="10">
        <f t="shared" si="3"/>
        <v>179.74546823182979</v>
      </c>
      <c r="X24" s="10">
        <f t="shared" si="3"/>
        <v>173.53291841286955</v>
      </c>
      <c r="Y24" s="10">
        <f t="shared" si="3"/>
        <v>167.3387014494966</v>
      </c>
      <c r="Z24" s="10">
        <f t="shared" si="3"/>
        <v>161.16147575693515</v>
      </c>
      <c r="AA24" s="10">
        <f t="shared" si="3"/>
        <v>154.99985623184708</v>
      </c>
      <c r="AB24" s="10">
        <f t="shared" si="3"/>
        <v>148.85240912316493</v>
      </c>
      <c r="AC24" s="10">
        <f t="shared" si="3"/>
        <v>142.71766463225944</v>
      </c>
      <c r="AD24" s="10">
        <f t="shared" si="3"/>
        <v>136.59411315926445</v>
      </c>
      <c r="AE24" s="10">
        <f t="shared" si="3"/>
        <v>130.48021679637878</v>
      </c>
      <c r="AF24" s="10">
        <f t="shared" si="3"/>
        <v>124.37440726059739</v>
      </c>
      <c r="AG24" s="10">
        <f t="shared" si="3"/>
        <v>118.27509590545782</v>
      </c>
      <c r="AH24" s="10">
        <f t="shared" si="3"/>
        <v>112.18067358137908</v>
      </c>
      <c r="AI24" s="10">
        <f t="shared" si="3"/>
        <v>106.08951886379204</v>
      </c>
      <c r="AJ24" s="10"/>
    </row>
    <row r="25" spans="1:36" x14ac:dyDescent="0.25">
      <c r="A25" s="10"/>
      <c r="B25" s="10"/>
      <c r="C25" s="10"/>
      <c r="D25" s="10"/>
      <c r="E25" s="10" t="s">
        <v>13</v>
      </c>
      <c r="F25" s="10">
        <v>92000</v>
      </c>
      <c r="G25" s="10">
        <f>-$C$10*(G22-F22)/$C$4</f>
        <v>92000.000000000262</v>
      </c>
      <c r="H25" s="10">
        <f>-$C$10*(H22-G22)/$C$4</f>
        <v>91575.397650069397</v>
      </c>
      <c r="I25" s="10">
        <f>-$C$10*(I22-H22)/$C$4</f>
        <v>91152.003285129147</v>
      </c>
      <c r="J25" s="10">
        <f>-$C$10*(J22-I22)/$C$4</f>
        <v>90731.003901908334</v>
      </c>
      <c r="K25" s="10">
        <f t="shared" ref="K25:AI25" si="4">-$C$10*(K22-J22)/$C$4</f>
        <v>90313.61463748102</v>
      </c>
      <c r="L25" s="10">
        <f t="shared" si="4"/>
        <v>89900.988497145692</v>
      </c>
      <c r="M25" s="10">
        <f t="shared" si="4"/>
        <v>89494.333264399567</v>
      </c>
      <c r="N25" s="10">
        <f>-$C$10*(N22-M22)/$C$4</f>
        <v>89094.755910111446</v>
      </c>
      <c r="O25" s="10">
        <f t="shared" si="4"/>
        <v>88703.441886747518</v>
      </c>
      <c r="P25" s="10">
        <f t="shared" si="4"/>
        <v>88321.441138231239</v>
      </c>
      <c r="Q25" s="10">
        <f t="shared" si="4"/>
        <v>87949.901564879983</v>
      </c>
      <c r="R25" s="10">
        <f t="shared" si="4"/>
        <v>87589.806196142265</v>
      </c>
      <c r="S25" s="10">
        <f t="shared" si="4"/>
        <v>87242.250168736224</v>
      </c>
      <c r="T25" s="10">
        <f t="shared" si="4"/>
        <v>86908.14083634055</v>
      </c>
      <c r="U25" s="10">
        <f t="shared" si="4"/>
        <v>86588.505642305303</v>
      </c>
      <c r="V25" s="10">
        <f t="shared" si="4"/>
        <v>86284.168621332617</v>
      </c>
      <c r="W25" s="10">
        <f t="shared" si="4"/>
        <v>85996.075158430976</v>
      </c>
      <c r="X25" s="10">
        <f t="shared" si="4"/>
        <v>85724.959411610616</v>
      </c>
      <c r="Y25" s="10">
        <f t="shared" si="4"/>
        <v>85471.671193211194</v>
      </c>
      <c r="Z25" s="10">
        <f t="shared" si="4"/>
        <v>85236.849261039359</v>
      </c>
      <c r="AA25" s="10">
        <f t="shared" si="4"/>
        <v>85021.235470869782</v>
      </c>
      <c r="AB25" s="10">
        <f t="shared" si="4"/>
        <v>84825.368627282121</v>
      </c>
      <c r="AC25" s="10">
        <f t="shared" si="4"/>
        <v>84649.871640845813</v>
      </c>
      <c r="AD25" s="10">
        <f t="shared" si="4"/>
        <v>84495.179710650991</v>
      </c>
      <c r="AE25" s="10">
        <f t="shared" si="4"/>
        <v>84361.787449929005</v>
      </c>
      <c r="AF25" s="10">
        <f t="shared" si="4"/>
        <v>84250.023631309057</v>
      </c>
      <c r="AG25" s="10">
        <f t="shared" si="4"/>
        <v>84160.247064716517</v>
      </c>
      <c r="AH25" s="10">
        <f t="shared" si="4"/>
        <v>84092.678043244683</v>
      </c>
      <c r="AI25" s="10">
        <f t="shared" si="4"/>
        <v>84047.53408469689</v>
      </c>
      <c r="AJ25" s="10"/>
    </row>
    <row r="26" spans="1:36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</row>
    <row r="27" spans="1:36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</row>
    <row r="28" spans="1:36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</row>
    <row r="29" spans="1:36" x14ac:dyDescent="0.25">
      <c r="A29" s="10"/>
      <c r="B29" s="10"/>
      <c r="C29" s="10"/>
      <c r="D29" s="10"/>
      <c r="E29" s="10"/>
      <c r="F29" s="11">
        <v>1</v>
      </c>
      <c r="G29" s="11">
        <v>2</v>
      </c>
      <c r="H29" s="11">
        <v>3</v>
      </c>
      <c r="I29" s="11">
        <v>4</v>
      </c>
      <c r="J29" s="11">
        <v>5</v>
      </c>
      <c r="K29" s="11">
        <v>6</v>
      </c>
      <c r="L29" s="11">
        <v>7</v>
      </c>
      <c r="M29" s="11">
        <v>8</v>
      </c>
      <c r="N29" s="11">
        <v>9</v>
      </c>
      <c r="O29" s="11">
        <v>10</v>
      </c>
      <c r="P29" s="11">
        <v>11</v>
      </c>
      <c r="Q29" s="11">
        <v>12</v>
      </c>
      <c r="R29" s="11">
        <v>13</v>
      </c>
      <c r="S29" s="11">
        <v>14</v>
      </c>
      <c r="T29" s="11">
        <v>15</v>
      </c>
      <c r="U29" s="11">
        <v>16</v>
      </c>
      <c r="V29" s="11">
        <v>17</v>
      </c>
      <c r="W29" s="11">
        <v>18</v>
      </c>
      <c r="X29" s="11">
        <v>19</v>
      </c>
      <c r="Y29" s="11">
        <v>20</v>
      </c>
      <c r="Z29" s="11">
        <v>21</v>
      </c>
      <c r="AA29" s="11">
        <v>22</v>
      </c>
      <c r="AB29" s="11">
        <v>23</v>
      </c>
      <c r="AC29" s="11">
        <v>24</v>
      </c>
      <c r="AD29" s="11">
        <v>25</v>
      </c>
      <c r="AE29" s="11">
        <v>26</v>
      </c>
      <c r="AF29" s="11">
        <v>27</v>
      </c>
      <c r="AG29" s="11">
        <v>28</v>
      </c>
      <c r="AH29" s="11">
        <v>29</v>
      </c>
      <c r="AI29" s="11">
        <v>30</v>
      </c>
      <c r="AJ29" s="11">
        <v>31</v>
      </c>
    </row>
    <row r="30" spans="1:36" x14ac:dyDescent="0.25">
      <c r="A30" s="10"/>
      <c r="B30" s="11" t="s">
        <v>11</v>
      </c>
      <c r="C30" s="11">
        <v>92000</v>
      </c>
      <c r="D30" s="10"/>
      <c r="E30" s="10" t="s">
        <v>0</v>
      </c>
      <c r="F30" s="11">
        <v>0</v>
      </c>
      <c r="G30" s="11">
        <f>F30+$C$4</f>
        <v>3.3333333333333335E-3</v>
      </c>
      <c r="H30" s="11">
        <f t="shared" ref="H30:AJ30" si="5">G30+$C$4</f>
        <v>6.6666666666666671E-3</v>
      </c>
      <c r="I30" s="11">
        <f t="shared" si="5"/>
        <v>0.01</v>
      </c>
      <c r="J30" s="11">
        <f t="shared" si="5"/>
        <v>1.3333333333333334E-2</v>
      </c>
      <c r="K30" s="11">
        <f t="shared" si="5"/>
        <v>1.6666666666666666E-2</v>
      </c>
      <c r="L30" s="11">
        <f t="shared" si="5"/>
        <v>0.02</v>
      </c>
      <c r="M30" s="11">
        <f t="shared" si="5"/>
        <v>2.3333333333333334E-2</v>
      </c>
      <c r="N30" s="11">
        <f t="shared" si="5"/>
        <v>2.6666666666666668E-2</v>
      </c>
      <c r="O30" s="11">
        <f t="shared" si="5"/>
        <v>3.0000000000000002E-2</v>
      </c>
      <c r="P30" s="11">
        <f t="shared" si="5"/>
        <v>3.3333333333333333E-2</v>
      </c>
      <c r="Q30" s="11">
        <f t="shared" si="5"/>
        <v>3.6666666666666667E-2</v>
      </c>
      <c r="R30" s="11">
        <f t="shared" si="5"/>
        <v>0.04</v>
      </c>
      <c r="S30" s="11">
        <f t="shared" si="5"/>
        <v>4.3333333333333335E-2</v>
      </c>
      <c r="T30" s="11">
        <f t="shared" si="5"/>
        <v>4.6666666666666669E-2</v>
      </c>
      <c r="U30" s="11">
        <f t="shared" si="5"/>
        <v>0.05</v>
      </c>
      <c r="V30" s="11">
        <f t="shared" si="5"/>
        <v>5.3333333333333337E-2</v>
      </c>
      <c r="W30" s="11">
        <f t="shared" si="5"/>
        <v>5.6666666666666671E-2</v>
      </c>
      <c r="X30" s="11">
        <f t="shared" si="5"/>
        <v>6.0000000000000005E-2</v>
      </c>
      <c r="Y30" s="11">
        <f t="shared" si="5"/>
        <v>6.3333333333333339E-2</v>
      </c>
      <c r="Z30" s="11">
        <f t="shared" si="5"/>
        <v>6.6666666666666666E-2</v>
      </c>
      <c r="AA30" s="11">
        <f t="shared" si="5"/>
        <v>6.9999999999999993E-2</v>
      </c>
      <c r="AB30" s="11">
        <f t="shared" si="5"/>
        <v>7.333333333333332E-2</v>
      </c>
      <c r="AC30" s="11">
        <f t="shared" si="5"/>
        <v>7.6666666666666647E-2</v>
      </c>
      <c r="AD30" s="11">
        <f t="shared" si="5"/>
        <v>7.9999999999999974E-2</v>
      </c>
      <c r="AE30" s="11">
        <f t="shared" si="5"/>
        <v>8.3333333333333301E-2</v>
      </c>
      <c r="AF30" s="11">
        <f t="shared" si="5"/>
        <v>8.6666666666666628E-2</v>
      </c>
      <c r="AG30" s="11">
        <f t="shared" si="5"/>
        <v>8.9999999999999955E-2</v>
      </c>
      <c r="AH30" s="11">
        <f t="shared" si="5"/>
        <v>9.3333333333333282E-2</v>
      </c>
      <c r="AI30" s="11">
        <f t="shared" si="5"/>
        <v>9.6666666666666609E-2</v>
      </c>
      <c r="AJ30" s="11">
        <f t="shared" si="5"/>
        <v>9.9999999999999936E-2</v>
      </c>
    </row>
    <row r="31" spans="1:36" x14ac:dyDescent="0.25">
      <c r="A31" s="10"/>
      <c r="B31" s="11" t="s">
        <v>9</v>
      </c>
      <c r="C31" s="11">
        <v>100</v>
      </c>
      <c r="D31" s="10"/>
      <c r="E31" s="10" t="s">
        <v>7</v>
      </c>
      <c r="F31" s="10">
        <f>($C$33*$C$4*$C$32+$C$10*$G$31)/($C$10+$C$33*$C$4)</f>
        <v>299.99985163261891</v>
      </c>
      <c r="G31" s="10">
        <v>293.3331742146928</v>
      </c>
      <c r="H31" s="10">
        <v>286.66649776466045</v>
      </c>
      <c r="I31" s="10">
        <v>279.99982234203355</v>
      </c>
      <c r="J31" s="10">
        <v>273.33314800007156</v>
      </c>
      <c r="K31" s="10">
        <v>266.66647478546452</v>
      </c>
      <c r="L31" s="10">
        <v>259.99980273803936</v>
      </c>
      <c r="M31" s="10">
        <v>253.33313189053024</v>
      </c>
      <c r="N31" s="10">
        <v>246.66646226836411</v>
      </c>
      <c r="O31" s="10">
        <v>239.99979388952389</v>
      </c>
      <c r="P31" s="10">
        <v>233.33312676441892</v>
      </c>
      <c r="Q31" s="10">
        <v>226.66646089584373</v>
      </c>
      <c r="R31" s="10">
        <v>219.9997962789374</v>
      </c>
      <c r="S31" s="10">
        <v>213.33313290123812</v>
      </c>
      <c r="T31" s="10">
        <v>206.66647074273277</v>
      </c>
      <c r="U31" s="10">
        <v>199.99980977600597</v>
      </c>
      <c r="V31" s="10">
        <v>193.33314996637864</v>
      </c>
      <c r="W31" s="10">
        <v>186.66649127214777</v>
      </c>
      <c r="X31" s="10">
        <v>179.99983364481102</v>
      </c>
      <c r="Y31" s="10">
        <v>173.33317702939058</v>
      </c>
      <c r="Z31" s="10">
        <v>166.66652136473954</v>
      </c>
      <c r="AA31" s="10">
        <v>159.99986658394076</v>
      </c>
      <c r="AB31" s="10">
        <v>153.33321261468828</v>
      </c>
      <c r="AC31" s="10">
        <v>146.66655937975133</v>
      </c>
      <c r="AD31" s="10">
        <v>139.99990679742166</v>
      </c>
      <c r="AE31" s="10">
        <v>133.33325478203096</v>
      </c>
      <c r="AF31" s="10">
        <v>126.66660324445392</v>
      </c>
      <c r="AG31" s="10">
        <v>119.99995209266579</v>
      </c>
      <c r="AH31" s="10">
        <v>113.33330123228947</v>
      </c>
      <c r="AI31" s="10">
        <v>106.66665056717957</v>
      </c>
      <c r="AJ31" s="10">
        <v>100</v>
      </c>
    </row>
    <row r="32" spans="1:36" x14ac:dyDescent="0.25">
      <c r="A32" s="10"/>
      <c r="B32" s="10" t="s">
        <v>14</v>
      </c>
      <c r="C32" s="10">
        <v>392</v>
      </c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</row>
    <row r="33" spans="1:36" x14ac:dyDescent="0.25">
      <c r="A33" s="10"/>
      <c r="B33" s="10" t="s">
        <v>15</v>
      </c>
      <c r="C33" s="10">
        <v>1000</v>
      </c>
      <c r="D33" s="10"/>
      <c r="E33" s="10" t="s">
        <v>12</v>
      </c>
      <c r="F33" s="10"/>
      <c r="G33" s="10">
        <f>G31+(($C$10*$C$5)/($C$9*$C$8))*((H31-2*G31+F31)/($C$4^2))</f>
        <v>293.33317466141301</v>
      </c>
      <c r="H33" s="10">
        <f t="shared" ref="H33:AH33" si="6">H31+(($C$10*$C$5)/($C$9*$C$8))*((I31-2*H31+G31)/($C$4^2))</f>
        <v>286.66649823884757</v>
      </c>
      <c r="I33" s="10">
        <f t="shared" si="6"/>
        <v>279.99982284080198</v>
      </c>
      <c r="J33" s="10">
        <f>J31+(($C$10*$C$5)/($C$9*$C$8))*((K31-2*J31+I31)/($C$4^2))</f>
        <v>273.33314852038922</v>
      </c>
      <c r="K33" s="10">
        <f t="shared" si="6"/>
        <v>266.66647532416386</v>
      </c>
      <c r="L33" s="10">
        <f t="shared" si="6"/>
        <v>259.99980329184677</v>
      </c>
      <c r="M33" s="10">
        <f t="shared" si="6"/>
        <v>253.33313245607317</v>
      </c>
      <c r="N33" s="10">
        <f t="shared" si="6"/>
        <v>246.66646284220684</v>
      </c>
      <c r="O33" s="10">
        <f t="shared" si="6"/>
        <v>239.99979446817093</v>
      </c>
      <c r="P33" s="10">
        <f t="shared" si="6"/>
        <v>233.33312734435574</v>
      </c>
      <c r="Q33" s="10">
        <f t="shared" si="6"/>
        <v>226.66646147353705</v>
      </c>
      <c r="R33" s="10">
        <f t="shared" si="6"/>
        <v>219.99979685087911</v>
      </c>
      <c r="S33" s="10">
        <f t="shared" si="6"/>
        <v>213.333133463943</v>
      </c>
      <c r="T33" s="10">
        <f t="shared" si="6"/>
        <v>206.66647129278442</v>
      </c>
      <c r="U33" s="10">
        <f t="shared" si="6"/>
        <v>199.99981031005188</v>
      </c>
      <c r="V33" s="10">
        <f t="shared" si="6"/>
        <v>193.333150481177</v>
      </c>
      <c r="W33" s="10">
        <f t="shared" si="6"/>
        <v>186.66649176456045</v>
      </c>
      <c r="X33" s="10">
        <f t="shared" si="6"/>
        <v>179.99983411184931</v>
      </c>
      <c r="Y33" s="10">
        <f t="shared" si="6"/>
        <v>173.33317746820723</v>
      </c>
      <c r="Z33" s="10">
        <f t="shared" si="6"/>
        <v>166.66652177267136</v>
      </c>
      <c r="AA33" s="10">
        <f t="shared" si="6"/>
        <v>159.99986695850058</v>
      </c>
      <c r="AB33" s="10">
        <f t="shared" si="6"/>
        <v>153.33321295360315</v>
      </c>
      <c r="AC33" s="10">
        <f t="shared" si="6"/>
        <v>146.66655968095469</v>
      </c>
      <c r="AD33" s="10">
        <f t="shared" si="6"/>
        <v>139.99990705908581</v>
      </c>
      <c r="AE33" s="10">
        <f t="shared" si="6"/>
        <v>133.33325500256035</v>
      </c>
      <c r="AF33" s="10">
        <f t="shared" si="6"/>
        <v>126.66660342251033</v>
      </c>
      <c r="AG33" s="10">
        <f t="shared" si="6"/>
        <v>119.99995222716355</v>
      </c>
      <c r="AH33" s="10">
        <f t="shared" si="6"/>
        <v>113.33330132241244</v>
      </c>
      <c r="AI33" s="10">
        <f>AI31+(($C$10*$C$5)/($C$9*$C$8))*((AJ31-2*AI31+AH31)/($C$4^2))</f>
        <v>106.66665061237819</v>
      </c>
      <c r="AJ33" s="10"/>
    </row>
    <row r="34" spans="1:36" x14ac:dyDescent="0.25">
      <c r="A34" s="10"/>
      <c r="B34" s="10"/>
      <c r="C34" s="10"/>
      <c r="D34" s="10"/>
      <c r="E34" s="10" t="s">
        <v>13</v>
      </c>
      <c r="F34" s="10">
        <v>92000</v>
      </c>
      <c r="G34" s="10">
        <f>-$C$10*(G31-F31)/$C$4</f>
        <v>92000.148367380301</v>
      </c>
      <c r="H34" s="10">
        <f t="shared" ref="H34:AI34" si="7">-$C$10*(H31-G31)/$C$4</f>
        <v>92000.135010446495</v>
      </c>
      <c r="I34" s="10">
        <f t="shared" si="7"/>
        <v>92000.120832251137</v>
      </c>
      <c r="J34" s="10">
        <f t="shared" si="7"/>
        <v>92000.105919075504</v>
      </c>
      <c r="K34" s="10">
        <f t="shared" si="7"/>
        <v>92000.090361577211</v>
      </c>
      <c r="L34" s="10">
        <f t="shared" si="7"/>
        <v>92000.074254467094</v>
      </c>
      <c r="M34" s="10">
        <f t="shared" si="7"/>
        <v>92000.057695625903</v>
      </c>
      <c r="N34" s="10">
        <f t="shared" si="7"/>
        <v>92000.040785892532</v>
      </c>
      <c r="O34" s="10">
        <f t="shared" si="7"/>
        <v>92000.023627995135</v>
      </c>
      <c r="P34" s="10">
        <f t="shared" si="7"/>
        <v>92000.006326448507</v>
      </c>
      <c r="Q34" s="10">
        <f t="shared" si="7"/>
        <v>91999.988986337674</v>
      </c>
      <c r="R34" s="10">
        <f t="shared" si="7"/>
        <v>91999.971713307372</v>
      </c>
      <c r="S34" s="10">
        <f t="shared" si="7"/>
        <v>91999.954612250047</v>
      </c>
      <c r="T34" s="10">
        <f t="shared" si="7"/>
        <v>91999.937787373769</v>
      </c>
      <c r="U34" s="10">
        <f t="shared" si="7"/>
        <v>91999.921340829766</v>
      </c>
      <c r="V34" s="10">
        <f t="shared" si="7"/>
        <v>91999.905372857189</v>
      </c>
      <c r="W34" s="10">
        <f t="shared" si="7"/>
        <v>91999.88998038607</v>
      </c>
      <c r="X34" s="10">
        <f t="shared" si="7"/>
        <v>91999.875257247098</v>
      </c>
      <c r="Y34" s="10">
        <f t="shared" si="7"/>
        <v>91999.861292802016</v>
      </c>
      <c r="Z34" s="10">
        <f t="shared" si="7"/>
        <v>91999.848172184429</v>
      </c>
      <c r="AA34" s="10">
        <f t="shared" si="7"/>
        <v>91999.835975023161</v>
      </c>
      <c r="AB34" s="10">
        <f t="shared" si="7"/>
        <v>91999.824775684203</v>
      </c>
      <c r="AC34" s="10">
        <f t="shared" si="7"/>
        <v>91999.81464212983</v>
      </c>
      <c r="AD34" s="10">
        <f t="shared" si="7"/>
        <v>91999.805636149511</v>
      </c>
      <c r="AE34" s="10">
        <f t="shared" si="7"/>
        <v>91999.797812391596</v>
      </c>
      <c r="AF34" s="10">
        <f t="shared" si="7"/>
        <v>91999.791218563143</v>
      </c>
      <c r="AG34" s="10">
        <f t="shared" si="7"/>
        <v>91999.785894676199</v>
      </c>
      <c r="AH34" s="10">
        <f t="shared" si="7"/>
        <v>91999.781873193249</v>
      </c>
      <c r="AI34" s="10">
        <f t="shared" si="7"/>
        <v>91999.77917851659</v>
      </c>
      <c r="AJ34" s="10"/>
    </row>
    <row r="35" spans="1:36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</row>
  </sheetData>
  <conditionalFormatting sqref="F31:AJ3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:AJ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:AJ1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Потенциальное течение</vt:lpstr>
      <vt:lpstr>Лист1</vt:lpstr>
      <vt:lpstr>2Д Неявный</vt:lpstr>
      <vt:lpstr>Неявный</vt:lpstr>
      <vt:lpstr>Явный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Шаронов</dc:creator>
  <cp:lastModifiedBy>Хозяин</cp:lastModifiedBy>
  <dcterms:created xsi:type="dcterms:W3CDTF">2021-02-19T10:02:37Z</dcterms:created>
  <dcterms:modified xsi:type="dcterms:W3CDTF">2021-04-14T20:02:32Z</dcterms:modified>
</cp:coreProperties>
</file>