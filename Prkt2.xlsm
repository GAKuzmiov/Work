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Gleb\Desktop\"/>
    </mc:Choice>
  </mc:AlternateContent>
  <bookViews>
    <workbookView xWindow="390" yWindow="60" windowWidth="16260" windowHeight="5850"/>
  </bookViews>
  <sheets>
    <sheet name="Лист1" sheetId="4" r:id="rId1"/>
    <sheet name="2Д Неявный" sheetId="3" r:id="rId2"/>
    <sheet name="Неявный" sheetId="1" r:id="rId3"/>
    <sheet name="Явный" sheetId="2" r:id="rId4"/>
  </sheets>
  <externalReferences>
    <externalReference r:id="rId5"/>
  </externalReferences>
  <calcPr calcId="162913"/>
</workbook>
</file>

<file path=xl/calcChain.xml><?xml version="1.0" encoding="utf-8"?>
<calcChain xmlns="http://schemas.openxmlformats.org/spreadsheetml/2006/main">
  <c r="F22" i="2" l="1"/>
  <c r="AK104" i="4"/>
  <c r="G104" i="4"/>
  <c r="AK103" i="4"/>
  <c r="G103" i="4"/>
  <c r="AK102" i="4"/>
  <c r="G102" i="4"/>
  <c r="AK101" i="4"/>
  <c r="G101" i="4"/>
  <c r="AK100" i="4"/>
  <c r="G100" i="4"/>
  <c r="AK99" i="4"/>
  <c r="G99" i="4"/>
  <c r="AK98" i="4"/>
  <c r="G98" i="4"/>
  <c r="AK97" i="4"/>
  <c r="G97" i="4"/>
  <c r="AK96" i="4"/>
  <c r="G96" i="4"/>
  <c r="AK95" i="4"/>
  <c r="G95" i="4"/>
  <c r="AK94" i="4"/>
  <c r="G94" i="4"/>
  <c r="AK93" i="4"/>
  <c r="G93" i="4"/>
  <c r="AK92" i="4"/>
  <c r="G92" i="4"/>
  <c r="AK91" i="4"/>
  <c r="G91" i="4"/>
  <c r="AK90" i="4"/>
  <c r="G90" i="4"/>
  <c r="AK89" i="4"/>
  <c r="G89" i="4"/>
  <c r="AK88" i="4"/>
  <c r="G88" i="4"/>
  <c r="AK87" i="4"/>
  <c r="G87" i="4"/>
  <c r="AK86" i="4"/>
  <c r="G86" i="4"/>
  <c r="AK85" i="4"/>
  <c r="G85" i="4"/>
  <c r="AK84" i="4"/>
  <c r="G84" i="4"/>
  <c r="AK83" i="4"/>
  <c r="G83" i="4"/>
  <c r="AK82" i="4"/>
  <c r="G82" i="4"/>
  <c r="AK81" i="4"/>
  <c r="G81" i="4"/>
  <c r="AK80" i="4"/>
  <c r="G80" i="4"/>
  <c r="AK79" i="4"/>
  <c r="G79" i="4"/>
  <c r="AK78" i="4"/>
  <c r="G78" i="4"/>
  <c r="AK77" i="4"/>
  <c r="G77" i="4"/>
  <c r="AK76" i="4"/>
  <c r="G76" i="4"/>
  <c r="AK75" i="4"/>
  <c r="G75" i="4"/>
  <c r="AK74" i="4"/>
  <c r="G74" i="4"/>
  <c r="CZ69" i="4"/>
  <c r="BQ69" i="4"/>
  <c r="BP69" i="4"/>
  <c r="BO69" i="4"/>
  <c r="BN69" i="4"/>
  <c r="BM69" i="4"/>
  <c r="BL69" i="4"/>
  <c r="BK69" i="4"/>
  <c r="BJ69" i="4"/>
  <c r="BI69" i="4"/>
  <c r="BH69" i="4"/>
  <c r="BG69" i="4"/>
  <c r="BF69" i="4"/>
  <c r="BE69" i="4"/>
  <c r="BD69" i="4"/>
  <c r="BC69" i="4"/>
  <c r="BB69" i="4"/>
  <c r="BA69" i="4"/>
  <c r="AZ69" i="4"/>
  <c r="AY69" i="4"/>
  <c r="AX69" i="4"/>
  <c r="AW69" i="4"/>
  <c r="AV69" i="4"/>
  <c r="AU69" i="4"/>
  <c r="AT69" i="4"/>
  <c r="AS69" i="4"/>
  <c r="AR69" i="4"/>
  <c r="AQ69" i="4"/>
  <c r="AP69" i="4"/>
  <c r="AO69" i="4"/>
  <c r="AK69" i="4"/>
  <c r="BR104" i="4" s="1"/>
  <c r="G69" i="4"/>
  <c r="AN104" i="4" s="1"/>
  <c r="CZ68" i="4"/>
  <c r="BQ68" i="4"/>
  <c r="BP68" i="4"/>
  <c r="BO68" i="4"/>
  <c r="BN68" i="4"/>
  <c r="BM68" i="4"/>
  <c r="BL68" i="4"/>
  <c r="BK68" i="4"/>
  <c r="BJ68" i="4"/>
  <c r="BI68" i="4"/>
  <c r="BH68" i="4"/>
  <c r="BG68" i="4"/>
  <c r="BF68" i="4"/>
  <c r="BE68" i="4"/>
  <c r="BD68" i="4"/>
  <c r="BC68" i="4"/>
  <c r="BB68" i="4"/>
  <c r="BA68" i="4"/>
  <c r="AZ68" i="4"/>
  <c r="AY68" i="4"/>
  <c r="AX68" i="4"/>
  <c r="AW68" i="4"/>
  <c r="AV68" i="4"/>
  <c r="AU68" i="4"/>
  <c r="AT68" i="4"/>
  <c r="AS68" i="4"/>
  <c r="AR68" i="4"/>
  <c r="AQ68" i="4"/>
  <c r="AP68" i="4"/>
  <c r="AO68" i="4"/>
  <c r="AK68" i="4"/>
  <c r="BR103" i="4" s="1"/>
  <c r="G68" i="4"/>
  <c r="AN103" i="4" s="1"/>
  <c r="CZ67" i="4"/>
  <c r="BQ67" i="4"/>
  <c r="BP67" i="4"/>
  <c r="BO67" i="4"/>
  <c r="BN67" i="4"/>
  <c r="BM67" i="4"/>
  <c r="BL67" i="4"/>
  <c r="BK67" i="4"/>
  <c r="BJ67" i="4"/>
  <c r="BI67" i="4"/>
  <c r="BH67" i="4"/>
  <c r="BG67" i="4"/>
  <c r="BF67" i="4"/>
  <c r="BE67" i="4"/>
  <c r="BD67" i="4"/>
  <c r="BC67" i="4"/>
  <c r="BB67" i="4"/>
  <c r="BA67" i="4"/>
  <c r="AZ67" i="4"/>
  <c r="AY67" i="4"/>
  <c r="AX67" i="4"/>
  <c r="AW67" i="4"/>
  <c r="AV67" i="4"/>
  <c r="AU67" i="4"/>
  <c r="AT67" i="4"/>
  <c r="AS67" i="4"/>
  <c r="AR67" i="4"/>
  <c r="AQ67" i="4"/>
  <c r="AP67" i="4"/>
  <c r="AO67" i="4"/>
  <c r="AK67" i="4"/>
  <c r="BR102" i="4" s="1"/>
  <c r="G67" i="4"/>
  <c r="AN102" i="4" s="1"/>
  <c r="CZ66" i="4"/>
  <c r="BQ66" i="4"/>
  <c r="BP66" i="4"/>
  <c r="BO66" i="4"/>
  <c r="BN66" i="4"/>
  <c r="BM66" i="4"/>
  <c r="BL66" i="4"/>
  <c r="BK66" i="4"/>
  <c r="BJ66" i="4"/>
  <c r="BI66" i="4"/>
  <c r="BH66" i="4"/>
  <c r="BG66" i="4"/>
  <c r="BF66" i="4"/>
  <c r="BE66" i="4"/>
  <c r="BD66" i="4"/>
  <c r="BC66" i="4"/>
  <c r="BB66" i="4"/>
  <c r="BA66" i="4"/>
  <c r="AZ66" i="4"/>
  <c r="AY66" i="4"/>
  <c r="AX66" i="4"/>
  <c r="AW66" i="4"/>
  <c r="AV66" i="4"/>
  <c r="AU66" i="4"/>
  <c r="AT66" i="4"/>
  <c r="AS66" i="4"/>
  <c r="AR66" i="4"/>
  <c r="AQ66" i="4"/>
  <c r="AP66" i="4"/>
  <c r="AO66" i="4"/>
  <c r="AK66" i="4"/>
  <c r="BR101" i="4" s="1"/>
  <c r="G66" i="4"/>
  <c r="AN101" i="4" s="1"/>
  <c r="CZ65" i="4"/>
  <c r="BQ65" i="4"/>
  <c r="BP65" i="4"/>
  <c r="BO65" i="4"/>
  <c r="BN65" i="4"/>
  <c r="BM65" i="4"/>
  <c r="BL65" i="4"/>
  <c r="BK65" i="4"/>
  <c r="BJ65" i="4"/>
  <c r="BI65" i="4"/>
  <c r="BH65" i="4"/>
  <c r="BG65" i="4"/>
  <c r="BF65" i="4"/>
  <c r="BE65" i="4"/>
  <c r="BD65" i="4"/>
  <c r="BC65" i="4"/>
  <c r="BB65" i="4"/>
  <c r="BA65" i="4"/>
  <c r="AZ65" i="4"/>
  <c r="AY65" i="4"/>
  <c r="AX65" i="4"/>
  <c r="AW65" i="4"/>
  <c r="AV65" i="4"/>
  <c r="AU65" i="4"/>
  <c r="AT65" i="4"/>
  <c r="AS65" i="4"/>
  <c r="AR65" i="4"/>
  <c r="AQ65" i="4"/>
  <c r="AP65" i="4"/>
  <c r="AO65" i="4"/>
  <c r="AK65" i="4"/>
  <c r="BR100" i="4" s="1"/>
  <c r="G65" i="4"/>
  <c r="AN100" i="4" s="1"/>
  <c r="CZ64" i="4"/>
  <c r="BQ64" i="4"/>
  <c r="BP64" i="4"/>
  <c r="BO64" i="4"/>
  <c r="BN64" i="4"/>
  <c r="BM64" i="4"/>
  <c r="BL64" i="4"/>
  <c r="BK64" i="4"/>
  <c r="BJ64" i="4"/>
  <c r="BI64" i="4"/>
  <c r="BH64" i="4"/>
  <c r="BG64" i="4"/>
  <c r="BF64" i="4"/>
  <c r="BE64" i="4"/>
  <c r="BD64" i="4"/>
  <c r="BC64" i="4"/>
  <c r="BB64" i="4"/>
  <c r="BA64" i="4"/>
  <c r="AZ64" i="4"/>
  <c r="AY64" i="4"/>
  <c r="AX64" i="4"/>
  <c r="AW64" i="4"/>
  <c r="AV64" i="4"/>
  <c r="AU64" i="4"/>
  <c r="AT64" i="4"/>
  <c r="AS64" i="4"/>
  <c r="AR64" i="4"/>
  <c r="AQ64" i="4"/>
  <c r="AP64" i="4"/>
  <c r="AO64" i="4"/>
  <c r="AK64" i="4"/>
  <c r="BR99" i="4" s="1"/>
  <c r="G64" i="4"/>
  <c r="AN99" i="4" s="1"/>
  <c r="CZ63" i="4"/>
  <c r="BQ63" i="4"/>
  <c r="BP63" i="4"/>
  <c r="BO63" i="4"/>
  <c r="BN63" i="4"/>
  <c r="BM63" i="4"/>
  <c r="BL63" i="4"/>
  <c r="BK63" i="4"/>
  <c r="BJ63" i="4"/>
  <c r="BI63" i="4"/>
  <c r="BH63" i="4"/>
  <c r="BG63" i="4"/>
  <c r="BF63" i="4"/>
  <c r="BE63" i="4"/>
  <c r="BD63" i="4"/>
  <c r="BC63" i="4"/>
  <c r="BB63" i="4"/>
  <c r="BA63" i="4"/>
  <c r="AZ63" i="4"/>
  <c r="AY63" i="4"/>
  <c r="AX63" i="4"/>
  <c r="AW63" i="4"/>
  <c r="AV63" i="4"/>
  <c r="AU63" i="4"/>
  <c r="AT63" i="4"/>
  <c r="AS63" i="4"/>
  <c r="AR63" i="4"/>
  <c r="AQ63" i="4"/>
  <c r="AP63" i="4"/>
  <c r="AO63" i="4"/>
  <c r="AK63" i="4"/>
  <c r="BR98" i="4" s="1"/>
  <c r="G63" i="4"/>
  <c r="AN98" i="4" s="1"/>
  <c r="CZ62" i="4"/>
  <c r="BR62" i="4"/>
  <c r="BQ62" i="4"/>
  <c r="BP62" i="4"/>
  <c r="BO62" i="4"/>
  <c r="BN62" i="4"/>
  <c r="BM62" i="4"/>
  <c r="BL62" i="4"/>
  <c r="BK62" i="4"/>
  <c r="BJ62" i="4"/>
  <c r="BI62" i="4"/>
  <c r="BH62" i="4"/>
  <c r="BG62" i="4"/>
  <c r="BF62" i="4"/>
  <c r="BE62" i="4"/>
  <c r="BD62" i="4"/>
  <c r="BC62" i="4"/>
  <c r="BB62" i="4"/>
  <c r="BA62" i="4"/>
  <c r="AZ62" i="4"/>
  <c r="AY62" i="4"/>
  <c r="AX62" i="4"/>
  <c r="AW62" i="4"/>
  <c r="AV62" i="4"/>
  <c r="AU62" i="4"/>
  <c r="AT62" i="4"/>
  <c r="AS62" i="4"/>
  <c r="AR62" i="4"/>
  <c r="AQ62" i="4"/>
  <c r="AP62" i="4"/>
  <c r="AO62" i="4"/>
  <c r="AK62" i="4"/>
  <c r="BR97" i="4" s="1"/>
  <c r="G62" i="4"/>
  <c r="AN97" i="4" s="1"/>
  <c r="CZ61" i="4"/>
  <c r="BQ61" i="4"/>
  <c r="BP61" i="4"/>
  <c r="BO61" i="4"/>
  <c r="BN61" i="4"/>
  <c r="BM61" i="4"/>
  <c r="BL61" i="4"/>
  <c r="BK61" i="4"/>
  <c r="BJ61" i="4"/>
  <c r="BI61" i="4"/>
  <c r="BH61" i="4"/>
  <c r="BG61" i="4"/>
  <c r="BF61" i="4"/>
  <c r="BE61" i="4"/>
  <c r="BD61" i="4"/>
  <c r="BC61" i="4"/>
  <c r="BB61" i="4"/>
  <c r="BA61" i="4"/>
  <c r="AZ61" i="4"/>
  <c r="AY61" i="4"/>
  <c r="AX61" i="4"/>
  <c r="AW61" i="4"/>
  <c r="AV61" i="4"/>
  <c r="AU61" i="4"/>
  <c r="AT61" i="4"/>
  <c r="AS61" i="4"/>
  <c r="AR61" i="4"/>
  <c r="AQ61" i="4"/>
  <c r="AP61" i="4"/>
  <c r="AO61" i="4"/>
  <c r="AK61" i="4"/>
  <c r="BR96" i="4" s="1"/>
  <c r="G61" i="4"/>
  <c r="AN96" i="4" s="1"/>
  <c r="CZ60" i="4"/>
  <c r="BQ60" i="4"/>
  <c r="BP60" i="4"/>
  <c r="BO60" i="4"/>
  <c r="BN60" i="4"/>
  <c r="BM60" i="4"/>
  <c r="BL60" i="4"/>
  <c r="BK60" i="4"/>
  <c r="BJ60" i="4"/>
  <c r="BI60" i="4"/>
  <c r="BH60" i="4"/>
  <c r="BG60" i="4"/>
  <c r="BF60" i="4"/>
  <c r="BE60" i="4"/>
  <c r="BD60" i="4"/>
  <c r="BC60" i="4"/>
  <c r="BB60" i="4"/>
  <c r="BA60" i="4"/>
  <c r="AZ60" i="4"/>
  <c r="AY60" i="4"/>
  <c r="AX60" i="4"/>
  <c r="AW60" i="4"/>
  <c r="AV60" i="4"/>
  <c r="AU60" i="4"/>
  <c r="AT60" i="4"/>
  <c r="AS60" i="4"/>
  <c r="AR60" i="4"/>
  <c r="AQ60" i="4"/>
  <c r="AP60" i="4"/>
  <c r="AO60" i="4"/>
  <c r="AK60" i="4"/>
  <c r="BR95" i="4" s="1"/>
  <c r="G60" i="4"/>
  <c r="AN95" i="4" s="1"/>
  <c r="CZ59" i="4"/>
  <c r="BQ59" i="4"/>
  <c r="BP59" i="4"/>
  <c r="BO59" i="4"/>
  <c r="BN59" i="4"/>
  <c r="BM59" i="4"/>
  <c r="BL59" i="4"/>
  <c r="BK59" i="4"/>
  <c r="BJ59" i="4"/>
  <c r="BI59" i="4"/>
  <c r="BH59" i="4"/>
  <c r="BG59" i="4"/>
  <c r="BF59" i="4"/>
  <c r="BE59" i="4"/>
  <c r="BD59" i="4"/>
  <c r="BC59" i="4"/>
  <c r="BB59" i="4"/>
  <c r="BA59" i="4"/>
  <c r="AZ59" i="4"/>
  <c r="AY59" i="4"/>
  <c r="AX59" i="4"/>
  <c r="AW59" i="4"/>
  <c r="AV59" i="4"/>
  <c r="AU59" i="4"/>
  <c r="AT59" i="4"/>
  <c r="AS59" i="4"/>
  <c r="AR59" i="4"/>
  <c r="AQ59" i="4"/>
  <c r="AP59" i="4"/>
  <c r="AO59" i="4"/>
  <c r="AK59" i="4"/>
  <c r="BR94" i="4" s="1"/>
  <c r="G59" i="4"/>
  <c r="AN94" i="4" s="1"/>
  <c r="CZ58" i="4"/>
  <c r="BQ58" i="4"/>
  <c r="BP58" i="4"/>
  <c r="BO58" i="4"/>
  <c r="BN58" i="4"/>
  <c r="BM58" i="4"/>
  <c r="BL58" i="4"/>
  <c r="BK58" i="4"/>
  <c r="BJ58" i="4"/>
  <c r="BI58" i="4"/>
  <c r="BH58" i="4"/>
  <c r="BG58" i="4"/>
  <c r="BF58" i="4"/>
  <c r="BE58" i="4"/>
  <c r="BD58" i="4"/>
  <c r="BC58" i="4"/>
  <c r="BB58" i="4"/>
  <c r="BA58" i="4"/>
  <c r="AZ58" i="4"/>
  <c r="AY58" i="4"/>
  <c r="AX58" i="4"/>
  <c r="AW58" i="4"/>
  <c r="AV58" i="4"/>
  <c r="AU58" i="4"/>
  <c r="AT58" i="4"/>
  <c r="AS58" i="4"/>
  <c r="AR58" i="4"/>
  <c r="AQ58" i="4"/>
  <c r="AP58" i="4"/>
  <c r="AO58" i="4"/>
  <c r="AK58" i="4"/>
  <c r="BR93" i="4" s="1"/>
  <c r="G58" i="4"/>
  <c r="AN93" i="4" s="1"/>
  <c r="CZ57" i="4"/>
  <c r="BQ57" i="4"/>
  <c r="BP57" i="4"/>
  <c r="BO57" i="4"/>
  <c r="BN57" i="4"/>
  <c r="BM57" i="4"/>
  <c r="BL57" i="4"/>
  <c r="BK57" i="4"/>
  <c r="BJ57" i="4"/>
  <c r="BI57" i="4"/>
  <c r="BH57" i="4"/>
  <c r="BG57" i="4"/>
  <c r="BF57" i="4"/>
  <c r="BE57" i="4"/>
  <c r="BD57" i="4"/>
  <c r="BC57" i="4"/>
  <c r="BB57" i="4"/>
  <c r="BA57" i="4"/>
  <c r="AZ57" i="4"/>
  <c r="AY57" i="4"/>
  <c r="AX57" i="4"/>
  <c r="AW57" i="4"/>
  <c r="AV57" i="4"/>
  <c r="AU57" i="4"/>
  <c r="AT57" i="4"/>
  <c r="AS57" i="4"/>
  <c r="AR57" i="4"/>
  <c r="AQ57" i="4"/>
  <c r="AP57" i="4"/>
  <c r="AO57" i="4"/>
  <c r="AK57" i="4"/>
  <c r="BR92" i="4" s="1"/>
  <c r="G57" i="4"/>
  <c r="AN92" i="4" s="1"/>
  <c r="CZ56" i="4"/>
  <c r="BQ56" i="4"/>
  <c r="BP56" i="4"/>
  <c r="BO56" i="4"/>
  <c r="BN56" i="4"/>
  <c r="BM56" i="4"/>
  <c r="BL56" i="4"/>
  <c r="BK56" i="4"/>
  <c r="BJ56" i="4"/>
  <c r="BI56" i="4"/>
  <c r="BH56" i="4"/>
  <c r="BG56" i="4"/>
  <c r="BF56" i="4"/>
  <c r="BE56" i="4"/>
  <c r="BD56" i="4"/>
  <c r="BC56" i="4"/>
  <c r="BB56" i="4"/>
  <c r="BA56" i="4"/>
  <c r="AZ56" i="4"/>
  <c r="AY56" i="4"/>
  <c r="AX56" i="4"/>
  <c r="AW56" i="4"/>
  <c r="AV56" i="4"/>
  <c r="AU56" i="4"/>
  <c r="AT56" i="4"/>
  <c r="AS56" i="4"/>
  <c r="AR56" i="4"/>
  <c r="AQ56" i="4"/>
  <c r="AP56" i="4"/>
  <c r="AO56" i="4"/>
  <c r="AK56" i="4"/>
  <c r="BR91" i="4" s="1"/>
  <c r="G56" i="4"/>
  <c r="AN91" i="4" s="1"/>
  <c r="CZ55" i="4"/>
  <c r="BQ55" i="4"/>
  <c r="BP55" i="4"/>
  <c r="BO55" i="4"/>
  <c r="BN55" i="4"/>
  <c r="BM55" i="4"/>
  <c r="BL55" i="4"/>
  <c r="BK55" i="4"/>
  <c r="BJ55" i="4"/>
  <c r="BI55" i="4"/>
  <c r="BH55" i="4"/>
  <c r="BG55" i="4"/>
  <c r="BF55" i="4"/>
  <c r="BE55" i="4"/>
  <c r="BD55" i="4"/>
  <c r="BC55" i="4"/>
  <c r="BB55" i="4"/>
  <c r="BA55" i="4"/>
  <c r="AZ55" i="4"/>
  <c r="AY55" i="4"/>
  <c r="AX55" i="4"/>
  <c r="AW55" i="4"/>
  <c r="AV55" i="4"/>
  <c r="AU55" i="4"/>
  <c r="AT55" i="4"/>
  <c r="AS55" i="4"/>
  <c r="AR55" i="4"/>
  <c r="AQ55" i="4"/>
  <c r="AP55" i="4"/>
  <c r="AO55" i="4"/>
  <c r="AK55" i="4"/>
  <c r="BR90" i="4" s="1"/>
  <c r="G55" i="4"/>
  <c r="AN90" i="4" s="1"/>
  <c r="DD54" i="4"/>
  <c r="CZ54" i="4"/>
  <c r="BQ54" i="4"/>
  <c r="BP54" i="4"/>
  <c r="BO54" i="4"/>
  <c r="BN54" i="4"/>
  <c r="BM54" i="4"/>
  <c r="BL54" i="4"/>
  <c r="BK54" i="4"/>
  <c r="BJ54" i="4"/>
  <c r="BI54" i="4"/>
  <c r="BH54" i="4"/>
  <c r="BG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R54" i="4"/>
  <c r="AQ54" i="4"/>
  <c r="AP54" i="4"/>
  <c r="AO54" i="4"/>
  <c r="AN54" i="4"/>
  <c r="AK54" i="4"/>
  <c r="BR89" i="4" s="1"/>
  <c r="G54" i="4"/>
  <c r="AN89" i="4" s="1"/>
  <c r="DD53" i="4"/>
  <c r="CZ53" i="4"/>
  <c r="BQ53" i="4"/>
  <c r="BP53" i="4"/>
  <c r="BO53" i="4"/>
  <c r="BN53" i="4"/>
  <c r="BM53" i="4"/>
  <c r="BL53" i="4"/>
  <c r="BK53" i="4"/>
  <c r="BJ53" i="4"/>
  <c r="BI53" i="4"/>
  <c r="BH53" i="4"/>
  <c r="BG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Q53" i="4"/>
  <c r="AP53" i="4"/>
  <c r="AO53" i="4"/>
  <c r="AN53" i="4"/>
  <c r="AK53" i="4"/>
  <c r="BR88" i="4" s="1"/>
  <c r="G53" i="4"/>
  <c r="AN88" i="4" s="1"/>
  <c r="DD52" i="4"/>
  <c r="CZ52" i="4"/>
  <c r="BQ52" i="4"/>
  <c r="BP52" i="4"/>
  <c r="BO52" i="4"/>
  <c r="BN52" i="4"/>
  <c r="BM52" i="4"/>
  <c r="BL52" i="4"/>
  <c r="BK52" i="4"/>
  <c r="BJ52" i="4"/>
  <c r="BI52" i="4"/>
  <c r="BH52" i="4"/>
  <c r="BG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Q52" i="4"/>
  <c r="AP52" i="4"/>
  <c r="AO52" i="4"/>
  <c r="AN52" i="4"/>
  <c r="AK52" i="4"/>
  <c r="BR87" i="4" s="1"/>
  <c r="G52" i="4"/>
  <c r="AN87" i="4" s="1"/>
  <c r="DD51" i="4"/>
  <c r="CZ51" i="4"/>
  <c r="BQ51" i="4"/>
  <c r="BP51" i="4"/>
  <c r="BO51" i="4"/>
  <c r="BN51" i="4"/>
  <c r="BM51" i="4"/>
  <c r="BL51" i="4"/>
  <c r="BK51" i="4"/>
  <c r="BJ51" i="4"/>
  <c r="BI51" i="4"/>
  <c r="BH51" i="4"/>
  <c r="BG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R51" i="4"/>
  <c r="AQ51" i="4"/>
  <c r="AP51" i="4"/>
  <c r="AO51" i="4"/>
  <c r="AN51" i="4"/>
  <c r="AK51" i="4"/>
  <c r="BR86" i="4" s="1"/>
  <c r="G51" i="4"/>
  <c r="AN86" i="4" s="1"/>
  <c r="DD50" i="4"/>
  <c r="CZ50" i="4"/>
  <c r="BQ50" i="4"/>
  <c r="BP50" i="4"/>
  <c r="BO50" i="4"/>
  <c r="BN50" i="4"/>
  <c r="BM50" i="4"/>
  <c r="BL50" i="4"/>
  <c r="BK50" i="4"/>
  <c r="BJ50" i="4"/>
  <c r="BI50" i="4"/>
  <c r="BH50" i="4"/>
  <c r="BG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R50" i="4"/>
  <c r="AQ50" i="4"/>
  <c r="AP50" i="4"/>
  <c r="AO50" i="4"/>
  <c r="AN50" i="4"/>
  <c r="AK50" i="4"/>
  <c r="BR85" i="4" s="1"/>
  <c r="G50" i="4"/>
  <c r="AN85" i="4" s="1"/>
  <c r="CZ49" i="4"/>
  <c r="BQ49" i="4"/>
  <c r="BP49" i="4"/>
  <c r="BO49" i="4"/>
  <c r="BN49" i="4"/>
  <c r="BM49" i="4"/>
  <c r="BL49" i="4"/>
  <c r="BK49" i="4"/>
  <c r="BJ49" i="4"/>
  <c r="BI49" i="4"/>
  <c r="BH49" i="4"/>
  <c r="BG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S49" i="4"/>
  <c r="AR49" i="4"/>
  <c r="AQ49" i="4"/>
  <c r="AP49" i="4"/>
  <c r="AO49" i="4"/>
  <c r="AK49" i="4"/>
  <c r="BR84" i="4" s="1"/>
  <c r="G49" i="4"/>
  <c r="AN84" i="4" s="1"/>
  <c r="CZ48" i="4"/>
  <c r="BQ48" i="4"/>
  <c r="BP48" i="4"/>
  <c r="BO48" i="4"/>
  <c r="BN48" i="4"/>
  <c r="BM48" i="4"/>
  <c r="BL48" i="4"/>
  <c r="BK48" i="4"/>
  <c r="BJ48" i="4"/>
  <c r="BI48" i="4"/>
  <c r="BH48" i="4"/>
  <c r="BG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Q48" i="4"/>
  <c r="AP48" i="4"/>
  <c r="AO48" i="4"/>
  <c r="AK48" i="4"/>
  <c r="BR83" i="4" s="1"/>
  <c r="G48" i="4"/>
  <c r="AN83" i="4" s="1"/>
  <c r="CZ47" i="4"/>
  <c r="BQ47" i="4"/>
  <c r="BP47" i="4"/>
  <c r="BO47" i="4"/>
  <c r="BN47" i="4"/>
  <c r="BM47" i="4"/>
  <c r="BL47" i="4"/>
  <c r="BK47" i="4"/>
  <c r="BJ47" i="4"/>
  <c r="BI47" i="4"/>
  <c r="BH47" i="4"/>
  <c r="BG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Q47" i="4"/>
  <c r="AP47" i="4"/>
  <c r="AO47" i="4"/>
  <c r="AK47" i="4"/>
  <c r="BR82" i="4" s="1"/>
  <c r="G47" i="4"/>
  <c r="AN82" i="4" s="1"/>
  <c r="DD46" i="4"/>
  <c r="CZ46" i="4"/>
  <c r="BQ46" i="4"/>
  <c r="BP46" i="4"/>
  <c r="BO46" i="4"/>
  <c r="BN46" i="4"/>
  <c r="BM46" i="4"/>
  <c r="BL46" i="4"/>
  <c r="BK46" i="4"/>
  <c r="BJ46" i="4"/>
  <c r="BI46" i="4"/>
  <c r="BH46" i="4"/>
  <c r="BG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R46" i="4"/>
  <c r="AQ46" i="4"/>
  <c r="AP46" i="4"/>
  <c r="AO46" i="4"/>
  <c r="AN46" i="4"/>
  <c r="AK46" i="4"/>
  <c r="BR81" i="4" s="1"/>
  <c r="G46" i="4"/>
  <c r="AN81" i="4" s="1"/>
  <c r="CZ45" i="4"/>
  <c r="BQ45" i="4"/>
  <c r="BP45" i="4"/>
  <c r="BO45" i="4"/>
  <c r="BN45" i="4"/>
  <c r="BM45" i="4"/>
  <c r="BL45" i="4"/>
  <c r="BK45" i="4"/>
  <c r="BJ45" i="4"/>
  <c r="BI45" i="4"/>
  <c r="BH45" i="4"/>
  <c r="BG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R45" i="4"/>
  <c r="AQ45" i="4"/>
  <c r="AP45" i="4"/>
  <c r="AO45" i="4"/>
  <c r="AK45" i="4"/>
  <c r="BR80" i="4" s="1"/>
  <c r="G45" i="4"/>
  <c r="AN80" i="4" s="1"/>
  <c r="CZ44" i="4"/>
  <c r="BQ44" i="4"/>
  <c r="BP44" i="4"/>
  <c r="BO44" i="4"/>
  <c r="BN44" i="4"/>
  <c r="BM44" i="4"/>
  <c r="BL44" i="4"/>
  <c r="BK44" i="4"/>
  <c r="BJ44" i="4"/>
  <c r="BI44" i="4"/>
  <c r="BH44" i="4"/>
  <c r="BG44" i="4"/>
  <c r="BF44" i="4"/>
  <c r="BE44" i="4"/>
  <c r="BD44" i="4"/>
  <c r="BC44" i="4"/>
  <c r="BB44" i="4"/>
  <c r="BA44" i="4"/>
  <c r="AZ44" i="4"/>
  <c r="AY44" i="4"/>
  <c r="AX44" i="4"/>
  <c r="AW44" i="4"/>
  <c r="AV44" i="4"/>
  <c r="AU44" i="4"/>
  <c r="AT44" i="4"/>
  <c r="AS44" i="4"/>
  <c r="AR44" i="4"/>
  <c r="AQ44" i="4"/>
  <c r="AP44" i="4"/>
  <c r="AO44" i="4"/>
  <c r="AK44" i="4"/>
  <c r="BR79" i="4" s="1"/>
  <c r="G44" i="4"/>
  <c r="AN79" i="4" s="1"/>
  <c r="DD43" i="4"/>
  <c r="CZ43" i="4"/>
  <c r="BQ43" i="4"/>
  <c r="BP43" i="4"/>
  <c r="BO43" i="4"/>
  <c r="BN43" i="4"/>
  <c r="BM43" i="4"/>
  <c r="BL43" i="4"/>
  <c r="BK43" i="4"/>
  <c r="BJ43" i="4"/>
  <c r="BI43" i="4"/>
  <c r="BH43" i="4"/>
  <c r="BG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AQ43" i="4"/>
  <c r="AP43" i="4"/>
  <c r="AO43" i="4"/>
  <c r="AN43" i="4"/>
  <c r="AK43" i="4"/>
  <c r="BR78" i="4" s="1"/>
  <c r="G43" i="4"/>
  <c r="AN78" i="4" s="1"/>
  <c r="DD42" i="4"/>
  <c r="CZ42" i="4"/>
  <c r="BQ42" i="4"/>
  <c r="BP42" i="4"/>
  <c r="BO42" i="4"/>
  <c r="BN42" i="4"/>
  <c r="BM42" i="4"/>
  <c r="BL42" i="4"/>
  <c r="BK42" i="4"/>
  <c r="BJ42" i="4"/>
  <c r="BI42" i="4"/>
  <c r="BH42" i="4"/>
  <c r="BG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Q42" i="4"/>
  <c r="AP42" i="4"/>
  <c r="AO42" i="4"/>
  <c r="AN42" i="4"/>
  <c r="AK42" i="4"/>
  <c r="BR77" i="4" s="1"/>
  <c r="G42" i="4"/>
  <c r="AN77" i="4" s="1"/>
  <c r="CZ41" i="4"/>
  <c r="BQ41" i="4"/>
  <c r="BP41" i="4"/>
  <c r="BO41" i="4"/>
  <c r="BN41" i="4"/>
  <c r="BM41" i="4"/>
  <c r="BL41" i="4"/>
  <c r="BK41" i="4"/>
  <c r="BJ41" i="4"/>
  <c r="BI41" i="4"/>
  <c r="BH41" i="4"/>
  <c r="BG41" i="4"/>
  <c r="BF41" i="4"/>
  <c r="BE41" i="4"/>
  <c r="BD41" i="4"/>
  <c r="BC41" i="4"/>
  <c r="BB41" i="4"/>
  <c r="BA41" i="4"/>
  <c r="AZ41" i="4"/>
  <c r="AY41" i="4"/>
  <c r="AX41" i="4"/>
  <c r="AW41" i="4"/>
  <c r="AV41" i="4"/>
  <c r="AU41" i="4"/>
  <c r="AT41" i="4"/>
  <c r="AS41" i="4"/>
  <c r="AR41" i="4"/>
  <c r="AQ41" i="4"/>
  <c r="AP41" i="4"/>
  <c r="AO41" i="4"/>
  <c r="AK41" i="4"/>
  <c r="BR76" i="4" s="1"/>
  <c r="G41" i="4"/>
  <c r="AN76" i="4" s="1"/>
  <c r="CZ40" i="4"/>
  <c r="BQ40" i="4"/>
  <c r="BP40" i="4"/>
  <c r="BO40" i="4"/>
  <c r="BN40" i="4"/>
  <c r="BM40" i="4"/>
  <c r="BL40" i="4"/>
  <c r="BK40" i="4"/>
  <c r="BJ40" i="4"/>
  <c r="BI40" i="4"/>
  <c r="BH40" i="4"/>
  <c r="BG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AS40" i="4"/>
  <c r="AR40" i="4"/>
  <c r="AQ40" i="4"/>
  <c r="AP40" i="4"/>
  <c r="AO40" i="4"/>
  <c r="AK40" i="4"/>
  <c r="BR75" i="4" s="1"/>
  <c r="G40" i="4"/>
  <c r="AN75" i="4" s="1"/>
  <c r="CZ39" i="4"/>
  <c r="BQ39" i="4"/>
  <c r="BP39" i="4"/>
  <c r="BO39" i="4"/>
  <c r="BN39" i="4"/>
  <c r="BM39" i="4"/>
  <c r="BL39" i="4"/>
  <c r="BK39" i="4"/>
  <c r="BJ39" i="4"/>
  <c r="BI39" i="4"/>
  <c r="BH39" i="4"/>
  <c r="BG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R39" i="4"/>
  <c r="AQ39" i="4"/>
  <c r="AP39" i="4"/>
  <c r="AO39" i="4"/>
  <c r="AK39" i="4"/>
  <c r="BR74" i="4" s="1"/>
  <c r="G39" i="4"/>
  <c r="AN74" i="4" s="1"/>
  <c r="AH34" i="4"/>
  <c r="Z34" i="4"/>
  <c r="L34" i="4"/>
  <c r="I34" i="4"/>
  <c r="AK33" i="4"/>
  <c r="BR69" i="4" s="1"/>
  <c r="G33" i="4"/>
  <c r="AK32" i="4"/>
  <c r="BR68" i="4" s="1"/>
  <c r="G32" i="4"/>
  <c r="F32" i="4"/>
  <c r="AK31" i="4"/>
  <c r="BR67" i="4" s="1"/>
  <c r="G31" i="4"/>
  <c r="AK30" i="4"/>
  <c r="BR66" i="4" s="1"/>
  <c r="G30" i="4"/>
  <c r="AK29" i="4"/>
  <c r="BR65" i="4" s="1"/>
  <c r="G29" i="4"/>
  <c r="AK28" i="4"/>
  <c r="BR64" i="4" s="1"/>
  <c r="G28" i="4"/>
  <c r="AK27" i="4"/>
  <c r="BR63" i="4" s="1"/>
  <c r="G27" i="4"/>
  <c r="AK26" i="4"/>
  <c r="G26" i="4"/>
  <c r="AK25" i="4"/>
  <c r="BR61" i="4" s="1"/>
  <c r="G25" i="4"/>
  <c r="AK24" i="4"/>
  <c r="BR60" i="4" s="1"/>
  <c r="G24" i="4"/>
  <c r="AK23" i="4"/>
  <c r="BR59" i="4" s="1"/>
  <c r="G23" i="4"/>
  <c r="AK22" i="4"/>
  <c r="BR58" i="4" s="1"/>
  <c r="G22" i="4"/>
  <c r="AK21" i="4"/>
  <c r="BR57" i="4" s="1"/>
  <c r="G21" i="4"/>
  <c r="F21" i="4"/>
  <c r="AK20" i="4"/>
  <c r="BR56" i="4" s="1"/>
  <c r="G20" i="4"/>
  <c r="AK19" i="4"/>
  <c r="BR55" i="4" s="1"/>
  <c r="G19" i="4"/>
  <c r="AN55" i="4" s="1"/>
  <c r="AK18" i="4"/>
  <c r="BR54" i="4" s="1"/>
  <c r="AK17" i="4"/>
  <c r="BR53" i="4" s="1"/>
  <c r="F17" i="4"/>
  <c r="AK16" i="4"/>
  <c r="BR52" i="4" s="1"/>
  <c r="AK15" i="4"/>
  <c r="BR51" i="4" s="1"/>
  <c r="AK14" i="4"/>
  <c r="BR50" i="4" s="1"/>
  <c r="AK13" i="4"/>
  <c r="BR49" i="4" s="1"/>
  <c r="G13" i="4"/>
  <c r="DD49" i="4" s="1"/>
  <c r="AK12" i="4"/>
  <c r="BR48" i="4" s="1"/>
  <c r="G12" i="4"/>
  <c r="AK11" i="4"/>
  <c r="BR47" i="4" s="1"/>
  <c r="G11" i="4"/>
  <c r="AK10" i="4"/>
  <c r="BR46" i="4" s="1"/>
  <c r="AK9" i="4"/>
  <c r="BR45" i="4" s="1"/>
  <c r="G9" i="4"/>
  <c r="DD45" i="4" s="1"/>
  <c r="AK8" i="4"/>
  <c r="BR44" i="4" s="1"/>
  <c r="G8" i="4"/>
  <c r="DD44" i="4" s="1"/>
  <c r="F8" i="4"/>
  <c r="AK7" i="4"/>
  <c r="BR43" i="4" s="1"/>
  <c r="AK6" i="4"/>
  <c r="BR42" i="4" s="1"/>
  <c r="B6" i="4"/>
  <c r="AL31" i="4" s="1"/>
  <c r="AL5" i="4"/>
  <c r="AK5" i="4"/>
  <c r="BR41" i="4" s="1"/>
  <c r="G5" i="4"/>
  <c r="DD41" i="4" s="1"/>
  <c r="B5" i="4"/>
  <c r="AF34" i="4" s="1"/>
  <c r="AK4" i="4"/>
  <c r="BR40" i="4" s="1"/>
  <c r="G4" i="4"/>
  <c r="AN40" i="4" s="1"/>
  <c r="AK3" i="4"/>
  <c r="BR39" i="4" s="1"/>
  <c r="G3" i="4"/>
  <c r="AN39" i="4" s="1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O2" i="4"/>
  <c r="N2" i="4"/>
  <c r="M2" i="4"/>
  <c r="L2" i="4"/>
  <c r="K2" i="4"/>
  <c r="J2" i="4"/>
  <c r="I2" i="4"/>
  <c r="H2" i="4"/>
  <c r="F28" i="4" l="1"/>
  <c r="J34" i="4"/>
  <c r="AB34" i="4"/>
  <c r="AL24" i="4"/>
  <c r="K34" i="4"/>
  <c r="AG34" i="4"/>
  <c r="Q34" i="4"/>
  <c r="AJ34" i="4"/>
  <c r="F10" i="4"/>
  <c r="B20" i="4"/>
  <c r="CP103" i="4" s="1"/>
  <c r="CP102" i="4" s="1"/>
  <c r="AL22" i="4"/>
  <c r="R34" i="4"/>
  <c r="DD39" i="4"/>
  <c r="AN45" i="4"/>
  <c r="F4" i="4"/>
  <c r="F30" i="4"/>
  <c r="T34" i="4"/>
  <c r="DD40" i="4"/>
  <c r="Y34" i="4"/>
  <c r="AN62" i="4"/>
  <c r="DD62" i="4"/>
  <c r="AL14" i="4"/>
  <c r="F23" i="4"/>
  <c r="DD66" i="4"/>
  <c r="AN66" i="4"/>
  <c r="DD68" i="4"/>
  <c r="AN68" i="4"/>
  <c r="F6" i="4"/>
  <c r="AL10" i="4"/>
  <c r="AL12" i="4"/>
  <c r="F15" i="4"/>
  <c r="AL17" i="4"/>
  <c r="AN59" i="4"/>
  <c r="DD59" i="4"/>
  <c r="F25" i="4"/>
  <c r="AL26" i="4"/>
  <c r="S34" i="4"/>
  <c r="AA34" i="4"/>
  <c r="AI34" i="4"/>
  <c r="AN57" i="4"/>
  <c r="DD57" i="4"/>
  <c r="AL4" i="4"/>
  <c r="F11" i="4"/>
  <c r="F18" i="4"/>
  <c r="DD61" i="4"/>
  <c r="AN61" i="4"/>
  <c r="F3" i="4"/>
  <c r="AL6" i="4"/>
  <c r="F9" i="4"/>
  <c r="DD47" i="4"/>
  <c r="AN47" i="4"/>
  <c r="AL15" i="4"/>
  <c r="DD56" i="4"/>
  <c r="AN56" i="4"/>
  <c r="B22" i="4"/>
  <c r="DE49" i="4" s="1"/>
  <c r="AL23" i="4"/>
  <c r="F27" i="4"/>
  <c r="F29" i="4"/>
  <c r="F31" i="4"/>
  <c r="AN69" i="4"/>
  <c r="DD69" i="4"/>
  <c r="M34" i="4"/>
  <c r="U34" i="4"/>
  <c r="AC34" i="4"/>
  <c r="AK34" i="4"/>
  <c r="AN49" i="4"/>
  <c r="AL19" i="4"/>
  <c r="DD64" i="4"/>
  <c r="AN64" i="4"/>
  <c r="AL30" i="4"/>
  <c r="F5" i="4"/>
  <c r="F7" i="4"/>
  <c r="F16" i="4"/>
  <c r="AL18" i="4"/>
  <c r="F22" i="4"/>
  <c r="F24" i="4"/>
  <c r="AL25" i="4"/>
  <c r="AN63" i="4"/>
  <c r="DD63" i="4"/>
  <c r="DD65" i="4"/>
  <c r="AN65" i="4"/>
  <c r="DD67" i="4"/>
  <c r="AN67" i="4"/>
  <c r="N34" i="4"/>
  <c r="V34" i="4"/>
  <c r="AD34" i="4"/>
  <c r="DD55" i="4"/>
  <c r="AN48" i="4"/>
  <c r="DD48" i="4"/>
  <c r="F13" i="4"/>
  <c r="AL21" i="4"/>
  <c r="AL28" i="4"/>
  <c r="AL32" i="4"/>
  <c r="AL13" i="4"/>
  <c r="F19" i="4"/>
  <c r="AL20" i="4"/>
  <c r="DD58" i="4"/>
  <c r="AN58" i="4"/>
  <c r="AN60" i="4"/>
  <c r="DD60" i="4"/>
  <c r="B26" i="4"/>
  <c r="AL33" i="4"/>
  <c r="O34" i="4"/>
  <c r="W34" i="4"/>
  <c r="AE34" i="4"/>
  <c r="B25" i="4"/>
  <c r="B27" i="4" s="1"/>
  <c r="AL8" i="4"/>
  <c r="F20" i="4"/>
  <c r="AL11" i="4"/>
  <c r="AL3" i="4"/>
  <c r="AL7" i="4"/>
  <c r="AL9" i="4"/>
  <c r="F12" i="4"/>
  <c r="F14" i="4"/>
  <c r="AL16" i="4"/>
  <c r="B21" i="4"/>
  <c r="BW48" i="4" s="1"/>
  <c r="F26" i="4"/>
  <c r="AL27" i="4"/>
  <c r="AL29" i="4"/>
  <c r="H34" i="4"/>
  <c r="P34" i="4"/>
  <c r="X34" i="4"/>
  <c r="AN41" i="4"/>
  <c r="AN44" i="4"/>
  <c r="DE52" i="4"/>
  <c r="F4" i="2"/>
  <c r="AO40" i="3"/>
  <c r="DE40" i="3" s="1"/>
  <c r="AN40" i="3"/>
  <c r="AP40" i="3"/>
  <c r="AQ40" i="3"/>
  <c r="AR40" i="3"/>
  <c r="AS40" i="3"/>
  <c r="AT40" i="3"/>
  <c r="AU40" i="3"/>
  <c r="AV40" i="3"/>
  <c r="AW40" i="3"/>
  <c r="AX40" i="3"/>
  <c r="AY40" i="3"/>
  <c r="AZ40" i="3"/>
  <c r="BA40" i="3"/>
  <c r="BB40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AN41" i="3"/>
  <c r="AO41" i="3"/>
  <c r="DE41" i="3" s="1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AN45" i="3"/>
  <c r="AO45" i="3"/>
  <c r="DE45" i="3" s="1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AN49" i="3"/>
  <c r="AO49" i="3"/>
  <c r="DE49" i="3" s="1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AZ51" i="3"/>
  <c r="BA51" i="3"/>
  <c r="BB51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AN52" i="3"/>
  <c r="AO52" i="3"/>
  <c r="DE52" i="3" s="1"/>
  <c r="AP52" i="3"/>
  <c r="AQ52" i="3"/>
  <c r="AR52" i="3"/>
  <c r="AS52" i="3"/>
  <c r="AT52" i="3"/>
  <c r="AU52" i="3"/>
  <c r="AV52" i="3"/>
  <c r="AW52" i="3"/>
  <c r="AX52" i="3"/>
  <c r="AY52" i="3"/>
  <c r="AZ52" i="3"/>
  <c r="BA52" i="3"/>
  <c r="BB52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AZ53" i="3"/>
  <c r="BA53" i="3"/>
  <c r="BB53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AZ54" i="3"/>
  <c r="BA54" i="3"/>
  <c r="BB54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AN56" i="3"/>
  <c r="AO56" i="3"/>
  <c r="DE56" i="3" s="1"/>
  <c r="AP56" i="3"/>
  <c r="AQ56" i="3"/>
  <c r="AR56" i="3"/>
  <c r="AS56" i="3"/>
  <c r="AT56" i="3"/>
  <c r="AU56" i="3"/>
  <c r="AV56" i="3"/>
  <c r="AW56" i="3"/>
  <c r="AX56" i="3"/>
  <c r="AY56" i="3"/>
  <c r="AZ56" i="3"/>
  <c r="BA56" i="3"/>
  <c r="BB56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AN57" i="3"/>
  <c r="AO57" i="3"/>
  <c r="DE57" i="3" s="1"/>
  <c r="AP57" i="3"/>
  <c r="AQ57" i="3"/>
  <c r="AR57" i="3"/>
  <c r="AS57" i="3"/>
  <c r="AT57" i="3"/>
  <c r="AU57" i="3"/>
  <c r="AV57" i="3"/>
  <c r="AW57" i="3"/>
  <c r="AX57" i="3"/>
  <c r="AY57" i="3"/>
  <c r="AZ57" i="3"/>
  <c r="BA57" i="3"/>
  <c r="BB57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AN58" i="3"/>
  <c r="AO58" i="3"/>
  <c r="DE58" i="3" s="1"/>
  <c r="AP58" i="3"/>
  <c r="AQ58" i="3"/>
  <c r="AR58" i="3"/>
  <c r="AS58" i="3"/>
  <c r="AT58" i="3"/>
  <c r="AU58" i="3"/>
  <c r="AV58" i="3"/>
  <c r="AW58" i="3"/>
  <c r="AX58" i="3"/>
  <c r="AY58" i="3"/>
  <c r="AZ58" i="3"/>
  <c r="BA58" i="3"/>
  <c r="BB58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AN59" i="3"/>
  <c r="AO59" i="3"/>
  <c r="DE59" i="3" s="1"/>
  <c r="AP59" i="3"/>
  <c r="AQ59" i="3"/>
  <c r="AR59" i="3"/>
  <c r="AS59" i="3"/>
  <c r="AT59" i="3"/>
  <c r="AU59" i="3"/>
  <c r="AV59" i="3"/>
  <c r="AW59" i="3"/>
  <c r="AX59" i="3"/>
  <c r="AY59" i="3"/>
  <c r="AZ59" i="3"/>
  <c r="BA59" i="3"/>
  <c r="BB59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AN60" i="3"/>
  <c r="AO60" i="3"/>
  <c r="DE60" i="3" s="1"/>
  <c r="AP60" i="3"/>
  <c r="AQ60" i="3"/>
  <c r="AR60" i="3"/>
  <c r="AS60" i="3"/>
  <c r="AT60" i="3"/>
  <c r="AU60" i="3"/>
  <c r="AV60" i="3"/>
  <c r="AW60" i="3"/>
  <c r="AX60" i="3"/>
  <c r="AY60" i="3"/>
  <c r="AZ60" i="3"/>
  <c r="BA60" i="3"/>
  <c r="BB60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AN61" i="3"/>
  <c r="AO61" i="3"/>
  <c r="DE61" i="3" s="1"/>
  <c r="AP61" i="3"/>
  <c r="AQ61" i="3"/>
  <c r="AR61" i="3"/>
  <c r="AS61" i="3"/>
  <c r="AT61" i="3"/>
  <c r="AU61" i="3"/>
  <c r="AV61" i="3"/>
  <c r="AW61" i="3"/>
  <c r="AX61" i="3"/>
  <c r="AY61" i="3"/>
  <c r="AZ61" i="3"/>
  <c r="BA61" i="3"/>
  <c r="BB61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AN62" i="3"/>
  <c r="AO62" i="3"/>
  <c r="DE62" i="3" s="1"/>
  <c r="AP62" i="3"/>
  <c r="AQ62" i="3"/>
  <c r="AR62" i="3"/>
  <c r="AS62" i="3"/>
  <c r="AT62" i="3"/>
  <c r="AU62" i="3"/>
  <c r="AV62" i="3"/>
  <c r="AW62" i="3"/>
  <c r="AX62" i="3"/>
  <c r="AY62" i="3"/>
  <c r="AZ62" i="3"/>
  <c r="BA62" i="3"/>
  <c r="BB62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AZ63" i="3"/>
  <c r="BA63" i="3"/>
  <c r="BB63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AN64" i="3"/>
  <c r="AO64" i="3"/>
  <c r="DE64" i="3" s="1"/>
  <c r="AP64" i="3"/>
  <c r="AQ64" i="3"/>
  <c r="AR64" i="3"/>
  <c r="AS64" i="3"/>
  <c r="AT64" i="3"/>
  <c r="AU64" i="3"/>
  <c r="AV64" i="3"/>
  <c r="AW64" i="3"/>
  <c r="AX64" i="3"/>
  <c r="AY64" i="3"/>
  <c r="AZ64" i="3"/>
  <c r="BA64" i="3"/>
  <c r="BB64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AN65" i="3"/>
  <c r="AO65" i="3"/>
  <c r="DE65" i="3" s="1"/>
  <c r="AP65" i="3"/>
  <c r="AQ65" i="3"/>
  <c r="AR65" i="3"/>
  <c r="AS65" i="3"/>
  <c r="AT65" i="3"/>
  <c r="AU65" i="3"/>
  <c r="AV65" i="3"/>
  <c r="AW65" i="3"/>
  <c r="AX65" i="3"/>
  <c r="AY65" i="3"/>
  <c r="AZ65" i="3"/>
  <c r="BA65" i="3"/>
  <c r="BB65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AN66" i="3"/>
  <c r="AO66" i="3"/>
  <c r="DE66" i="3" s="1"/>
  <c r="AP66" i="3"/>
  <c r="AQ66" i="3"/>
  <c r="AR66" i="3"/>
  <c r="AS66" i="3"/>
  <c r="AT66" i="3"/>
  <c r="AU66" i="3"/>
  <c r="AV66" i="3"/>
  <c r="AW66" i="3"/>
  <c r="AX66" i="3"/>
  <c r="AY66" i="3"/>
  <c r="AZ66" i="3"/>
  <c r="BA66" i="3"/>
  <c r="BB66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AN67" i="3"/>
  <c r="AO67" i="3"/>
  <c r="DE67" i="3" s="1"/>
  <c r="AP67" i="3"/>
  <c r="AQ67" i="3"/>
  <c r="AR67" i="3"/>
  <c r="AS67" i="3"/>
  <c r="AT67" i="3"/>
  <c r="AU67" i="3"/>
  <c r="AV67" i="3"/>
  <c r="AW67" i="3"/>
  <c r="AX67" i="3"/>
  <c r="AY67" i="3"/>
  <c r="AZ67" i="3"/>
  <c r="BA67" i="3"/>
  <c r="BB67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AN68" i="3"/>
  <c r="AO68" i="3"/>
  <c r="DE68" i="3" s="1"/>
  <c r="AP68" i="3"/>
  <c r="AQ68" i="3"/>
  <c r="AR68" i="3"/>
  <c r="AS68" i="3"/>
  <c r="AT68" i="3"/>
  <c r="AU68" i="3"/>
  <c r="AV68" i="3"/>
  <c r="AW68" i="3"/>
  <c r="AX68" i="3"/>
  <c r="AY68" i="3"/>
  <c r="AZ68" i="3"/>
  <c r="BA68" i="3"/>
  <c r="BB68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AN69" i="3"/>
  <c r="AO69" i="3"/>
  <c r="DE69" i="3" s="1"/>
  <c r="AP69" i="3"/>
  <c r="AQ69" i="3"/>
  <c r="AR69" i="3"/>
  <c r="AS69" i="3"/>
  <c r="AT69" i="3"/>
  <c r="AU69" i="3"/>
  <c r="AV69" i="3"/>
  <c r="AW69" i="3"/>
  <c r="AX69" i="3"/>
  <c r="AY69" i="3"/>
  <c r="AZ69" i="3"/>
  <c r="BA69" i="3"/>
  <c r="BB69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AO39" i="3"/>
  <c r="DE39" i="3" s="1"/>
  <c r="AP39" i="3"/>
  <c r="AQ39" i="3"/>
  <c r="AR39" i="3"/>
  <c r="AS39" i="3"/>
  <c r="AT39" i="3"/>
  <c r="AU39" i="3"/>
  <c r="AV39" i="3"/>
  <c r="AW39" i="3"/>
  <c r="AX39" i="3"/>
  <c r="AY39" i="3"/>
  <c r="AZ39" i="3"/>
  <c r="BA39" i="3"/>
  <c r="BB39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AN39" i="3"/>
  <c r="AN75" i="3"/>
  <c r="BR75" i="3"/>
  <c r="AN76" i="3"/>
  <c r="BR76" i="3"/>
  <c r="AN77" i="3"/>
  <c r="BR77" i="3"/>
  <c r="AN78" i="3"/>
  <c r="BR78" i="3"/>
  <c r="AN79" i="3"/>
  <c r="BR79" i="3"/>
  <c r="AN80" i="3"/>
  <c r="BR80" i="3"/>
  <c r="AN81" i="3"/>
  <c r="BR81" i="3"/>
  <c r="AN82" i="3"/>
  <c r="BR82" i="3"/>
  <c r="AN83" i="3"/>
  <c r="BR83" i="3"/>
  <c r="AN84" i="3"/>
  <c r="BR84" i="3"/>
  <c r="AN85" i="3"/>
  <c r="BR85" i="3"/>
  <c r="AN86" i="3"/>
  <c r="BR86" i="3"/>
  <c r="AN87" i="3"/>
  <c r="BR87" i="3"/>
  <c r="AN88" i="3"/>
  <c r="BR88" i="3"/>
  <c r="AN89" i="3"/>
  <c r="BR89" i="3"/>
  <c r="AN90" i="3"/>
  <c r="BR90" i="3"/>
  <c r="AN91" i="3"/>
  <c r="BR91" i="3"/>
  <c r="AN92" i="3"/>
  <c r="BR92" i="3"/>
  <c r="AN93" i="3"/>
  <c r="BR93" i="3"/>
  <c r="AN94" i="3"/>
  <c r="BR94" i="3"/>
  <c r="AN95" i="3"/>
  <c r="BR95" i="3"/>
  <c r="AN96" i="3"/>
  <c r="BR96" i="3"/>
  <c r="AN97" i="3"/>
  <c r="BR97" i="3"/>
  <c r="AN98" i="3"/>
  <c r="BR98" i="3"/>
  <c r="AN99" i="3"/>
  <c r="BR99" i="3"/>
  <c r="AN100" i="3"/>
  <c r="BR100" i="3"/>
  <c r="AN101" i="3"/>
  <c r="BR101" i="3"/>
  <c r="AN102" i="3"/>
  <c r="BR102" i="3"/>
  <c r="AN103" i="3"/>
  <c r="BR103" i="3"/>
  <c r="AN104" i="3"/>
  <c r="BR104" i="3"/>
  <c r="BR74" i="3"/>
  <c r="AN74" i="3"/>
  <c r="DD103" i="3"/>
  <c r="EH103" i="3"/>
  <c r="CF102" i="3"/>
  <c r="CF101" i="3" s="1"/>
  <c r="CF100" i="3" s="1"/>
  <c r="CF99" i="3" s="1"/>
  <c r="CF98" i="3" s="1"/>
  <c r="CF97" i="3" s="1"/>
  <c r="CF96" i="3" s="1"/>
  <c r="CF95" i="3" s="1"/>
  <c r="CF94" i="3" s="1"/>
  <c r="CF93" i="3" s="1"/>
  <c r="CF92" i="3" s="1"/>
  <c r="CF91" i="3" s="1"/>
  <c r="CF90" i="3" s="1"/>
  <c r="CF89" i="3" s="1"/>
  <c r="CF88" i="3" s="1"/>
  <c r="CF87" i="3" s="1"/>
  <c r="CF86" i="3" s="1"/>
  <c r="CF85" i="3" s="1"/>
  <c r="CF84" i="3" s="1"/>
  <c r="CF83" i="3" s="1"/>
  <c r="CF82" i="3" s="1"/>
  <c r="CF81" i="3" s="1"/>
  <c r="CF80" i="3" s="1"/>
  <c r="CF79" i="3" s="1"/>
  <c r="CF78" i="3" s="1"/>
  <c r="CF77" i="3" s="1"/>
  <c r="CF76" i="3" s="1"/>
  <c r="CF75" i="3" s="1"/>
  <c r="CF74" i="3" s="1"/>
  <c r="CM102" i="3"/>
  <c r="CM101" i="3" s="1"/>
  <c r="CM100" i="3" s="1"/>
  <c r="CM99" i="3" s="1"/>
  <c r="CM98" i="3" s="1"/>
  <c r="CM97" i="3" s="1"/>
  <c r="CM96" i="3" s="1"/>
  <c r="CM95" i="3" s="1"/>
  <c r="CM94" i="3" s="1"/>
  <c r="CM93" i="3" s="1"/>
  <c r="CM92" i="3" s="1"/>
  <c r="CM91" i="3" s="1"/>
  <c r="CM90" i="3" s="1"/>
  <c r="CM89" i="3" s="1"/>
  <c r="CM88" i="3" s="1"/>
  <c r="CM87" i="3" s="1"/>
  <c r="CM86" i="3" s="1"/>
  <c r="CM85" i="3" s="1"/>
  <c r="CM84" i="3" s="1"/>
  <c r="CM83" i="3" s="1"/>
  <c r="CM82" i="3" s="1"/>
  <c r="CM81" i="3" s="1"/>
  <c r="CM80" i="3" s="1"/>
  <c r="CM79" i="3" s="1"/>
  <c r="CM78" i="3" s="1"/>
  <c r="CM77" i="3" s="1"/>
  <c r="CM76" i="3" s="1"/>
  <c r="CM75" i="3" s="1"/>
  <c r="CM74" i="3" s="1"/>
  <c r="CV102" i="3"/>
  <c r="CV101" i="3" s="1"/>
  <c r="CV100" i="3" s="1"/>
  <c r="CV99" i="3" s="1"/>
  <c r="CV98" i="3" s="1"/>
  <c r="CV97" i="3" s="1"/>
  <c r="CV96" i="3" s="1"/>
  <c r="CV95" i="3" s="1"/>
  <c r="CV94" i="3" s="1"/>
  <c r="CV93" i="3" s="1"/>
  <c r="CV92" i="3" s="1"/>
  <c r="CV91" i="3" s="1"/>
  <c r="CV90" i="3" s="1"/>
  <c r="CV89" i="3" s="1"/>
  <c r="CV88" i="3" s="1"/>
  <c r="CV87" i="3" s="1"/>
  <c r="CV86" i="3" s="1"/>
  <c r="CV85" i="3" s="1"/>
  <c r="CV84" i="3" s="1"/>
  <c r="CV83" i="3" s="1"/>
  <c r="CV82" i="3" s="1"/>
  <c r="CV81" i="3" s="1"/>
  <c r="CV80" i="3" s="1"/>
  <c r="CV79" i="3" s="1"/>
  <c r="CV78" i="3" s="1"/>
  <c r="CV77" i="3" s="1"/>
  <c r="CV76" i="3" s="1"/>
  <c r="CV75" i="3" s="1"/>
  <c r="CV74" i="3" s="1"/>
  <c r="BW103" i="3"/>
  <c r="BW102" i="3" s="1"/>
  <c r="BW101" i="3" s="1"/>
  <c r="BW100" i="3" s="1"/>
  <c r="BW99" i="3" s="1"/>
  <c r="BW98" i="3" s="1"/>
  <c r="BW97" i="3" s="1"/>
  <c r="BW96" i="3" s="1"/>
  <c r="BW95" i="3" s="1"/>
  <c r="BW94" i="3" s="1"/>
  <c r="BW93" i="3" s="1"/>
  <c r="BW92" i="3" s="1"/>
  <c r="BW91" i="3" s="1"/>
  <c r="BW90" i="3" s="1"/>
  <c r="BW89" i="3" s="1"/>
  <c r="BW88" i="3" s="1"/>
  <c r="BW87" i="3" s="1"/>
  <c r="BW86" i="3" s="1"/>
  <c r="BW85" i="3" s="1"/>
  <c r="BW84" i="3" s="1"/>
  <c r="BW83" i="3" s="1"/>
  <c r="BW82" i="3" s="1"/>
  <c r="BW81" i="3" s="1"/>
  <c r="BW80" i="3" s="1"/>
  <c r="BW79" i="3" s="1"/>
  <c r="BW78" i="3" s="1"/>
  <c r="BW77" i="3" s="1"/>
  <c r="BW76" i="3" s="1"/>
  <c r="BW75" i="3" s="1"/>
  <c r="BW74" i="3" s="1"/>
  <c r="BX103" i="3"/>
  <c r="BX102" i="3" s="1"/>
  <c r="BX101" i="3" s="1"/>
  <c r="BX100" i="3" s="1"/>
  <c r="BX99" i="3" s="1"/>
  <c r="BX98" i="3" s="1"/>
  <c r="BX97" i="3" s="1"/>
  <c r="BX96" i="3" s="1"/>
  <c r="BX95" i="3" s="1"/>
  <c r="BX94" i="3" s="1"/>
  <c r="BX93" i="3" s="1"/>
  <c r="BX92" i="3" s="1"/>
  <c r="BX91" i="3" s="1"/>
  <c r="BX90" i="3" s="1"/>
  <c r="BX89" i="3" s="1"/>
  <c r="BX88" i="3" s="1"/>
  <c r="BX87" i="3" s="1"/>
  <c r="BX86" i="3" s="1"/>
  <c r="BX85" i="3" s="1"/>
  <c r="BX84" i="3" s="1"/>
  <c r="BX83" i="3" s="1"/>
  <c r="BX82" i="3" s="1"/>
  <c r="BX81" i="3" s="1"/>
  <c r="BX80" i="3" s="1"/>
  <c r="BX79" i="3" s="1"/>
  <c r="BX78" i="3" s="1"/>
  <c r="BX77" i="3" s="1"/>
  <c r="BX76" i="3" s="1"/>
  <c r="BX75" i="3" s="1"/>
  <c r="BX74" i="3" s="1"/>
  <c r="BY103" i="3"/>
  <c r="BY102" i="3" s="1"/>
  <c r="BY101" i="3" s="1"/>
  <c r="BY100" i="3" s="1"/>
  <c r="BY99" i="3" s="1"/>
  <c r="BY98" i="3" s="1"/>
  <c r="BY97" i="3" s="1"/>
  <c r="BY96" i="3" s="1"/>
  <c r="BY95" i="3" s="1"/>
  <c r="BY94" i="3" s="1"/>
  <c r="BY93" i="3" s="1"/>
  <c r="BY92" i="3" s="1"/>
  <c r="BY91" i="3" s="1"/>
  <c r="BY90" i="3" s="1"/>
  <c r="BY89" i="3" s="1"/>
  <c r="BY88" i="3" s="1"/>
  <c r="BY87" i="3" s="1"/>
  <c r="BY86" i="3" s="1"/>
  <c r="BY85" i="3" s="1"/>
  <c r="BY84" i="3" s="1"/>
  <c r="BY83" i="3" s="1"/>
  <c r="BY82" i="3" s="1"/>
  <c r="BY81" i="3" s="1"/>
  <c r="BY80" i="3" s="1"/>
  <c r="BY79" i="3" s="1"/>
  <c r="BY78" i="3" s="1"/>
  <c r="BY77" i="3" s="1"/>
  <c r="BY76" i="3" s="1"/>
  <c r="BY75" i="3" s="1"/>
  <c r="BY74" i="3" s="1"/>
  <c r="CA103" i="3"/>
  <c r="CA102" i="3" s="1"/>
  <c r="CA101" i="3" s="1"/>
  <c r="CA100" i="3" s="1"/>
  <c r="CA99" i="3" s="1"/>
  <c r="CA98" i="3" s="1"/>
  <c r="CA97" i="3" s="1"/>
  <c r="CA96" i="3" s="1"/>
  <c r="CA95" i="3" s="1"/>
  <c r="CA94" i="3" s="1"/>
  <c r="CA93" i="3" s="1"/>
  <c r="CA92" i="3" s="1"/>
  <c r="CA91" i="3" s="1"/>
  <c r="CA90" i="3" s="1"/>
  <c r="CA89" i="3" s="1"/>
  <c r="CA88" i="3" s="1"/>
  <c r="CA87" i="3" s="1"/>
  <c r="CA86" i="3" s="1"/>
  <c r="CA85" i="3" s="1"/>
  <c r="CA84" i="3" s="1"/>
  <c r="CA83" i="3" s="1"/>
  <c r="CA82" i="3" s="1"/>
  <c r="CA81" i="3" s="1"/>
  <c r="CA80" i="3" s="1"/>
  <c r="CA79" i="3" s="1"/>
  <c r="CA78" i="3" s="1"/>
  <c r="CA77" i="3" s="1"/>
  <c r="CA76" i="3" s="1"/>
  <c r="CA75" i="3" s="1"/>
  <c r="CA74" i="3" s="1"/>
  <c r="CE103" i="3"/>
  <c r="CE102" i="3" s="1"/>
  <c r="CE101" i="3" s="1"/>
  <c r="CE100" i="3" s="1"/>
  <c r="CE99" i="3" s="1"/>
  <c r="CE98" i="3" s="1"/>
  <c r="CE97" i="3" s="1"/>
  <c r="CE96" i="3" s="1"/>
  <c r="CE95" i="3" s="1"/>
  <c r="CE94" i="3" s="1"/>
  <c r="CE93" i="3" s="1"/>
  <c r="CE92" i="3" s="1"/>
  <c r="CE91" i="3" s="1"/>
  <c r="CE90" i="3" s="1"/>
  <c r="CE89" i="3" s="1"/>
  <c r="CE88" i="3" s="1"/>
  <c r="CE87" i="3" s="1"/>
  <c r="CE86" i="3" s="1"/>
  <c r="CE85" i="3" s="1"/>
  <c r="CE84" i="3" s="1"/>
  <c r="CE83" i="3" s="1"/>
  <c r="CE82" i="3" s="1"/>
  <c r="CE81" i="3" s="1"/>
  <c r="CE80" i="3" s="1"/>
  <c r="CE79" i="3" s="1"/>
  <c r="CE78" i="3" s="1"/>
  <c r="CE77" i="3" s="1"/>
  <c r="CE76" i="3" s="1"/>
  <c r="CE75" i="3" s="1"/>
  <c r="CE74" i="3" s="1"/>
  <c r="CF103" i="3"/>
  <c r="CG103" i="3"/>
  <c r="CG102" i="3" s="1"/>
  <c r="CG101" i="3" s="1"/>
  <c r="CG100" i="3" s="1"/>
  <c r="CG99" i="3" s="1"/>
  <c r="CG98" i="3" s="1"/>
  <c r="CG97" i="3" s="1"/>
  <c r="CG96" i="3" s="1"/>
  <c r="CG95" i="3" s="1"/>
  <c r="CG94" i="3" s="1"/>
  <c r="CG93" i="3" s="1"/>
  <c r="CG92" i="3" s="1"/>
  <c r="CG91" i="3" s="1"/>
  <c r="CG90" i="3" s="1"/>
  <c r="CG89" i="3" s="1"/>
  <c r="CG88" i="3" s="1"/>
  <c r="CG87" i="3" s="1"/>
  <c r="CG86" i="3" s="1"/>
  <c r="CG85" i="3" s="1"/>
  <c r="CG84" i="3" s="1"/>
  <c r="CG83" i="3" s="1"/>
  <c r="CG82" i="3" s="1"/>
  <c r="CG81" i="3" s="1"/>
  <c r="CG80" i="3" s="1"/>
  <c r="CG79" i="3" s="1"/>
  <c r="CG78" i="3" s="1"/>
  <c r="CG77" i="3" s="1"/>
  <c r="CG76" i="3" s="1"/>
  <c r="CG75" i="3" s="1"/>
  <c r="CG74" i="3" s="1"/>
  <c r="CI103" i="3"/>
  <c r="CI102" i="3" s="1"/>
  <c r="CI101" i="3" s="1"/>
  <c r="CI100" i="3" s="1"/>
  <c r="CI99" i="3" s="1"/>
  <c r="CI98" i="3" s="1"/>
  <c r="CI97" i="3" s="1"/>
  <c r="CI96" i="3" s="1"/>
  <c r="CI95" i="3" s="1"/>
  <c r="CI94" i="3" s="1"/>
  <c r="CI93" i="3" s="1"/>
  <c r="CI92" i="3" s="1"/>
  <c r="CI91" i="3" s="1"/>
  <c r="CI90" i="3" s="1"/>
  <c r="CI89" i="3" s="1"/>
  <c r="CI88" i="3" s="1"/>
  <c r="CI87" i="3" s="1"/>
  <c r="CI86" i="3" s="1"/>
  <c r="CI85" i="3" s="1"/>
  <c r="CI84" i="3" s="1"/>
  <c r="CI83" i="3" s="1"/>
  <c r="CI82" i="3" s="1"/>
  <c r="CI81" i="3" s="1"/>
  <c r="CI80" i="3" s="1"/>
  <c r="CI79" i="3" s="1"/>
  <c r="CI78" i="3" s="1"/>
  <c r="CI77" i="3" s="1"/>
  <c r="CI76" i="3" s="1"/>
  <c r="CI75" i="3" s="1"/>
  <c r="CI74" i="3" s="1"/>
  <c r="CM103" i="3"/>
  <c r="CN103" i="3"/>
  <c r="CN102" i="3" s="1"/>
  <c r="CN101" i="3" s="1"/>
  <c r="CN100" i="3" s="1"/>
  <c r="CN99" i="3" s="1"/>
  <c r="CN98" i="3" s="1"/>
  <c r="CN97" i="3" s="1"/>
  <c r="CN96" i="3" s="1"/>
  <c r="CN95" i="3" s="1"/>
  <c r="CN94" i="3" s="1"/>
  <c r="CN93" i="3" s="1"/>
  <c r="CN92" i="3" s="1"/>
  <c r="CN91" i="3" s="1"/>
  <c r="CN90" i="3" s="1"/>
  <c r="CN89" i="3" s="1"/>
  <c r="CN88" i="3" s="1"/>
  <c r="CN87" i="3" s="1"/>
  <c r="CN86" i="3" s="1"/>
  <c r="CN85" i="3" s="1"/>
  <c r="CN84" i="3" s="1"/>
  <c r="CN83" i="3" s="1"/>
  <c r="CN82" i="3" s="1"/>
  <c r="CN81" i="3" s="1"/>
  <c r="CN80" i="3" s="1"/>
  <c r="CN79" i="3" s="1"/>
  <c r="CN78" i="3" s="1"/>
  <c r="CN77" i="3" s="1"/>
  <c r="CN76" i="3" s="1"/>
  <c r="CN75" i="3" s="1"/>
  <c r="CN74" i="3" s="1"/>
  <c r="CO103" i="3"/>
  <c r="CO102" i="3" s="1"/>
  <c r="CO101" i="3" s="1"/>
  <c r="CO100" i="3" s="1"/>
  <c r="CO99" i="3" s="1"/>
  <c r="CO98" i="3" s="1"/>
  <c r="CO97" i="3" s="1"/>
  <c r="CO96" i="3" s="1"/>
  <c r="CO95" i="3" s="1"/>
  <c r="CO94" i="3" s="1"/>
  <c r="CO93" i="3" s="1"/>
  <c r="CO92" i="3" s="1"/>
  <c r="CO91" i="3" s="1"/>
  <c r="CO90" i="3" s="1"/>
  <c r="CO89" i="3" s="1"/>
  <c r="CO88" i="3" s="1"/>
  <c r="CO87" i="3" s="1"/>
  <c r="CO86" i="3" s="1"/>
  <c r="CO85" i="3" s="1"/>
  <c r="CO84" i="3" s="1"/>
  <c r="CO83" i="3" s="1"/>
  <c r="CO82" i="3" s="1"/>
  <c r="CO81" i="3" s="1"/>
  <c r="CO80" i="3" s="1"/>
  <c r="CO79" i="3" s="1"/>
  <c r="CO78" i="3" s="1"/>
  <c r="CO77" i="3" s="1"/>
  <c r="CO76" i="3" s="1"/>
  <c r="CO75" i="3" s="1"/>
  <c r="CO74" i="3" s="1"/>
  <c r="CQ103" i="3"/>
  <c r="CQ102" i="3" s="1"/>
  <c r="CQ101" i="3" s="1"/>
  <c r="CQ100" i="3" s="1"/>
  <c r="CQ99" i="3" s="1"/>
  <c r="CQ98" i="3" s="1"/>
  <c r="CQ97" i="3" s="1"/>
  <c r="CQ96" i="3" s="1"/>
  <c r="CQ95" i="3" s="1"/>
  <c r="CQ94" i="3" s="1"/>
  <c r="CQ93" i="3" s="1"/>
  <c r="CQ92" i="3" s="1"/>
  <c r="CQ91" i="3" s="1"/>
  <c r="CQ90" i="3" s="1"/>
  <c r="CQ89" i="3" s="1"/>
  <c r="CQ88" i="3" s="1"/>
  <c r="CQ87" i="3" s="1"/>
  <c r="CQ86" i="3" s="1"/>
  <c r="CQ85" i="3" s="1"/>
  <c r="CQ84" i="3" s="1"/>
  <c r="CQ83" i="3" s="1"/>
  <c r="CQ82" i="3" s="1"/>
  <c r="CQ81" i="3" s="1"/>
  <c r="CQ80" i="3" s="1"/>
  <c r="CQ79" i="3" s="1"/>
  <c r="CQ78" i="3" s="1"/>
  <c r="CQ77" i="3" s="1"/>
  <c r="CQ76" i="3" s="1"/>
  <c r="CQ75" i="3" s="1"/>
  <c r="CQ74" i="3" s="1"/>
  <c r="CU103" i="3"/>
  <c r="CU102" i="3" s="1"/>
  <c r="CU101" i="3" s="1"/>
  <c r="CU100" i="3" s="1"/>
  <c r="CU99" i="3" s="1"/>
  <c r="CU98" i="3" s="1"/>
  <c r="CU97" i="3" s="1"/>
  <c r="CU96" i="3" s="1"/>
  <c r="CU95" i="3" s="1"/>
  <c r="CU94" i="3" s="1"/>
  <c r="CU93" i="3" s="1"/>
  <c r="CU92" i="3" s="1"/>
  <c r="CU91" i="3" s="1"/>
  <c r="CU90" i="3" s="1"/>
  <c r="CU89" i="3" s="1"/>
  <c r="CU88" i="3" s="1"/>
  <c r="CU87" i="3" s="1"/>
  <c r="CU86" i="3" s="1"/>
  <c r="CU85" i="3" s="1"/>
  <c r="CU84" i="3" s="1"/>
  <c r="CU83" i="3" s="1"/>
  <c r="CU82" i="3" s="1"/>
  <c r="CU81" i="3" s="1"/>
  <c r="CU80" i="3" s="1"/>
  <c r="CU79" i="3" s="1"/>
  <c r="CU78" i="3" s="1"/>
  <c r="CU77" i="3" s="1"/>
  <c r="CU76" i="3" s="1"/>
  <c r="CU75" i="3" s="1"/>
  <c r="CU74" i="3" s="1"/>
  <c r="CV103" i="3"/>
  <c r="CW103" i="3"/>
  <c r="CW102" i="3" s="1"/>
  <c r="CW101" i="3" s="1"/>
  <c r="CW100" i="3" s="1"/>
  <c r="CW99" i="3" s="1"/>
  <c r="CW98" i="3" s="1"/>
  <c r="CW97" i="3" s="1"/>
  <c r="CW96" i="3" s="1"/>
  <c r="CW95" i="3" s="1"/>
  <c r="CW94" i="3" s="1"/>
  <c r="CW93" i="3" s="1"/>
  <c r="CW92" i="3" s="1"/>
  <c r="CW91" i="3" s="1"/>
  <c r="CW90" i="3" s="1"/>
  <c r="CW89" i="3" s="1"/>
  <c r="CW88" i="3" s="1"/>
  <c r="CW87" i="3" s="1"/>
  <c r="CW86" i="3" s="1"/>
  <c r="CW85" i="3" s="1"/>
  <c r="CW84" i="3" s="1"/>
  <c r="CW83" i="3" s="1"/>
  <c r="CW82" i="3" s="1"/>
  <c r="CW81" i="3" s="1"/>
  <c r="CW80" i="3" s="1"/>
  <c r="CW79" i="3" s="1"/>
  <c r="CW78" i="3" s="1"/>
  <c r="CW77" i="3" s="1"/>
  <c r="CW76" i="3" s="1"/>
  <c r="CW75" i="3" s="1"/>
  <c r="CW74" i="3" s="1"/>
  <c r="CY103" i="3"/>
  <c r="CY102" i="3" s="1"/>
  <c r="CY101" i="3" s="1"/>
  <c r="CY100" i="3" s="1"/>
  <c r="CY99" i="3" s="1"/>
  <c r="CY98" i="3" s="1"/>
  <c r="CY97" i="3" s="1"/>
  <c r="CY96" i="3" s="1"/>
  <c r="CY95" i="3" s="1"/>
  <c r="CY94" i="3" s="1"/>
  <c r="CY93" i="3" s="1"/>
  <c r="CY92" i="3" s="1"/>
  <c r="CY91" i="3" s="1"/>
  <c r="CY90" i="3" s="1"/>
  <c r="CY89" i="3" s="1"/>
  <c r="CY88" i="3" s="1"/>
  <c r="CY87" i="3" s="1"/>
  <c r="CY86" i="3" s="1"/>
  <c r="CY85" i="3" s="1"/>
  <c r="CY84" i="3" s="1"/>
  <c r="CY83" i="3" s="1"/>
  <c r="CY82" i="3" s="1"/>
  <c r="CY81" i="3" s="1"/>
  <c r="CY80" i="3" s="1"/>
  <c r="CY79" i="3" s="1"/>
  <c r="CY78" i="3" s="1"/>
  <c r="CY77" i="3" s="1"/>
  <c r="CY76" i="3" s="1"/>
  <c r="CY75" i="3" s="1"/>
  <c r="CY74" i="3" s="1"/>
  <c r="BV103" i="3"/>
  <c r="BV102" i="3" s="1"/>
  <c r="BV101" i="3" s="1"/>
  <c r="BV100" i="3" s="1"/>
  <c r="BV99" i="3" s="1"/>
  <c r="BV98" i="3" s="1"/>
  <c r="BV97" i="3" s="1"/>
  <c r="BV96" i="3" s="1"/>
  <c r="BV95" i="3" s="1"/>
  <c r="BV94" i="3" s="1"/>
  <c r="BV93" i="3" s="1"/>
  <c r="BV92" i="3" s="1"/>
  <c r="BV91" i="3" s="1"/>
  <c r="BV90" i="3" s="1"/>
  <c r="BV89" i="3" s="1"/>
  <c r="BV88" i="3" s="1"/>
  <c r="BV87" i="3" s="1"/>
  <c r="BV86" i="3" s="1"/>
  <c r="BV85" i="3" s="1"/>
  <c r="BV84" i="3" s="1"/>
  <c r="BV83" i="3" s="1"/>
  <c r="BV82" i="3" s="1"/>
  <c r="BV81" i="3" s="1"/>
  <c r="BV80" i="3" s="1"/>
  <c r="BV79" i="3" s="1"/>
  <c r="BV78" i="3" s="1"/>
  <c r="BV77" i="3" s="1"/>
  <c r="BV76" i="3" s="1"/>
  <c r="BV75" i="3" s="1"/>
  <c r="BV74" i="3" s="1"/>
  <c r="BZ103" i="3"/>
  <c r="BZ102" i="3" s="1"/>
  <c r="BZ101" i="3" s="1"/>
  <c r="BZ100" i="3" s="1"/>
  <c r="BZ99" i="3" s="1"/>
  <c r="BZ98" i="3" s="1"/>
  <c r="BZ97" i="3" s="1"/>
  <c r="BZ96" i="3" s="1"/>
  <c r="BZ95" i="3" s="1"/>
  <c r="BZ94" i="3" s="1"/>
  <c r="BZ93" i="3" s="1"/>
  <c r="BZ92" i="3" s="1"/>
  <c r="BZ91" i="3" s="1"/>
  <c r="BZ90" i="3" s="1"/>
  <c r="BZ89" i="3" s="1"/>
  <c r="BZ88" i="3" s="1"/>
  <c r="BZ87" i="3" s="1"/>
  <c r="BZ86" i="3" s="1"/>
  <c r="BZ85" i="3" s="1"/>
  <c r="BZ84" i="3" s="1"/>
  <c r="BZ83" i="3" s="1"/>
  <c r="BZ82" i="3" s="1"/>
  <c r="BZ81" i="3" s="1"/>
  <c r="BZ80" i="3" s="1"/>
  <c r="BZ79" i="3" s="1"/>
  <c r="BZ78" i="3" s="1"/>
  <c r="BZ77" i="3" s="1"/>
  <c r="BZ76" i="3" s="1"/>
  <c r="BZ75" i="3" s="1"/>
  <c r="BZ74" i="3" s="1"/>
  <c r="CB103" i="3"/>
  <c r="CB102" i="3" s="1"/>
  <c r="CB101" i="3" s="1"/>
  <c r="CB100" i="3" s="1"/>
  <c r="CB99" i="3" s="1"/>
  <c r="CB98" i="3" s="1"/>
  <c r="CB97" i="3" s="1"/>
  <c r="CB96" i="3" s="1"/>
  <c r="CB95" i="3" s="1"/>
  <c r="CB94" i="3" s="1"/>
  <c r="CB93" i="3" s="1"/>
  <c r="CB92" i="3" s="1"/>
  <c r="CB91" i="3" s="1"/>
  <c r="CB90" i="3" s="1"/>
  <c r="CB89" i="3" s="1"/>
  <c r="CB88" i="3" s="1"/>
  <c r="CB87" i="3" s="1"/>
  <c r="CB86" i="3" s="1"/>
  <c r="CB85" i="3" s="1"/>
  <c r="CB84" i="3" s="1"/>
  <c r="CB83" i="3" s="1"/>
  <c r="CB82" i="3" s="1"/>
  <c r="CB81" i="3" s="1"/>
  <c r="CB80" i="3" s="1"/>
  <c r="CB79" i="3" s="1"/>
  <c r="CB78" i="3" s="1"/>
  <c r="CB77" i="3" s="1"/>
  <c r="CB76" i="3" s="1"/>
  <c r="CB75" i="3" s="1"/>
  <c r="CB74" i="3" s="1"/>
  <c r="CC103" i="3"/>
  <c r="CC102" i="3" s="1"/>
  <c r="CC101" i="3" s="1"/>
  <c r="CC100" i="3" s="1"/>
  <c r="CC99" i="3" s="1"/>
  <c r="CC98" i="3" s="1"/>
  <c r="CC97" i="3" s="1"/>
  <c r="CC96" i="3" s="1"/>
  <c r="CC95" i="3" s="1"/>
  <c r="CC94" i="3" s="1"/>
  <c r="CC93" i="3" s="1"/>
  <c r="CC92" i="3" s="1"/>
  <c r="CC91" i="3" s="1"/>
  <c r="CC90" i="3" s="1"/>
  <c r="CC89" i="3" s="1"/>
  <c r="CC88" i="3" s="1"/>
  <c r="CC87" i="3" s="1"/>
  <c r="CC86" i="3" s="1"/>
  <c r="CC85" i="3" s="1"/>
  <c r="CC84" i="3" s="1"/>
  <c r="CC83" i="3" s="1"/>
  <c r="CC82" i="3" s="1"/>
  <c r="CC81" i="3" s="1"/>
  <c r="CC80" i="3" s="1"/>
  <c r="CC79" i="3" s="1"/>
  <c r="CC78" i="3" s="1"/>
  <c r="CC77" i="3" s="1"/>
  <c r="CC76" i="3" s="1"/>
  <c r="CC75" i="3" s="1"/>
  <c r="CC74" i="3" s="1"/>
  <c r="CD103" i="3"/>
  <c r="CD102" i="3" s="1"/>
  <c r="CD101" i="3" s="1"/>
  <c r="CD100" i="3" s="1"/>
  <c r="CD99" i="3" s="1"/>
  <c r="CD98" i="3" s="1"/>
  <c r="CD97" i="3" s="1"/>
  <c r="CD96" i="3" s="1"/>
  <c r="CD95" i="3" s="1"/>
  <c r="CD94" i="3" s="1"/>
  <c r="CD93" i="3" s="1"/>
  <c r="CD92" i="3" s="1"/>
  <c r="CD91" i="3" s="1"/>
  <c r="CD90" i="3" s="1"/>
  <c r="CD89" i="3" s="1"/>
  <c r="CD88" i="3" s="1"/>
  <c r="CD87" i="3" s="1"/>
  <c r="CD86" i="3" s="1"/>
  <c r="CD85" i="3" s="1"/>
  <c r="CD84" i="3" s="1"/>
  <c r="CD83" i="3" s="1"/>
  <c r="CD82" i="3" s="1"/>
  <c r="CD81" i="3" s="1"/>
  <c r="CD80" i="3" s="1"/>
  <c r="CD79" i="3" s="1"/>
  <c r="CD78" i="3" s="1"/>
  <c r="CD77" i="3" s="1"/>
  <c r="CD76" i="3" s="1"/>
  <c r="CD75" i="3" s="1"/>
  <c r="CD74" i="3" s="1"/>
  <c r="CH103" i="3"/>
  <c r="CH102" i="3" s="1"/>
  <c r="CH101" i="3" s="1"/>
  <c r="CH100" i="3" s="1"/>
  <c r="CH99" i="3" s="1"/>
  <c r="CH98" i="3" s="1"/>
  <c r="CH97" i="3" s="1"/>
  <c r="CH96" i="3" s="1"/>
  <c r="CH95" i="3" s="1"/>
  <c r="CH94" i="3" s="1"/>
  <c r="CH93" i="3" s="1"/>
  <c r="CH92" i="3" s="1"/>
  <c r="CH91" i="3" s="1"/>
  <c r="CH90" i="3" s="1"/>
  <c r="CH89" i="3" s="1"/>
  <c r="CH88" i="3" s="1"/>
  <c r="CH87" i="3" s="1"/>
  <c r="CH86" i="3" s="1"/>
  <c r="CH85" i="3" s="1"/>
  <c r="CH84" i="3" s="1"/>
  <c r="CH83" i="3" s="1"/>
  <c r="CH82" i="3" s="1"/>
  <c r="CH81" i="3" s="1"/>
  <c r="CH80" i="3" s="1"/>
  <c r="CH79" i="3" s="1"/>
  <c r="CH78" i="3" s="1"/>
  <c r="CH77" i="3" s="1"/>
  <c r="CH76" i="3" s="1"/>
  <c r="CH75" i="3" s="1"/>
  <c r="CH74" i="3" s="1"/>
  <c r="CJ103" i="3"/>
  <c r="CJ102" i="3" s="1"/>
  <c r="CJ101" i="3" s="1"/>
  <c r="CJ100" i="3" s="1"/>
  <c r="CJ99" i="3" s="1"/>
  <c r="CJ98" i="3" s="1"/>
  <c r="CJ97" i="3" s="1"/>
  <c r="CJ96" i="3" s="1"/>
  <c r="CJ95" i="3" s="1"/>
  <c r="CJ94" i="3" s="1"/>
  <c r="CJ93" i="3" s="1"/>
  <c r="CJ92" i="3" s="1"/>
  <c r="CJ91" i="3" s="1"/>
  <c r="CJ90" i="3" s="1"/>
  <c r="CJ89" i="3" s="1"/>
  <c r="CJ88" i="3" s="1"/>
  <c r="CJ87" i="3" s="1"/>
  <c r="CJ86" i="3" s="1"/>
  <c r="CJ85" i="3" s="1"/>
  <c r="CJ84" i="3" s="1"/>
  <c r="CJ83" i="3" s="1"/>
  <c r="CJ82" i="3" s="1"/>
  <c r="CJ81" i="3" s="1"/>
  <c r="CJ80" i="3" s="1"/>
  <c r="CJ79" i="3" s="1"/>
  <c r="CJ78" i="3" s="1"/>
  <c r="CJ77" i="3" s="1"/>
  <c r="CJ76" i="3" s="1"/>
  <c r="CJ75" i="3" s="1"/>
  <c r="CJ74" i="3" s="1"/>
  <c r="CK103" i="3"/>
  <c r="CK102" i="3" s="1"/>
  <c r="CK101" i="3" s="1"/>
  <c r="CK100" i="3" s="1"/>
  <c r="CK99" i="3" s="1"/>
  <c r="CK98" i="3" s="1"/>
  <c r="CK97" i="3" s="1"/>
  <c r="CK96" i="3" s="1"/>
  <c r="CK95" i="3" s="1"/>
  <c r="CK94" i="3" s="1"/>
  <c r="CK93" i="3" s="1"/>
  <c r="CK92" i="3" s="1"/>
  <c r="CK91" i="3" s="1"/>
  <c r="CK90" i="3" s="1"/>
  <c r="CK89" i="3" s="1"/>
  <c r="CK88" i="3" s="1"/>
  <c r="CK87" i="3" s="1"/>
  <c r="CK86" i="3" s="1"/>
  <c r="CK85" i="3" s="1"/>
  <c r="CK84" i="3" s="1"/>
  <c r="CK83" i="3" s="1"/>
  <c r="CK82" i="3" s="1"/>
  <c r="CK81" i="3" s="1"/>
  <c r="CK80" i="3" s="1"/>
  <c r="CK79" i="3" s="1"/>
  <c r="CK78" i="3" s="1"/>
  <c r="CK77" i="3" s="1"/>
  <c r="CK76" i="3" s="1"/>
  <c r="CK75" i="3" s="1"/>
  <c r="CK74" i="3" s="1"/>
  <c r="CL103" i="3"/>
  <c r="CL102" i="3" s="1"/>
  <c r="CL101" i="3" s="1"/>
  <c r="CL100" i="3" s="1"/>
  <c r="CL99" i="3" s="1"/>
  <c r="CL98" i="3" s="1"/>
  <c r="CL97" i="3" s="1"/>
  <c r="CL96" i="3" s="1"/>
  <c r="CL95" i="3" s="1"/>
  <c r="CL94" i="3" s="1"/>
  <c r="CL93" i="3" s="1"/>
  <c r="CL92" i="3" s="1"/>
  <c r="CL91" i="3" s="1"/>
  <c r="CL90" i="3" s="1"/>
  <c r="CL89" i="3" s="1"/>
  <c r="CL88" i="3" s="1"/>
  <c r="CL87" i="3" s="1"/>
  <c r="CL86" i="3" s="1"/>
  <c r="CL85" i="3" s="1"/>
  <c r="CL84" i="3" s="1"/>
  <c r="CL83" i="3" s="1"/>
  <c r="CL82" i="3" s="1"/>
  <c r="CL81" i="3" s="1"/>
  <c r="CL80" i="3" s="1"/>
  <c r="CL79" i="3" s="1"/>
  <c r="CL78" i="3" s="1"/>
  <c r="CL77" i="3" s="1"/>
  <c r="CL76" i="3" s="1"/>
  <c r="CL75" i="3" s="1"/>
  <c r="CL74" i="3" s="1"/>
  <c r="CP103" i="3"/>
  <c r="CP102" i="3" s="1"/>
  <c r="CP101" i="3" s="1"/>
  <c r="CP100" i="3" s="1"/>
  <c r="CP99" i="3" s="1"/>
  <c r="CP98" i="3" s="1"/>
  <c r="CP97" i="3" s="1"/>
  <c r="CP96" i="3" s="1"/>
  <c r="CP95" i="3" s="1"/>
  <c r="CP94" i="3" s="1"/>
  <c r="CP93" i="3" s="1"/>
  <c r="CP92" i="3" s="1"/>
  <c r="CP91" i="3" s="1"/>
  <c r="CP90" i="3" s="1"/>
  <c r="CP89" i="3" s="1"/>
  <c r="CP88" i="3" s="1"/>
  <c r="CP87" i="3" s="1"/>
  <c r="CP86" i="3" s="1"/>
  <c r="CP85" i="3" s="1"/>
  <c r="CP84" i="3" s="1"/>
  <c r="CP83" i="3" s="1"/>
  <c r="CP82" i="3" s="1"/>
  <c r="CP81" i="3" s="1"/>
  <c r="CP80" i="3" s="1"/>
  <c r="CP79" i="3" s="1"/>
  <c r="CP78" i="3" s="1"/>
  <c r="CP77" i="3" s="1"/>
  <c r="CP76" i="3" s="1"/>
  <c r="CP75" i="3" s="1"/>
  <c r="CP74" i="3" s="1"/>
  <c r="CR103" i="3"/>
  <c r="CR102" i="3" s="1"/>
  <c r="CR101" i="3" s="1"/>
  <c r="CR100" i="3" s="1"/>
  <c r="CR99" i="3" s="1"/>
  <c r="CR98" i="3" s="1"/>
  <c r="CR97" i="3" s="1"/>
  <c r="CR96" i="3" s="1"/>
  <c r="CR95" i="3" s="1"/>
  <c r="CR94" i="3" s="1"/>
  <c r="CR93" i="3" s="1"/>
  <c r="CR92" i="3" s="1"/>
  <c r="CR91" i="3" s="1"/>
  <c r="CR90" i="3" s="1"/>
  <c r="CR89" i="3" s="1"/>
  <c r="CR88" i="3" s="1"/>
  <c r="CR87" i="3" s="1"/>
  <c r="CR86" i="3" s="1"/>
  <c r="CR85" i="3" s="1"/>
  <c r="CR84" i="3" s="1"/>
  <c r="CR83" i="3" s="1"/>
  <c r="CR82" i="3" s="1"/>
  <c r="CR81" i="3" s="1"/>
  <c r="CR80" i="3" s="1"/>
  <c r="CR79" i="3" s="1"/>
  <c r="CR78" i="3" s="1"/>
  <c r="CR77" i="3" s="1"/>
  <c r="CR76" i="3" s="1"/>
  <c r="CR75" i="3" s="1"/>
  <c r="CR74" i="3" s="1"/>
  <c r="CS103" i="3"/>
  <c r="CS102" i="3" s="1"/>
  <c r="CS101" i="3" s="1"/>
  <c r="CS100" i="3" s="1"/>
  <c r="CS99" i="3" s="1"/>
  <c r="CS98" i="3" s="1"/>
  <c r="CS97" i="3" s="1"/>
  <c r="CS96" i="3" s="1"/>
  <c r="CS95" i="3" s="1"/>
  <c r="CS94" i="3" s="1"/>
  <c r="CS93" i="3" s="1"/>
  <c r="CS92" i="3" s="1"/>
  <c r="CS91" i="3" s="1"/>
  <c r="CS90" i="3" s="1"/>
  <c r="CS89" i="3" s="1"/>
  <c r="CS88" i="3" s="1"/>
  <c r="CS87" i="3" s="1"/>
  <c r="CS86" i="3" s="1"/>
  <c r="CS85" i="3" s="1"/>
  <c r="CS84" i="3" s="1"/>
  <c r="CS83" i="3" s="1"/>
  <c r="CS82" i="3" s="1"/>
  <c r="CS81" i="3" s="1"/>
  <c r="CS80" i="3" s="1"/>
  <c r="CS79" i="3" s="1"/>
  <c r="CS78" i="3" s="1"/>
  <c r="CS77" i="3" s="1"/>
  <c r="CS76" i="3" s="1"/>
  <c r="CS75" i="3" s="1"/>
  <c r="CS74" i="3" s="1"/>
  <c r="CT103" i="3"/>
  <c r="CT102" i="3" s="1"/>
  <c r="CT101" i="3" s="1"/>
  <c r="CT100" i="3" s="1"/>
  <c r="CT99" i="3" s="1"/>
  <c r="CT98" i="3" s="1"/>
  <c r="CT97" i="3" s="1"/>
  <c r="CT96" i="3" s="1"/>
  <c r="CT95" i="3" s="1"/>
  <c r="CT94" i="3" s="1"/>
  <c r="CT93" i="3" s="1"/>
  <c r="CT92" i="3" s="1"/>
  <c r="CT91" i="3" s="1"/>
  <c r="CT90" i="3" s="1"/>
  <c r="CT89" i="3" s="1"/>
  <c r="CT88" i="3" s="1"/>
  <c r="CT87" i="3" s="1"/>
  <c r="CT86" i="3" s="1"/>
  <c r="CT85" i="3" s="1"/>
  <c r="CT84" i="3" s="1"/>
  <c r="CT83" i="3" s="1"/>
  <c r="CT82" i="3" s="1"/>
  <c r="CT81" i="3" s="1"/>
  <c r="CT80" i="3" s="1"/>
  <c r="CT79" i="3" s="1"/>
  <c r="CT78" i="3" s="1"/>
  <c r="CT77" i="3" s="1"/>
  <c r="CT76" i="3" s="1"/>
  <c r="CT75" i="3" s="1"/>
  <c r="CT74" i="3" s="1"/>
  <c r="CX103" i="3"/>
  <c r="CX102" i="3" s="1"/>
  <c r="CX101" i="3" s="1"/>
  <c r="CX100" i="3" s="1"/>
  <c r="CX99" i="3" s="1"/>
  <c r="CX98" i="3" s="1"/>
  <c r="CX97" i="3" s="1"/>
  <c r="CX96" i="3" s="1"/>
  <c r="CX95" i="3" s="1"/>
  <c r="CX94" i="3" s="1"/>
  <c r="CX93" i="3" s="1"/>
  <c r="CX92" i="3" s="1"/>
  <c r="CX91" i="3" s="1"/>
  <c r="CX90" i="3" s="1"/>
  <c r="CX89" i="3" s="1"/>
  <c r="CX88" i="3" s="1"/>
  <c r="CX87" i="3" s="1"/>
  <c r="CX86" i="3" s="1"/>
  <c r="CX85" i="3" s="1"/>
  <c r="CX84" i="3" s="1"/>
  <c r="CX83" i="3" s="1"/>
  <c r="CX82" i="3" s="1"/>
  <c r="CX81" i="3" s="1"/>
  <c r="CX80" i="3" s="1"/>
  <c r="CX79" i="3" s="1"/>
  <c r="CX78" i="3" s="1"/>
  <c r="CX77" i="3" s="1"/>
  <c r="CX76" i="3" s="1"/>
  <c r="CX75" i="3" s="1"/>
  <c r="CX74" i="3" s="1"/>
  <c r="CZ103" i="3"/>
  <c r="CZ102" i="3" s="1"/>
  <c r="CZ101" i="3" s="1"/>
  <c r="CZ100" i="3" s="1"/>
  <c r="CZ99" i="3" s="1"/>
  <c r="CZ98" i="3" s="1"/>
  <c r="CZ97" i="3" s="1"/>
  <c r="CZ96" i="3" s="1"/>
  <c r="CZ95" i="3" s="1"/>
  <c r="CZ94" i="3" s="1"/>
  <c r="CZ93" i="3" s="1"/>
  <c r="CZ92" i="3" s="1"/>
  <c r="CZ91" i="3" s="1"/>
  <c r="CZ90" i="3" s="1"/>
  <c r="CZ89" i="3" s="1"/>
  <c r="CZ88" i="3" s="1"/>
  <c r="CZ87" i="3" s="1"/>
  <c r="CZ86" i="3" s="1"/>
  <c r="CZ85" i="3" s="1"/>
  <c r="CZ84" i="3" s="1"/>
  <c r="CZ83" i="3" s="1"/>
  <c r="CZ82" i="3" s="1"/>
  <c r="CZ81" i="3" s="1"/>
  <c r="CZ80" i="3" s="1"/>
  <c r="CZ79" i="3" s="1"/>
  <c r="CZ78" i="3" s="1"/>
  <c r="CZ77" i="3" s="1"/>
  <c r="CZ76" i="3" s="1"/>
  <c r="CZ75" i="3" s="1"/>
  <c r="CZ74" i="3" s="1"/>
  <c r="BW39" i="3"/>
  <c r="DD40" i="3"/>
  <c r="DD41" i="3"/>
  <c r="DD42" i="3"/>
  <c r="DD43" i="3"/>
  <c r="DD44" i="3"/>
  <c r="DD45" i="3"/>
  <c r="DD46" i="3"/>
  <c r="DD47" i="3"/>
  <c r="DD48" i="3"/>
  <c r="DD49" i="3"/>
  <c r="DD50" i="3"/>
  <c r="DD51" i="3"/>
  <c r="DD52" i="3"/>
  <c r="DD53" i="3"/>
  <c r="DD54" i="3"/>
  <c r="DD55" i="3"/>
  <c r="DD56" i="3"/>
  <c r="DD57" i="3"/>
  <c r="DD58" i="3"/>
  <c r="DD59" i="3"/>
  <c r="DD60" i="3"/>
  <c r="DD61" i="3"/>
  <c r="DD62" i="3"/>
  <c r="DD63" i="3"/>
  <c r="DD64" i="3"/>
  <c r="DD65" i="3"/>
  <c r="DD66" i="3"/>
  <c r="DD67" i="3"/>
  <c r="DD68" i="3"/>
  <c r="DD69" i="3"/>
  <c r="DD39" i="3"/>
  <c r="BW40" i="3"/>
  <c r="BX40" i="3" s="1"/>
  <c r="BY40" i="3" s="1"/>
  <c r="BZ40" i="3" s="1"/>
  <c r="CA40" i="3" s="1"/>
  <c r="CB40" i="3" s="1"/>
  <c r="CC40" i="3" s="1"/>
  <c r="CD40" i="3" s="1"/>
  <c r="CE40" i="3" s="1"/>
  <c r="CF40" i="3" s="1"/>
  <c r="CG40" i="3" s="1"/>
  <c r="CH40" i="3" s="1"/>
  <c r="CI40" i="3" s="1"/>
  <c r="CJ40" i="3" s="1"/>
  <c r="CK40" i="3" s="1"/>
  <c r="CL40" i="3" s="1"/>
  <c r="CM40" i="3" s="1"/>
  <c r="CN40" i="3" s="1"/>
  <c r="CO40" i="3" s="1"/>
  <c r="CP40" i="3" s="1"/>
  <c r="CQ40" i="3" s="1"/>
  <c r="CR40" i="3" s="1"/>
  <c r="CS40" i="3" s="1"/>
  <c r="CT40" i="3" s="1"/>
  <c r="CU40" i="3" s="1"/>
  <c r="CV40" i="3" s="1"/>
  <c r="CW40" i="3" s="1"/>
  <c r="CX40" i="3" s="1"/>
  <c r="CY40" i="3" s="1"/>
  <c r="BW41" i="3"/>
  <c r="BX41" i="3" s="1"/>
  <c r="BY41" i="3" s="1"/>
  <c r="BZ41" i="3" s="1"/>
  <c r="CA41" i="3" s="1"/>
  <c r="CB41" i="3" s="1"/>
  <c r="CC41" i="3" s="1"/>
  <c r="CD41" i="3" s="1"/>
  <c r="CE41" i="3" s="1"/>
  <c r="CF41" i="3" s="1"/>
  <c r="CG41" i="3" s="1"/>
  <c r="CH41" i="3" s="1"/>
  <c r="CI41" i="3" s="1"/>
  <c r="CJ41" i="3" s="1"/>
  <c r="CK41" i="3" s="1"/>
  <c r="CL41" i="3" s="1"/>
  <c r="CM41" i="3" s="1"/>
  <c r="CN41" i="3" s="1"/>
  <c r="CO41" i="3" s="1"/>
  <c r="CP41" i="3" s="1"/>
  <c r="CQ41" i="3" s="1"/>
  <c r="CR41" i="3" s="1"/>
  <c r="CS41" i="3" s="1"/>
  <c r="CT41" i="3" s="1"/>
  <c r="CU41" i="3" s="1"/>
  <c r="CV41" i="3" s="1"/>
  <c r="CW41" i="3" s="1"/>
  <c r="BW42" i="3"/>
  <c r="BX42" i="3" s="1"/>
  <c r="BY42" i="3" s="1"/>
  <c r="BZ42" i="3" s="1"/>
  <c r="CA42" i="3" s="1"/>
  <c r="CB42" i="3" s="1"/>
  <c r="CC42" i="3" s="1"/>
  <c r="CD42" i="3" s="1"/>
  <c r="CE42" i="3" s="1"/>
  <c r="CF42" i="3" s="1"/>
  <c r="CG42" i="3" s="1"/>
  <c r="CH42" i="3" s="1"/>
  <c r="CI42" i="3" s="1"/>
  <c r="CJ42" i="3"/>
  <c r="CK42" i="3" s="1"/>
  <c r="CL42" i="3" s="1"/>
  <c r="CM42" i="3" s="1"/>
  <c r="CN42" i="3" s="1"/>
  <c r="CO42" i="3" s="1"/>
  <c r="CP42" i="3" s="1"/>
  <c r="CQ42" i="3" s="1"/>
  <c r="CR42" i="3" s="1"/>
  <c r="CS42" i="3" s="1"/>
  <c r="CT42" i="3" s="1"/>
  <c r="CU42" i="3" s="1"/>
  <c r="CV42" i="3" s="1"/>
  <c r="CW42" i="3" s="1"/>
  <c r="CX42" i="3" s="1"/>
  <c r="CY42" i="3" s="1"/>
  <c r="BW43" i="3"/>
  <c r="BX43" i="3" s="1"/>
  <c r="BY43" i="3" s="1"/>
  <c r="BZ43" i="3" s="1"/>
  <c r="CA43" i="3" s="1"/>
  <c r="CB43" i="3" s="1"/>
  <c r="CC43" i="3" s="1"/>
  <c r="CD43" i="3" s="1"/>
  <c r="CE43" i="3" s="1"/>
  <c r="BW44" i="3"/>
  <c r="BX44" i="3" s="1"/>
  <c r="BY44" i="3" s="1"/>
  <c r="BZ44" i="3" s="1"/>
  <c r="CA44" i="3" s="1"/>
  <c r="CB44" i="3" s="1"/>
  <c r="CC44" i="3" s="1"/>
  <c r="CD44" i="3" s="1"/>
  <c r="CE44" i="3" s="1"/>
  <c r="CF44" i="3" s="1"/>
  <c r="CG44" i="3" s="1"/>
  <c r="CH44" i="3" s="1"/>
  <c r="CI44" i="3" s="1"/>
  <c r="CJ44" i="3" s="1"/>
  <c r="CK44" i="3" s="1"/>
  <c r="CL44" i="3" s="1"/>
  <c r="CM44" i="3" s="1"/>
  <c r="CN44" i="3" s="1"/>
  <c r="CO44" i="3" s="1"/>
  <c r="CP44" i="3" s="1"/>
  <c r="CQ44" i="3" s="1"/>
  <c r="CR44" i="3" s="1"/>
  <c r="CS44" i="3" s="1"/>
  <c r="CT44" i="3" s="1"/>
  <c r="CU44" i="3" s="1"/>
  <c r="CV44" i="3" s="1"/>
  <c r="CW44" i="3" s="1"/>
  <c r="CX44" i="3" s="1"/>
  <c r="BW45" i="3"/>
  <c r="BX45" i="3" s="1"/>
  <c r="BY45" i="3" s="1"/>
  <c r="BZ45" i="3" s="1"/>
  <c r="CA45" i="3" s="1"/>
  <c r="CB45" i="3" s="1"/>
  <c r="CC45" i="3" s="1"/>
  <c r="CD45" i="3" s="1"/>
  <c r="CE45" i="3" s="1"/>
  <c r="CF45" i="3" s="1"/>
  <c r="CG45" i="3" s="1"/>
  <c r="CH45" i="3" s="1"/>
  <c r="CI45" i="3" s="1"/>
  <c r="CJ45" i="3" s="1"/>
  <c r="CK45" i="3" s="1"/>
  <c r="CL45" i="3" s="1"/>
  <c r="CM45" i="3" s="1"/>
  <c r="CN45" i="3" s="1"/>
  <c r="CO45" i="3" s="1"/>
  <c r="CP45" i="3" s="1"/>
  <c r="CQ45" i="3" s="1"/>
  <c r="CR45" i="3" s="1"/>
  <c r="CS45" i="3" s="1"/>
  <c r="BW46" i="3"/>
  <c r="BX46" i="3" s="1"/>
  <c r="BY46" i="3" s="1"/>
  <c r="BZ46" i="3" s="1"/>
  <c r="CA46" i="3" s="1"/>
  <c r="CB46" i="3" s="1"/>
  <c r="CC46" i="3" s="1"/>
  <c r="CD46" i="3" s="1"/>
  <c r="CE46" i="3" s="1"/>
  <c r="CF46" i="3" s="1"/>
  <c r="CG46" i="3" s="1"/>
  <c r="CH46" i="3" s="1"/>
  <c r="CI46" i="3" s="1"/>
  <c r="CJ46" i="3" s="1"/>
  <c r="CK46" i="3" s="1"/>
  <c r="CL46" i="3" s="1"/>
  <c r="CM46" i="3" s="1"/>
  <c r="CN46" i="3" s="1"/>
  <c r="BW47" i="3"/>
  <c r="BX47" i="3"/>
  <c r="BY47" i="3" s="1"/>
  <c r="BZ47" i="3" s="1"/>
  <c r="CA47" i="3" s="1"/>
  <c r="CB47" i="3" s="1"/>
  <c r="CC47" i="3" s="1"/>
  <c r="CD47" i="3" s="1"/>
  <c r="CE47" i="3" s="1"/>
  <c r="CF47" i="3" s="1"/>
  <c r="CG47" i="3" s="1"/>
  <c r="CH47" i="3" s="1"/>
  <c r="CI47" i="3" s="1"/>
  <c r="CJ47" i="3" s="1"/>
  <c r="CK47" i="3" s="1"/>
  <c r="CL47" i="3" s="1"/>
  <c r="CM47" i="3" s="1"/>
  <c r="CN47" i="3" s="1"/>
  <c r="CO47" i="3" s="1"/>
  <c r="CP47" i="3" s="1"/>
  <c r="CQ47" i="3" s="1"/>
  <c r="CR47" i="3" s="1"/>
  <c r="CS47" i="3" s="1"/>
  <c r="CT47" i="3" s="1"/>
  <c r="CU47" i="3" s="1"/>
  <c r="CV47" i="3" s="1"/>
  <c r="CW47" i="3" s="1"/>
  <c r="CX47" i="3" s="1"/>
  <c r="CY47" i="3" s="1"/>
  <c r="BW48" i="3"/>
  <c r="BX48" i="3" s="1"/>
  <c r="BY48" i="3" s="1"/>
  <c r="BZ48" i="3" s="1"/>
  <c r="CA48" i="3" s="1"/>
  <c r="CB48" i="3" s="1"/>
  <c r="CC48" i="3" s="1"/>
  <c r="CD48" i="3" s="1"/>
  <c r="CE48" i="3" s="1"/>
  <c r="CF48" i="3" s="1"/>
  <c r="CG48" i="3" s="1"/>
  <c r="CH48" i="3" s="1"/>
  <c r="CI48" i="3" s="1"/>
  <c r="CJ48" i="3" s="1"/>
  <c r="CK48" i="3" s="1"/>
  <c r="CL48" i="3" s="1"/>
  <c r="BW49" i="3"/>
  <c r="BX49" i="3" s="1"/>
  <c r="BY49" i="3" s="1"/>
  <c r="BZ49" i="3" s="1"/>
  <c r="CA49" i="3" s="1"/>
  <c r="CB49" i="3" s="1"/>
  <c r="CC49" i="3" s="1"/>
  <c r="CD49" i="3" s="1"/>
  <c r="CE49" i="3" s="1"/>
  <c r="CF49" i="3" s="1"/>
  <c r="CG49" i="3" s="1"/>
  <c r="CH49" i="3" s="1"/>
  <c r="CI49" i="3" s="1"/>
  <c r="CJ49" i="3" s="1"/>
  <c r="CK49" i="3" s="1"/>
  <c r="CL49" i="3" s="1"/>
  <c r="CM49" i="3" s="1"/>
  <c r="CN49" i="3" s="1"/>
  <c r="CO49" i="3" s="1"/>
  <c r="CP49" i="3" s="1"/>
  <c r="CQ49" i="3" s="1"/>
  <c r="CR49" i="3" s="1"/>
  <c r="CS49" i="3" s="1"/>
  <c r="CT49" i="3" s="1"/>
  <c r="CU49" i="3" s="1"/>
  <c r="CV49" i="3" s="1"/>
  <c r="CW49" i="3" s="1"/>
  <c r="BW50" i="3"/>
  <c r="BX50" i="3" s="1"/>
  <c r="BY50" i="3" s="1"/>
  <c r="BZ50" i="3" s="1"/>
  <c r="CA50" i="3" s="1"/>
  <c r="CB50" i="3" s="1"/>
  <c r="CC50" i="3" s="1"/>
  <c r="CD50" i="3" s="1"/>
  <c r="CE50" i="3" s="1"/>
  <c r="CF50" i="3" s="1"/>
  <c r="CG50" i="3" s="1"/>
  <c r="CH50" i="3" s="1"/>
  <c r="CI50" i="3" s="1"/>
  <c r="CJ50" i="3" s="1"/>
  <c r="CK50" i="3" s="1"/>
  <c r="CL50" i="3" s="1"/>
  <c r="CM50" i="3" s="1"/>
  <c r="CN50" i="3" s="1"/>
  <c r="CO50" i="3" s="1"/>
  <c r="CP50" i="3" s="1"/>
  <c r="CQ50" i="3" s="1"/>
  <c r="CR50" i="3" s="1"/>
  <c r="BW51" i="3"/>
  <c r="BX51" i="3" s="1"/>
  <c r="BY51" i="3" s="1"/>
  <c r="BZ51" i="3" s="1"/>
  <c r="CA51" i="3" s="1"/>
  <c r="CB51" i="3" s="1"/>
  <c r="CC51" i="3" s="1"/>
  <c r="CD51" i="3" s="1"/>
  <c r="CE51" i="3" s="1"/>
  <c r="CF51" i="3" s="1"/>
  <c r="CG51" i="3" s="1"/>
  <c r="CH51" i="3" s="1"/>
  <c r="CI51" i="3" s="1"/>
  <c r="CJ51" i="3" s="1"/>
  <c r="CK51" i="3" s="1"/>
  <c r="CL51" i="3" s="1"/>
  <c r="CM51" i="3" s="1"/>
  <c r="BW52" i="3"/>
  <c r="BX52" i="3" s="1"/>
  <c r="BY52" i="3" s="1"/>
  <c r="BZ52" i="3" s="1"/>
  <c r="CA52" i="3" s="1"/>
  <c r="CB52" i="3" s="1"/>
  <c r="CC52" i="3" s="1"/>
  <c r="CD52" i="3" s="1"/>
  <c r="CE52" i="3" s="1"/>
  <c r="CF52" i="3" s="1"/>
  <c r="CG52" i="3" s="1"/>
  <c r="CH52" i="3" s="1"/>
  <c r="CI52" i="3" s="1"/>
  <c r="CJ52" i="3" s="1"/>
  <c r="CK52" i="3" s="1"/>
  <c r="CL52" i="3" s="1"/>
  <c r="CM52" i="3" s="1"/>
  <c r="CN52" i="3" s="1"/>
  <c r="CO52" i="3" s="1"/>
  <c r="CP52" i="3" s="1"/>
  <c r="CQ52" i="3" s="1"/>
  <c r="CR52" i="3" s="1"/>
  <c r="CS52" i="3" s="1"/>
  <c r="CT52" i="3" s="1"/>
  <c r="CU52" i="3" s="1"/>
  <c r="CV52" i="3" s="1"/>
  <c r="CW52" i="3" s="1"/>
  <c r="CX52" i="3" s="1"/>
  <c r="BW53" i="3"/>
  <c r="BX53" i="3" s="1"/>
  <c r="BY53" i="3" s="1"/>
  <c r="BZ53" i="3" s="1"/>
  <c r="CA53" i="3" s="1"/>
  <c r="CB53" i="3" s="1"/>
  <c r="CC53" i="3" s="1"/>
  <c r="CD53" i="3" s="1"/>
  <c r="CE53" i="3" s="1"/>
  <c r="CF53" i="3" s="1"/>
  <c r="CG53" i="3" s="1"/>
  <c r="CH53" i="3" s="1"/>
  <c r="CI53" i="3" s="1"/>
  <c r="CJ53" i="3" s="1"/>
  <c r="CK53" i="3" s="1"/>
  <c r="CL53" i="3" s="1"/>
  <c r="CM53" i="3" s="1"/>
  <c r="CN53" i="3" s="1"/>
  <c r="CO53" i="3" s="1"/>
  <c r="CP53" i="3" s="1"/>
  <c r="CQ53" i="3" s="1"/>
  <c r="CR53" i="3" s="1"/>
  <c r="CS53" i="3" s="1"/>
  <c r="CT53" i="3" s="1"/>
  <c r="CU53" i="3" s="1"/>
  <c r="CV53" i="3" s="1"/>
  <c r="CW53" i="3" s="1"/>
  <c r="CX53" i="3" s="1"/>
  <c r="BW54" i="3"/>
  <c r="BX54" i="3" s="1"/>
  <c r="BY54" i="3" s="1"/>
  <c r="BZ54" i="3" s="1"/>
  <c r="CA54" i="3" s="1"/>
  <c r="CB54" i="3" s="1"/>
  <c r="CC54" i="3" s="1"/>
  <c r="CD54" i="3" s="1"/>
  <c r="CE54" i="3" s="1"/>
  <c r="CF54" i="3" s="1"/>
  <c r="CG54" i="3" s="1"/>
  <c r="CH54" i="3" s="1"/>
  <c r="CI54" i="3" s="1"/>
  <c r="CJ54" i="3" s="1"/>
  <c r="CK54" i="3" s="1"/>
  <c r="CL54" i="3" s="1"/>
  <c r="CM54" i="3" s="1"/>
  <c r="CN54" i="3" s="1"/>
  <c r="BW55" i="3"/>
  <c r="BX55" i="3" s="1"/>
  <c r="BY55" i="3" s="1"/>
  <c r="BZ55" i="3" s="1"/>
  <c r="CA55" i="3" s="1"/>
  <c r="CB55" i="3" s="1"/>
  <c r="CC55" i="3" s="1"/>
  <c r="CD55" i="3" s="1"/>
  <c r="CE55" i="3" s="1"/>
  <c r="CF55" i="3" s="1"/>
  <c r="CG55" i="3" s="1"/>
  <c r="CH55" i="3" s="1"/>
  <c r="CI55" i="3" s="1"/>
  <c r="CJ55" i="3" s="1"/>
  <c r="CK55" i="3" s="1"/>
  <c r="CL55" i="3" s="1"/>
  <c r="CM55" i="3" s="1"/>
  <c r="CN55" i="3" s="1"/>
  <c r="CO55" i="3" s="1"/>
  <c r="CP55" i="3" s="1"/>
  <c r="CQ55" i="3" s="1"/>
  <c r="CR55" i="3" s="1"/>
  <c r="CS55" i="3" s="1"/>
  <c r="CT55" i="3" s="1"/>
  <c r="CU55" i="3" s="1"/>
  <c r="CV55" i="3" s="1"/>
  <c r="CW55" i="3" s="1"/>
  <c r="CX55" i="3" s="1"/>
  <c r="CY55" i="3" s="1"/>
  <c r="BW56" i="3"/>
  <c r="BX56" i="3" s="1"/>
  <c r="BY56" i="3" s="1"/>
  <c r="BZ56" i="3" s="1"/>
  <c r="CA56" i="3" s="1"/>
  <c r="CB56" i="3" s="1"/>
  <c r="CC56" i="3" s="1"/>
  <c r="CD56" i="3" s="1"/>
  <c r="CE56" i="3" s="1"/>
  <c r="CF56" i="3" s="1"/>
  <c r="CG56" i="3" s="1"/>
  <c r="CH56" i="3" s="1"/>
  <c r="CI56" i="3" s="1"/>
  <c r="CJ56" i="3" s="1"/>
  <c r="CK56" i="3" s="1"/>
  <c r="CL56" i="3" s="1"/>
  <c r="CM56" i="3" s="1"/>
  <c r="CN56" i="3" s="1"/>
  <c r="CO56" i="3" s="1"/>
  <c r="CP56" i="3" s="1"/>
  <c r="CQ56" i="3" s="1"/>
  <c r="CR56" i="3" s="1"/>
  <c r="CS56" i="3" s="1"/>
  <c r="CT56" i="3" s="1"/>
  <c r="CU56" i="3" s="1"/>
  <c r="CV56" i="3" s="1"/>
  <c r="CW56" i="3" s="1"/>
  <c r="CX56" i="3" s="1"/>
  <c r="CY56" i="3" s="1"/>
  <c r="BW57" i="3"/>
  <c r="BX57" i="3" s="1"/>
  <c r="BY57" i="3" s="1"/>
  <c r="BZ57" i="3" s="1"/>
  <c r="CA57" i="3" s="1"/>
  <c r="CB57" i="3" s="1"/>
  <c r="CC57" i="3" s="1"/>
  <c r="CD57" i="3" s="1"/>
  <c r="CE57" i="3" s="1"/>
  <c r="CF57" i="3" s="1"/>
  <c r="CG57" i="3" s="1"/>
  <c r="CH57" i="3" s="1"/>
  <c r="CI57" i="3" s="1"/>
  <c r="CJ57" i="3" s="1"/>
  <c r="CK57" i="3" s="1"/>
  <c r="CL57" i="3" s="1"/>
  <c r="CM57" i="3" s="1"/>
  <c r="CN57" i="3" s="1"/>
  <c r="CO57" i="3" s="1"/>
  <c r="CP57" i="3" s="1"/>
  <c r="CQ57" i="3" s="1"/>
  <c r="CR57" i="3" s="1"/>
  <c r="CS57" i="3" s="1"/>
  <c r="CT57" i="3" s="1"/>
  <c r="BW58" i="3"/>
  <c r="BX58" i="3"/>
  <c r="BY58" i="3" s="1"/>
  <c r="BZ58" i="3" s="1"/>
  <c r="CA58" i="3" s="1"/>
  <c r="CB58" i="3" s="1"/>
  <c r="CC58" i="3" s="1"/>
  <c r="CD58" i="3" s="1"/>
  <c r="CE58" i="3" s="1"/>
  <c r="BW59" i="3"/>
  <c r="BX59" i="3" s="1"/>
  <c r="BY59" i="3" s="1"/>
  <c r="BZ59" i="3" s="1"/>
  <c r="CA59" i="3" s="1"/>
  <c r="CB59" i="3" s="1"/>
  <c r="CC59" i="3" s="1"/>
  <c r="CD59" i="3" s="1"/>
  <c r="CE59" i="3" s="1"/>
  <c r="CF59" i="3" s="1"/>
  <c r="CG59" i="3" s="1"/>
  <c r="CH59" i="3" s="1"/>
  <c r="CI59" i="3" s="1"/>
  <c r="CJ59" i="3" s="1"/>
  <c r="CK59" i="3" s="1"/>
  <c r="CL59" i="3" s="1"/>
  <c r="CM59" i="3" s="1"/>
  <c r="CN59" i="3" s="1"/>
  <c r="CO59" i="3" s="1"/>
  <c r="CP59" i="3" s="1"/>
  <c r="CQ59" i="3" s="1"/>
  <c r="CR59" i="3" s="1"/>
  <c r="CS59" i="3" s="1"/>
  <c r="CT59" i="3" s="1"/>
  <c r="CU59" i="3" s="1"/>
  <c r="CV59" i="3" s="1"/>
  <c r="BW60" i="3"/>
  <c r="BX60" i="3" s="1"/>
  <c r="BY60" i="3" s="1"/>
  <c r="BZ60" i="3"/>
  <c r="CA60" i="3" s="1"/>
  <c r="CB60" i="3" s="1"/>
  <c r="CC60" i="3" s="1"/>
  <c r="CD60" i="3" s="1"/>
  <c r="CE60" i="3" s="1"/>
  <c r="CF60" i="3" s="1"/>
  <c r="CG60" i="3" s="1"/>
  <c r="CH60" i="3"/>
  <c r="CI60" i="3" s="1"/>
  <c r="CJ60" i="3" s="1"/>
  <c r="CK60" i="3" s="1"/>
  <c r="CL60" i="3" s="1"/>
  <c r="CM60" i="3" s="1"/>
  <c r="CN60" i="3" s="1"/>
  <c r="CO60" i="3" s="1"/>
  <c r="CP60" i="3" s="1"/>
  <c r="CQ60" i="3" s="1"/>
  <c r="CR60" i="3" s="1"/>
  <c r="CS60" i="3" s="1"/>
  <c r="CT60" i="3" s="1"/>
  <c r="CU60" i="3"/>
  <c r="CV60" i="3" s="1"/>
  <c r="CW60" i="3" s="1"/>
  <c r="CX60" i="3" s="1"/>
  <c r="BW61" i="3"/>
  <c r="BX61" i="3" s="1"/>
  <c r="BY61" i="3" s="1"/>
  <c r="BZ61" i="3" s="1"/>
  <c r="CA61" i="3" s="1"/>
  <c r="CB61" i="3" s="1"/>
  <c r="CC61" i="3" s="1"/>
  <c r="CD61" i="3" s="1"/>
  <c r="CE61" i="3" s="1"/>
  <c r="CF61" i="3" s="1"/>
  <c r="CG61" i="3" s="1"/>
  <c r="CH61" i="3" s="1"/>
  <c r="CI61" i="3" s="1"/>
  <c r="CJ61" i="3" s="1"/>
  <c r="CK61" i="3" s="1"/>
  <c r="CL61" i="3" s="1"/>
  <c r="CM61" i="3" s="1"/>
  <c r="CN61" i="3" s="1"/>
  <c r="CO61" i="3" s="1"/>
  <c r="CP61" i="3" s="1"/>
  <c r="CQ61" i="3" s="1"/>
  <c r="CR61" i="3" s="1"/>
  <c r="CS61" i="3" s="1"/>
  <c r="CT61" i="3" s="1"/>
  <c r="CU61" i="3" s="1"/>
  <c r="CV61" i="3" s="1"/>
  <c r="CW61" i="3" s="1"/>
  <c r="CX61" i="3" s="1"/>
  <c r="BW62" i="3"/>
  <c r="BX62" i="3" s="1"/>
  <c r="BY62" i="3" s="1"/>
  <c r="BZ62" i="3" s="1"/>
  <c r="CA62" i="3" s="1"/>
  <c r="CB62" i="3" s="1"/>
  <c r="CC62" i="3" s="1"/>
  <c r="CD62" i="3" s="1"/>
  <c r="CE62" i="3" s="1"/>
  <c r="CF62" i="3" s="1"/>
  <c r="CG62" i="3" s="1"/>
  <c r="CH62" i="3" s="1"/>
  <c r="CI62" i="3" s="1"/>
  <c r="CJ62" i="3" s="1"/>
  <c r="CK62" i="3" s="1"/>
  <c r="CL62" i="3" s="1"/>
  <c r="CM62" i="3" s="1"/>
  <c r="CN62" i="3" s="1"/>
  <c r="CO62" i="3" s="1"/>
  <c r="CP62" i="3" s="1"/>
  <c r="CQ62" i="3" s="1"/>
  <c r="CR62" i="3" s="1"/>
  <c r="CS62" i="3" s="1"/>
  <c r="CT62" i="3" s="1"/>
  <c r="CU62" i="3" s="1"/>
  <c r="CV62" i="3" s="1"/>
  <c r="CW62" i="3" s="1"/>
  <c r="CX62" i="3" s="1"/>
  <c r="CY62" i="3" s="1"/>
  <c r="BW63" i="3"/>
  <c r="BX63" i="3" s="1"/>
  <c r="BY63" i="3" s="1"/>
  <c r="BZ63" i="3" s="1"/>
  <c r="CA63" i="3" s="1"/>
  <c r="CB63" i="3" s="1"/>
  <c r="CC63" i="3" s="1"/>
  <c r="CD63" i="3" s="1"/>
  <c r="CE63" i="3" s="1"/>
  <c r="CF63" i="3" s="1"/>
  <c r="CG63" i="3" s="1"/>
  <c r="CH63" i="3" s="1"/>
  <c r="CI63" i="3" s="1"/>
  <c r="CJ63" i="3" s="1"/>
  <c r="CK63" i="3" s="1"/>
  <c r="CL63" i="3" s="1"/>
  <c r="CM63" i="3" s="1"/>
  <c r="CN63" i="3" s="1"/>
  <c r="BW64" i="3"/>
  <c r="BX64" i="3" s="1"/>
  <c r="BY64" i="3" s="1"/>
  <c r="BZ64" i="3" s="1"/>
  <c r="CA64" i="3" s="1"/>
  <c r="CB64" i="3" s="1"/>
  <c r="CC64" i="3" s="1"/>
  <c r="CD64" i="3" s="1"/>
  <c r="CE64" i="3" s="1"/>
  <c r="CF64" i="3" s="1"/>
  <c r="CG64" i="3" s="1"/>
  <c r="CH64" i="3" s="1"/>
  <c r="CI64" i="3" s="1"/>
  <c r="BW65" i="3"/>
  <c r="BX65" i="3" s="1"/>
  <c r="BY65" i="3"/>
  <c r="BZ65" i="3" s="1"/>
  <c r="CA65" i="3" s="1"/>
  <c r="CB65" i="3" s="1"/>
  <c r="CC65" i="3" s="1"/>
  <c r="CD65" i="3"/>
  <c r="CE65" i="3" s="1"/>
  <c r="CF65" i="3" s="1"/>
  <c r="CG65" i="3" s="1"/>
  <c r="CH65" i="3" s="1"/>
  <c r="CI65" i="3" s="1"/>
  <c r="CJ65" i="3" s="1"/>
  <c r="CK65" i="3" s="1"/>
  <c r="CL65" i="3" s="1"/>
  <c r="CM65" i="3" s="1"/>
  <c r="CN65" i="3" s="1"/>
  <c r="CO65" i="3" s="1"/>
  <c r="CP65" i="3" s="1"/>
  <c r="CQ65" i="3" s="1"/>
  <c r="CR65" i="3" s="1"/>
  <c r="CS65" i="3" s="1"/>
  <c r="CT65" i="3" s="1"/>
  <c r="BW66" i="3"/>
  <c r="BX66" i="3" s="1"/>
  <c r="BY66" i="3" s="1"/>
  <c r="BZ66" i="3" s="1"/>
  <c r="CA66" i="3" s="1"/>
  <c r="CB66" i="3" s="1"/>
  <c r="CC66" i="3" s="1"/>
  <c r="CD66" i="3" s="1"/>
  <c r="CE66" i="3" s="1"/>
  <c r="CF66" i="3" s="1"/>
  <c r="CG66" i="3" s="1"/>
  <c r="CH66" i="3" s="1"/>
  <c r="CI66" i="3" s="1"/>
  <c r="CJ66" i="3" s="1"/>
  <c r="CK66" i="3" s="1"/>
  <c r="CL66" i="3" s="1"/>
  <c r="CM66" i="3" s="1"/>
  <c r="CN66" i="3" s="1"/>
  <c r="CO66" i="3" s="1"/>
  <c r="CP66" i="3" s="1"/>
  <c r="CQ66" i="3" s="1"/>
  <c r="CR66" i="3" s="1"/>
  <c r="CS66" i="3" s="1"/>
  <c r="CT66" i="3" s="1"/>
  <c r="CU66" i="3" s="1"/>
  <c r="CV66" i="3" s="1"/>
  <c r="CW66" i="3" s="1"/>
  <c r="BW67" i="3"/>
  <c r="BX67" i="3" s="1"/>
  <c r="BY67" i="3" s="1"/>
  <c r="BZ67" i="3" s="1"/>
  <c r="CA67" i="3" s="1"/>
  <c r="CB67" i="3" s="1"/>
  <c r="CC67" i="3" s="1"/>
  <c r="CD67" i="3" s="1"/>
  <c r="CE67" i="3" s="1"/>
  <c r="CF67" i="3" s="1"/>
  <c r="CG67" i="3" s="1"/>
  <c r="CH67" i="3" s="1"/>
  <c r="CI67" i="3" s="1"/>
  <c r="CJ67" i="3" s="1"/>
  <c r="CK67" i="3" s="1"/>
  <c r="CL67" i="3" s="1"/>
  <c r="CM67" i="3" s="1"/>
  <c r="CN67" i="3" s="1"/>
  <c r="CO67" i="3" s="1"/>
  <c r="CP67" i="3" s="1"/>
  <c r="CQ67" i="3" s="1"/>
  <c r="CR67" i="3" s="1"/>
  <c r="BW68" i="3"/>
  <c r="BX68" i="3" s="1"/>
  <c r="BY68" i="3" s="1"/>
  <c r="BZ68" i="3" s="1"/>
  <c r="CA68" i="3" s="1"/>
  <c r="CB68" i="3" s="1"/>
  <c r="CC68" i="3" s="1"/>
  <c r="CD68" i="3" s="1"/>
  <c r="CE68" i="3" s="1"/>
  <c r="CF68" i="3" s="1"/>
  <c r="CG68" i="3" s="1"/>
  <c r="CH68" i="3" s="1"/>
  <c r="CI68" i="3" s="1"/>
  <c r="CJ68" i="3" s="1"/>
  <c r="CK68" i="3" s="1"/>
  <c r="CL68" i="3" s="1"/>
  <c r="CM68" i="3" s="1"/>
  <c r="CN68" i="3" s="1"/>
  <c r="CO68" i="3" s="1"/>
  <c r="CP68" i="3" s="1"/>
  <c r="CQ68" i="3" s="1"/>
  <c r="CR68" i="3" s="1"/>
  <c r="CS68" i="3" s="1"/>
  <c r="CT68" i="3" s="1"/>
  <c r="CU68" i="3" s="1"/>
  <c r="BW69" i="3"/>
  <c r="BX69" i="3" s="1"/>
  <c r="BY69" i="3" s="1"/>
  <c r="BZ69" i="3" s="1"/>
  <c r="CA69" i="3" s="1"/>
  <c r="CB69" i="3" s="1"/>
  <c r="CC69" i="3" s="1"/>
  <c r="CD69" i="3" s="1"/>
  <c r="CE69" i="3" s="1"/>
  <c r="CF69" i="3" s="1"/>
  <c r="CG69" i="3" s="1"/>
  <c r="CH69" i="3" s="1"/>
  <c r="CI69" i="3" s="1"/>
  <c r="CJ69" i="3" s="1"/>
  <c r="CK69" i="3" s="1"/>
  <c r="CL69" i="3" s="1"/>
  <c r="CM69" i="3" s="1"/>
  <c r="CN69" i="3" s="1"/>
  <c r="CO69" i="3" s="1"/>
  <c r="CP69" i="3" s="1"/>
  <c r="CQ69" i="3" s="1"/>
  <c r="CR69" i="3" s="1"/>
  <c r="CS69" i="3" s="1"/>
  <c r="CT69" i="3" s="1"/>
  <c r="CU69" i="3" s="1"/>
  <c r="CV69" i="3" s="1"/>
  <c r="CW69" i="3" s="1"/>
  <c r="CX69" i="3" s="1"/>
  <c r="BX39" i="3"/>
  <c r="BY39" i="3" s="1"/>
  <c r="BZ39" i="3" s="1"/>
  <c r="CA39" i="3" s="1"/>
  <c r="CB39" i="3" s="1"/>
  <c r="CC39" i="3" s="1"/>
  <c r="CD39" i="3" s="1"/>
  <c r="CE39" i="3" s="1"/>
  <c r="CF39" i="3" s="1"/>
  <c r="CG39" i="3" s="1"/>
  <c r="CH39" i="3" s="1"/>
  <c r="CI39" i="3" s="1"/>
  <c r="CJ39" i="3" s="1"/>
  <c r="CK39" i="3" s="1"/>
  <c r="CL39" i="3" s="1"/>
  <c r="CM39" i="3" s="1"/>
  <c r="CN39" i="3" s="1"/>
  <c r="CO39" i="3" s="1"/>
  <c r="CP39" i="3" s="1"/>
  <c r="CQ39" i="3" s="1"/>
  <c r="CR39" i="3" s="1"/>
  <c r="CS39" i="3" s="1"/>
  <c r="CT39" i="3" s="1"/>
  <c r="CU39" i="3" s="1"/>
  <c r="CV39" i="3" s="1"/>
  <c r="CW39" i="3" s="1"/>
  <c r="CX39" i="3" s="1"/>
  <c r="AK104" i="3"/>
  <c r="AK103" i="3"/>
  <c r="AK102" i="3"/>
  <c r="AK101" i="3"/>
  <c r="AK100" i="3"/>
  <c r="AK99" i="3"/>
  <c r="AK98" i="3"/>
  <c r="AK97" i="3"/>
  <c r="AK96" i="3"/>
  <c r="AK95" i="3"/>
  <c r="AK94" i="3"/>
  <c r="AK93" i="3"/>
  <c r="AK92" i="3"/>
  <c r="AK91" i="3"/>
  <c r="AK90" i="3"/>
  <c r="AK89" i="3"/>
  <c r="AK88" i="3"/>
  <c r="AK87" i="3"/>
  <c r="AK86" i="3"/>
  <c r="AK85" i="3"/>
  <c r="AK84" i="3"/>
  <c r="AK83" i="3"/>
  <c r="AK82" i="3"/>
  <c r="AK81" i="3"/>
  <c r="AK80" i="3"/>
  <c r="AK79" i="3"/>
  <c r="AK78" i="3"/>
  <c r="AK77" i="3"/>
  <c r="AK76" i="3"/>
  <c r="AK75" i="3"/>
  <c r="AK74" i="3"/>
  <c r="CZ69" i="3"/>
  <c r="CZ68" i="3"/>
  <c r="CZ67" i="3"/>
  <c r="CZ66" i="3"/>
  <c r="CZ65" i="3"/>
  <c r="CZ64" i="3"/>
  <c r="CZ63" i="3"/>
  <c r="CZ62" i="3"/>
  <c r="CZ61" i="3"/>
  <c r="CZ60" i="3"/>
  <c r="CZ59" i="3"/>
  <c r="CZ58" i="3"/>
  <c r="CZ57" i="3"/>
  <c r="CZ56" i="3"/>
  <c r="CZ55" i="3"/>
  <c r="CZ54" i="3"/>
  <c r="CZ53" i="3"/>
  <c r="CZ52" i="3"/>
  <c r="CZ51" i="3"/>
  <c r="CZ50" i="3"/>
  <c r="CZ49" i="3"/>
  <c r="CZ48" i="3"/>
  <c r="CZ47" i="3"/>
  <c r="CZ46" i="3"/>
  <c r="CZ45" i="3"/>
  <c r="CZ44" i="3"/>
  <c r="CZ43" i="3"/>
  <c r="CZ42" i="3"/>
  <c r="CZ41" i="3"/>
  <c r="CZ40" i="3"/>
  <c r="CZ39" i="3"/>
  <c r="AK69" i="3"/>
  <c r="AK68" i="3"/>
  <c r="AK67" i="3"/>
  <c r="AK66" i="3"/>
  <c r="AK65" i="3"/>
  <c r="AK64" i="3"/>
  <c r="AK63" i="3"/>
  <c r="AK62" i="3"/>
  <c r="AK61" i="3"/>
  <c r="AK60" i="3"/>
  <c r="AK59" i="3"/>
  <c r="AK58" i="3"/>
  <c r="AK57" i="3"/>
  <c r="AK56" i="3"/>
  <c r="AK55" i="3"/>
  <c r="AK54" i="3"/>
  <c r="AK53" i="3"/>
  <c r="AK52" i="3"/>
  <c r="AK51" i="3"/>
  <c r="AK50" i="3"/>
  <c r="AK49" i="3"/>
  <c r="AK48" i="3"/>
  <c r="AK47" i="3"/>
  <c r="AK46" i="3"/>
  <c r="AK45" i="3"/>
  <c r="AK44" i="3"/>
  <c r="AK43" i="3"/>
  <c r="AK42" i="3"/>
  <c r="AK41" i="3"/>
  <c r="AK40" i="3"/>
  <c r="AK39" i="3"/>
  <c r="B21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4" i="3"/>
  <c r="G5" i="3"/>
  <c r="G8" i="3"/>
  <c r="G9" i="3"/>
  <c r="G11" i="3"/>
  <c r="G12" i="3"/>
  <c r="G13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AK4" i="3"/>
  <c r="AK5" i="3"/>
  <c r="AK6" i="3"/>
  <c r="AK7" i="3"/>
  <c r="AK8" i="3"/>
  <c r="AK9" i="3"/>
  <c r="AK10" i="3"/>
  <c r="AK11" i="3"/>
  <c r="AK12" i="3"/>
  <c r="AK13" i="3"/>
  <c r="AK14" i="3"/>
  <c r="AK15" i="3"/>
  <c r="AK16" i="3"/>
  <c r="AK17" i="3"/>
  <c r="AK18" i="3"/>
  <c r="AK19" i="3"/>
  <c r="AK20" i="3"/>
  <c r="AK21" i="3"/>
  <c r="AK22" i="3"/>
  <c r="AK23" i="3"/>
  <c r="AK24" i="3"/>
  <c r="AK25" i="3"/>
  <c r="AK26" i="3"/>
  <c r="AK27" i="3"/>
  <c r="AK28" i="3"/>
  <c r="AK29" i="3"/>
  <c r="AK30" i="3"/>
  <c r="AK31" i="3"/>
  <c r="AK32" i="3"/>
  <c r="AK33" i="3"/>
  <c r="B26" i="3"/>
  <c r="C15" i="1"/>
  <c r="B25" i="3"/>
  <c r="B27" i="3" s="1"/>
  <c r="B20" i="3"/>
  <c r="B22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H34" i="3"/>
  <c r="AL4" i="3"/>
  <c r="AL5" i="3"/>
  <c r="AL6" i="3"/>
  <c r="AL7" i="3"/>
  <c r="AL8" i="3"/>
  <c r="AL9" i="3"/>
  <c r="AL10" i="3"/>
  <c r="AL11" i="3"/>
  <c r="AL12" i="3"/>
  <c r="AL13" i="3"/>
  <c r="AL14" i="3"/>
  <c r="AL15" i="3"/>
  <c r="AL16" i="3"/>
  <c r="AL17" i="3"/>
  <c r="AL18" i="3"/>
  <c r="AL19" i="3"/>
  <c r="AL20" i="3"/>
  <c r="AL21" i="3"/>
  <c r="AL22" i="3"/>
  <c r="AL23" i="3"/>
  <c r="AL24" i="3"/>
  <c r="AL25" i="3"/>
  <c r="AL26" i="3"/>
  <c r="AL27" i="3"/>
  <c r="AL28" i="3"/>
  <c r="AL29" i="3"/>
  <c r="AL30" i="3"/>
  <c r="AL31" i="3"/>
  <c r="AL32" i="3"/>
  <c r="AL33" i="3"/>
  <c r="AL3" i="3"/>
  <c r="AK3" i="3"/>
  <c r="G3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H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B6" i="3"/>
  <c r="B5" i="3"/>
  <c r="BW56" i="4" l="1"/>
  <c r="BW45" i="4"/>
  <c r="BY103" i="4"/>
  <c r="BY102" i="4" s="1"/>
  <c r="BY101" i="4" s="1"/>
  <c r="DE69" i="4"/>
  <c r="DF69" i="4" s="1"/>
  <c r="DG69" i="4" s="1"/>
  <c r="DE56" i="4"/>
  <c r="DF56" i="4" s="1"/>
  <c r="DG56" i="4" s="1"/>
  <c r="DH56" i="4" s="1"/>
  <c r="DE61" i="4"/>
  <c r="DF61" i="4" s="1"/>
  <c r="BX103" i="4"/>
  <c r="BX40" i="4"/>
  <c r="BY40" i="4" s="1"/>
  <c r="BZ40" i="4" s="1"/>
  <c r="DE64" i="4"/>
  <c r="CV103" i="4"/>
  <c r="BZ103" i="4"/>
  <c r="BZ102" i="4" s="1"/>
  <c r="BZ101" i="4" s="1"/>
  <c r="BW40" i="4"/>
  <c r="DE46" i="4"/>
  <c r="DE41" i="4"/>
  <c r="DE55" i="4"/>
  <c r="DE67" i="4"/>
  <c r="DF67" i="4" s="1"/>
  <c r="DE59" i="4"/>
  <c r="BW47" i="4"/>
  <c r="BX47" i="4"/>
  <c r="BY47" i="4" s="1"/>
  <c r="BW51" i="4"/>
  <c r="BX51" i="4" s="1"/>
  <c r="BY51" i="4" s="1"/>
  <c r="BZ51" i="4" s="1"/>
  <c r="CA51" i="4" s="1"/>
  <c r="BW65" i="4"/>
  <c r="CF101" i="4"/>
  <c r="CF100" i="4" s="1"/>
  <c r="CT103" i="4"/>
  <c r="CY102" i="4"/>
  <c r="BW39" i="4"/>
  <c r="BX56" i="4"/>
  <c r="BW42" i="4"/>
  <c r="CJ103" i="4"/>
  <c r="CD103" i="4"/>
  <c r="CD102" i="4" s="1"/>
  <c r="CD101" i="4" s="1"/>
  <c r="CN103" i="4"/>
  <c r="BW61" i="4"/>
  <c r="CW103" i="4"/>
  <c r="CW102" i="4" s="1"/>
  <c r="BV103" i="4"/>
  <c r="CJ101" i="4"/>
  <c r="CJ100" i="4" s="1"/>
  <c r="CS103" i="4"/>
  <c r="BX68" i="4"/>
  <c r="BY68" i="4" s="1"/>
  <c r="CO103" i="4"/>
  <c r="CO102" i="4" s="1"/>
  <c r="CO101" i="4" s="1"/>
  <c r="BV102" i="4"/>
  <c r="BV101" i="4" s="1"/>
  <c r="BV100" i="4" s="1"/>
  <c r="BV99" i="4" s="1"/>
  <c r="BV98" i="4" s="1"/>
  <c r="BV97" i="4" s="1"/>
  <c r="BV96" i="4" s="1"/>
  <c r="BV95" i="4" s="1"/>
  <c r="BV94" i="4" s="1"/>
  <c r="BV93" i="4" s="1"/>
  <c r="BV92" i="4" s="1"/>
  <c r="BV91" i="4" s="1"/>
  <c r="BV90" i="4" s="1"/>
  <c r="BV89" i="4" s="1"/>
  <c r="BV88" i="4" s="1"/>
  <c r="BV87" i="4" s="1"/>
  <c r="BV86" i="4" s="1"/>
  <c r="BV85" i="4" s="1"/>
  <c r="BV84" i="4" s="1"/>
  <c r="BV83" i="4" s="1"/>
  <c r="BV82" i="4" s="1"/>
  <c r="BV81" i="4" s="1"/>
  <c r="BV80" i="4" s="1"/>
  <c r="BV79" i="4" s="1"/>
  <c r="BV78" i="4" s="1"/>
  <c r="BV77" i="4" s="1"/>
  <c r="BV76" i="4" s="1"/>
  <c r="BV75" i="4" s="1"/>
  <c r="BV74" i="4" s="1"/>
  <c r="CF103" i="4"/>
  <c r="CQ103" i="4"/>
  <c r="CZ103" i="4"/>
  <c r="CZ102" i="4" s="1"/>
  <c r="CZ101" i="4" s="1"/>
  <c r="CZ100" i="4" s="1"/>
  <c r="CZ99" i="4" s="1"/>
  <c r="CZ98" i="4" s="1"/>
  <c r="CZ97" i="4" s="1"/>
  <c r="CZ96" i="4" s="1"/>
  <c r="CZ95" i="4" s="1"/>
  <c r="CZ94" i="4" s="1"/>
  <c r="CZ93" i="4" s="1"/>
  <c r="CZ92" i="4" s="1"/>
  <c r="CZ91" i="4" s="1"/>
  <c r="CZ90" i="4" s="1"/>
  <c r="CZ89" i="4" s="1"/>
  <c r="CZ88" i="4" s="1"/>
  <c r="CZ87" i="4" s="1"/>
  <c r="CZ86" i="4" s="1"/>
  <c r="CZ85" i="4" s="1"/>
  <c r="CZ84" i="4" s="1"/>
  <c r="CZ83" i="4" s="1"/>
  <c r="CZ82" i="4" s="1"/>
  <c r="CZ81" i="4" s="1"/>
  <c r="CZ80" i="4" s="1"/>
  <c r="CZ79" i="4" s="1"/>
  <c r="CZ78" i="4" s="1"/>
  <c r="CZ77" i="4" s="1"/>
  <c r="CZ76" i="4" s="1"/>
  <c r="CZ75" i="4" s="1"/>
  <c r="CZ74" i="4" s="1"/>
  <c r="CG103" i="4"/>
  <c r="CU103" i="4"/>
  <c r="CU102" i="4" s="1"/>
  <c r="CX103" i="4"/>
  <c r="CF102" i="4"/>
  <c r="CC103" i="4"/>
  <c r="CB103" i="4"/>
  <c r="CY103" i="4"/>
  <c r="BW58" i="4"/>
  <c r="BW57" i="4"/>
  <c r="BY56" i="4"/>
  <c r="BW46" i="4"/>
  <c r="CS102" i="4"/>
  <c r="CE103" i="4"/>
  <c r="CH103" i="4"/>
  <c r="CI103" i="4"/>
  <c r="CV102" i="4"/>
  <c r="CV101" i="4" s="1"/>
  <c r="CA103" i="4"/>
  <c r="CA102" i="4" s="1"/>
  <c r="BX69" i="4"/>
  <c r="BY69" i="4" s="1"/>
  <c r="BZ69" i="4" s="1"/>
  <c r="BX102" i="4"/>
  <c r="BW62" i="4"/>
  <c r="BX62" i="4" s="1"/>
  <c r="DE54" i="4"/>
  <c r="BW67" i="4"/>
  <c r="BX67" i="4" s="1"/>
  <c r="CJ102" i="4"/>
  <c r="CX102" i="4"/>
  <c r="CX101" i="4" s="1"/>
  <c r="DE65" i="4"/>
  <c r="DF65" i="4" s="1"/>
  <c r="DG65" i="4" s="1"/>
  <c r="DE47" i="4"/>
  <c r="DF47" i="4" s="1"/>
  <c r="BW44" i="4"/>
  <c r="BW64" i="4"/>
  <c r="BW43" i="4"/>
  <c r="CK103" i="4"/>
  <c r="CM103" i="4"/>
  <c r="DE60" i="4"/>
  <c r="DF60" i="4" s="1"/>
  <c r="DE66" i="4"/>
  <c r="DE63" i="4"/>
  <c r="DE57" i="4"/>
  <c r="BW54" i="4"/>
  <c r="BX54" i="4" s="1"/>
  <c r="BW49" i="4"/>
  <c r="BX49" i="4" s="1"/>
  <c r="BY49" i="4" s="1"/>
  <c r="BX65" i="4"/>
  <c r="BY65" i="4" s="1"/>
  <c r="BW63" i="4"/>
  <c r="BW68" i="4"/>
  <c r="BW69" i="4"/>
  <c r="BX45" i="4"/>
  <c r="BX42" i="4"/>
  <c r="BY42" i="4" s="1"/>
  <c r="BW55" i="4"/>
  <c r="DE58" i="4"/>
  <c r="BW41" i="4"/>
  <c r="EH103" i="4"/>
  <c r="EH102" i="4" s="1"/>
  <c r="EH101" i="4" s="1"/>
  <c r="EH100" i="4" s="1"/>
  <c r="DD103" i="4"/>
  <c r="DD102" i="4" s="1"/>
  <c r="DE51" i="4"/>
  <c r="DF51" i="4" s="1"/>
  <c r="DE42" i="4"/>
  <c r="DF42" i="4" s="1"/>
  <c r="DG42" i="4" s="1"/>
  <c r="DE50" i="4"/>
  <c r="DE43" i="4"/>
  <c r="DF43" i="4" s="1"/>
  <c r="DE45" i="4"/>
  <c r="DF45" i="4" s="1"/>
  <c r="DE39" i="4"/>
  <c r="DF39" i="4" s="1"/>
  <c r="DE40" i="4"/>
  <c r="DF40" i="4" s="1"/>
  <c r="DG40" i="4" s="1"/>
  <c r="DE53" i="4"/>
  <c r="BW50" i="4"/>
  <c r="BW59" i="4"/>
  <c r="BW53" i="4"/>
  <c r="BX53" i="4" s="1"/>
  <c r="BW66" i="4"/>
  <c r="BW60" i="4"/>
  <c r="BX60" i="4" s="1"/>
  <c r="BY60" i="4"/>
  <c r="BZ60" i="4" s="1"/>
  <c r="CR103" i="4"/>
  <c r="CR102" i="4" s="1"/>
  <c r="CP101" i="4"/>
  <c r="DE62" i="4"/>
  <c r="BX48" i="4"/>
  <c r="BW52" i="4"/>
  <c r="CH102" i="4"/>
  <c r="BW103" i="4"/>
  <c r="DE48" i="4"/>
  <c r="DF48" i="4" s="1"/>
  <c r="DE44" i="4"/>
  <c r="BX55" i="4"/>
  <c r="CL103" i="4"/>
  <c r="BW102" i="4"/>
  <c r="CP100" i="4"/>
  <c r="CP99" i="4" s="1"/>
  <c r="CP98" i="4" s="1"/>
  <c r="CP97" i="4" s="1"/>
  <c r="CT102" i="4"/>
  <c r="CT101" i="4" s="1"/>
  <c r="DE68" i="4"/>
  <c r="DF68" i="4" s="1"/>
  <c r="DG68" i="4" s="1"/>
  <c r="DE50" i="3"/>
  <c r="DF50" i="3" s="1"/>
  <c r="DG50" i="3" s="1"/>
  <c r="DH50" i="3" s="1"/>
  <c r="DI50" i="3" s="1"/>
  <c r="DJ50" i="3" s="1"/>
  <c r="DK50" i="3" s="1"/>
  <c r="DL50" i="3" s="1"/>
  <c r="DM50" i="3" s="1"/>
  <c r="DN50" i="3" s="1"/>
  <c r="DO50" i="3" s="1"/>
  <c r="DP50" i="3" s="1"/>
  <c r="DQ50" i="3" s="1"/>
  <c r="DR50" i="3" s="1"/>
  <c r="DS50" i="3" s="1"/>
  <c r="DT50" i="3" s="1"/>
  <c r="DU50" i="3" s="1"/>
  <c r="DV50" i="3" s="1"/>
  <c r="DW50" i="3" s="1"/>
  <c r="DX50" i="3" s="1"/>
  <c r="DY50" i="3" s="1"/>
  <c r="DZ50" i="3" s="1"/>
  <c r="EA50" i="3" s="1"/>
  <c r="EB50" i="3" s="1"/>
  <c r="EC50" i="3" s="1"/>
  <c r="ED50" i="3" s="1"/>
  <c r="EE50" i="3" s="1"/>
  <c r="EF50" i="3" s="1"/>
  <c r="EG50" i="3" s="1"/>
  <c r="EH50" i="3" s="1"/>
  <c r="DE54" i="3"/>
  <c r="DF54" i="3" s="1"/>
  <c r="DG54" i="3" s="1"/>
  <c r="DH54" i="3" s="1"/>
  <c r="DI54" i="3" s="1"/>
  <c r="DJ54" i="3" s="1"/>
  <c r="DK54" i="3" s="1"/>
  <c r="DL54" i="3" s="1"/>
  <c r="DM54" i="3" s="1"/>
  <c r="DN54" i="3" s="1"/>
  <c r="DO54" i="3" s="1"/>
  <c r="DP54" i="3" s="1"/>
  <c r="DQ54" i="3" s="1"/>
  <c r="DR54" i="3" s="1"/>
  <c r="DS54" i="3" s="1"/>
  <c r="DT54" i="3" s="1"/>
  <c r="DU54" i="3" s="1"/>
  <c r="DV54" i="3" s="1"/>
  <c r="DW54" i="3" s="1"/>
  <c r="DX54" i="3" s="1"/>
  <c r="DY54" i="3" s="1"/>
  <c r="DZ54" i="3" s="1"/>
  <c r="EA54" i="3" s="1"/>
  <c r="EB54" i="3" s="1"/>
  <c r="EC54" i="3" s="1"/>
  <c r="ED54" i="3" s="1"/>
  <c r="EE54" i="3" s="1"/>
  <c r="EF54" i="3" s="1"/>
  <c r="EG54" i="3" s="1"/>
  <c r="EH54" i="3" s="1"/>
  <c r="DE51" i="3"/>
  <c r="DE43" i="3"/>
  <c r="DF43" i="3" s="1"/>
  <c r="DG43" i="3" s="1"/>
  <c r="DH43" i="3" s="1"/>
  <c r="DI43" i="3" s="1"/>
  <c r="DJ43" i="3" s="1"/>
  <c r="DK43" i="3" s="1"/>
  <c r="DL43" i="3" s="1"/>
  <c r="DM43" i="3" s="1"/>
  <c r="DN43" i="3" s="1"/>
  <c r="DO43" i="3" s="1"/>
  <c r="DP43" i="3" s="1"/>
  <c r="DQ43" i="3" s="1"/>
  <c r="DR43" i="3" s="1"/>
  <c r="DS43" i="3" s="1"/>
  <c r="DT43" i="3" s="1"/>
  <c r="DU43" i="3" s="1"/>
  <c r="DV43" i="3" s="1"/>
  <c r="DW43" i="3" s="1"/>
  <c r="DX43" i="3" s="1"/>
  <c r="DY43" i="3" s="1"/>
  <c r="DZ43" i="3" s="1"/>
  <c r="EA43" i="3" s="1"/>
  <c r="EB43" i="3" s="1"/>
  <c r="EC43" i="3" s="1"/>
  <c r="ED43" i="3" s="1"/>
  <c r="EE43" i="3" s="1"/>
  <c r="EF43" i="3" s="1"/>
  <c r="EG43" i="3" s="1"/>
  <c r="EH43" i="3" s="1"/>
  <c r="DE42" i="3"/>
  <c r="DF42" i="3" s="1"/>
  <c r="DG42" i="3" s="1"/>
  <c r="DH42" i="3" s="1"/>
  <c r="DI42" i="3" s="1"/>
  <c r="DJ42" i="3" s="1"/>
  <c r="DK42" i="3" s="1"/>
  <c r="DL42" i="3" s="1"/>
  <c r="DM42" i="3" s="1"/>
  <c r="DN42" i="3" s="1"/>
  <c r="DO42" i="3" s="1"/>
  <c r="DP42" i="3" s="1"/>
  <c r="DQ42" i="3" s="1"/>
  <c r="DR42" i="3" s="1"/>
  <c r="DS42" i="3" s="1"/>
  <c r="DT42" i="3" s="1"/>
  <c r="DU42" i="3" s="1"/>
  <c r="DV42" i="3" s="1"/>
  <c r="DW42" i="3" s="1"/>
  <c r="DX42" i="3" s="1"/>
  <c r="DY42" i="3" s="1"/>
  <c r="DZ42" i="3" s="1"/>
  <c r="EA42" i="3" s="1"/>
  <c r="EB42" i="3" s="1"/>
  <c r="EC42" i="3" s="1"/>
  <c r="ED42" i="3" s="1"/>
  <c r="EE42" i="3" s="1"/>
  <c r="EF42" i="3" s="1"/>
  <c r="EG42" i="3" s="1"/>
  <c r="EH42" i="3" s="1"/>
  <c r="DE46" i="3"/>
  <c r="DF46" i="3" s="1"/>
  <c r="DG46" i="3" s="1"/>
  <c r="DH46" i="3" s="1"/>
  <c r="DI46" i="3" s="1"/>
  <c r="DJ46" i="3" s="1"/>
  <c r="DK46" i="3" s="1"/>
  <c r="DL46" i="3" s="1"/>
  <c r="DM46" i="3" s="1"/>
  <c r="DN46" i="3" s="1"/>
  <c r="DO46" i="3" s="1"/>
  <c r="DP46" i="3" s="1"/>
  <c r="DQ46" i="3" s="1"/>
  <c r="DR46" i="3" s="1"/>
  <c r="DS46" i="3" s="1"/>
  <c r="DT46" i="3" s="1"/>
  <c r="DU46" i="3" s="1"/>
  <c r="DV46" i="3" s="1"/>
  <c r="DW46" i="3" s="1"/>
  <c r="DX46" i="3" s="1"/>
  <c r="DY46" i="3" s="1"/>
  <c r="DZ46" i="3" s="1"/>
  <c r="EA46" i="3" s="1"/>
  <c r="EB46" i="3" s="1"/>
  <c r="EC46" i="3" s="1"/>
  <c r="ED46" i="3" s="1"/>
  <c r="EE46" i="3" s="1"/>
  <c r="EF46" i="3" s="1"/>
  <c r="EG46" i="3" s="1"/>
  <c r="EH46" i="3" s="1"/>
  <c r="DE53" i="3"/>
  <c r="DF53" i="3" s="1"/>
  <c r="DG53" i="3" s="1"/>
  <c r="DH53" i="3" s="1"/>
  <c r="DI53" i="3" s="1"/>
  <c r="DJ53" i="3" s="1"/>
  <c r="DK53" i="3" s="1"/>
  <c r="DL53" i="3" s="1"/>
  <c r="DM53" i="3" s="1"/>
  <c r="DN53" i="3" s="1"/>
  <c r="DO53" i="3" s="1"/>
  <c r="DP53" i="3" s="1"/>
  <c r="DQ53" i="3" s="1"/>
  <c r="DR53" i="3" s="1"/>
  <c r="DS53" i="3" s="1"/>
  <c r="DT53" i="3" s="1"/>
  <c r="DU53" i="3" s="1"/>
  <c r="DV53" i="3" s="1"/>
  <c r="DW53" i="3" s="1"/>
  <c r="DX53" i="3" s="1"/>
  <c r="DY53" i="3" s="1"/>
  <c r="DZ53" i="3" s="1"/>
  <c r="EA53" i="3" s="1"/>
  <c r="EB53" i="3" s="1"/>
  <c r="EC53" i="3" s="1"/>
  <c r="ED53" i="3" s="1"/>
  <c r="EE53" i="3" s="1"/>
  <c r="EF53" i="3" s="1"/>
  <c r="EG53" i="3" s="1"/>
  <c r="EH53" i="3" s="1"/>
  <c r="DE47" i="3"/>
  <c r="DF47" i="3" s="1"/>
  <c r="DG47" i="3" s="1"/>
  <c r="DH47" i="3" s="1"/>
  <c r="DI47" i="3" s="1"/>
  <c r="DJ47" i="3" s="1"/>
  <c r="DK47" i="3" s="1"/>
  <c r="DL47" i="3" s="1"/>
  <c r="DM47" i="3" s="1"/>
  <c r="DN47" i="3" s="1"/>
  <c r="DO47" i="3" s="1"/>
  <c r="DP47" i="3" s="1"/>
  <c r="DQ47" i="3" s="1"/>
  <c r="DR47" i="3" s="1"/>
  <c r="DS47" i="3" s="1"/>
  <c r="DT47" i="3" s="1"/>
  <c r="DU47" i="3" s="1"/>
  <c r="DV47" i="3" s="1"/>
  <c r="DW47" i="3" s="1"/>
  <c r="DX47" i="3" s="1"/>
  <c r="DY47" i="3" s="1"/>
  <c r="DZ47" i="3" s="1"/>
  <c r="EA47" i="3" s="1"/>
  <c r="EB47" i="3" s="1"/>
  <c r="EC47" i="3" s="1"/>
  <c r="ED47" i="3" s="1"/>
  <c r="EE47" i="3" s="1"/>
  <c r="EF47" i="3" s="1"/>
  <c r="EG47" i="3" s="1"/>
  <c r="EH47" i="3" s="1"/>
  <c r="DF40" i="3"/>
  <c r="DG40" i="3" s="1"/>
  <c r="DH40" i="3" s="1"/>
  <c r="DI40" i="3" s="1"/>
  <c r="DJ40" i="3" s="1"/>
  <c r="DK40" i="3" s="1"/>
  <c r="DL40" i="3" s="1"/>
  <c r="DM40" i="3" s="1"/>
  <c r="DN40" i="3" s="1"/>
  <c r="DO40" i="3" s="1"/>
  <c r="DP40" i="3" s="1"/>
  <c r="DQ40" i="3" s="1"/>
  <c r="DR40" i="3" s="1"/>
  <c r="DS40" i="3" s="1"/>
  <c r="DT40" i="3" s="1"/>
  <c r="DU40" i="3" s="1"/>
  <c r="DV40" i="3" s="1"/>
  <c r="DW40" i="3" s="1"/>
  <c r="DX40" i="3" s="1"/>
  <c r="DY40" i="3" s="1"/>
  <c r="DZ40" i="3" s="1"/>
  <c r="EA40" i="3" s="1"/>
  <c r="EB40" i="3" s="1"/>
  <c r="EC40" i="3" s="1"/>
  <c r="ED40" i="3" s="1"/>
  <c r="EE40" i="3" s="1"/>
  <c r="EF40" i="3" s="1"/>
  <c r="EG40" i="3" s="1"/>
  <c r="EH40" i="3" s="1"/>
  <c r="DE63" i="3"/>
  <c r="DF63" i="3" s="1"/>
  <c r="DG63" i="3" s="1"/>
  <c r="DH63" i="3" s="1"/>
  <c r="DI63" i="3" s="1"/>
  <c r="DJ63" i="3" s="1"/>
  <c r="DK63" i="3" s="1"/>
  <c r="DL63" i="3" s="1"/>
  <c r="DM63" i="3" s="1"/>
  <c r="DN63" i="3" s="1"/>
  <c r="DO63" i="3" s="1"/>
  <c r="DP63" i="3" s="1"/>
  <c r="DQ63" i="3" s="1"/>
  <c r="DR63" i="3" s="1"/>
  <c r="DS63" i="3" s="1"/>
  <c r="DT63" i="3" s="1"/>
  <c r="DU63" i="3" s="1"/>
  <c r="DV63" i="3" s="1"/>
  <c r="DW63" i="3" s="1"/>
  <c r="DX63" i="3" s="1"/>
  <c r="DY63" i="3" s="1"/>
  <c r="DZ63" i="3" s="1"/>
  <c r="EA63" i="3" s="1"/>
  <c r="EB63" i="3" s="1"/>
  <c r="EC63" i="3" s="1"/>
  <c r="ED63" i="3" s="1"/>
  <c r="EE63" i="3" s="1"/>
  <c r="EF63" i="3" s="1"/>
  <c r="EG63" i="3" s="1"/>
  <c r="EH63" i="3" s="1"/>
  <c r="DE55" i="3"/>
  <c r="DF55" i="3" s="1"/>
  <c r="DG55" i="3" s="1"/>
  <c r="DH55" i="3" s="1"/>
  <c r="DI55" i="3" s="1"/>
  <c r="DJ55" i="3" s="1"/>
  <c r="DK55" i="3" s="1"/>
  <c r="DL55" i="3" s="1"/>
  <c r="DM55" i="3" s="1"/>
  <c r="DN55" i="3" s="1"/>
  <c r="DO55" i="3" s="1"/>
  <c r="DP55" i="3" s="1"/>
  <c r="DQ55" i="3" s="1"/>
  <c r="DR55" i="3" s="1"/>
  <c r="DS55" i="3" s="1"/>
  <c r="DT55" i="3" s="1"/>
  <c r="DU55" i="3" s="1"/>
  <c r="DV55" i="3" s="1"/>
  <c r="DW55" i="3" s="1"/>
  <c r="DX55" i="3" s="1"/>
  <c r="DY55" i="3" s="1"/>
  <c r="DZ55" i="3" s="1"/>
  <c r="EA55" i="3" s="1"/>
  <c r="EB55" i="3" s="1"/>
  <c r="EC55" i="3" s="1"/>
  <c r="ED55" i="3" s="1"/>
  <c r="EE55" i="3" s="1"/>
  <c r="EF55" i="3" s="1"/>
  <c r="EG55" i="3" s="1"/>
  <c r="EH55" i="3" s="1"/>
  <c r="DF49" i="3"/>
  <c r="DG49" i="3" s="1"/>
  <c r="DH49" i="3" s="1"/>
  <c r="DI49" i="3" s="1"/>
  <c r="DJ49" i="3" s="1"/>
  <c r="DK49" i="3" s="1"/>
  <c r="DL49" i="3" s="1"/>
  <c r="DM49" i="3" s="1"/>
  <c r="DN49" i="3" s="1"/>
  <c r="DO49" i="3" s="1"/>
  <c r="DP49" i="3" s="1"/>
  <c r="DQ49" i="3" s="1"/>
  <c r="DR49" i="3" s="1"/>
  <c r="DS49" i="3" s="1"/>
  <c r="DT49" i="3" s="1"/>
  <c r="DU49" i="3" s="1"/>
  <c r="DV49" i="3" s="1"/>
  <c r="DW49" i="3" s="1"/>
  <c r="DX49" i="3" s="1"/>
  <c r="DY49" i="3" s="1"/>
  <c r="DZ49" i="3" s="1"/>
  <c r="EA49" i="3" s="1"/>
  <c r="EB49" i="3" s="1"/>
  <c r="EC49" i="3" s="1"/>
  <c r="ED49" i="3" s="1"/>
  <c r="EE49" i="3" s="1"/>
  <c r="EF49" i="3" s="1"/>
  <c r="EG49" i="3" s="1"/>
  <c r="EH49" i="3" s="1"/>
  <c r="DE44" i="3"/>
  <c r="DF44" i="3" s="1"/>
  <c r="DG44" i="3" s="1"/>
  <c r="DH44" i="3" s="1"/>
  <c r="DI44" i="3" s="1"/>
  <c r="DJ44" i="3" s="1"/>
  <c r="DK44" i="3" s="1"/>
  <c r="DL44" i="3" s="1"/>
  <c r="DM44" i="3" s="1"/>
  <c r="DN44" i="3" s="1"/>
  <c r="DO44" i="3" s="1"/>
  <c r="DP44" i="3" s="1"/>
  <c r="DQ44" i="3" s="1"/>
  <c r="DR44" i="3" s="1"/>
  <c r="DS44" i="3" s="1"/>
  <c r="DT44" i="3" s="1"/>
  <c r="DU44" i="3" s="1"/>
  <c r="DV44" i="3" s="1"/>
  <c r="DW44" i="3" s="1"/>
  <c r="DX44" i="3" s="1"/>
  <c r="DY44" i="3" s="1"/>
  <c r="DZ44" i="3" s="1"/>
  <c r="EA44" i="3" s="1"/>
  <c r="EB44" i="3" s="1"/>
  <c r="EC44" i="3" s="1"/>
  <c r="ED44" i="3" s="1"/>
  <c r="EE44" i="3" s="1"/>
  <c r="EF44" i="3" s="1"/>
  <c r="EG44" i="3" s="1"/>
  <c r="EH44" i="3" s="1"/>
  <c r="DF62" i="3"/>
  <c r="DG62" i="3" s="1"/>
  <c r="DH62" i="3" s="1"/>
  <c r="DI62" i="3" s="1"/>
  <c r="DJ62" i="3" s="1"/>
  <c r="DK62" i="3" s="1"/>
  <c r="DL62" i="3" s="1"/>
  <c r="DM62" i="3" s="1"/>
  <c r="DN62" i="3" s="1"/>
  <c r="DO62" i="3" s="1"/>
  <c r="DP62" i="3" s="1"/>
  <c r="DQ62" i="3" s="1"/>
  <c r="DR62" i="3" s="1"/>
  <c r="DS62" i="3" s="1"/>
  <c r="DT62" i="3" s="1"/>
  <c r="DU62" i="3" s="1"/>
  <c r="DV62" i="3" s="1"/>
  <c r="DW62" i="3" s="1"/>
  <c r="DX62" i="3" s="1"/>
  <c r="DY62" i="3" s="1"/>
  <c r="DZ62" i="3" s="1"/>
  <c r="EA62" i="3" s="1"/>
  <c r="EB62" i="3" s="1"/>
  <c r="EC62" i="3" s="1"/>
  <c r="ED62" i="3" s="1"/>
  <c r="EE62" i="3" s="1"/>
  <c r="EF62" i="3" s="1"/>
  <c r="EG62" i="3" s="1"/>
  <c r="EH62" i="3" s="1"/>
  <c r="DF69" i="3"/>
  <c r="DG69" i="3" s="1"/>
  <c r="DH69" i="3" s="1"/>
  <c r="DI69" i="3" s="1"/>
  <c r="DJ69" i="3" s="1"/>
  <c r="DK69" i="3" s="1"/>
  <c r="DL69" i="3" s="1"/>
  <c r="DM69" i="3" s="1"/>
  <c r="DN69" i="3" s="1"/>
  <c r="DO69" i="3" s="1"/>
  <c r="DP69" i="3" s="1"/>
  <c r="DQ69" i="3" s="1"/>
  <c r="DR69" i="3" s="1"/>
  <c r="DS69" i="3" s="1"/>
  <c r="DT69" i="3" s="1"/>
  <c r="DU69" i="3" s="1"/>
  <c r="DV69" i="3" s="1"/>
  <c r="DW69" i="3" s="1"/>
  <c r="DX69" i="3" s="1"/>
  <c r="DY69" i="3" s="1"/>
  <c r="DZ69" i="3" s="1"/>
  <c r="EA69" i="3" s="1"/>
  <c r="EB69" i="3" s="1"/>
  <c r="EC69" i="3" s="1"/>
  <c r="ED69" i="3" s="1"/>
  <c r="EE69" i="3" s="1"/>
  <c r="EF69" i="3" s="1"/>
  <c r="EG69" i="3" s="1"/>
  <c r="EH69" i="3" s="1"/>
  <c r="DF61" i="3"/>
  <c r="DG61" i="3" s="1"/>
  <c r="DH61" i="3" s="1"/>
  <c r="DI61" i="3" s="1"/>
  <c r="DJ61" i="3" s="1"/>
  <c r="DK61" i="3" s="1"/>
  <c r="DL61" i="3" s="1"/>
  <c r="DM61" i="3" s="1"/>
  <c r="DN61" i="3" s="1"/>
  <c r="DO61" i="3" s="1"/>
  <c r="DP61" i="3" s="1"/>
  <c r="DQ61" i="3" s="1"/>
  <c r="DR61" i="3" s="1"/>
  <c r="DS61" i="3" s="1"/>
  <c r="DT61" i="3" s="1"/>
  <c r="DU61" i="3" s="1"/>
  <c r="DV61" i="3" s="1"/>
  <c r="DW61" i="3" s="1"/>
  <c r="DX61" i="3" s="1"/>
  <c r="DY61" i="3" s="1"/>
  <c r="DZ61" i="3" s="1"/>
  <c r="EA61" i="3" s="1"/>
  <c r="EB61" i="3" s="1"/>
  <c r="EC61" i="3" s="1"/>
  <c r="ED61" i="3" s="1"/>
  <c r="EE61" i="3" s="1"/>
  <c r="EF61" i="3" s="1"/>
  <c r="EG61" i="3" s="1"/>
  <c r="EH61" i="3" s="1"/>
  <c r="DF60" i="3"/>
  <c r="DG60" i="3" s="1"/>
  <c r="DH60" i="3" s="1"/>
  <c r="DI60" i="3" s="1"/>
  <c r="DJ60" i="3" s="1"/>
  <c r="DK60" i="3" s="1"/>
  <c r="DL60" i="3" s="1"/>
  <c r="DM60" i="3" s="1"/>
  <c r="DN60" i="3" s="1"/>
  <c r="DO60" i="3" s="1"/>
  <c r="DP60" i="3" s="1"/>
  <c r="DQ60" i="3" s="1"/>
  <c r="DR60" i="3" s="1"/>
  <c r="DS60" i="3" s="1"/>
  <c r="DT60" i="3" s="1"/>
  <c r="DU60" i="3" s="1"/>
  <c r="DV60" i="3" s="1"/>
  <c r="DW60" i="3" s="1"/>
  <c r="DX60" i="3" s="1"/>
  <c r="DY60" i="3" s="1"/>
  <c r="DZ60" i="3" s="1"/>
  <c r="EA60" i="3" s="1"/>
  <c r="EB60" i="3" s="1"/>
  <c r="EC60" i="3" s="1"/>
  <c r="ED60" i="3" s="1"/>
  <c r="EE60" i="3" s="1"/>
  <c r="EF60" i="3" s="1"/>
  <c r="EG60" i="3" s="1"/>
  <c r="EH60" i="3" s="1"/>
  <c r="DF59" i="3"/>
  <c r="DG59" i="3" s="1"/>
  <c r="DH59" i="3" s="1"/>
  <c r="DI59" i="3" s="1"/>
  <c r="DJ59" i="3" s="1"/>
  <c r="DK59" i="3" s="1"/>
  <c r="DL59" i="3" s="1"/>
  <c r="DM59" i="3" s="1"/>
  <c r="DN59" i="3" s="1"/>
  <c r="DO59" i="3" s="1"/>
  <c r="DP59" i="3" s="1"/>
  <c r="DQ59" i="3" s="1"/>
  <c r="DR59" i="3" s="1"/>
  <c r="DS59" i="3" s="1"/>
  <c r="DT59" i="3" s="1"/>
  <c r="DU59" i="3" s="1"/>
  <c r="DV59" i="3" s="1"/>
  <c r="DW59" i="3" s="1"/>
  <c r="DX59" i="3" s="1"/>
  <c r="DY59" i="3" s="1"/>
  <c r="DZ59" i="3" s="1"/>
  <c r="EA59" i="3" s="1"/>
  <c r="EB59" i="3" s="1"/>
  <c r="EC59" i="3" s="1"/>
  <c r="ED59" i="3" s="1"/>
  <c r="EE59" i="3" s="1"/>
  <c r="EF59" i="3" s="1"/>
  <c r="EG59" i="3" s="1"/>
  <c r="EH59" i="3" s="1"/>
  <c r="DF51" i="3"/>
  <c r="DG51" i="3" s="1"/>
  <c r="DH51" i="3" s="1"/>
  <c r="DI51" i="3" s="1"/>
  <c r="DJ51" i="3" s="1"/>
  <c r="DK51" i="3" s="1"/>
  <c r="DL51" i="3" s="1"/>
  <c r="DM51" i="3" s="1"/>
  <c r="DN51" i="3" s="1"/>
  <c r="DO51" i="3" s="1"/>
  <c r="DP51" i="3" s="1"/>
  <c r="DQ51" i="3" s="1"/>
  <c r="DR51" i="3" s="1"/>
  <c r="DS51" i="3" s="1"/>
  <c r="DT51" i="3" s="1"/>
  <c r="DU51" i="3" s="1"/>
  <c r="DV51" i="3" s="1"/>
  <c r="DW51" i="3" s="1"/>
  <c r="DX51" i="3" s="1"/>
  <c r="DY51" i="3" s="1"/>
  <c r="DZ51" i="3" s="1"/>
  <c r="EA51" i="3" s="1"/>
  <c r="EB51" i="3" s="1"/>
  <c r="EC51" i="3" s="1"/>
  <c r="ED51" i="3" s="1"/>
  <c r="EE51" i="3" s="1"/>
  <c r="EF51" i="3" s="1"/>
  <c r="EG51" i="3" s="1"/>
  <c r="EH51" i="3" s="1"/>
  <c r="DF64" i="3"/>
  <c r="DG64" i="3" s="1"/>
  <c r="DH64" i="3" s="1"/>
  <c r="DI64" i="3" s="1"/>
  <c r="DJ64" i="3" s="1"/>
  <c r="DK64" i="3" s="1"/>
  <c r="DL64" i="3" s="1"/>
  <c r="DM64" i="3" s="1"/>
  <c r="DN64" i="3" s="1"/>
  <c r="DO64" i="3" s="1"/>
  <c r="DP64" i="3" s="1"/>
  <c r="DQ64" i="3" s="1"/>
  <c r="DR64" i="3" s="1"/>
  <c r="DS64" i="3" s="1"/>
  <c r="DT64" i="3" s="1"/>
  <c r="DU64" i="3" s="1"/>
  <c r="DV64" i="3" s="1"/>
  <c r="DW64" i="3" s="1"/>
  <c r="DX64" i="3" s="1"/>
  <c r="DY64" i="3" s="1"/>
  <c r="DZ64" i="3" s="1"/>
  <c r="EA64" i="3" s="1"/>
  <c r="EB64" i="3" s="1"/>
  <c r="EC64" i="3" s="1"/>
  <c r="ED64" i="3" s="1"/>
  <c r="EE64" i="3" s="1"/>
  <c r="EF64" i="3" s="1"/>
  <c r="EG64" i="3" s="1"/>
  <c r="EH64" i="3" s="1"/>
  <c r="DF56" i="3"/>
  <c r="DG56" i="3" s="1"/>
  <c r="DH56" i="3" s="1"/>
  <c r="DI56" i="3" s="1"/>
  <c r="DJ56" i="3" s="1"/>
  <c r="DK56" i="3" s="1"/>
  <c r="DL56" i="3" s="1"/>
  <c r="DM56" i="3" s="1"/>
  <c r="DN56" i="3" s="1"/>
  <c r="DO56" i="3" s="1"/>
  <c r="DP56" i="3" s="1"/>
  <c r="DQ56" i="3" s="1"/>
  <c r="DR56" i="3" s="1"/>
  <c r="DS56" i="3" s="1"/>
  <c r="DT56" i="3" s="1"/>
  <c r="DU56" i="3" s="1"/>
  <c r="DV56" i="3" s="1"/>
  <c r="DW56" i="3" s="1"/>
  <c r="DX56" i="3" s="1"/>
  <c r="DY56" i="3" s="1"/>
  <c r="DZ56" i="3" s="1"/>
  <c r="EA56" i="3" s="1"/>
  <c r="EB56" i="3" s="1"/>
  <c r="EC56" i="3" s="1"/>
  <c r="ED56" i="3" s="1"/>
  <c r="EE56" i="3" s="1"/>
  <c r="EF56" i="3" s="1"/>
  <c r="EG56" i="3" s="1"/>
  <c r="EH56" i="3" s="1"/>
  <c r="DF39" i="3"/>
  <c r="DG39" i="3" s="1"/>
  <c r="DH39" i="3" s="1"/>
  <c r="DI39" i="3" s="1"/>
  <c r="DJ39" i="3" s="1"/>
  <c r="DK39" i="3" s="1"/>
  <c r="DL39" i="3" s="1"/>
  <c r="DM39" i="3" s="1"/>
  <c r="DN39" i="3" s="1"/>
  <c r="DO39" i="3" s="1"/>
  <c r="DP39" i="3" s="1"/>
  <c r="DQ39" i="3" s="1"/>
  <c r="DR39" i="3" s="1"/>
  <c r="DS39" i="3" s="1"/>
  <c r="DT39" i="3" s="1"/>
  <c r="DU39" i="3" s="1"/>
  <c r="DV39" i="3" s="1"/>
  <c r="DW39" i="3" s="1"/>
  <c r="DX39" i="3" s="1"/>
  <c r="DY39" i="3" s="1"/>
  <c r="DZ39" i="3" s="1"/>
  <c r="EA39" i="3" s="1"/>
  <c r="EB39" i="3" s="1"/>
  <c r="EC39" i="3" s="1"/>
  <c r="ED39" i="3" s="1"/>
  <c r="EE39" i="3" s="1"/>
  <c r="EF39" i="3" s="1"/>
  <c r="EG39" i="3" s="1"/>
  <c r="EH39" i="3" s="1"/>
  <c r="DF68" i="3"/>
  <c r="DG68" i="3" s="1"/>
  <c r="DH68" i="3" s="1"/>
  <c r="DI68" i="3" s="1"/>
  <c r="DJ68" i="3" s="1"/>
  <c r="DK68" i="3" s="1"/>
  <c r="DL68" i="3" s="1"/>
  <c r="DM68" i="3" s="1"/>
  <c r="DN68" i="3" s="1"/>
  <c r="DO68" i="3" s="1"/>
  <c r="DP68" i="3" s="1"/>
  <c r="DQ68" i="3" s="1"/>
  <c r="DR68" i="3" s="1"/>
  <c r="DS68" i="3" s="1"/>
  <c r="DT68" i="3" s="1"/>
  <c r="DU68" i="3" s="1"/>
  <c r="DV68" i="3" s="1"/>
  <c r="DW68" i="3" s="1"/>
  <c r="DX68" i="3" s="1"/>
  <c r="DY68" i="3" s="1"/>
  <c r="DZ68" i="3" s="1"/>
  <c r="EA68" i="3" s="1"/>
  <c r="EB68" i="3" s="1"/>
  <c r="EC68" i="3" s="1"/>
  <c r="ED68" i="3" s="1"/>
  <c r="EE68" i="3" s="1"/>
  <c r="EF68" i="3" s="1"/>
  <c r="EG68" i="3" s="1"/>
  <c r="EH68" i="3" s="1"/>
  <c r="DF52" i="3"/>
  <c r="DG52" i="3" s="1"/>
  <c r="DH52" i="3" s="1"/>
  <c r="DI52" i="3" s="1"/>
  <c r="DJ52" i="3" s="1"/>
  <c r="DK52" i="3" s="1"/>
  <c r="DL52" i="3" s="1"/>
  <c r="DM52" i="3" s="1"/>
  <c r="DN52" i="3" s="1"/>
  <c r="DO52" i="3" s="1"/>
  <c r="DP52" i="3" s="1"/>
  <c r="DQ52" i="3" s="1"/>
  <c r="DR52" i="3" s="1"/>
  <c r="DS52" i="3" s="1"/>
  <c r="DT52" i="3" s="1"/>
  <c r="DU52" i="3" s="1"/>
  <c r="DV52" i="3" s="1"/>
  <c r="DW52" i="3" s="1"/>
  <c r="DX52" i="3" s="1"/>
  <c r="DY52" i="3" s="1"/>
  <c r="DZ52" i="3" s="1"/>
  <c r="EA52" i="3" s="1"/>
  <c r="EB52" i="3" s="1"/>
  <c r="EC52" i="3" s="1"/>
  <c r="ED52" i="3" s="1"/>
  <c r="EE52" i="3" s="1"/>
  <c r="EF52" i="3" s="1"/>
  <c r="EG52" i="3" s="1"/>
  <c r="EH52" i="3" s="1"/>
  <c r="DF57" i="3"/>
  <c r="DG57" i="3" s="1"/>
  <c r="DH57" i="3" s="1"/>
  <c r="DI57" i="3" s="1"/>
  <c r="DJ57" i="3" s="1"/>
  <c r="DK57" i="3" s="1"/>
  <c r="DL57" i="3" s="1"/>
  <c r="DM57" i="3" s="1"/>
  <c r="DN57" i="3" s="1"/>
  <c r="DO57" i="3" s="1"/>
  <c r="DP57" i="3" s="1"/>
  <c r="DQ57" i="3" s="1"/>
  <c r="DR57" i="3" s="1"/>
  <c r="DS57" i="3" s="1"/>
  <c r="DT57" i="3" s="1"/>
  <c r="DU57" i="3" s="1"/>
  <c r="DV57" i="3" s="1"/>
  <c r="DW57" i="3" s="1"/>
  <c r="DX57" i="3" s="1"/>
  <c r="DY57" i="3" s="1"/>
  <c r="DZ57" i="3" s="1"/>
  <c r="EA57" i="3" s="1"/>
  <c r="EB57" i="3" s="1"/>
  <c r="EC57" i="3" s="1"/>
  <c r="ED57" i="3" s="1"/>
  <c r="EE57" i="3" s="1"/>
  <c r="EF57" i="3" s="1"/>
  <c r="EG57" i="3" s="1"/>
  <c r="EH57" i="3" s="1"/>
  <c r="DF66" i="3"/>
  <c r="DG66" i="3" s="1"/>
  <c r="DH66" i="3" s="1"/>
  <c r="DI66" i="3" s="1"/>
  <c r="DJ66" i="3" s="1"/>
  <c r="DK66" i="3" s="1"/>
  <c r="DL66" i="3" s="1"/>
  <c r="DM66" i="3" s="1"/>
  <c r="DN66" i="3" s="1"/>
  <c r="DO66" i="3" s="1"/>
  <c r="DP66" i="3" s="1"/>
  <c r="DQ66" i="3" s="1"/>
  <c r="DR66" i="3" s="1"/>
  <c r="DS66" i="3" s="1"/>
  <c r="DT66" i="3" s="1"/>
  <c r="DU66" i="3" s="1"/>
  <c r="DV66" i="3" s="1"/>
  <c r="DW66" i="3" s="1"/>
  <c r="DX66" i="3" s="1"/>
  <c r="DY66" i="3" s="1"/>
  <c r="DZ66" i="3" s="1"/>
  <c r="EA66" i="3" s="1"/>
  <c r="EB66" i="3" s="1"/>
  <c r="EC66" i="3" s="1"/>
  <c r="ED66" i="3" s="1"/>
  <c r="EE66" i="3" s="1"/>
  <c r="EF66" i="3" s="1"/>
  <c r="EG66" i="3" s="1"/>
  <c r="EH66" i="3" s="1"/>
  <c r="DF58" i="3"/>
  <c r="DG58" i="3" s="1"/>
  <c r="DH58" i="3" s="1"/>
  <c r="DI58" i="3" s="1"/>
  <c r="DJ58" i="3" s="1"/>
  <c r="DK58" i="3" s="1"/>
  <c r="DL58" i="3" s="1"/>
  <c r="DM58" i="3" s="1"/>
  <c r="DN58" i="3" s="1"/>
  <c r="DO58" i="3" s="1"/>
  <c r="DP58" i="3" s="1"/>
  <c r="DQ58" i="3" s="1"/>
  <c r="DR58" i="3" s="1"/>
  <c r="DS58" i="3" s="1"/>
  <c r="DT58" i="3" s="1"/>
  <c r="DU58" i="3" s="1"/>
  <c r="DV58" i="3" s="1"/>
  <c r="DW58" i="3" s="1"/>
  <c r="DX58" i="3" s="1"/>
  <c r="DY58" i="3" s="1"/>
  <c r="DZ58" i="3" s="1"/>
  <c r="EA58" i="3" s="1"/>
  <c r="EB58" i="3" s="1"/>
  <c r="EC58" i="3" s="1"/>
  <c r="ED58" i="3" s="1"/>
  <c r="EE58" i="3" s="1"/>
  <c r="EF58" i="3" s="1"/>
  <c r="EG58" i="3" s="1"/>
  <c r="EH58" i="3" s="1"/>
  <c r="DF41" i="3"/>
  <c r="DG41" i="3" s="1"/>
  <c r="DH41" i="3" s="1"/>
  <c r="DI41" i="3" s="1"/>
  <c r="DJ41" i="3" s="1"/>
  <c r="DK41" i="3" s="1"/>
  <c r="DL41" i="3" s="1"/>
  <c r="DM41" i="3" s="1"/>
  <c r="DN41" i="3" s="1"/>
  <c r="DO41" i="3" s="1"/>
  <c r="DP41" i="3" s="1"/>
  <c r="DQ41" i="3" s="1"/>
  <c r="DR41" i="3" s="1"/>
  <c r="DS41" i="3" s="1"/>
  <c r="DT41" i="3" s="1"/>
  <c r="DU41" i="3" s="1"/>
  <c r="DV41" i="3" s="1"/>
  <c r="DW41" i="3" s="1"/>
  <c r="DX41" i="3" s="1"/>
  <c r="DY41" i="3" s="1"/>
  <c r="DZ41" i="3" s="1"/>
  <c r="EA41" i="3" s="1"/>
  <c r="EB41" i="3" s="1"/>
  <c r="EC41" i="3" s="1"/>
  <c r="ED41" i="3" s="1"/>
  <c r="EE41" i="3" s="1"/>
  <c r="EF41" i="3" s="1"/>
  <c r="EG41" i="3" s="1"/>
  <c r="EH41" i="3" s="1"/>
  <c r="DE48" i="3"/>
  <c r="DF48" i="3" s="1"/>
  <c r="DG48" i="3" s="1"/>
  <c r="DH48" i="3" s="1"/>
  <c r="DI48" i="3" s="1"/>
  <c r="DJ48" i="3" s="1"/>
  <c r="DK48" i="3" s="1"/>
  <c r="DL48" i="3" s="1"/>
  <c r="DM48" i="3" s="1"/>
  <c r="DN48" i="3" s="1"/>
  <c r="DO48" i="3" s="1"/>
  <c r="DP48" i="3" s="1"/>
  <c r="DQ48" i="3" s="1"/>
  <c r="DR48" i="3" s="1"/>
  <c r="DS48" i="3" s="1"/>
  <c r="DT48" i="3" s="1"/>
  <c r="DU48" i="3" s="1"/>
  <c r="DV48" i="3" s="1"/>
  <c r="DW48" i="3" s="1"/>
  <c r="DX48" i="3" s="1"/>
  <c r="DY48" i="3" s="1"/>
  <c r="DZ48" i="3" s="1"/>
  <c r="EA48" i="3" s="1"/>
  <c r="EB48" i="3" s="1"/>
  <c r="EC48" i="3" s="1"/>
  <c r="ED48" i="3" s="1"/>
  <c r="EE48" i="3" s="1"/>
  <c r="EF48" i="3" s="1"/>
  <c r="EG48" i="3" s="1"/>
  <c r="EH48" i="3" s="1"/>
  <c r="DF65" i="3"/>
  <c r="DG65" i="3" s="1"/>
  <c r="DH65" i="3" s="1"/>
  <c r="DI65" i="3" s="1"/>
  <c r="DJ65" i="3" s="1"/>
  <c r="DK65" i="3" s="1"/>
  <c r="DL65" i="3" s="1"/>
  <c r="DM65" i="3" s="1"/>
  <c r="DN65" i="3" s="1"/>
  <c r="DO65" i="3" s="1"/>
  <c r="DP65" i="3" s="1"/>
  <c r="DQ65" i="3" s="1"/>
  <c r="DR65" i="3" s="1"/>
  <c r="DS65" i="3" s="1"/>
  <c r="DT65" i="3" s="1"/>
  <c r="DU65" i="3" s="1"/>
  <c r="DV65" i="3" s="1"/>
  <c r="DW65" i="3" s="1"/>
  <c r="DX65" i="3" s="1"/>
  <c r="DY65" i="3" s="1"/>
  <c r="DZ65" i="3" s="1"/>
  <c r="EA65" i="3" s="1"/>
  <c r="EB65" i="3" s="1"/>
  <c r="EC65" i="3" s="1"/>
  <c r="ED65" i="3" s="1"/>
  <c r="EE65" i="3" s="1"/>
  <c r="EF65" i="3" s="1"/>
  <c r="EG65" i="3" s="1"/>
  <c r="EH65" i="3" s="1"/>
  <c r="DF45" i="3"/>
  <c r="DG45" i="3" s="1"/>
  <c r="DH45" i="3" s="1"/>
  <c r="DI45" i="3" s="1"/>
  <c r="DJ45" i="3" s="1"/>
  <c r="DK45" i="3" s="1"/>
  <c r="DL45" i="3" s="1"/>
  <c r="DM45" i="3" s="1"/>
  <c r="DN45" i="3" s="1"/>
  <c r="DO45" i="3" s="1"/>
  <c r="DP45" i="3" s="1"/>
  <c r="DQ45" i="3" s="1"/>
  <c r="DR45" i="3" s="1"/>
  <c r="DS45" i="3" s="1"/>
  <c r="DT45" i="3" s="1"/>
  <c r="DU45" i="3" s="1"/>
  <c r="DV45" i="3" s="1"/>
  <c r="DW45" i="3" s="1"/>
  <c r="DX45" i="3" s="1"/>
  <c r="DY45" i="3" s="1"/>
  <c r="DZ45" i="3" s="1"/>
  <c r="EA45" i="3" s="1"/>
  <c r="EB45" i="3" s="1"/>
  <c r="EC45" i="3" s="1"/>
  <c r="ED45" i="3" s="1"/>
  <c r="EE45" i="3" s="1"/>
  <c r="EF45" i="3" s="1"/>
  <c r="EG45" i="3" s="1"/>
  <c r="EH45" i="3" s="1"/>
  <c r="DF67" i="3"/>
  <c r="DG67" i="3" s="1"/>
  <c r="DH67" i="3" s="1"/>
  <c r="DI67" i="3" s="1"/>
  <c r="DJ67" i="3" s="1"/>
  <c r="DK67" i="3" s="1"/>
  <c r="DL67" i="3" s="1"/>
  <c r="DM67" i="3" s="1"/>
  <c r="DN67" i="3" s="1"/>
  <c r="DO67" i="3" s="1"/>
  <c r="DP67" i="3" s="1"/>
  <c r="DQ67" i="3" s="1"/>
  <c r="DR67" i="3" s="1"/>
  <c r="DS67" i="3" s="1"/>
  <c r="DT67" i="3" s="1"/>
  <c r="DU67" i="3" s="1"/>
  <c r="DV67" i="3" s="1"/>
  <c r="DW67" i="3" s="1"/>
  <c r="DX67" i="3" s="1"/>
  <c r="DY67" i="3" s="1"/>
  <c r="DZ67" i="3" s="1"/>
  <c r="EA67" i="3" s="1"/>
  <c r="EB67" i="3" s="1"/>
  <c r="EC67" i="3" s="1"/>
  <c r="ED67" i="3" s="1"/>
  <c r="EE67" i="3" s="1"/>
  <c r="EF67" i="3" s="1"/>
  <c r="EG67" i="3" s="1"/>
  <c r="EH67" i="3" s="1"/>
  <c r="EH102" i="3"/>
  <c r="DD102" i="3"/>
  <c r="DD101" i="3" s="1"/>
  <c r="DD100" i="3" s="1"/>
  <c r="DD99" i="3" s="1"/>
  <c r="DD98" i="3" s="1"/>
  <c r="DD97" i="3" s="1"/>
  <c r="DD96" i="3" s="1"/>
  <c r="DD95" i="3" s="1"/>
  <c r="DD94" i="3" s="1"/>
  <c r="DD93" i="3" s="1"/>
  <c r="DD92" i="3" s="1"/>
  <c r="DD91" i="3" s="1"/>
  <c r="DD90" i="3" s="1"/>
  <c r="DD89" i="3" s="1"/>
  <c r="DD88" i="3" s="1"/>
  <c r="DD87" i="3" s="1"/>
  <c r="DD86" i="3" s="1"/>
  <c r="DD85" i="3" s="1"/>
  <c r="DD84" i="3" s="1"/>
  <c r="DD83" i="3" s="1"/>
  <c r="DD82" i="3" s="1"/>
  <c r="DD81" i="3" s="1"/>
  <c r="DD80" i="3" s="1"/>
  <c r="DD79" i="3" s="1"/>
  <c r="DD78" i="3" s="1"/>
  <c r="DD77" i="3" s="1"/>
  <c r="DD76" i="3" s="1"/>
  <c r="DD75" i="3" s="1"/>
  <c r="DD74" i="3" s="1"/>
  <c r="EH101" i="3"/>
  <c r="EH100" i="3" s="1"/>
  <c r="EH99" i="3" s="1"/>
  <c r="EH98" i="3" s="1"/>
  <c r="EH97" i="3" s="1"/>
  <c r="EH96" i="3" s="1"/>
  <c r="EH95" i="3" s="1"/>
  <c r="EH94" i="3" s="1"/>
  <c r="EH93" i="3" s="1"/>
  <c r="EH92" i="3" s="1"/>
  <c r="EH91" i="3" s="1"/>
  <c r="EH90" i="3" s="1"/>
  <c r="EH89" i="3" s="1"/>
  <c r="EH88" i="3" s="1"/>
  <c r="EH87" i="3" s="1"/>
  <c r="EH86" i="3" s="1"/>
  <c r="EH85" i="3" s="1"/>
  <c r="EH84" i="3" s="1"/>
  <c r="EH83" i="3" s="1"/>
  <c r="EH82" i="3" s="1"/>
  <c r="EH81" i="3" s="1"/>
  <c r="EH80" i="3" s="1"/>
  <c r="EH79" i="3" s="1"/>
  <c r="EH78" i="3" s="1"/>
  <c r="EH77" i="3" s="1"/>
  <c r="EH76" i="3" s="1"/>
  <c r="EH75" i="3" s="1"/>
  <c r="EH74" i="3" s="1"/>
  <c r="CT45" i="3"/>
  <c r="CU45" i="3" s="1"/>
  <c r="CV45" i="3" s="1"/>
  <c r="CW45" i="3" s="1"/>
  <c r="CX45" i="3" s="1"/>
  <c r="CX49" i="3"/>
  <c r="CY44" i="3"/>
  <c r="CV68" i="3"/>
  <c r="CW68" i="3" s="1"/>
  <c r="CX68" i="3" s="1"/>
  <c r="CY68" i="3" s="1"/>
  <c r="CY52" i="3"/>
  <c r="CS67" i="3"/>
  <c r="CT67" i="3" s="1"/>
  <c r="CU67" i="3" s="1"/>
  <c r="CV67" i="3" s="1"/>
  <c r="CW67" i="3" s="1"/>
  <c r="CX67" i="3" s="1"/>
  <c r="CY67" i="3" s="1"/>
  <c r="CU57" i="3"/>
  <c r="CV57" i="3" s="1"/>
  <c r="CW57" i="3" s="1"/>
  <c r="CJ64" i="3"/>
  <c r="CK64" i="3" s="1"/>
  <c r="CL64" i="3" s="1"/>
  <c r="CM64" i="3" s="1"/>
  <c r="CN64" i="3" s="1"/>
  <c r="CO64" i="3" s="1"/>
  <c r="CP64" i="3" s="1"/>
  <c r="CQ64" i="3" s="1"/>
  <c r="CX66" i="3"/>
  <c r="CY61" i="3"/>
  <c r="CO54" i="3"/>
  <c r="CP54" i="3" s="1"/>
  <c r="CQ54" i="3" s="1"/>
  <c r="CR54" i="3" s="1"/>
  <c r="CS54" i="3" s="1"/>
  <c r="CT54" i="3" s="1"/>
  <c r="CU54" i="3" s="1"/>
  <c r="CV54" i="3" s="1"/>
  <c r="CY69" i="3"/>
  <c r="CO63" i="3"/>
  <c r="CP63" i="3" s="1"/>
  <c r="CQ63" i="3" s="1"/>
  <c r="CR63" i="3" s="1"/>
  <c r="CS63" i="3" s="1"/>
  <c r="CT63" i="3" s="1"/>
  <c r="CU63" i="3" s="1"/>
  <c r="CV63" i="3" s="1"/>
  <c r="CW63" i="3" s="1"/>
  <c r="CX63" i="3" s="1"/>
  <c r="CY63" i="3" s="1"/>
  <c r="CW59" i="3"/>
  <c r="CX59" i="3" s="1"/>
  <c r="CO46" i="3"/>
  <c r="CP46" i="3" s="1"/>
  <c r="CQ46" i="3" s="1"/>
  <c r="CR46" i="3" s="1"/>
  <c r="CS46" i="3" s="1"/>
  <c r="CT46" i="3" s="1"/>
  <c r="CU46" i="3" s="1"/>
  <c r="CV46" i="3" s="1"/>
  <c r="CX41" i="3"/>
  <c r="CU65" i="3"/>
  <c r="CV65" i="3" s="1"/>
  <c r="CW65" i="3" s="1"/>
  <c r="CX65" i="3" s="1"/>
  <c r="CY53" i="3"/>
  <c r="CY60" i="3"/>
  <c r="CF58" i="3"/>
  <c r="CG58" i="3" s="1"/>
  <c r="CH58" i="3" s="1"/>
  <c r="CI58" i="3" s="1"/>
  <c r="CJ58" i="3" s="1"/>
  <c r="CK58" i="3" s="1"/>
  <c r="CL58" i="3" s="1"/>
  <c r="CM58" i="3" s="1"/>
  <c r="CN58" i="3" s="1"/>
  <c r="CO58" i="3" s="1"/>
  <c r="CP58" i="3" s="1"/>
  <c r="CQ58" i="3" s="1"/>
  <c r="CR58" i="3" s="1"/>
  <c r="CS58" i="3" s="1"/>
  <c r="CT58" i="3" s="1"/>
  <c r="CU58" i="3" s="1"/>
  <c r="CM48" i="3"/>
  <c r="CN48" i="3" s="1"/>
  <c r="CO48" i="3" s="1"/>
  <c r="CP48" i="3" s="1"/>
  <c r="CQ48" i="3" s="1"/>
  <c r="CR48" i="3" s="1"/>
  <c r="CS48" i="3" s="1"/>
  <c r="CT48" i="3" s="1"/>
  <c r="CN51" i="3"/>
  <c r="CO51" i="3" s="1"/>
  <c r="CP51" i="3" s="1"/>
  <c r="CQ51" i="3" s="1"/>
  <c r="CR51" i="3" s="1"/>
  <c r="CS51" i="3" s="1"/>
  <c r="CT51" i="3" s="1"/>
  <c r="CU51" i="3" s="1"/>
  <c r="CS50" i="3"/>
  <c r="CT50" i="3" s="1"/>
  <c r="CU50" i="3" s="1"/>
  <c r="CV50" i="3" s="1"/>
  <c r="CW50" i="3" s="1"/>
  <c r="CX50" i="3" s="1"/>
  <c r="CY50" i="3" s="1"/>
  <c r="CF43" i="3"/>
  <c r="CG43" i="3" s="1"/>
  <c r="CH43" i="3" s="1"/>
  <c r="CI43" i="3" s="1"/>
  <c r="CJ43" i="3" s="1"/>
  <c r="CK43" i="3" s="1"/>
  <c r="CL43" i="3" s="1"/>
  <c r="CM43" i="3" s="1"/>
  <c r="CY39" i="3"/>
  <c r="AJ25" i="1"/>
  <c r="DF64" i="4" l="1"/>
  <c r="DF55" i="4"/>
  <c r="DG55" i="4" s="1"/>
  <c r="DH69" i="4"/>
  <c r="DI69" i="4" s="1"/>
  <c r="DG67" i="4"/>
  <c r="DF46" i="4"/>
  <c r="DH40" i="4"/>
  <c r="DI40" i="4" s="1"/>
  <c r="DH68" i="4"/>
  <c r="DI68" i="4" s="1"/>
  <c r="DF62" i="4"/>
  <c r="DG62" i="4" s="1"/>
  <c r="DH62" i="4" s="1"/>
  <c r="DG51" i="4"/>
  <c r="DH51" i="4" s="1"/>
  <c r="DI51" i="4" s="1"/>
  <c r="DJ51" i="4" s="1"/>
  <c r="DK51" i="4" s="1"/>
  <c r="DG48" i="4"/>
  <c r="DH48" i="4" s="1"/>
  <c r="DF53" i="4"/>
  <c r="DG53" i="4" s="1"/>
  <c r="DG47" i="4"/>
  <c r="DH47" i="4" s="1"/>
  <c r="DI47" i="4" s="1"/>
  <c r="BY53" i="4"/>
  <c r="CJ99" i="4"/>
  <c r="CW101" i="4"/>
  <c r="CP96" i="4"/>
  <c r="CV100" i="4"/>
  <c r="BX63" i="4"/>
  <c r="CX100" i="4"/>
  <c r="CQ102" i="4"/>
  <c r="BY48" i="4"/>
  <c r="BX59" i="4"/>
  <c r="CO100" i="4"/>
  <c r="CN102" i="4"/>
  <c r="CY101" i="4"/>
  <c r="CA60" i="4"/>
  <c r="DF52" i="4"/>
  <c r="BX66" i="4"/>
  <c r="CR101" i="4"/>
  <c r="BW101" i="4"/>
  <c r="CH101" i="4"/>
  <c r="CG102" i="4"/>
  <c r="BZ68" i="4"/>
  <c r="BX101" i="4"/>
  <c r="CE102" i="4"/>
  <c r="CA69" i="4"/>
  <c r="EH99" i="4"/>
  <c r="EH98" i="4" s="1"/>
  <c r="EH97" i="4" s="1"/>
  <c r="EH96" i="4" s="1"/>
  <c r="EH95" i="4" s="1"/>
  <c r="EH94" i="4" s="1"/>
  <c r="EH93" i="4" s="1"/>
  <c r="EH92" i="4" s="1"/>
  <c r="EH91" i="4" s="1"/>
  <c r="EH90" i="4" s="1"/>
  <c r="EH89" i="4" s="1"/>
  <c r="EH88" i="4" s="1"/>
  <c r="EH87" i="4" s="1"/>
  <c r="EH86" i="4" s="1"/>
  <c r="EH85" i="4" s="1"/>
  <c r="EH84" i="4" s="1"/>
  <c r="EH83" i="4" s="1"/>
  <c r="EH82" i="4" s="1"/>
  <c r="EH81" i="4" s="1"/>
  <c r="EH80" i="4" s="1"/>
  <c r="EH79" i="4" s="1"/>
  <c r="EH78" i="4" s="1"/>
  <c r="EH77" i="4" s="1"/>
  <c r="EH76" i="4" s="1"/>
  <c r="EH75" i="4" s="1"/>
  <c r="EH74" i="4" s="1"/>
  <c r="CD100" i="4"/>
  <c r="CL102" i="4"/>
  <c r="BZ100" i="4"/>
  <c r="BX44" i="4"/>
  <c r="DH65" i="4"/>
  <c r="CA101" i="4"/>
  <c r="CF99" i="4"/>
  <c r="CU101" i="4"/>
  <c r="BZ47" i="4"/>
  <c r="BX57" i="4"/>
  <c r="CT100" i="4"/>
  <c r="BX50" i="4"/>
  <c r="BX41" i="4"/>
  <c r="CM102" i="4"/>
  <c r="BY100" i="4"/>
  <c r="CA40" i="4"/>
  <c r="BZ65" i="4"/>
  <c r="BX52" i="4"/>
  <c r="BY55" i="4"/>
  <c r="BY54" i="4"/>
  <c r="DF66" i="4"/>
  <c r="BX64" i="4"/>
  <c r="BY67" i="4"/>
  <c r="BY62" i="4"/>
  <c r="BZ42" i="4"/>
  <c r="DF59" i="4"/>
  <c r="DG45" i="4"/>
  <c r="DH45" i="4" s="1"/>
  <c r="DF58" i="4"/>
  <c r="BX46" i="4"/>
  <c r="DF50" i="4"/>
  <c r="DD101" i="4"/>
  <c r="DD100" i="4" s="1"/>
  <c r="DD99" i="4" s="1"/>
  <c r="DD98" i="4" s="1"/>
  <c r="DD97" i="4" s="1"/>
  <c r="DD96" i="4" s="1"/>
  <c r="DD95" i="4" s="1"/>
  <c r="DD94" i="4" s="1"/>
  <c r="DD93" i="4" s="1"/>
  <c r="DD92" i="4" s="1"/>
  <c r="DD91" i="4" s="1"/>
  <c r="DD90" i="4" s="1"/>
  <c r="DD89" i="4" s="1"/>
  <c r="DD88" i="4" s="1"/>
  <c r="DD87" i="4" s="1"/>
  <c r="DD86" i="4" s="1"/>
  <c r="DD85" i="4" s="1"/>
  <c r="DD84" i="4" s="1"/>
  <c r="DD83" i="4" s="1"/>
  <c r="DD82" i="4" s="1"/>
  <c r="DD81" i="4" s="1"/>
  <c r="DD80" i="4" s="1"/>
  <c r="DD79" i="4" s="1"/>
  <c r="DD78" i="4" s="1"/>
  <c r="DD77" i="4" s="1"/>
  <c r="DD76" i="4" s="1"/>
  <c r="DD75" i="4" s="1"/>
  <c r="DD74" i="4" s="1"/>
  <c r="BZ56" i="4"/>
  <c r="DI56" i="4" s="1"/>
  <c r="DF57" i="4"/>
  <c r="DG57" i="4" s="1"/>
  <c r="BX39" i="4"/>
  <c r="DF41" i="4"/>
  <c r="DG41" i="4" s="1"/>
  <c r="CC102" i="4"/>
  <c r="DH42" i="4"/>
  <c r="BY45" i="4"/>
  <c r="DG60" i="4"/>
  <c r="DH60" i="4" s="1"/>
  <c r="DI60" i="4" s="1"/>
  <c r="DJ60" i="4" s="1"/>
  <c r="CI102" i="4"/>
  <c r="DF49" i="4"/>
  <c r="DG49" i="4" s="1"/>
  <c r="DH49" i="4" s="1"/>
  <c r="BX58" i="4"/>
  <c r="CB102" i="4"/>
  <c r="DF44" i="4"/>
  <c r="CB51" i="4"/>
  <c r="DF63" i="4"/>
  <c r="CK102" i="4"/>
  <c r="BX43" i="4"/>
  <c r="DG43" i="4" s="1"/>
  <c r="DF54" i="4"/>
  <c r="DG54" i="4" s="1"/>
  <c r="CS101" i="4"/>
  <c r="BX61" i="4"/>
  <c r="DG61" i="4" s="1"/>
  <c r="BZ49" i="4"/>
  <c r="AJ60" i="3"/>
  <c r="BQ95" i="3" s="1"/>
  <c r="AJ61" i="3"/>
  <c r="BQ96" i="3" s="1"/>
  <c r="AJ50" i="3"/>
  <c r="BQ85" i="3" s="1"/>
  <c r="AJ40" i="3"/>
  <c r="AJ68" i="3"/>
  <c r="BQ103" i="3" s="1"/>
  <c r="EG103" i="3" s="1"/>
  <c r="AJ67" i="3"/>
  <c r="BQ102" i="3" s="1"/>
  <c r="AJ52" i="3"/>
  <c r="BQ87" i="3" s="1"/>
  <c r="AJ69" i="3"/>
  <c r="BQ104" i="3" s="1"/>
  <c r="AJ53" i="3"/>
  <c r="AJ42" i="3"/>
  <c r="AI42" i="3" s="1"/>
  <c r="BP77" i="3" s="1"/>
  <c r="AJ63" i="3"/>
  <c r="BQ98" i="3" s="1"/>
  <c r="AJ56" i="3"/>
  <c r="AJ47" i="3"/>
  <c r="BQ82" i="3" s="1"/>
  <c r="AJ55" i="3"/>
  <c r="AI55" i="3" s="1"/>
  <c r="BP90" i="3" s="1"/>
  <c r="AJ62" i="3"/>
  <c r="AJ44" i="3"/>
  <c r="AJ39" i="3"/>
  <c r="BQ74" i="3" s="1"/>
  <c r="CY49" i="3"/>
  <c r="AJ49" i="3" s="1"/>
  <c r="BQ84" i="3" s="1"/>
  <c r="CY41" i="3"/>
  <c r="AJ41" i="3" s="1"/>
  <c r="BQ76" i="3" s="1"/>
  <c r="CV51" i="3"/>
  <c r="CW51" i="3" s="1"/>
  <c r="CX51" i="3" s="1"/>
  <c r="CY66" i="3"/>
  <c r="AJ66" i="3" s="1"/>
  <c r="BQ101" i="3" s="1"/>
  <c r="CN43" i="3"/>
  <c r="CO43" i="3" s="1"/>
  <c r="CP43" i="3" s="1"/>
  <c r="CQ43" i="3" s="1"/>
  <c r="CR43" i="3" s="1"/>
  <c r="CS43" i="3" s="1"/>
  <c r="CT43" i="3" s="1"/>
  <c r="CU43" i="3" s="1"/>
  <c r="CY45" i="3"/>
  <c r="AJ45" i="3" s="1"/>
  <c r="BQ80" i="3" s="1"/>
  <c r="CU48" i="3"/>
  <c r="CV48" i="3" s="1"/>
  <c r="CW48" i="3" s="1"/>
  <c r="CX48" i="3" s="1"/>
  <c r="CY48" i="3" s="1"/>
  <c r="AJ48" i="3" s="1"/>
  <c r="BQ83" i="3" s="1"/>
  <c r="CW46" i="3"/>
  <c r="CX46" i="3" s="1"/>
  <c r="CY46" i="3" s="1"/>
  <c r="AJ46" i="3" s="1"/>
  <c r="BQ81" i="3" s="1"/>
  <c r="CR64" i="3"/>
  <c r="CS64" i="3" s="1"/>
  <c r="CT64" i="3" s="1"/>
  <c r="CU64" i="3" s="1"/>
  <c r="CV64" i="3" s="1"/>
  <c r="CW64" i="3" s="1"/>
  <c r="CX64" i="3" s="1"/>
  <c r="CY64" i="3" s="1"/>
  <c r="AJ64" i="3" s="1"/>
  <c r="BQ99" i="3" s="1"/>
  <c r="CV58" i="3"/>
  <c r="CW58" i="3" s="1"/>
  <c r="CY65" i="3"/>
  <c r="AJ65" i="3" s="1"/>
  <c r="BQ100" i="3" s="1"/>
  <c r="CY59" i="3"/>
  <c r="AJ59" i="3" s="1"/>
  <c r="BQ94" i="3" s="1"/>
  <c r="CW54" i="3"/>
  <c r="CX54" i="3" s="1"/>
  <c r="CY54" i="3" s="1"/>
  <c r="AJ54" i="3" s="1"/>
  <c r="BQ89" i="3" s="1"/>
  <c r="CX57" i="3"/>
  <c r="G15" i="2"/>
  <c r="DG59" i="4" l="1"/>
  <c r="DH59" i="4" s="1"/>
  <c r="DH53" i="4"/>
  <c r="DG44" i="4"/>
  <c r="DI42" i="4"/>
  <c r="DJ42" i="4" s="1"/>
  <c r="DG50" i="4"/>
  <c r="DH54" i="4"/>
  <c r="DG66" i="4"/>
  <c r="DH66" i="4" s="1"/>
  <c r="DJ69" i="4"/>
  <c r="CA49" i="4"/>
  <c r="DG58" i="4"/>
  <c r="DH58" i="4" s="1"/>
  <c r="BZ67" i="4"/>
  <c r="BZ99" i="4"/>
  <c r="DI49" i="4"/>
  <c r="DJ49" i="4" s="1"/>
  <c r="BY52" i="4"/>
  <c r="CM101" i="4"/>
  <c r="CT99" i="4"/>
  <c r="CF98" i="4"/>
  <c r="CB69" i="4"/>
  <c r="CA68" i="4"/>
  <c r="DJ68" i="4" s="1"/>
  <c r="CR100" i="4"/>
  <c r="CC51" i="4"/>
  <c r="DL51" i="4" s="1"/>
  <c r="BZ62" i="4"/>
  <c r="DI62" i="4" s="1"/>
  <c r="BY64" i="4"/>
  <c r="CG101" i="4"/>
  <c r="DH67" i="4"/>
  <c r="CW100" i="4"/>
  <c r="CC101" i="4"/>
  <c r="BY39" i="4"/>
  <c r="CA65" i="4"/>
  <c r="BY41" i="4"/>
  <c r="DH41" i="4" s="1"/>
  <c r="BY57" i="4"/>
  <c r="CA100" i="4"/>
  <c r="CL101" i="4"/>
  <c r="CE101" i="4"/>
  <c r="BY66" i="4"/>
  <c r="BY59" i="4"/>
  <c r="CQ101" i="4"/>
  <c r="BY43" i="4"/>
  <c r="BY58" i="4"/>
  <c r="BZ55" i="4"/>
  <c r="BY99" i="4"/>
  <c r="CU100" i="4"/>
  <c r="BY61" i="4"/>
  <c r="DH61" i="4" s="1"/>
  <c r="BY46" i="4"/>
  <c r="CA42" i="4"/>
  <c r="CO99" i="4"/>
  <c r="BY63" i="4"/>
  <c r="CS100" i="4"/>
  <c r="DH55" i="4"/>
  <c r="CI101" i="4"/>
  <c r="DH57" i="4"/>
  <c r="CB40" i="4"/>
  <c r="CY100" i="4"/>
  <c r="CJ98" i="4"/>
  <c r="CB101" i="4"/>
  <c r="BZ45" i="4"/>
  <c r="DI45" i="4" s="1"/>
  <c r="CA56" i="4"/>
  <c r="DJ40" i="4"/>
  <c r="BY50" i="4"/>
  <c r="CA47" i="4"/>
  <c r="DI65" i="4"/>
  <c r="CD99" i="4"/>
  <c r="BX100" i="4"/>
  <c r="CH100" i="4"/>
  <c r="DG52" i="4"/>
  <c r="CX99" i="4"/>
  <c r="CV99" i="4"/>
  <c r="CP95" i="4"/>
  <c r="CK101" i="4"/>
  <c r="DG46" i="4"/>
  <c r="DG63" i="4"/>
  <c r="DJ47" i="4"/>
  <c r="BZ54" i="4"/>
  <c r="BY44" i="4"/>
  <c r="CB60" i="4"/>
  <c r="CN101" i="4"/>
  <c r="BZ48" i="4"/>
  <c r="DI48" i="4" s="1"/>
  <c r="BZ53" i="4"/>
  <c r="BW100" i="4"/>
  <c r="DG64" i="4"/>
  <c r="DH64" i="4" s="1"/>
  <c r="DG39" i="4"/>
  <c r="DH39" i="4" s="1"/>
  <c r="AI60" i="3"/>
  <c r="BP95" i="3" s="1"/>
  <c r="AI61" i="3"/>
  <c r="BP96" i="3" s="1"/>
  <c r="AI68" i="3"/>
  <c r="BP103" i="3" s="1"/>
  <c r="EF103" i="3" s="1"/>
  <c r="BQ77" i="3"/>
  <c r="AI67" i="3"/>
  <c r="BP102" i="3" s="1"/>
  <c r="AI69" i="3"/>
  <c r="BP104" i="3" s="1"/>
  <c r="AI50" i="3"/>
  <c r="BP85" i="3" s="1"/>
  <c r="EG102" i="3"/>
  <c r="EG101" i="3" s="1"/>
  <c r="EG100" i="3" s="1"/>
  <c r="EG99" i="3" s="1"/>
  <c r="EG98" i="3" s="1"/>
  <c r="AI52" i="3"/>
  <c r="BP87" i="3" s="1"/>
  <c r="BQ75" i="3"/>
  <c r="AI40" i="3"/>
  <c r="AI45" i="3"/>
  <c r="BP80" i="3" s="1"/>
  <c r="AI39" i="3"/>
  <c r="BP74" i="3" s="1"/>
  <c r="BQ90" i="3"/>
  <c r="BQ88" i="3"/>
  <c r="AI53" i="3"/>
  <c r="AI47" i="3"/>
  <c r="AI63" i="3"/>
  <c r="BP98" i="3" s="1"/>
  <c r="AI49" i="3"/>
  <c r="BP84" i="3" s="1"/>
  <c r="BQ79" i="3"/>
  <c r="AI44" i="3"/>
  <c r="BQ97" i="3"/>
  <c r="AI62" i="3"/>
  <c r="AH55" i="3"/>
  <c r="BO90" i="3" s="1"/>
  <c r="BQ91" i="3"/>
  <c r="AI56" i="3"/>
  <c r="AH42" i="3"/>
  <c r="BO77" i="3" s="1"/>
  <c r="AI59" i="3"/>
  <c r="BP94" i="3" s="1"/>
  <c r="CY57" i="3"/>
  <c r="AJ57" i="3" s="1"/>
  <c r="BQ92" i="3" s="1"/>
  <c r="AI65" i="3"/>
  <c r="BP100" i="3" s="1"/>
  <c r="AI64" i="3"/>
  <c r="BP99" i="3" s="1"/>
  <c r="CY51" i="3"/>
  <c r="AJ51" i="3" s="1"/>
  <c r="BQ86" i="3" s="1"/>
  <c r="AI54" i="3"/>
  <c r="BP89" i="3" s="1"/>
  <c r="AI41" i="3"/>
  <c r="BP76" i="3" s="1"/>
  <c r="CX58" i="3"/>
  <c r="CY58" i="3" s="1"/>
  <c r="AJ58" i="3" s="1"/>
  <c r="BQ93" i="3" s="1"/>
  <c r="CV43" i="3"/>
  <c r="CW43" i="3" s="1"/>
  <c r="CX43" i="3" s="1"/>
  <c r="AI46" i="3"/>
  <c r="BP81" i="3" s="1"/>
  <c r="AI48" i="3"/>
  <c r="BP83" i="3" s="1"/>
  <c r="AI66" i="3"/>
  <c r="BP101" i="3" s="1"/>
  <c r="F22" i="1"/>
  <c r="G25" i="1" s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F16" i="1"/>
  <c r="N25" i="2"/>
  <c r="N24" i="2"/>
  <c r="I25" i="2"/>
  <c r="I24" i="2"/>
  <c r="H25" i="2"/>
  <c r="J25" i="2"/>
  <c r="H24" i="2"/>
  <c r="DI53" i="4" l="1"/>
  <c r="DH50" i="4"/>
  <c r="DI67" i="4"/>
  <c r="DK40" i="4"/>
  <c r="CA54" i="4"/>
  <c r="CW99" i="4"/>
  <c r="CA55" i="4"/>
  <c r="DI64" i="4"/>
  <c r="BW99" i="4"/>
  <c r="DH63" i="4"/>
  <c r="CX98" i="4"/>
  <c r="CB56" i="4"/>
  <c r="CI100" i="4"/>
  <c r="CO98" i="4"/>
  <c r="CG100" i="4"/>
  <c r="CD51" i="4"/>
  <c r="CF97" i="4"/>
  <c r="BX99" i="4"/>
  <c r="CL100" i="4"/>
  <c r="CV98" i="4"/>
  <c r="BZ63" i="4"/>
  <c r="CA62" i="4"/>
  <c r="CC69" i="4"/>
  <c r="DK47" i="4"/>
  <c r="CD98" i="4"/>
  <c r="BZ61" i="4"/>
  <c r="DI61" i="4" s="1"/>
  <c r="CA99" i="4"/>
  <c r="DJ65" i="4"/>
  <c r="CU99" i="4"/>
  <c r="BZ66" i="4"/>
  <c r="DH52" i="4"/>
  <c r="DI52" i="4" s="1"/>
  <c r="CB47" i="4"/>
  <c r="CA45" i="4"/>
  <c r="DJ45" i="4" s="1"/>
  <c r="DI55" i="4"/>
  <c r="CR99" i="4"/>
  <c r="CT98" i="4"/>
  <c r="BZ98" i="4"/>
  <c r="CB49" i="4"/>
  <c r="DK49" i="4" s="1"/>
  <c r="CQ100" i="4"/>
  <c r="CB65" i="4"/>
  <c r="DI66" i="4"/>
  <c r="BZ52" i="4"/>
  <c r="CN100" i="4"/>
  <c r="CJ97" i="4"/>
  <c r="BZ59" i="4"/>
  <c r="CC60" i="4"/>
  <c r="BZ58" i="4"/>
  <c r="BZ57" i="4"/>
  <c r="DK42" i="4"/>
  <c r="CA53" i="4"/>
  <c r="DJ53" i="4" s="1"/>
  <c r="BZ44" i="4"/>
  <c r="CH99" i="4"/>
  <c r="DJ56" i="4"/>
  <c r="CS99" i="4"/>
  <c r="CB42" i="4"/>
  <c r="BZ43" i="4"/>
  <c r="CE100" i="4"/>
  <c r="BZ41" i="4"/>
  <c r="DI41" i="4" s="1"/>
  <c r="DK60" i="4"/>
  <c r="BZ64" i="4"/>
  <c r="CA48" i="4"/>
  <c r="DJ48" i="4" s="1"/>
  <c r="BZ46" i="4"/>
  <c r="DI54" i="4"/>
  <c r="DJ54" i="4" s="1"/>
  <c r="BZ39" i="4"/>
  <c r="DI39" i="4" s="1"/>
  <c r="DH46" i="4"/>
  <c r="CY99" i="4"/>
  <c r="CC100" i="4"/>
  <c r="DK69" i="4"/>
  <c r="CK100" i="4"/>
  <c r="CP94" i="4"/>
  <c r="BZ50" i="4"/>
  <c r="CB100" i="4"/>
  <c r="CC40" i="4"/>
  <c r="BY98" i="4"/>
  <c r="DH44" i="4"/>
  <c r="DI44" i="4" s="1"/>
  <c r="CB68" i="4"/>
  <c r="DK68" i="4" s="1"/>
  <c r="CM100" i="4"/>
  <c r="CA67" i="4"/>
  <c r="DH43" i="4"/>
  <c r="DI43" i="4" s="1"/>
  <c r="AH60" i="3"/>
  <c r="BO95" i="3" s="1"/>
  <c r="AH61" i="3"/>
  <c r="BO96" i="3" s="1"/>
  <c r="AH69" i="3"/>
  <c r="BO104" i="3" s="1"/>
  <c r="AH67" i="3"/>
  <c r="BO102" i="3" s="1"/>
  <c r="AH68" i="3"/>
  <c r="BO103" i="3" s="1"/>
  <c r="EE103" i="3" s="1"/>
  <c r="EF102" i="3"/>
  <c r="EF101" i="3" s="1"/>
  <c r="EF100" i="3" s="1"/>
  <c r="EF99" i="3" s="1"/>
  <c r="EF98" i="3" s="1"/>
  <c r="AH52" i="3"/>
  <c r="BO87" i="3" s="1"/>
  <c r="AH50" i="3"/>
  <c r="BO85" i="3" s="1"/>
  <c r="AH45" i="3"/>
  <c r="BO80" i="3" s="1"/>
  <c r="AH49" i="3"/>
  <c r="BO84" i="3" s="1"/>
  <c r="EG97" i="3"/>
  <c r="EG96" i="3" s="1"/>
  <c r="EG95" i="3" s="1"/>
  <c r="EG94" i="3" s="1"/>
  <c r="EG93" i="3" s="1"/>
  <c r="EG92" i="3" s="1"/>
  <c r="EG91" i="3" s="1"/>
  <c r="EG90" i="3" s="1"/>
  <c r="EG89" i="3" s="1"/>
  <c r="EG88" i="3" s="1"/>
  <c r="EG87" i="3" s="1"/>
  <c r="EG86" i="3" s="1"/>
  <c r="EG85" i="3" s="1"/>
  <c r="EG84" i="3" s="1"/>
  <c r="EG83" i="3" s="1"/>
  <c r="EG82" i="3" s="1"/>
  <c r="EG81" i="3" s="1"/>
  <c r="EG80" i="3" s="1"/>
  <c r="EG79" i="3" s="1"/>
  <c r="BP75" i="3"/>
  <c r="AH40" i="3"/>
  <c r="AH39" i="3"/>
  <c r="BO74" i="3" s="1"/>
  <c r="AH63" i="3"/>
  <c r="BO98" i="3" s="1"/>
  <c r="BP82" i="3"/>
  <c r="AH47" i="3"/>
  <c r="BP88" i="3"/>
  <c r="AH53" i="3"/>
  <c r="BP79" i="3"/>
  <c r="AH44" i="3"/>
  <c r="BP97" i="3"/>
  <c r="AH62" i="3"/>
  <c r="AG55" i="3"/>
  <c r="BN90" i="3" s="1"/>
  <c r="BP91" i="3"/>
  <c r="AH56" i="3"/>
  <c r="AH59" i="3"/>
  <c r="BO94" i="3" s="1"/>
  <c r="AG42" i="3"/>
  <c r="BN77" i="3" s="1"/>
  <c r="CY43" i="3"/>
  <c r="AJ43" i="3" s="1"/>
  <c r="BQ78" i="3" s="1"/>
  <c r="AH65" i="3"/>
  <c r="BO100" i="3" s="1"/>
  <c r="AH54" i="3"/>
  <c r="BO89" i="3" s="1"/>
  <c r="AI57" i="3"/>
  <c r="BP92" i="3" s="1"/>
  <c r="AH66" i="3"/>
  <c r="BO101" i="3" s="1"/>
  <c r="AH41" i="3"/>
  <c r="BO76" i="3" s="1"/>
  <c r="AH48" i="3"/>
  <c r="BO83" i="3" s="1"/>
  <c r="AH46" i="3"/>
  <c r="BO81" i="3" s="1"/>
  <c r="AI58" i="3"/>
  <c r="BP93" i="3" s="1"/>
  <c r="AG69" i="3"/>
  <c r="BN104" i="3" s="1"/>
  <c r="AH64" i="3"/>
  <c r="BO99" i="3" s="1"/>
  <c r="AI51" i="3"/>
  <c r="BP86" i="3" s="1"/>
  <c r="G25" i="2"/>
  <c r="G24" i="2"/>
  <c r="AC25" i="2"/>
  <c r="U25" i="2"/>
  <c r="M25" i="2"/>
  <c r="C4" i="2"/>
  <c r="AI34" i="2" s="1"/>
  <c r="DI50" i="4" l="1"/>
  <c r="DJ50" i="4" s="1"/>
  <c r="DL40" i="4"/>
  <c r="DK65" i="4"/>
  <c r="DL65" i="4" s="1"/>
  <c r="DL60" i="4"/>
  <c r="DJ55" i="4"/>
  <c r="DK55" i="4" s="1"/>
  <c r="DI63" i="4"/>
  <c r="BZ97" i="4"/>
  <c r="CI99" i="4"/>
  <c r="BY97" i="4"/>
  <c r="CY98" i="4"/>
  <c r="CS98" i="4"/>
  <c r="CA59" i="4"/>
  <c r="CD69" i="4"/>
  <c r="CE51" i="4"/>
  <c r="DM51" i="4"/>
  <c r="CC65" i="4"/>
  <c r="CC47" i="4"/>
  <c r="CC56" i="4"/>
  <c r="DI46" i="4"/>
  <c r="DJ46" i="4" s="1"/>
  <c r="CA57" i="4"/>
  <c r="CG99" i="4"/>
  <c r="DI57" i="4"/>
  <c r="CA39" i="4"/>
  <c r="CB62" i="4"/>
  <c r="CB99" i="4"/>
  <c r="DL69" i="4"/>
  <c r="CA43" i="4"/>
  <c r="CA58" i="4"/>
  <c r="CN99" i="4"/>
  <c r="CA66" i="4"/>
  <c r="BX98" i="4"/>
  <c r="CB55" i="4"/>
  <c r="CB53" i="4"/>
  <c r="DL47" i="4"/>
  <c r="DJ39" i="4"/>
  <c r="CB67" i="4"/>
  <c r="CA98" i="4"/>
  <c r="DJ67" i="4"/>
  <c r="CK99" i="4"/>
  <c r="CE99" i="4"/>
  <c r="CA44" i="4"/>
  <c r="DJ44" i="4" s="1"/>
  <c r="CC49" i="4"/>
  <c r="DL49" i="4" s="1"/>
  <c r="CD97" i="4"/>
  <c r="CO97" i="4"/>
  <c r="CB45" i="4"/>
  <c r="CP93" i="4"/>
  <c r="CA41" i="4"/>
  <c r="DJ66" i="4"/>
  <c r="CV97" i="4"/>
  <c r="CB54" i="4"/>
  <c r="DK54" i="4" s="1"/>
  <c r="CA46" i="4"/>
  <c r="CT97" i="4"/>
  <c r="CD40" i="4"/>
  <c r="DK56" i="4"/>
  <c r="CJ96" i="4"/>
  <c r="CL99" i="4"/>
  <c r="CM99" i="4"/>
  <c r="CB48" i="4"/>
  <c r="DK48" i="4" s="1"/>
  <c r="CH98" i="4"/>
  <c r="CQ99" i="4"/>
  <c r="CR98" i="4"/>
  <c r="CA61" i="4"/>
  <c r="DJ61" i="4" s="1"/>
  <c r="CX97" i="4"/>
  <c r="CC68" i="4"/>
  <c r="DL68" i="4" s="1"/>
  <c r="DI59" i="4"/>
  <c r="DJ59" i="4" s="1"/>
  <c r="CA64" i="4"/>
  <c r="DJ64" i="4" s="1"/>
  <c r="CA50" i="4"/>
  <c r="CC99" i="4"/>
  <c r="DI58" i="4"/>
  <c r="CC42" i="4"/>
  <c r="CD60" i="4"/>
  <c r="CA52" i="4"/>
  <c r="DJ52" i="4" s="1"/>
  <c r="CU98" i="4"/>
  <c r="CA63" i="4"/>
  <c r="CF96" i="4"/>
  <c r="BW98" i="4"/>
  <c r="CW98" i="4"/>
  <c r="DJ62" i="4"/>
  <c r="DK62" i="4" s="1"/>
  <c r="AG67" i="3"/>
  <c r="BN102" i="3" s="1"/>
  <c r="AG60" i="3"/>
  <c r="BN95" i="3" s="1"/>
  <c r="AG61" i="3"/>
  <c r="BN96" i="3" s="1"/>
  <c r="EE102" i="3"/>
  <c r="EE101" i="3" s="1"/>
  <c r="EE100" i="3" s="1"/>
  <c r="EE99" i="3" s="1"/>
  <c r="EE98" i="3" s="1"/>
  <c r="AG68" i="3"/>
  <c r="BN103" i="3" s="1"/>
  <c r="ED103" i="3" s="1"/>
  <c r="AG52" i="3"/>
  <c r="BN87" i="3" s="1"/>
  <c r="EF97" i="3"/>
  <c r="EF96" i="3" s="1"/>
  <c r="EF95" i="3" s="1"/>
  <c r="EF94" i="3" s="1"/>
  <c r="EF93" i="3" s="1"/>
  <c r="EF92" i="3" s="1"/>
  <c r="EF91" i="3" s="1"/>
  <c r="EF90" i="3" s="1"/>
  <c r="EF89" i="3" s="1"/>
  <c r="EF88" i="3" s="1"/>
  <c r="EF87" i="3" s="1"/>
  <c r="EF86" i="3" s="1"/>
  <c r="EF85" i="3" s="1"/>
  <c r="EF84" i="3" s="1"/>
  <c r="EF83" i="3" s="1"/>
  <c r="EF82" i="3" s="1"/>
  <c r="EF81" i="3" s="1"/>
  <c r="EF80" i="3" s="1"/>
  <c r="EF79" i="3" s="1"/>
  <c r="AG45" i="3"/>
  <c r="BN80" i="3" s="1"/>
  <c r="AG49" i="3"/>
  <c r="BN84" i="3" s="1"/>
  <c r="AG50" i="3"/>
  <c r="BN85" i="3" s="1"/>
  <c r="AG63" i="3"/>
  <c r="BN98" i="3" s="1"/>
  <c r="AG39" i="3"/>
  <c r="BN74" i="3" s="1"/>
  <c r="AF55" i="3"/>
  <c r="BM90" i="3" s="1"/>
  <c r="BO75" i="3"/>
  <c r="AG40" i="3"/>
  <c r="BO88" i="3"/>
  <c r="AG53" i="3"/>
  <c r="AG59" i="3"/>
  <c r="BN94" i="3" s="1"/>
  <c r="BO82" i="3"/>
  <c r="AG47" i="3"/>
  <c r="EG78" i="3"/>
  <c r="EG77" i="3" s="1"/>
  <c r="EG76" i="3" s="1"/>
  <c r="EG75" i="3" s="1"/>
  <c r="EG74" i="3" s="1"/>
  <c r="BO97" i="3"/>
  <c r="AG62" i="3"/>
  <c r="BO79" i="3"/>
  <c r="AG44" i="3"/>
  <c r="BO91" i="3"/>
  <c r="AG56" i="3"/>
  <c r="AF42" i="3"/>
  <c r="BM77" i="3" s="1"/>
  <c r="AH58" i="3"/>
  <c r="BO93" i="3" s="1"/>
  <c r="AG64" i="3"/>
  <c r="BN99" i="3" s="1"/>
  <c r="AG46" i="3"/>
  <c r="BN81" i="3" s="1"/>
  <c r="AG66" i="3"/>
  <c r="BN101" i="3" s="1"/>
  <c r="AG54" i="3"/>
  <c r="BN89" i="3" s="1"/>
  <c r="AG65" i="3"/>
  <c r="BN100" i="3" s="1"/>
  <c r="AI43" i="3"/>
  <c r="BP78" i="3" s="1"/>
  <c r="AH51" i="3"/>
  <c r="BO86" i="3" s="1"/>
  <c r="AF69" i="3"/>
  <c r="BM104" i="3" s="1"/>
  <c r="AG48" i="3"/>
  <c r="BN83" i="3" s="1"/>
  <c r="AG41" i="3"/>
  <c r="BN76" i="3" s="1"/>
  <c r="AH57" i="3"/>
  <c r="BO92" i="3" s="1"/>
  <c r="V25" i="2"/>
  <c r="AD25" i="2"/>
  <c r="M34" i="2"/>
  <c r="U34" i="2"/>
  <c r="AC34" i="2"/>
  <c r="L34" i="2"/>
  <c r="O25" i="2"/>
  <c r="W25" i="2"/>
  <c r="AE25" i="2"/>
  <c r="N34" i="2"/>
  <c r="V34" i="2"/>
  <c r="AD34" i="2"/>
  <c r="P25" i="2"/>
  <c r="X25" i="2"/>
  <c r="AF25" i="2"/>
  <c r="O34" i="2"/>
  <c r="W34" i="2"/>
  <c r="AE34" i="2"/>
  <c r="Q25" i="2"/>
  <c r="Y25" i="2"/>
  <c r="AG25" i="2"/>
  <c r="H34" i="2"/>
  <c r="P34" i="2"/>
  <c r="X34" i="2"/>
  <c r="AF34" i="2"/>
  <c r="T34" i="2"/>
  <c r="R25" i="2"/>
  <c r="Z25" i="2"/>
  <c r="AH25" i="2"/>
  <c r="F31" i="2"/>
  <c r="G34" i="2" s="1"/>
  <c r="I34" i="2"/>
  <c r="Q34" i="2"/>
  <c r="Y34" i="2"/>
  <c r="AG34" i="2"/>
  <c r="G21" i="2"/>
  <c r="H21" i="2" s="1"/>
  <c r="I21" i="2" s="1"/>
  <c r="J21" i="2" s="1"/>
  <c r="K21" i="2" s="1"/>
  <c r="L21" i="2" s="1"/>
  <c r="M21" i="2" s="1"/>
  <c r="N21" i="2" s="1"/>
  <c r="O21" i="2" s="1"/>
  <c r="P21" i="2" s="1"/>
  <c r="Q21" i="2" s="1"/>
  <c r="R21" i="2" s="1"/>
  <c r="S21" i="2" s="1"/>
  <c r="T21" i="2" s="1"/>
  <c r="U21" i="2" s="1"/>
  <c r="V21" i="2" s="1"/>
  <c r="W21" i="2" s="1"/>
  <c r="X21" i="2" s="1"/>
  <c r="Y21" i="2" s="1"/>
  <c r="Z21" i="2" s="1"/>
  <c r="AA21" i="2" s="1"/>
  <c r="AB21" i="2" s="1"/>
  <c r="AC21" i="2" s="1"/>
  <c r="AD21" i="2" s="1"/>
  <c r="AE21" i="2" s="1"/>
  <c r="AF21" i="2" s="1"/>
  <c r="AG21" i="2" s="1"/>
  <c r="AH21" i="2" s="1"/>
  <c r="AI21" i="2" s="1"/>
  <c r="AJ21" i="2" s="1"/>
  <c r="K25" i="2"/>
  <c r="S25" i="2"/>
  <c r="AA25" i="2"/>
  <c r="AI25" i="2"/>
  <c r="J34" i="2"/>
  <c r="R34" i="2"/>
  <c r="Z34" i="2"/>
  <c r="AH34" i="2"/>
  <c r="AB34" i="2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L25" i="2"/>
  <c r="T25" i="2"/>
  <c r="AB25" i="2"/>
  <c r="G30" i="2"/>
  <c r="H30" i="2" s="1"/>
  <c r="I30" i="2" s="1"/>
  <c r="J30" i="2" s="1"/>
  <c r="K30" i="2" s="1"/>
  <c r="L30" i="2" s="1"/>
  <c r="M30" i="2" s="1"/>
  <c r="N30" i="2" s="1"/>
  <c r="O30" i="2" s="1"/>
  <c r="P30" i="2" s="1"/>
  <c r="Q30" i="2" s="1"/>
  <c r="R30" i="2" s="1"/>
  <c r="S30" i="2" s="1"/>
  <c r="T30" i="2" s="1"/>
  <c r="U30" i="2" s="1"/>
  <c r="V30" i="2" s="1"/>
  <c r="W30" i="2" s="1"/>
  <c r="X30" i="2" s="1"/>
  <c r="Y30" i="2" s="1"/>
  <c r="Z30" i="2" s="1"/>
  <c r="AA30" i="2" s="1"/>
  <c r="AB30" i="2" s="1"/>
  <c r="AC30" i="2" s="1"/>
  <c r="AD30" i="2" s="1"/>
  <c r="AE30" i="2" s="1"/>
  <c r="AF30" i="2" s="1"/>
  <c r="AG30" i="2" s="1"/>
  <c r="AH30" i="2" s="1"/>
  <c r="AI30" i="2" s="1"/>
  <c r="AJ30" i="2" s="1"/>
  <c r="K34" i="2"/>
  <c r="S34" i="2"/>
  <c r="AA34" i="2"/>
  <c r="DM40" i="4" l="1"/>
  <c r="DM60" i="4"/>
  <c r="DJ63" i="4"/>
  <c r="DJ57" i="4"/>
  <c r="DM69" i="4"/>
  <c r="DN69" i="4" s="1"/>
  <c r="DJ58" i="4"/>
  <c r="DK67" i="4"/>
  <c r="DM65" i="4"/>
  <c r="CF51" i="4"/>
  <c r="CY97" i="4"/>
  <c r="CD42" i="4"/>
  <c r="CD56" i="4"/>
  <c r="CU97" i="4"/>
  <c r="CT96" i="4"/>
  <c r="CB66" i="4"/>
  <c r="DK66" i="4" s="1"/>
  <c r="CD68" i="4"/>
  <c r="CB46" i="4"/>
  <c r="DK46" i="4" s="1"/>
  <c r="CI98" i="4"/>
  <c r="CX96" i="4"/>
  <c r="CH97" i="4"/>
  <c r="CJ95" i="4"/>
  <c r="CP92" i="4"/>
  <c r="DL42" i="4"/>
  <c r="CD65" i="4"/>
  <c r="CB64" i="4"/>
  <c r="CE40" i="4"/>
  <c r="CC45" i="4"/>
  <c r="CK98" i="4"/>
  <c r="CB43" i="4"/>
  <c r="DL62" i="4"/>
  <c r="CM98" i="4"/>
  <c r="CB39" i="4"/>
  <c r="DK39" i="4" s="1"/>
  <c r="DM68" i="4"/>
  <c r="CW97" i="4"/>
  <c r="CB44" i="4"/>
  <c r="DK44" i="4" s="1"/>
  <c r="CE69" i="4"/>
  <c r="CL98" i="4"/>
  <c r="CC53" i="4"/>
  <c r="BW97" i="4"/>
  <c r="CO96" i="4"/>
  <c r="CN98" i="4"/>
  <c r="CF95" i="4"/>
  <c r="CB50" i="4"/>
  <c r="DK50" i="4" s="1"/>
  <c r="CC54" i="4"/>
  <c r="CD96" i="4"/>
  <c r="CE98" i="4"/>
  <c r="CC67" i="4"/>
  <c r="CC55" i="4"/>
  <c r="CB58" i="4"/>
  <c r="CC62" i="4"/>
  <c r="CB57" i="4"/>
  <c r="CS97" i="4"/>
  <c r="BZ96" i="4"/>
  <c r="DK45" i="4"/>
  <c r="CB63" i="4"/>
  <c r="CV96" i="4"/>
  <c r="CD49" i="4"/>
  <c r="BX97" i="4"/>
  <c r="CR97" i="4"/>
  <c r="DK59" i="4"/>
  <c r="BY96" i="4"/>
  <c r="CQ98" i="4"/>
  <c r="CB41" i="4"/>
  <c r="CA97" i="4"/>
  <c r="CB98" i="4"/>
  <c r="CD47" i="4"/>
  <c r="DK53" i="4"/>
  <c r="DL53" i="4" s="1"/>
  <c r="CC98" i="4"/>
  <c r="CG98" i="4"/>
  <c r="CB59" i="4"/>
  <c r="CB52" i="4"/>
  <c r="CE60" i="4"/>
  <c r="CB61" i="4"/>
  <c r="DK61" i="4" s="1"/>
  <c r="CC48" i="4"/>
  <c r="DL56" i="4"/>
  <c r="DJ43" i="4"/>
  <c r="DK43" i="4" s="1"/>
  <c r="DN51" i="4"/>
  <c r="DJ41" i="4"/>
  <c r="DK41" i="4" s="1"/>
  <c r="ED102" i="3"/>
  <c r="ED101" i="3" s="1"/>
  <c r="ED100" i="3" s="1"/>
  <c r="ED99" i="3" s="1"/>
  <c r="ED98" i="3" s="1"/>
  <c r="AF67" i="3"/>
  <c r="BM102" i="3" s="1"/>
  <c r="AF60" i="3"/>
  <c r="BM95" i="3" s="1"/>
  <c r="AF61" i="3"/>
  <c r="BM96" i="3" s="1"/>
  <c r="AF68" i="3"/>
  <c r="BM103" i="3" s="1"/>
  <c r="EC103" i="3" s="1"/>
  <c r="AF52" i="3"/>
  <c r="BM87" i="3" s="1"/>
  <c r="AF50" i="3"/>
  <c r="BM85" i="3" s="1"/>
  <c r="EF78" i="3"/>
  <c r="EF77" i="3" s="1"/>
  <c r="EF76" i="3" s="1"/>
  <c r="EF75" i="3" s="1"/>
  <c r="AI74" i="3" s="1"/>
  <c r="AI75" i="3" s="1"/>
  <c r="AI76" i="3" s="1"/>
  <c r="AI77" i="3" s="1"/>
  <c r="AI78" i="3" s="1"/>
  <c r="AI79" i="3" s="1"/>
  <c r="AI80" i="3" s="1"/>
  <c r="AI81" i="3" s="1"/>
  <c r="AI82" i="3" s="1"/>
  <c r="AI83" i="3" s="1"/>
  <c r="AI84" i="3" s="1"/>
  <c r="AI85" i="3" s="1"/>
  <c r="AI86" i="3" s="1"/>
  <c r="AI87" i="3" s="1"/>
  <c r="AI88" i="3" s="1"/>
  <c r="AI89" i="3" s="1"/>
  <c r="AI90" i="3" s="1"/>
  <c r="AI91" i="3" s="1"/>
  <c r="AI92" i="3" s="1"/>
  <c r="AI93" i="3" s="1"/>
  <c r="AI94" i="3" s="1"/>
  <c r="AI95" i="3" s="1"/>
  <c r="AI96" i="3" s="1"/>
  <c r="AI97" i="3" s="1"/>
  <c r="AI98" i="3" s="1"/>
  <c r="AI99" i="3" s="1"/>
  <c r="AI100" i="3" s="1"/>
  <c r="AI101" i="3" s="1"/>
  <c r="AI102" i="3" s="1"/>
  <c r="AI103" i="3" s="1"/>
  <c r="AI104" i="3" s="1"/>
  <c r="AF45" i="3"/>
  <c r="BM80" i="3" s="1"/>
  <c r="AF59" i="3"/>
  <c r="BM94" i="3" s="1"/>
  <c r="AF63" i="3"/>
  <c r="BM98" i="3" s="1"/>
  <c r="EE97" i="3"/>
  <c r="EE96" i="3" s="1"/>
  <c r="EE95" i="3" s="1"/>
  <c r="EE94" i="3" s="1"/>
  <c r="EE93" i="3" s="1"/>
  <c r="EE92" i="3" s="1"/>
  <c r="EE91" i="3" s="1"/>
  <c r="EE90" i="3" s="1"/>
  <c r="EE89" i="3" s="1"/>
  <c r="EE88" i="3" s="1"/>
  <c r="EE87" i="3" s="1"/>
  <c r="EE86" i="3" s="1"/>
  <c r="EE85" i="3" s="1"/>
  <c r="EE84" i="3" s="1"/>
  <c r="EE83" i="3" s="1"/>
  <c r="EE82" i="3" s="1"/>
  <c r="EE81" i="3" s="1"/>
  <c r="EE80" i="3" s="1"/>
  <c r="EE79" i="3" s="1"/>
  <c r="AF39" i="3"/>
  <c r="BM74" i="3" s="1"/>
  <c r="AF49" i="3"/>
  <c r="BM84" i="3" s="1"/>
  <c r="AE55" i="3"/>
  <c r="BL90" i="3" s="1"/>
  <c r="BN75" i="3"/>
  <c r="AF40" i="3"/>
  <c r="BN82" i="3"/>
  <c r="AF47" i="3"/>
  <c r="BN88" i="3"/>
  <c r="AF53" i="3"/>
  <c r="BN79" i="3"/>
  <c r="AF44" i="3"/>
  <c r="AJ74" i="3"/>
  <c r="AJ75" i="3" s="1"/>
  <c r="AJ76" i="3" s="1"/>
  <c r="AJ77" i="3" s="1"/>
  <c r="AJ78" i="3" s="1"/>
  <c r="AJ79" i="3" s="1"/>
  <c r="AJ80" i="3" s="1"/>
  <c r="AJ81" i="3" s="1"/>
  <c r="AJ82" i="3" s="1"/>
  <c r="AJ83" i="3" s="1"/>
  <c r="AJ84" i="3" s="1"/>
  <c r="AJ85" i="3" s="1"/>
  <c r="AJ86" i="3" s="1"/>
  <c r="AJ87" i="3" s="1"/>
  <c r="AJ88" i="3" s="1"/>
  <c r="AJ89" i="3" s="1"/>
  <c r="AJ90" i="3" s="1"/>
  <c r="AJ91" i="3" s="1"/>
  <c r="AJ92" i="3" s="1"/>
  <c r="AJ93" i="3" s="1"/>
  <c r="AJ94" i="3" s="1"/>
  <c r="AJ95" i="3" s="1"/>
  <c r="AJ96" i="3" s="1"/>
  <c r="AJ97" i="3" s="1"/>
  <c r="AJ98" i="3" s="1"/>
  <c r="AJ99" i="3" s="1"/>
  <c r="AJ100" i="3" s="1"/>
  <c r="AJ101" i="3" s="1"/>
  <c r="AJ102" i="3" s="1"/>
  <c r="AJ103" i="3" s="1"/>
  <c r="AJ104" i="3" s="1"/>
  <c r="BN97" i="3"/>
  <c r="AF62" i="3"/>
  <c r="BN91" i="3"/>
  <c r="AF56" i="3"/>
  <c r="AE42" i="3"/>
  <c r="BL77" i="3" s="1"/>
  <c r="AG57" i="3"/>
  <c r="BN92" i="3" s="1"/>
  <c r="AH43" i="3"/>
  <c r="BO78" i="3" s="1"/>
  <c r="AF64" i="3"/>
  <c r="BM99" i="3" s="1"/>
  <c r="AE69" i="3"/>
  <c r="BL104" i="3" s="1"/>
  <c r="AF66" i="3"/>
  <c r="BM101" i="3" s="1"/>
  <c r="AG51" i="3"/>
  <c r="BN86" i="3" s="1"/>
  <c r="AF65" i="3"/>
  <c r="BM100" i="3" s="1"/>
  <c r="AF41" i="3"/>
  <c r="BM76" i="3" s="1"/>
  <c r="AF48" i="3"/>
  <c r="BM83" i="3" s="1"/>
  <c r="AF54" i="3"/>
  <c r="BM89" i="3" s="1"/>
  <c r="AG58" i="3"/>
  <c r="BN93" i="3" s="1"/>
  <c r="AF46" i="3"/>
  <c r="BM81" i="3" s="1"/>
  <c r="AF33" i="2"/>
  <c r="X33" i="2"/>
  <c r="P33" i="2"/>
  <c r="H33" i="2"/>
  <c r="AG24" i="2"/>
  <c r="Y24" i="2"/>
  <c r="Q24" i="2"/>
  <c r="AC15" i="2"/>
  <c r="U15" i="2"/>
  <c r="M15" i="2"/>
  <c r="I33" i="2"/>
  <c r="AH24" i="2"/>
  <c r="V15" i="2"/>
  <c r="AE33" i="2"/>
  <c r="W33" i="2"/>
  <c r="O33" i="2"/>
  <c r="G33" i="2"/>
  <c r="AF24" i="2"/>
  <c r="X24" i="2"/>
  <c r="P24" i="2"/>
  <c r="AB15" i="2"/>
  <c r="T15" i="2"/>
  <c r="L15" i="2"/>
  <c r="Y33" i="2"/>
  <c r="Z24" i="2"/>
  <c r="AD15" i="2"/>
  <c r="AD33" i="2"/>
  <c r="V33" i="2"/>
  <c r="N33" i="2"/>
  <c r="AE24" i="2"/>
  <c r="W24" i="2"/>
  <c r="O24" i="2"/>
  <c r="AI15" i="2"/>
  <c r="AA15" i="2"/>
  <c r="S15" i="2"/>
  <c r="K15" i="2"/>
  <c r="AC33" i="2"/>
  <c r="U33" i="2"/>
  <c r="M33" i="2"/>
  <c r="AD24" i="2"/>
  <c r="V24" i="2"/>
  <c r="AH15" i="2"/>
  <c r="Z15" i="2"/>
  <c r="R15" i="2"/>
  <c r="J15" i="2"/>
  <c r="AG33" i="2"/>
  <c r="R24" i="2"/>
  <c r="N15" i="2"/>
  <c r="AB33" i="2"/>
  <c r="T33" i="2"/>
  <c r="L33" i="2"/>
  <c r="AC24" i="2"/>
  <c r="U24" i="2"/>
  <c r="M24" i="2"/>
  <c r="AG15" i="2"/>
  <c r="Y15" i="2"/>
  <c r="Q15" i="2"/>
  <c r="I15" i="2"/>
  <c r="Q33" i="2"/>
  <c r="AI33" i="2"/>
  <c r="AA33" i="2"/>
  <c r="S33" i="2"/>
  <c r="K33" i="2"/>
  <c r="AB24" i="2"/>
  <c r="T24" i="2"/>
  <c r="L24" i="2"/>
  <c r="AF15" i="2"/>
  <c r="X15" i="2"/>
  <c r="P15" i="2"/>
  <c r="H15" i="2"/>
  <c r="AE15" i="2"/>
  <c r="O15" i="2"/>
  <c r="AH33" i="2"/>
  <c r="Z33" i="2"/>
  <c r="R33" i="2"/>
  <c r="J33" i="2"/>
  <c r="AI24" i="2"/>
  <c r="AA24" i="2"/>
  <c r="S24" i="2"/>
  <c r="K24" i="2"/>
  <c r="W15" i="2"/>
  <c r="J24" i="2"/>
  <c r="DN40" i="4" l="1"/>
  <c r="DL67" i="4"/>
  <c r="DO51" i="4"/>
  <c r="DL45" i="4"/>
  <c r="CG97" i="4"/>
  <c r="CC58" i="4"/>
  <c r="DL50" i="4"/>
  <c r="CF60" i="4"/>
  <c r="DN60" i="4"/>
  <c r="CL97" i="4"/>
  <c r="CC41" i="4"/>
  <c r="CS96" i="4"/>
  <c r="CD55" i="4"/>
  <c r="CD54" i="4"/>
  <c r="CW96" i="4"/>
  <c r="CC43" i="4"/>
  <c r="DL43" i="4" s="1"/>
  <c r="CC64" i="4"/>
  <c r="CJ94" i="4"/>
  <c r="CC46" i="4"/>
  <c r="CC52" i="4"/>
  <c r="CV95" i="4"/>
  <c r="CO95" i="4"/>
  <c r="CE42" i="4"/>
  <c r="CE47" i="4"/>
  <c r="CQ97" i="4"/>
  <c r="CC57" i="4"/>
  <c r="CD67" i="4"/>
  <c r="CC50" i="4"/>
  <c r="CF69" i="4"/>
  <c r="DO69" i="4" s="1"/>
  <c r="CK97" i="4"/>
  <c r="CE65" i="4"/>
  <c r="DN65" i="4" s="1"/>
  <c r="CH96" i="4"/>
  <c r="DL55" i="4"/>
  <c r="DM55" i="4" s="1"/>
  <c r="CT95" i="4"/>
  <c r="BZ95" i="4"/>
  <c r="CP91" i="4"/>
  <c r="CI97" i="4"/>
  <c r="DL41" i="4"/>
  <c r="CE49" i="4"/>
  <c r="CN97" i="4"/>
  <c r="DL46" i="4"/>
  <c r="DK58" i="4"/>
  <c r="DL58" i="4" s="1"/>
  <c r="DM56" i="4"/>
  <c r="CD48" i="4"/>
  <c r="CC59" i="4"/>
  <c r="DL54" i="4"/>
  <c r="DM54" i="4" s="1"/>
  <c r="CC63" i="4"/>
  <c r="BW96" i="4"/>
  <c r="CC39" i="4"/>
  <c r="DK57" i="4"/>
  <c r="CY96" i="4"/>
  <c r="DK64" i="4"/>
  <c r="CC61" i="4"/>
  <c r="BX96" i="4"/>
  <c r="CA96" i="4"/>
  <c r="CD95" i="4"/>
  <c r="CF40" i="4"/>
  <c r="CE56" i="4"/>
  <c r="CC97" i="4"/>
  <c r="DL66" i="4"/>
  <c r="CC66" i="4"/>
  <c r="CR96" i="4"/>
  <c r="CB97" i="4"/>
  <c r="BY95" i="4"/>
  <c r="DK52" i="4"/>
  <c r="DL52" i="4" s="1"/>
  <c r="CD62" i="4"/>
  <c r="CE97" i="4"/>
  <c r="CF94" i="4"/>
  <c r="DM47" i="4"/>
  <c r="DN47" i="4" s="1"/>
  <c r="CD45" i="4"/>
  <c r="DM42" i="4"/>
  <c r="DN42" i="4" s="1"/>
  <c r="CX95" i="4"/>
  <c r="CE68" i="4"/>
  <c r="DN68" i="4" s="1"/>
  <c r="CU96" i="4"/>
  <c r="DM49" i="4"/>
  <c r="CD53" i="4"/>
  <c r="CC44" i="4"/>
  <c r="DL44" i="4" s="1"/>
  <c r="CM97" i="4"/>
  <c r="DL48" i="4"/>
  <c r="DM48" i="4" s="1"/>
  <c r="CG51" i="4"/>
  <c r="DK63" i="4"/>
  <c r="AE67" i="3"/>
  <c r="BL102" i="3" s="1"/>
  <c r="EC102" i="3"/>
  <c r="EC101" i="3" s="1"/>
  <c r="EC100" i="3" s="1"/>
  <c r="EC99" i="3" s="1"/>
  <c r="EC98" i="3" s="1"/>
  <c r="AE52" i="3"/>
  <c r="BL87" i="3" s="1"/>
  <c r="AE60" i="3"/>
  <c r="BL95" i="3" s="1"/>
  <c r="AE61" i="3"/>
  <c r="BL96" i="3" s="1"/>
  <c r="AD55" i="3"/>
  <c r="BK90" i="3" s="1"/>
  <c r="AE50" i="3"/>
  <c r="BL85" i="3" s="1"/>
  <c r="AE45" i="3"/>
  <c r="BL80" i="3" s="1"/>
  <c r="AE68" i="3"/>
  <c r="BL103" i="3" s="1"/>
  <c r="EB103" i="3" s="1"/>
  <c r="EB102" i="3" s="1"/>
  <c r="AE59" i="3"/>
  <c r="BL94" i="3" s="1"/>
  <c r="AE63" i="3"/>
  <c r="BL98" i="3" s="1"/>
  <c r="AE39" i="3"/>
  <c r="BL74" i="3" s="1"/>
  <c r="EF74" i="3"/>
  <c r="AE49" i="3"/>
  <c r="BL84" i="3" s="1"/>
  <c r="ED97" i="3"/>
  <c r="ED96" i="3" s="1"/>
  <c r="ED95" i="3" s="1"/>
  <c r="ED94" i="3" s="1"/>
  <c r="ED93" i="3" s="1"/>
  <c r="ED92" i="3" s="1"/>
  <c r="ED91" i="3" s="1"/>
  <c r="ED90" i="3" s="1"/>
  <c r="ED89" i="3" s="1"/>
  <c r="ED88" i="3" s="1"/>
  <c r="ED87" i="3" s="1"/>
  <c r="ED86" i="3" s="1"/>
  <c r="ED85" i="3" s="1"/>
  <c r="ED84" i="3" s="1"/>
  <c r="ED83" i="3" s="1"/>
  <c r="ED82" i="3" s="1"/>
  <c r="ED81" i="3" s="1"/>
  <c r="ED80" i="3" s="1"/>
  <c r="ED79" i="3" s="1"/>
  <c r="BM75" i="3"/>
  <c r="AE40" i="3"/>
  <c r="BM88" i="3"/>
  <c r="AE53" i="3"/>
  <c r="BM82" i="3"/>
  <c r="AE47" i="3"/>
  <c r="BM97" i="3"/>
  <c r="AE62" i="3"/>
  <c r="BM79" i="3"/>
  <c r="AE44" i="3"/>
  <c r="EE78" i="3"/>
  <c r="EE77" i="3" s="1"/>
  <c r="EE76" i="3" s="1"/>
  <c r="EE75" i="3" s="1"/>
  <c r="AH74" i="3" s="1"/>
  <c r="AH75" i="3" s="1"/>
  <c r="AH76" i="3" s="1"/>
  <c r="AH77" i="3" s="1"/>
  <c r="AH78" i="3" s="1"/>
  <c r="AH79" i="3" s="1"/>
  <c r="AH80" i="3" s="1"/>
  <c r="AH81" i="3" s="1"/>
  <c r="AH82" i="3" s="1"/>
  <c r="AH83" i="3" s="1"/>
  <c r="AH84" i="3" s="1"/>
  <c r="AH85" i="3" s="1"/>
  <c r="AH86" i="3" s="1"/>
  <c r="AH87" i="3" s="1"/>
  <c r="AH88" i="3" s="1"/>
  <c r="AH89" i="3" s="1"/>
  <c r="AH90" i="3" s="1"/>
  <c r="AH91" i="3" s="1"/>
  <c r="AH92" i="3" s="1"/>
  <c r="AH93" i="3" s="1"/>
  <c r="AH94" i="3" s="1"/>
  <c r="AH95" i="3" s="1"/>
  <c r="AH96" i="3" s="1"/>
  <c r="AH97" i="3" s="1"/>
  <c r="AH98" i="3" s="1"/>
  <c r="AH99" i="3" s="1"/>
  <c r="AH100" i="3" s="1"/>
  <c r="AH101" i="3" s="1"/>
  <c r="AH102" i="3" s="1"/>
  <c r="AH103" i="3" s="1"/>
  <c r="AH104" i="3" s="1"/>
  <c r="BM91" i="3"/>
  <c r="AE56" i="3"/>
  <c r="AD42" i="3"/>
  <c r="BK77" i="3" s="1"/>
  <c r="AE46" i="3"/>
  <c r="BL81" i="3" s="1"/>
  <c r="AE66" i="3"/>
  <c r="BL101" i="3" s="1"/>
  <c r="AF58" i="3"/>
  <c r="BM93" i="3" s="1"/>
  <c r="AE48" i="3"/>
  <c r="BL83" i="3" s="1"/>
  <c r="AF51" i="3"/>
  <c r="BM86" i="3" s="1"/>
  <c r="AD69" i="3"/>
  <c r="BK104" i="3" s="1"/>
  <c r="AG43" i="3"/>
  <c r="BN78" i="3" s="1"/>
  <c r="AE54" i="3"/>
  <c r="BL89" i="3" s="1"/>
  <c r="AE41" i="3"/>
  <c r="BL76" i="3" s="1"/>
  <c r="AE65" i="3"/>
  <c r="BL100" i="3" s="1"/>
  <c r="AE64" i="3"/>
  <c r="BL99" i="3" s="1"/>
  <c r="AF57" i="3"/>
  <c r="BM92" i="3" s="1"/>
  <c r="H16" i="1"/>
  <c r="AI16" i="1"/>
  <c r="O16" i="1"/>
  <c r="W16" i="1"/>
  <c r="AE16" i="1"/>
  <c r="F18" i="1"/>
  <c r="DP51" i="4" l="1"/>
  <c r="DM45" i="4"/>
  <c r="DO60" i="4"/>
  <c r="DN49" i="4"/>
  <c r="DO49" i="4" s="1"/>
  <c r="DL64" i="4"/>
  <c r="DL63" i="4"/>
  <c r="DM63" i="4" s="1"/>
  <c r="DL57" i="4"/>
  <c r="CB96" i="4"/>
  <c r="DN54" i="4"/>
  <c r="CI96" i="4"/>
  <c r="CQ96" i="4"/>
  <c r="CD58" i="4"/>
  <c r="CD59" i="4"/>
  <c r="CE62" i="4"/>
  <c r="CR95" i="4"/>
  <c r="CF56" i="4"/>
  <c r="BX95" i="4"/>
  <c r="CD39" i="4"/>
  <c r="DM62" i="4"/>
  <c r="CP90" i="4"/>
  <c r="CD50" i="4"/>
  <c r="DM50" i="4" s="1"/>
  <c r="CF47" i="4"/>
  <c r="CD52" i="4"/>
  <c r="DM52" i="4" s="1"/>
  <c r="CD64" i="4"/>
  <c r="CE55" i="4"/>
  <c r="CL96" i="4"/>
  <c r="DM58" i="4"/>
  <c r="CC96" i="4"/>
  <c r="CY95" i="4"/>
  <c r="CX94" i="4"/>
  <c r="CJ93" i="4"/>
  <c r="CE45" i="4"/>
  <c r="CN96" i="4"/>
  <c r="CU95" i="4"/>
  <c r="CG40" i="4"/>
  <c r="CD61" i="4"/>
  <c r="BW95" i="4"/>
  <c r="BZ94" i="4"/>
  <c r="CE67" i="4"/>
  <c r="CF42" i="4"/>
  <c r="CD43" i="4"/>
  <c r="DM43" i="4" s="1"/>
  <c r="CS95" i="4"/>
  <c r="DN55" i="4"/>
  <c r="CV94" i="4"/>
  <c r="CH51" i="4"/>
  <c r="DO47" i="4"/>
  <c r="BY94" i="4"/>
  <c r="CD66" i="4"/>
  <c r="DM66" i="4" s="1"/>
  <c r="DN56" i="4"/>
  <c r="CF49" i="4"/>
  <c r="CK96" i="4"/>
  <c r="DL39" i="4"/>
  <c r="DM39" i="4" s="1"/>
  <c r="CG60" i="4"/>
  <c r="DL61" i="4"/>
  <c r="DO68" i="4"/>
  <c r="CD41" i="4"/>
  <c r="DM41" i="4" s="1"/>
  <c r="CE53" i="4"/>
  <c r="CE96" i="4"/>
  <c r="CA95" i="4"/>
  <c r="DM53" i="4"/>
  <c r="DN53" i="4" s="1"/>
  <c r="CG69" i="4"/>
  <c r="DP69" i="4" s="1"/>
  <c r="CE54" i="4"/>
  <c r="CH95" i="4"/>
  <c r="CE48" i="4"/>
  <c r="DN48" i="4" s="1"/>
  <c r="CF65" i="4"/>
  <c r="CG96" i="4"/>
  <c r="CM96" i="4"/>
  <c r="CD44" i="4"/>
  <c r="DM44" i="4" s="1"/>
  <c r="CF68" i="4"/>
  <c r="CF93" i="4"/>
  <c r="CD94" i="4"/>
  <c r="DM64" i="4"/>
  <c r="CD63" i="4"/>
  <c r="DM67" i="4"/>
  <c r="CT94" i="4"/>
  <c r="CD57" i="4"/>
  <c r="CO94" i="4"/>
  <c r="CD46" i="4"/>
  <c r="DM46" i="4" s="1"/>
  <c r="CW95" i="4"/>
  <c r="DL59" i="4"/>
  <c r="DM59" i="4" s="1"/>
  <c r="DO40" i="4"/>
  <c r="AD52" i="3"/>
  <c r="BK87" i="3" s="1"/>
  <c r="AD67" i="3"/>
  <c r="BK102" i="3" s="1"/>
  <c r="AD60" i="3"/>
  <c r="BK95" i="3" s="1"/>
  <c r="AD61" i="3"/>
  <c r="AD50" i="3"/>
  <c r="BK85" i="3" s="1"/>
  <c r="AD68" i="3"/>
  <c r="BK103" i="3" s="1"/>
  <c r="EA103" i="3" s="1"/>
  <c r="AC55" i="3"/>
  <c r="BJ90" i="3" s="1"/>
  <c r="AD45" i="3"/>
  <c r="BK80" i="3" s="1"/>
  <c r="AD59" i="3"/>
  <c r="BK94" i="3" s="1"/>
  <c r="AD39" i="3"/>
  <c r="BK74" i="3" s="1"/>
  <c r="AD63" i="3"/>
  <c r="BK98" i="3" s="1"/>
  <c r="AD49" i="3"/>
  <c r="BK84" i="3" s="1"/>
  <c r="EC97" i="3"/>
  <c r="EC96" i="3" s="1"/>
  <c r="EC95" i="3" s="1"/>
  <c r="EC94" i="3" s="1"/>
  <c r="EC93" i="3" s="1"/>
  <c r="EC92" i="3" s="1"/>
  <c r="EC91" i="3" s="1"/>
  <c r="EC90" i="3" s="1"/>
  <c r="EC89" i="3" s="1"/>
  <c r="EC88" i="3" s="1"/>
  <c r="EC87" i="3" s="1"/>
  <c r="EC86" i="3" s="1"/>
  <c r="EC85" i="3" s="1"/>
  <c r="EC84" i="3" s="1"/>
  <c r="EC83" i="3" s="1"/>
  <c r="EC82" i="3" s="1"/>
  <c r="EC81" i="3" s="1"/>
  <c r="EC80" i="3" s="1"/>
  <c r="EC79" i="3" s="1"/>
  <c r="BL75" i="3"/>
  <c r="AD40" i="3"/>
  <c r="BL82" i="3"/>
  <c r="AD47" i="3"/>
  <c r="BL88" i="3"/>
  <c r="AD53" i="3"/>
  <c r="BL79" i="3"/>
  <c r="AD44" i="3"/>
  <c r="ED78" i="3"/>
  <c r="ED77" i="3" s="1"/>
  <c r="ED76" i="3" s="1"/>
  <c r="ED75" i="3" s="1"/>
  <c r="ED74" i="3" s="1"/>
  <c r="EE74" i="3"/>
  <c r="BL97" i="3"/>
  <c r="AD62" i="3"/>
  <c r="BL91" i="3"/>
  <c r="AD56" i="3"/>
  <c r="EB101" i="3"/>
  <c r="EB100" i="3" s="1"/>
  <c r="EB99" i="3" s="1"/>
  <c r="EB98" i="3" s="1"/>
  <c r="AC42" i="3"/>
  <c r="BJ77" i="3" s="1"/>
  <c r="AC60" i="3"/>
  <c r="BJ95" i="3" s="1"/>
  <c r="AD48" i="3"/>
  <c r="BK83" i="3" s="1"/>
  <c r="AF43" i="3"/>
  <c r="BM78" i="3" s="1"/>
  <c r="AE57" i="3"/>
  <c r="BL92" i="3" s="1"/>
  <c r="AC69" i="3"/>
  <c r="BJ104" i="3" s="1"/>
  <c r="AD46" i="3"/>
  <c r="BK81" i="3" s="1"/>
  <c r="AD66" i="3"/>
  <c r="BK101" i="3" s="1"/>
  <c r="AE51" i="3"/>
  <c r="BL86" i="3" s="1"/>
  <c r="AD64" i="3"/>
  <c r="BK99" i="3" s="1"/>
  <c r="AD65" i="3"/>
  <c r="BK100" i="3" s="1"/>
  <c r="AE58" i="3"/>
  <c r="BL93" i="3" s="1"/>
  <c r="AD41" i="3"/>
  <c r="BK76" i="3" s="1"/>
  <c r="AD54" i="3"/>
  <c r="BK89" i="3" s="1"/>
  <c r="AJ16" i="1"/>
  <c r="AB16" i="1"/>
  <c r="T16" i="1"/>
  <c r="L16" i="1"/>
  <c r="AD16" i="1"/>
  <c r="V16" i="1"/>
  <c r="N16" i="1"/>
  <c r="AC16" i="1"/>
  <c r="U16" i="1"/>
  <c r="M16" i="1"/>
  <c r="G16" i="1"/>
  <c r="AA16" i="1"/>
  <c r="S16" i="1"/>
  <c r="K16" i="1"/>
  <c r="AH16" i="1"/>
  <c r="Z16" i="1"/>
  <c r="R16" i="1"/>
  <c r="J16" i="1"/>
  <c r="AG16" i="1"/>
  <c r="Y16" i="1"/>
  <c r="Q16" i="1"/>
  <c r="I16" i="1"/>
  <c r="AF16" i="1"/>
  <c r="X16" i="1"/>
  <c r="P16" i="1"/>
  <c r="DN45" i="4" l="1"/>
  <c r="DP60" i="4"/>
  <c r="DQ60" i="4" s="1"/>
  <c r="DM61" i="4"/>
  <c r="DN62" i="4"/>
  <c r="CD93" i="4"/>
  <c r="CS94" i="4"/>
  <c r="BZ93" i="4"/>
  <c r="CJ92" i="4"/>
  <c r="CR94" i="4"/>
  <c r="CE58" i="4"/>
  <c r="CB95" i="4"/>
  <c r="CH40" i="4"/>
  <c r="CP89" i="4"/>
  <c r="CT93" i="4"/>
  <c r="DO56" i="4"/>
  <c r="CF54" i="4"/>
  <c r="DO54" i="4" s="1"/>
  <c r="CH60" i="4"/>
  <c r="CE66" i="4"/>
  <c r="DN66" i="4" s="1"/>
  <c r="CE43" i="4"/>
  <c r="DN43" i="4" s="1"/>
  <c r="BW94" i="4"/>
  <c r="CX93" i="4"/>
  <c r="DN58" i="4"/>
  <c r="CE39" i="4"/>
  <c r="DN39" i="4" s="1"/>
  <c r="CF62" i="4"/>
  <c r="CQ95" i="4"/>
  <c r="CG56" i="4"/>
  <c r="CE57" i="4"/>
  <c r="CE64" i="4"/>
  <c r="DN64" i="4" s="1"/>
  <c r="CF92" i="4"/>
  <c r="DM57" i="4"/>
  <c r="DN57" i="4" s="1"/>
  <c r="CI51" i="4"/>
  <c r="CE46" i="4"/>
  <c r="DN46" i="4" s="1"/>
  <c r="DN67" i="4"/>
  <c r="CG68" i="4"/>
  <c r="DP68" i="4" s="1"/>
  <c r="CG65" i="4"/>
  <c r="CF53" i="4"/>
  <c r="DO53" i="4" s="1"/>
  <c r="CV93" i="4"/>
  <c r="CN95" i="4"/>
  <c r="CL95" i="4"/>
  <c r="CG47" i="4"/>
  <c r="DQ51" i="4"/>
  <c r="CF67" i="4"/>
  <c r="DP40" i="4"/>
  <c r="DQ40" i="4" s="1"/>
  <c r="CH94" i="4"/>
  <c r="CW94" i="4"/>
  <c r="CG95" i="4"/>
  <c r="CE95" i="4"/>
  <c r="CE63" i="4"/>
  <c r="DN63" i="4" s="1"/>
  <c r="CH69" i="4"/>
  <c r="BY93" i="4"/>
  <c r="CG42" i="4"/>
  <c r="CE61" i="4"/>
  <c r="CY94" i="4"/>
  <c r="BX94" i="4"/>
  <c r="DO42" i="4"/>
  <c r="CI95" i="4"/>
  <c r="CM95" i="4"/>
  <c r="CA94" i="4"/>
  <c r="CG49" i="4"/>
  <c r="CC95" i="4"/>
  <c r="CU94" i="4"/>
  <c r="CE52" i="4"/>
  <c r="CO93" i="4"/>
  <c r="CE44" i="4"/>
  <c r="DN44" i="4" s="1"/>
  <c r="CF48" i="4"/>
  <c r="DO48" i="4" s="1"/>
  <c r="CE41" i="4"/>
  <c r="CK95" i="4"/>
  <c r="DO55" i="4"/>
  <c r="CF45" i="4"/>
  <c r="CF55" i="4"/>
  <c r="CE50" i="4"/>
  <c r="CE59" i="4"/>
  <c r="DN59" i="4" s="1"/>
  <c r="DO65" i="4"/>
  <c r="DP65" i="4" s="1"/>
  <c r="EA102" i="3"/>
  <c r="EA101" i="3" s="1"/>
  <c r="EA100" i="3" s="1"/>
  <c r="EA99" i="3" s="1"/>
  <c r="EA98" i="3" s="1"/>
  <c r="AC52" i="3"/>
  <c r="BJ87" i="3" s="1"/>
  <c r="AC67" i="3"/>
  <c r="BJ102" i="3" s="1"/>
  <c r="AC68" i="3"/>
  <c r="BJ103" i="3" s="1"/>
  <c r="DZ103" i="3" s="1"/>
  <c r="AB55" i="3"/>
  <c r="BI90" i="3" s="1"/>
  <c r="AC50" i="3"/>
  <c r="BJ85" i="3" s="1"/>
  <c r="BK96" i="3"/>
  <c r="AC61" i="3"/>
  <c r="AC45" i="3"/>
  <c r="BJ80" i="3" s="1"/>
  <c r="AC49" i="3"/>
  <c r="BJ84" i="3" s="1"/>
  <c r="AC59" i="3"/>
  <c r="BJ94" i="3" s="1"/>
  <c r="AC39" i="3"/>
  <c r="BJ74" i="3" s="1"/>
  <c r="AC63" i="3"/>
  <c r="BJ98" i="3" s="1"/>
  <c r="BK75" i="3"/>
  <c r="AC40" i="3"/>
  <c r="AG74" i="3"/>
  <c r="AG75" i="3" s="1"/>
  <c r="AG76" i="3" s="1"/>
  <c r="AG77" i="3" s="1"/>
  <c r="AG78" i="3" s="1"/>
  <c r="AG79" i="3" s="1"/>
  <c r="AG80" i="3" s="1"/>
  <c r="AG81" i="3" s="1"/>
  <c r="AG82" i="3" s="1"/>
  <c r="AG83" i="3" s="1"/>
  <c r="AG84" i="3" s="1"/>
  <c r="AG85" i="3" s="1"/>
  <c r="AG86" i="3" s="1"/>
  <c r="AG87" i="3" s="1"/>
  <c r="AG88" i="3" s="1"/>
  <c r="AG89" i="3" s="1"/>
  <c r="AG90" i="3" s="1"/>
  <c r="AG91" i="3" s="1"/>
  <c r="AG92" i="3" s="1"/>
  <c r="AG93" i="3" s="1"/>
  <c r="AG94" i="3" s="1"/>
  <c r="AG95" i="3" s="1"/>
  <c r="AG96" i="3" s="1"/>
  <c r="AG97" i="3" s="1"/>
  <c r="AG98" i="3" s="1"/>
  <c r="AG99" i="3" s="1"/>
  <c r="AG100" i="3" s="1"/>
  <c r="AG101" i="3" s="1"/>
  <c r="AG102" i="3" s="1"/>
  <c r="AG103" i="3" s="1"/>
  <c r="AG104" i="3" s="1"/>
  <c r="BK88" i="3"/>
  <c r="AC53" i="3"/>
  <c r="BK82" i="3"/>
  <c r="AC47" i="3"/>
  <c r="BK97" i="3"/>
  <c r="AC62" i="3"/>
  <c r="AB42" i="3"/>
  <c r="BI77" i="3" s="1"/>
  <c r="EB97" i="3"/>
  <c r="EB96" i="3" s="1"/>
  <c r="EB95" i="3" s="1"/>
  <c r="EB94" i="3" s="1"/>
  <c r="EB93" i="3" s="1"/>
  <c r="EB92" i="3" s="1"/>
  <c r="EB91" i="3" s="1"/>
  <c r="EB90" i="3" s="1"/>
  <c r="EB89" i="3" s="1"/>
  <c r="EB88" i="3" s="1"/>
  <c r="EB87" i="3" s="1"/>
  <c r="EB86" i="3" s="1"/>
  <c r="EB85" i="3" s="1"/>
  <c r="EB84" i="3" s="1"/>
  <c r="EB83" i="3" s="1"/>
  <c r="EB82" i="3" s="1"/>
  <c r="EB81" i="3" s="1"/>
  <c r="EB80" i="3" s="1"/>
  <c r="EB79" i="3" s="1"/>
  <c r="EC78" i="3"/>
  <c r="EC77" i="3" s="1"/>
  <c r="EC76" i="3" s="1"/>
  <c r="EC75" i="3" s="1"/>
  <c r="AF74" i="3" s="1"/>
  <c r="AF75" i="3" s="1"/>
  <c r="AF76" i="3" s="1"/>
  <c r="AF77" i="3" s="1"/>
  <c r="AF78" i="3" s="1"/>
  <c r="AF79" i="3" s="1"/>
  <c r="AF80" i="3" s="1"/>
  <c r="AF81" i="3" s="1"/>
  <c r="AF82" i="3" s="1"/>
  <c r="AF83" i="3" s="1"/>
  <c r="AF84" i="3" s="1"/>
  <c r="AF85" i="3" s="1"/>
  <c r="AF86" i="3" s="1"/>
  <c r="AF87" i="3" s="1"/>
  <c r="AF88" i="3" s="1"/>
  <c r="AF89" i="3" s="1"/>
  <c r="AF90" i="3" s="1"/>
  <c r="AF91" i="3" s="1"/>
  <c r="AF92" i="3" s="1"/>
  <c r="AF93" i="3" s="1"/>
  <c r="AF94" i="3" s="1"/>
  <c r="AF95" i="3" s="1"/>
  <c r="AF96" i="3" s="1"/>
  <c r="AF97" i="3" s="1"/>
  <c r="AF98" i="3" s="1"/>
  <c r="AF99" i="3" s="1"/>
  <c r="AF100" i="3" s="1"/>
  <c r="AF101" i="3" s="1"/>
  <c r="AF102" i="3" s="1"/>
  <c r="AF103" i="3" s="1"/>
  <c r="AF104" i="3" s="1"/>
  <c r="BK79" i="3"/>
  <c r="AC44" i="3"/>
  <c r="BK91" i="3"/>
  <c r="AC56" i="3"/>
  <c r="AD58" i="3"/>
  <c r="BK93" i="3" s="1"/>
  <c r="AC41" i="3"/>
  <c r="BJ76" i="3" s="1"/>
  <c r="AE43" i="3"/>
  <c r="BL78" i="3" s="1"/>
  <c r="AC54" i="3"/>
  <c r="BJ89" i="3" s="1"/>
  <c r="AC66" i="3"/>
  <c r="BJ101" i="3" s="1"/>
  <c r="AB69" i="3"/>
  <c r="BI104" i="3" s="1"/>
  <c r="AC65" i="3"/>
  <c r="BJ100" i="3" s="1"/>
  <c r="AC48" i="3"/>
  <c r="BJ83" i="3" s="1"/>
  <c r="AD57" i="3"/>
  <c r="BK92" i="3" s="1"/>
  <c r="AD51" i="3"/>
  <c r="BK86" i="3" s="1"/>
  <c r="AC64" i="3"/>
  <c r="BJ99" i="3" s="1"/>
  <c r="AC46" i="3"/>
  <c r="BJ81" i="3" s="1"/>
  <c r="AB60" i="3"/>
  <c r="BI95" i="3" s="1"/>
  <c r="C4" i="1"/>
  <c r="AG38" i="1" s="1"/>
  <c r="DO62" i="4" l="1"/>
  <c r="DN61" i="4"/>
  <c r="DO61" i="4" s="1"/>
  <c r="DP42" i="4"/>
  <c r="DQ42" i="4" s="1"/>
  <c r="DR51" i="4"/>
  <c r="CF44" i="4"/>
  <c r="DP55" i="4"/>
  <c r="CC94" i="4"/>
  <c r="DP54" i="4"/>
  <c r="CF61" i="4"/>
  <c r="CW93" i="4"/>
  <c r="CV92" i="4"/>
  <c r="DO67" i="4"/>
  <c r="DP67" i="4" s="1"/>
  <c r="CP88" i="4"/>
  <c r="CF58" i="4"/>
  <c r="CS93" i="4"/>
  <c r="CD92" i="4"/>
  <c r="CY93" i="4"/>
  <c r="CG67" i="4"/>
  <c r="CF39" i="4"/>
  <c r="CF50" i="4"/>
  <c r="CH49" i="4"/>
  <c r="CH42" i="4"/>
  <c r="CH47" i="4"/>
  <c r="CG53" i="4"/>
  <c r="DP53" i="4" s="1"/>
  <c r="CQ94" i="4"/>
  <c r="CR93" i="4"/>
  <c r="DP49" i="4"/>
  <c r="DQ49" i="4" s="1"/>
  <c r="CM94" i="4"/>
  <c r="CN94" i="4"/>
  <c r="CI69" i="4"/>
  <c r="CO92" i="4"/>
  <c r="CF63" i="4"/>
  <c r="CX92" i="4"/>
  <c r="CF52" i="4"/>
  <c r="CH93" i="4"/>
  <c r="DN50" i="4"/>
  <c r="DN52" i="4"/>
  <c r="BW93" i="4"/>
  <c r="CG54" i="4"/>
  <c r="CI40" i="4"/>
  <c r="DQ69" i="4"/>
  <c r="CH68" i="4"/>
  <c r="CH56" i="4"/>
  <c r="CB94" i="4"/>
  <c r="BZ92" i="4"/>
  <c r="CF91" i="4"/>
  <c r="CK94" i="4"/>
  <c r="CI94" i="4"/>
  <c r="CF64" i="4"/>
  <c r="DO64" i="4" s="1"/>
  <c r="CF41" i="4"/>
  <c r="CG55" i="4"/>
  <c r="CA93" i="4"/>
  <c r="BX93" i="4"/>
  <c r="BY92" i="4"/>
  <c r="CE94" i="4"/>
  <c r="CL94" i="4"/>
  <c r="CH65" i="4"/>
  <c r="DQ65" i="4" s="1"/>
  <c r="CJ51" i="4"/>
  <c r="CF57" i="4"/>
  <c r="CG62" i="4"/>
  <c r="CJ91" i="4"/>
  <c r="CG45" i="4"/>
  <c r="CG94" i="4"/>
  <c r="CT92" i="4"/>
  <c r="CF66" i="4"/>
  <c r="CF59" i="4"/>
  <c r="CF46" i="4"/>
  <c r="DO46" i="4" s="1"/>
  <c r="CI60" i="4"/>
  <c r="DR60" i="4" s="1"/>
  <c r="CG48" i="4"/>
  <c r="DP48" i="4" s="1"/>
  <c r="CU93" i="4"/>
  <c r="CF43" i="4"/>
  <c r="DO43" i="4" s="1"/>
  <c r="DP56" i="4"/>
  <c r="DQ56" i="4" s="1"/>
  <c r="DP47" i="4"/>
  <c r="DQ47" i="4" s="1"/>
  <c r="DN41" i="4"/>
  <c r="DO45" i="4"/>
  <c r="AB67" i="3"/>
  <c r="BI102" i="3" s="1"/>
  <c r="AB50" i="3"/>
  <c r="BI85" i="3" s="1"/>
  <c r="AB52" i="3"/>
  <c r="BI87" i="3" s="1"/>
  <c r="DZ102" i="3"/>
  <c r="DZ101" i="3" s="1"/>
  <c r="DZ100" i="3" s="1"/>
  <c r="DZ99" i="3" s="1"/>
  <c r="DZ98" i="3" s="1"/>
  <c r="EB78" i="3"/>
  <c r="EB77" i="3" s="1"/>
  <c r="EB76" i="3" s="1"/>
  <c r="EB75" i="3" s="1"/>
  <c r="AE74" i="3" s="1"/>
  <c r="AE75" i="3" s="1"/>
  <c r="AE76" i="3" s="1"/>
  <c r="AE77" i="3" s="1"/>
  <c r="AE78" i="3" s="1"/>
  <c r="AE79" i="3" s="1"/>
  <c r="AE80" i="3" s="1"/>
  <c r="AE81" i="3" s="1"/>
  <c r="AE82" i="3" s="1"/>
  <c r="AE83" i="3" s="1"/>
  <c r="AE84" i="3" s="1"/>
  <c r="AE85" i="3" s="1"/>
  <c r="AE86" i="3" s="1"/>
  <c r="AE87" i="3" s="1"/>
  <c r="AE88" i="3" s="1"/>
  <c r="AE89" i="3" s="1"/>
  <c r="AE90" i="3" s="1"/>
  <c r="AE91" i="3" s="1"/>
  <c r="AE92" i="3" s="1"/>
  <c r="AE93" i="3" s="1"/>
  <c r="AE94" i="3" s="1"/>
  <c r="AE95" i="3" s="1"/>
  <c r="AE96" i="3" s="1"/>
  <c r="AE97" i="3" s="1"/>
  <c r="AE98" i="3" s="1"/>
  <c r="AE99" i="3" s="1"/>
  <c r="AE100" i="3" s="1"/>
  <c r="AE101" i="3" s="1"/>
  <c r="AE102" i="3" s="1"/>
  <c r="AE103" i="3" s="1"/>
  <c r="AE104" i="3" s="1"/>
  <c r="AB68" i="3"/>
  <c r="BI103" i="3" s="1"/>
  <c r="DY103" i="3" s="1"/>
  <c r="AA55" i="3"/>
  <c r="BH90" i="3" s="1"/>
  <c r="BJ96" i="3"/>
  <c r="AB61" i="3"/>
  <c r="AB45" i="3"/>
  <c r="BI80" i="3" s="1"/>
  <c r="AB59" i="3"/>
  <c r="BI94" i="3" s="1"/>
  <c r="AB49" i="3"/>
  <c r="BI84" i="3" s="1"/>
  <c r="AB39" i="3"/>
  <c r="BI74" i="3" s="1"/>
  <c r="AB63" i="3"/>
  <c r="BI98" i="3" s="1"/>
  <c r="AA42" i="3"/>
  <c r="BH77" i="3" s="1"/>
  <c r="EA97" i="3"/>
  <c r="EA96" i="3" s="1"/>
  <c r="EA95" i="3" s="1"/>
  <c r="EA94" i="3" s="1"/>
  <c r="EA93" i="3" s="1"/>
  <c r="EA92" i="3" s="1"/>
  <c r="EA91" i="3" s="1"/>
  <c r="EA90" i="3" s="1"/>
  <c r="EA89" i="3" s="1"/>
  <c r="EA88" i="3" s="1"/>
  <c r="EA87" i="3" s="1"/>
  <c r="EA86" i="3" s="1"/>
  <c r="EA85" i="3" s="1"/>
  <c r="EA84" i="3" s="1"/>
  <c r="EA83" i="3" s="1"/>
  <c r="EA82" i="3" s="1"/>
  <c r="EA81" i="3" s="1"/>
  <c r="EA80" i="3" s="1"/>
  <c r="EA79" i="3" s="1"/>
  <c r="BJ75" i="3"/>
  <c r="AB40" i="3"/>
  <c r="BJ82" i="3"/>
  <c r="AB47" i="3"/>
  <c r="BJ88" i="3"/>
  <c r="AB53" i="3"/>
  <c r="BJ79" i="3"/>
  <c r="AB44" i="3"/>
  <c r="EC74" i="3"/>
  <c r="BJ97" i="3"/>
  <c r="AB62" i="3"/>
  <c r="BJ91" i="3"/>
  <c r="AB56" i="3"/>
  <c r="AB48" i="3"/>
  <c r="BI83" i="3" s="1"/>
  <c r="AA69" i="3"/>
  <c r="BH104" i="3" s="1"/>
  <c r="AB54" i="3"/>
  <c r="BI89" i="3" s="1"/>
  <c r="AB46" i="3"/>
  <c r="BI81" i="3" s="1"/>
  <c r="AB66" i="3"/>
  <c r="BI101" i="3" s="1"/>
  <c r="AC51" i="3"/>
  <c r="BJ86" i="3" s="1"/>
  <c r="AD43" i="3"/>
  <c r="BK78" i="3" s="1"/>
  <c r="AA60" i="3"/>
  <c r="BH95" i="3" s="1"/>
  <c r="AB64" i="3"/>
  <c r="BI99" i="3" s="1"/>
  <c r="AC57" i="3"/>
  <c r="BJ92" i="3" s="1"/>
  <c r="AB41" i="3"/>
  <c r="BI76" i="3" s="1"/>
  <c r="AB65" i="3"/>
  <c r="BI100" i="3" s="1"/>
  <c r="AC58" i="3"/>
  <c r="BJ93" i="3" s="1"/>
  <c r="AE25" i="1"/>
  <c r="W25" i="1"/>
  <c r="O25" i="1"/>
  <c r="K37" i="1"/>
  <c r="S37" i="1"/>
  <c r="AA37" i="1"/>
  <c r="AI37" i="1"/>
  <c r="O38" i="1"/>
  <c r="W38" i="1"/>
  <c r="AE38" i="1"/>
  <c r="AD25" i="1"/>
  <c r="P38" i="1"/>
  <c r="U25" i="1"/>
  <c r="M37" i="1"/>
  <c r="U37" i="1"/>
  <c r="AC37" i="1"/>
  <c r="I38" i="1"/>
  <c r="Q38" i="1"/>
  <c r="Y38" i="1"/>
  <c r="C14" i="1"/>
  <c r="C16" i="1"/>
  <c r="G27" i="1"/>
  <c r="H27" i="1" s="1"/>
  <c r="I27" i="1" s="1"/>
  <c r="J27" i="1" s="1"/>
  <c r="K27" i="1" s="1"/>
  <c r="L27" i="1" s="1"/>
  <c r="M27" i="1" s="1"/>
  <c r="N27" i="1" s="1"/>
  <c r="O27" i="1" s="1"/>
  <c r="P27" i="1" s="1"/>
  <c r="Q27" i="1" s="1"/>
  <c r="R27" i="1" s="1"/>
  <c r="S27" i="1" s="1"/>
  <c r="T27" i="1" s="1"/>
  <c r="U27" i="1" s="1"/>
  <c r="V27" i="1" s="1"/>
  <c r="W27" i="1" s="1"/>
  <c r="X27" i="1" s="1"/>
  <c r="Y27" i="1" s="1"/>
  <c r="Z27" i="1" s="1"/>
  <c r="AA27" i="1" s="1"/>
  <c r="AB27" i="1" s="1"/>
  <c r="AC27" i="1" s="1"/>
  <c r="AD27" i="1" s="1"/>
  <c r="AE27" i="1" s="1"/>
  <c r="AF27" i="1" s="1"/>
  <c r="AG27" i="1" s="1"/>
  <c r="AH27" i="1" s="1"/>
  <c r="AI27" i="1" s="1"/>
  <c r="AJ27" i="1" s="1"/>
  <c r="J4" i="1"/>
  <c r="F35" i="1"/>
  <c r="G38" i="1" s="1"/>
  <c r="L37" i="1"/>
  <c r="X38" i="1"/>
  <c r="T25" i="1"/>
  <c r="L25" i="1"/>
  <c r="N37" i="1"/>
  <c r="V37" i="1"/>
  <c r="AD37" i="1"/>
  <c r="J38" i="1"/>
  <c r="R38" i="1"/>
  <c r="Z38" i="1"/>
  <c r="AH38" i="1"/>
  <c r="H38" i="1"/>
  <c r="AC25" i="1"/>
  <c r="AI25" i="1"/>
  <c r="AA25" i="1"/>
  <c r="S25" i="1"/>
  <c r="K25" i="1"/>
  <c r="G34" i="1"/>
  <c r="H34" i="1" s="1"/>
  <c r="I34" i="1" s="1"/>
  <c r="J34" i="1" s="1"/>
  <c r="K34" i="1" s="1"/>
  <c r="L34" i="1" s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AJ34" i="1" s="1"/>
  <c r="O37" i="1"/>
  <c r="W37" i="1"/>
  <c r="AE37" i="1"/>
  <c r="K38" i="1"/>
  <c r="S38" i="1"/>
  <c r="AA38" i="1"/>
  <c r="AI38" i="1"/>
  <c r="AF38" i="1"/>
  <c r="G21" i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H25" i="1"/>
  <c r="R25" i="1"/>
  <c r="J25" i="1"/>
  <c r="H37" i="1"/>
  <c r="P37" i="1"/>
  <c r="X37" i="1"/>
  <c r="AF37" i="1"/>
  <c r="L38" i="1"/>
  <c r="T38" i="1"/>
  <c r="AB38" i="1"/>
  <c r="F41" i="1"/>
  <c r="N25" i="1"/>
  <c r="T37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B25" i="1"/>
  <c r="Z25" i="1"/>
  <c r="AG25" i="1"/>
  <c r="Y25" i="1"/>
  <c r="Q25" i="1"/>
  <c r="I25" i="1"/>
  <c r="I37" i="1"/>
  <c r="Q37" i="1"/>
  <c r="Y37" i="1"/>
  <c r="AG37" i="1"/>
  <c r="M38" i="1"/>
  <c r="U38" i="1"/>
  <c r="AC38" i="1"/>
  <c r="V25" i="1"/>
  <c r="AB37" i="1"/>
  <c r="M25" i="1"/>
  <c r="AF25" i="1"/>
  <c r="X25" i="1"/>
  <c r="P25" i="1"/>
  <c r="H25" i="1"/>
  <c r="J37" i="1"/>
  <c r="R37" i="1"/>
  <c r="Z37" i="1"/>
  <c r="AH37" i="1"/>
  <c r="N38" i="1"/>
  <c r="V38" i="1"/>
  <c r="AD38" i="1"/>
  <c r="DO50" i="4" l="1"/>
  <c r="CU92" i="4"/>
  <c r="CK51" i="4"/>
  <c r="CG41" i="4"/>
  <c r="CS92" i="4"/>
  <c r="DO41" i="4"/>
  <c r="CG66" i="4"/>
  <c r="CG64" i="4"/>
  <c r="DP64" i="4" s="1"/>
  <c r="DO52" i="4"/>
  <c r="CG58" i="4"/>
  <c r="CL93" i="4"/>
  <c r="CA92" i="4"/>
  <c r="CI93" i="4"/>
  <c r="DR69" i="4"/>
  <c r="DP50" i="4"/>
  <c r="CN93" i="4"/>
  <c r="CW92" i="4"/>
  <c r="CG44" i="4"/>
  <c r="CH45" i="4"/>
  <c r="CF90" i="4"/>
  <c r="CI68" i="4"/>
  <c r="CI42" i="4"/>
  <c r="CJ90" i="4"/>
  <c r="BX92" i="4"/>
  <c r="CJ69" i="4"/>
  <c r="BZ91" i="4"/>
  <c r="CX91" i="4"/>
  <c r="CH67" i="4"/>
  <c r="DQ67" i="4" s="1"/>
  <c r="CT91" i="4"/>
  <c r="CG43" i="4"/>
  <c r="CB93" i="4"/>
  <c r="CJ40" i="4"/>
  <c r="CH92" i="4"/>
  <c r="CG63" i="4"/>
  <c r="CH53" i="4"/>
  <c r="DQ53" i="4" s="1"/>
  <c r="CG50" i="4"/>
  <c r="CY92" i="4"/>
  <c r="CP87" i="4"/>
  <c r="CG59" i="4"/>
  <c r="DP45" i="4"/>
  <c r="CG52" i="4"/>
  <c r="CG39" i="4"/>
  <c r="CC93" i="4"/>
  <c r="DO59" i="4"/>
  <c r="DO39" i="4"/>
  <c r="CQ93" i="4"/>
  <c r="DQ68" i="4"/>
  <c r="CH62" i="4"/>
  <c r="CG46" i="4"/>
  <c r="DP46" i="4" s="1"/>
  <c r="CG93" i="4"/>
  <c r="CG57" i="4"/>
  <c r="CE93" i="4"/>
  <c r="CH55" i="4"/>
  <c r="CK93" i="4"/>
  <c r="CM93" i="4"/>
  <c r="CG61" i="4"/>
  <c r="DO44" i="4"/>
  <c r="DP44" i="4" s="1"/>
  <c r="DO66" i="4"/>
  <c r="BY91" i="4"/>
  <c r="DP43" i="4"/>
  <c r="BW92" i="4"/>
  <c r="CR92" i="4"/>
  <c r="CV91" i="4"/>
  <c r="CH48" i="4"/>
  <c r="CI65" i="4"/>
  <c r="CI49" i="4"/>
  <c r="DR49" i="4" s="1"/>
  <c r="CJ60" i="4"/>
  <c r="DR40" i="4"/>
  <c r="DS40" i="4" s="1"/>
  <c r="CI56" i="4"/>
  <c r="DR56" i="4" s="1"/>
  <c r="CH54" i="4"/>
  <c r="DP62" i="4"/>
  <c r="DQ62" i="4" s="1"/>
  <c r="CO91" i="4"/>
  <c r="CI47" i="4"/>
  <c r="DR47" i="4" s="1"/>
  <c r="DS51" i="4"/>
  <c r="CD91" i="4"/>
  <c r="DO58" i="4"/>
  <c r="DP58" i="4" s="1"/>
  <c r="DO57" i="4"/>
  <c r="DO63" i="4"/>
  <c r="DP63" i="4" s="1"/>
  <c r="AA52" i="3"/>
  <c r="BH87" i="3" s="1"/>
  <c r="AA67" i="3"/>
  <c r="BH102" i="3" s="1"/>
  <c r="AA50" i="3"/>
  <c r="BH85" i="3" s="1"/>
  <c r="DY102" i="3"/>
  <c r="Z55" i="3"/>
  <c r="BG90" i="3" s="1"/>
  <c r="EB74" i="3"/>
  <c r="AA68" i="3"/>
  <c r="BH103" i="3" s="1"/>
  <c r="DX103" i="3" s="1"/>
  <c r="AA45" i="3"/>
  <c r="BH80" i="3" s="1"/>
  <c r="BI96" i="3"/>
  <c r="AA61" i="3"/>
  <c r="AA59" i="3"/>
  <c r="BH94" i="3" s="1"/>
  <c r="Z42" i="3"/>
  <c r="BG77" i="3" s="1"/>
  <c r="AA49" i="3"/>
  <c r="BH84" i="3" s="1"/>
  <c r="AA39" i="3"/>
  <c r="BH74" i="3" s="1"/>
  <c r="AA63" i="3"/>
  <c r="BH98" i="3" s="1"/>
  <c r="DY101" i="3"/>
  <c r="DY100" i="3" s="1"/>
  <c r="DY99" i="3" s="1"/>
  <c r="DY98" i="3" s="1"/>
  <c r="BI75" i="3"/>
  <c r="AA40" i="3"/>
  <c r="BI88" i="3"/>
  <c r="AA53" i="3"/>
  <c r="DZ97" i="3"/>
  <c r="DZ96" i="3" s="1"/>
  <c r="DZ95" i="3" s="1"/>
  <c r="DZ94" i="3" s="1"/>
  <c r="DZ93" i="3" s="1"/>
  <c r="DZ92" i="3" s="1"/>
  <c r="DZ91" i="3" s="1"/>
  <c r="DZ90" i="3" s="1"/>
  <c r="DZ89" i="3" s="1"/>
  <c r="DZ88" i="3" s="1"/>
  <c r="DZ87" i="3" s="1"/>
  <c r="DZ86" i="3" s="1"/>
  <c r="DZ85" i="3" s="1"/>
  <c r="DZ84" i="3" s="1"/>
  <c r="DZ83" i="3" s="1"/>
  <c r="DZ82" i="3" s="1"/>
  <c r="DZ81" i="3" s="1"/>
  <c r="DZ80" i="3" s="1"/>
  <c r="DZ79" i="3" s="1"/>
  <c r="BI82" i="3"/>
  <c r="AA47" i="3"/>
  <c r="EA78" i="3"/>
  <c r="EA77" i="3" s="1"/>
  <c r="EA76" i="3" s="1"/>
  <c r="EA75" i="3" s="1"/>
  <c r="EA74" i="3" s="1"/>
  <c r="BI91" i="3"/>
  <c r="AA56" i="3"/>
  <c r="BI97" i="3"/>
  <c r="AA62" i="3"/>
  <c r="BI79" i="3"/>
  <c r="AA44" i="3"/>
  <c r="AA65" i="3"/>
  <c r="BH100" i="3" s="1"/>
  <c r="AC43" i="3"/>
  <c r="BJ78" i="3" s="1"/>
  <c r="AA46" i="3"/>
  <c r="BH81" i="3" s="1"/>
  <c r="Z69" i="3"/>
  <c r="BG104" i="3" s="1"/>
  <c r="AB58" i="3"/>
  <c r="BI93" i="3" s="1"/>
  <c r="AA48" i="3"/>
  <c r="BH83" i="3" s="1"/>
  <c r="AA64" i="3"/>
  <c r="BH99" i="3" s="1"/>
  <c r="AB51" i="3"/>
  <c r="BI86" i="3" s="1"/>
  <c r="AB57" i="3"/>
  <c r="BI92" i="3" s="1"/>
  <c r="AA41" i="3"/>
  <c r="BH76" i="3" s="1"/>
  <c r="Z60" i="3"/>
  <c r="BG95" i="3" s="1"/>
  <c r="AA66" i="3"/>
  <c r="BH101" i="3" s="1"/>
  <c r="AA54" i="3"/>
  <c r="BH89" i="3" s="1"/>
  <c r="G18" i="1"/>
  <c r="F28" i="1"/>
  <c r="G28" i="1" s="1"/>
  <c r="H28" i="1" s="1"/>
  <c r="I28" i="1" s="1"/>
  <c r="J28" i="1" s="1"/>
  <c r="K28" i="1" s="1"/>
  <c r="L28" i="1" s="1"/>
  <c r="M28" i="1" s="1"/>
  <c r="N28" i="1" s="1"/>
  <c r="O28" i="1" s="1"/>
  <c r="P28" i="1" s="1"/>
  <c r="Q28" i="1" s="1"/>
  <c r="R28" i="1" s="1"/>
  <c r="S28" i="1" s="1"/>
  <c r="T28" i="1" s="1"/>
  <c r="U28" i="1" s="1"/>
  <c r="V28" i="1" s="1"/>
  <c r="W28" i="1" s="1"/>
  <c r="X28" i="1" s="1"/>
  <c r="Y28" i="1" s="1"/>
  <c r="Z28" i="1" s="1"/>
  <c r="AA28" i="1" s="1"/>
  <c r="AB28" i="1" s="1"/>
  <c r="AC28" i="1" s="1"/>
  <c r="AD28" i="1" s="1"/>
  <c r="AE28" i="1" s="1"/>
  <c r="AF28" i="1" s="1"/>
  <c r="AG28" i="1" s="1"/>
  <c r="AH28" i="1" s="1"/>
  <c r="AI28" i="1" s="1"/>
  <c r="F26" i="1"/>
  <c r="G17" i="1"/>
  <c r="G37" i="1"/>
  <c r="DS69" i="4" l="1"/>
  <c r="DR68" i="4"/>
  <c r="CI48" i="4"/>
  <c r="CH57" i="4"/>
  <c r="CB92" i="4"/>
  <c r="CX90" i="4"/>
  <c r="BZ90" i="4"/>
  <c r="CI45" i="4"/>
  <c r="DP41" i="4"/>
  <c r="DQ43" i="4"/>
  <c r="CJ89" i="4"/>
  <c r="CL92" i="4"/>
  <c r="BY90" i="4"/>
  <c r="CQ92" i="4"/>
  <c r="CH43" i="4"/>
  <c r="CL51" i="4"/>
  <c r="CJ49" i="4"/>
  <c r="DS49" i="4" s="1"/>
  <c r="CH52" i="4"/>
  <c r="CD90" i="4"/>
  <c r="CI55" i="4"/>
  <c r="CH58" i="4"/>
  <c r="DQ58" i="4" s="1"/>
  <c r="DP59" i="4"/>
  <c r="DQ59" i="4" s="1"/>
  <c r="DQ45" i="4"/>
  <c r="DR45" i="4" s="1"/>
  <c r="CK69" i="4"/>
  <c r="DT69" i="4" s="1"/>
  <c r="CH44" i="4"/>
  <c r="DQ44" i="4" s="1"/>
  <c r="CI92" i="4"/>
  <c r="DT40" i="4"/>
  <c r="CM92" i="4"/>
  <c r="CH59" i="4"/>
  <c r="CK60" i="4"/>
  <c r="CH39" i="4"/>
  <c r="CN92" i="4"/>
  <c r="DP57" i="4"/>
  <c r="CV90" i="4"/>
  <c r="CG92" i="4"/>
  <c r="CH63" i="4"/>
  <c r="CI54" i="4"/>
  <c r="CR91" i="4"/>
  <c r="DP39" i="4"/>
  <c r="CY91" i="4"/>
  <c r="CT90" i="4"/>
  <c r="CJ42" i="4"/>
  <c r="CS91" i="4"/>
  <c r="DT51" i="4"/>
  <c r="DU51" i="4" s="1"/>
  <c r="CJ65" i="4"/>
  <c r="BW91" i="4"/>
  <c r="CH61" i="4"/>
  <c r="CE92" i="4"/>
  <c r="CI62" i="4"/>
  <c r="DP61" i="4"/>
  <c r="DQ54" i="4"/>
  <c r="DR54" i="4" s="1"/>
  <c r="CH50" i="4"/>
  <c r="CK40" i="4"/>
  <c r="DQ55" i="4"/>
  <c r="DR55" i="4" s="1"/>
  <c r="CJ68" i="4"/>
  <c r="DP52" i="4"/>
  <c r="DS60" i="4"/>
  <c r="CI53" i="4"/>
  <c r="CH41" i="4"/>
  <c r="CO90" i="4"/>
  <c r="CF89" i="4"/>
  <c r="CH66" i="4"/>
  <c r="CK92" i="4"/>
  <c r="CP86" i="4"/>
  <c r="DR62" i="4"/>
  <c r="DP66" i="4"/>
  <c r="CH46" i="4"/>
  <c r="DQ46" i="4" s="1"/>
  <c r="CH91" i="4"/>
  <c r="CU91" i="4"/>
  <c r="CJ56" i="4"/>
  <c r="DS56" i="4" s="1"/>
  <c r="CJ47" i="4"/>
  <c r="DS47" i="4" s="1"/>
  <c r="CC92" i="4"/>
  <c r="DR42" i="4"/>
  <c r="DS42" i="4" s="1"/>
  <c r="CI67" i="4"/>
  <c r="DR67" i="4" s="1"/>
  <c r="BX91" i="4"/>
  <c r="CW91" i="4"/>
  <c r="CA91" i="4"/>
  <c r="CH64" i="4"/>
  <c r="DQ64" i="4" s="1"/>
  <c r="DR65" i="4"/>
  <c r="DS65" i="4" s="1"/>
  <c r="DQ48" i="4"/>
  <c r="Z52" i="3"/>
  <c r="BG87" i="3" s="1"/>
  <c r="DX102" i="3"/>
  <c r="DX101" i="3" s="1"/>
  <c r="DX100" i="3" s="1"/>
  <c r="DX99" i="3" s="1"/>
  <c r="DX98" i="3" s="1"/>
  <c r="Z67" i="3"/>
  <c r="BG102" i="3" s="1"/>
  <c r="Z50" i="3"/>
  <c r="BG85" i="3" s="1"/>
  <c r="Y55" i="3"/>
  <c r="BF90" i="3" s="1"/>
  <c r="Z45" i="3"/>
  <c r="BG80" i="3" s="1"/>
  <c r="Z68" i="3"/>
  <c r="BG103" i="3" s="1"/>
  <c r="DW103" i="3" s="1"/>
  <c r="DW102" i="3" s="1"/>
  <c r="DZ78" i="3"/>
  <c r="DZ77" i="3" s="1"/>
  <c r="DZ76" i="3" s="1"/>
  <c r="DZ75" i="3" s="1"/>
  <c r="DZ74" i="3" s="1"/>
  <c r="Z59" i="3"/>
  <c r="BG94" i="3" s="1"/>
  <c r="Y42" i="3"/>
  <c r="BF77" i="3" s="1"/>
  <c r="Z39" i="3"/>
  <c r="BG74" i="3" s="1"/>
  <c r="BH96" i="3"/>
  <c r="Z61" i="3"/>
  <c r="Z49" i="3"/>
  <c r="BG84" i="3" s="1"/>
  <c r="Z63" i="3"/>
  <c r="BG98" i="3" s="1"/>
  <c r="DY97" i="3"/>
  <c r="DY96" i="3" s="1"/>
  <c r="DY95" i="3" s="1"/>
  <c r="DY94" i="3" s="1"/>
  <c r="DY93" i="3" s="1"/>
  <c r="DY92" i="3" s="1"/>
  <c r="DY91" i="3" s="1"/>
  <c r="DY90" i="3" s="1"/>
  <c r="DY89" i="3" s="1"/>
  <c r="DY88" i="3" s="1"/>
  <c r="DY87" i="3" s="1"/>
  <c r="DY86" i="3" s="1"/>
  <c r="DY85" i="3" s="1"/>
  <c r="DY84" i="3" s="1"/>
  <c r="DY83" i="3" s="1"/>
  <c r="DY82" i="3" s="1"/>
  <c r="DY81" i="3" s="1"/>
  <c r="DY80" i="3" s="1"/>
  <c r="DY79" i="3" s="1"/>
  <c r="BH75" i="3"/>
  <c r="Z40" i="3"/>
  <c r="AD74" i="3"/>
  <c r="AD75" i="3" s="1"/>
  <c r="AD76" i="3" s="1"/>
  <c r="AD77" i="3" s="1"/>
  <c r="AD78" i="3" s="1"/>
  <c r="AD79" i="3" s="1"/>
  <c r="AD80" i="3" s="1"/>
  <c r="AD81" i="3" s="1"/>
  <c r="AD82" i="3" s="1"/>
  <c r="AD83" i="3" s="1"/>
  <c r="AD84" i="3" s="1"/>
  <c r="AD85" i="3" s="1"/>
  <c r="AD86" i="3" s="1"/>
  <c r="AD87" i="3" s="1"/>
  <c r="AD88" i="3" s="1"/>
  <c r="AD89" i="3" s="1"/>
  <c r="AD90" i="3" s="1"/>
  <c r="AD91" i="3" s="1"/>
  <c r="AD92" i="3" s="1"/>
  <c r="AD93" i="3" s="1"/>
  <c r="AD94" i="3" s="1"/>
  <c r="AD95" i="3" s="1"/>
  <c r="AD96" i="3" s="1"/>
  <c r="AD97" i="3" s="1"/>
  <c r="AD98" i="3" s="1"/>
  <c r="AD99" i="3" s="1"/>
  <c r="AD100" i="3" s="1"/>
  <c r="AD101" i="3" s="1"/>
  <c r="AD102" i="3" s="1"/>
  <c r="AD103" i="3" s="1"/>
  <c r="AD104" i="3" s="1"/>
  <c r="BH82" i="3"/>
  <c r="Z47" i="3"/>
  <c r="BH88" i="3"/>
  <c r="Z53" i="3"/>
  <c r="BH79" i="3"/>
  <c r="Z44" i="3"/>
  <c r="BH97" i="3"/>
  <c r="Z62" i="3"/>
  <c r="BH91" i="3"/>
  <c r="Z56" i="3"/>
  <c r="Y60" i="3"/>
  <c r="BF95" i="3" s="1"/>
  <c r="Y52" i="3"/>
  <c r="BF87" i="3" s="1"/>
  <c r="Y69" i="3"/>
  <c r="BF104" i="3" s="1"/>
  <c r="Z65" i="3"/>
  <c r="BG100" i="3" s="1"/>
  <c r="Z64" i="3"/>
  <c r="BG99" i="3" s="1"/>
  <c r="Z41" i="3"/>
  <c r="BG76" i="3" s="1"/>
  <c r="Z46" i="3"/>
  <c r="BG81" i="3" s="1"/>
  <c r="AA58" i="3"/>
  <c r="BH93" i="3" s="1"/>
  <c r="Z66" i="3"/>
  <c r="BG101" i="3" s="1"/>
  <c r="Z54" i="3"/>
  <c r="BG89" i="3" s="1"/>
  <c r="AA57" i="3"/>
  <c r="BH92" i="3" s="1"/>
  <c r="AA51" i="3"/>
  <c r="BH86" i="3" s="1"/>
  <c r="Z48" i="3"/>
  <c r="BG83" i="3" s="1"/>
  <c r="AB43" i="3"/>
  <c r="BI78" i="3" s="1"/>
  <c r="H18" i="1"/>
  <c r="H17" i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I17" i="1" s="1"/>
  <c r="AJ17" i="1" s="1"/>
  <c r="AJ28" i="1"/>
  <c r="AI24" i="1"/>
  <c r="AH24" i="1" s="1"/>
  <c r="AG24" i="1" s="1"/>
  <c r="AF24" i="1" s="1"/>
  <c r="AE24" i="1" s="1"/>
  <c r="AD24" i="1" s="1"/>
  <c r="AC24" i="1" s="1"/>
  <c r="AB24" i="1" s="1"/>
  <c r="AA24" i="1" s="1"/>
  <c r="Z24" i="1" s="1"/>
  <c r="Y24" i="1" s="1"/>
  <c r="X24" i="1" s="1"/>
  <c r="W24" i="1" s="1"/>
  <c r="V24" i="1" s="1"/>
  <c r="U24" i="1" s="1"/>
  <c r="T24" i="1" s="1"/>
  <c r="S24" i="1" s="1"/>
  <c r="R24" i="1" s="1"/>
  <c r="Q24" i="1" s="1"/>
  <c r="P24" i="1" s="1"/>
  <c r="O24" i="1" s="1"/>
  <c r="N24" i="1" s="1"/>
  <c r="M24" i="1" s="1"/>
  <c r="L24" i="1" s="1"/>
  <c r="K24" i="1" s="1"/>
  <c r="J24" i="1" s="1"/>
  <c r="I24" i="1" s="1"/>
  <c r="H24" i="1" s="1"/>
  <c r="G24" i="1" s="1"/>
  <c r="DS68" i="4" l="1"/>
  <c r="DR48" i="4"/>
  <c r="CB91" i="4"/>
  <c r="BX90" i="4"/>
  <c r="CL40" i="4"/>
  <c r="DU40" i="4" s="1"/>
  <c r="CI91" i="4"/>
  <c r="CL60" i="4"/>
  <c r="CJ67" i="4"/>
  <c r="DQ66" i="4"/>
  <c r="CF88" i="4"/>
  <c r="CI50" i="4"/>
  <c r="CI61" i="4"/>
  <c r="CR90" i="4"/>
  <c r="CV89" i="4"/>
  <c r="CI44" i="4"/>
  <c r="CK49" i="4"/>
  <c r="DT49" i="4" s="1"/>
  <c r="BY89" i="4"/>
  <c r="DR59" i="4"/>
  <c r="CJ53" i="4"/>
  <c r="CG91" i="4"/>
  <c r="DQ39" i="4"/>
  <c r="BZ89" i="4"/>
  <c r="DT60" i="4"/>
  <c r="CK42" i="4"/>
  <c r="CI59" i="4"/>
  <c r="DQ41" i="4"/>
  <c r="CJ48" i="4"/>
  <c r="CI39" i="4"/>
  <c r="CI66" i="4"/>
  <c r="DR44" i="4"/>
  <c r="CI52" i="4"/>
  <c r="CA90" i="4"/>
  <c r="CU90" i="4"/>
  <c r="DQ52" i="4"/>
  <c r="DR52" i="4" s="1"/>
  <c r="BW90" i="4"/>
  <c r="CJ54" i="4"/>
  <c r="DS54" i="4" s="1"/>
  <c r="DQ57" i="4"/>
  <c r="CL69" i="4"/>
  <c r="CJ55" i="4"/>
  <c r="CM51" i="4"/>
  <c r="CL91" i="4"/>
  <c r="CX89" i="4"/>
  <c r="DV51" i="4"/>
  <c r="CQ91" i="4"/>
  <c r="CK56" i="4"/>
  <c r="DT56" i="4" s="1"/>
  <c r="CI57" i="4"/>
  <c r="CI64" i="4"/>
  <c r="CP85" i="4"/>
  <c r="CC91" i="4"/>
  <c r="CK68" i="4"/>
  <c r="DQ61" i="4"/>
  <c r="DR61" i="4" s="1"/>
  <c r="CT89" i="4"/>
  <c r="CN91" i="4"/>
  <c r="CM91" i="4"/>
  <c r="DQ50" i="4"/>
  <c r="DR50" i="4" s="1"/>
  <c r="CK47" i="4"/>
  <c r="DT47" i="4" s="1"/>
  <c r="CY90" i="4"/>
  <c r="CI46" i="4"/>
  <c r="CE91" i="4"/>
  <c r="CS90" i="4"/>
  <c r="CI58" i="4"/>
  <c r="DT42" i="4"/>
  <c r="CO89" i="4"/>
  <c r="CW90" i="4"/>
  <c r="CH90" i="4"/>
  <c r="CK91" i="4"/>
  <c r="CI41" i="4"/>
  <c r="CJ62" i="4"/>
  <c r="CK65" i="4"/>
  <c r="DT65" i="4" s="1"/>
  <c r="CI63" i="4"/>
  <c r="CD89" i="4"/>
  <c r="CI43" i="4"/>
  <c r="DR43" i="4" s="1"/>
  <c r="CJ88" i="4"/>
  <c r="CJ45" i="4"/>
  <c r="DQ63" i="4"/>
  <c r="DR63" i="4" s="1"/>
  <c r="DR53" i="4"/>
  <c r="DS53" i="4" s="1"/>
  <c r="Y50" i="3"/>
  <c r="BF85" i="3" s="1"/>
  <c r="Y67" i="3"/>
  <c r="BF102" i="3" s="1"/>
  <c r="X55" i="3"/>
  <c r="BE90" i="3" s="1"/>
  <c r="Y68" i="3"/>
  <c r="BF103" i="3" s="1"/>
  <c r="DV103" i="3" s="1"/>
  <c r="Y45" i="3"/>
  <c r="BF80" i="3" s="1"/>
  <c r="Y39" i="3"/>
  <c r="BF74" i="3" s="1"/>
  <c r="X42" i="3"/>
  <c r="BE77" i="3" s="1"/>
  <c r="AC74" i="3"/>
  <c r="AC75" i="3" s="1"/>
  <c r="AC76" i="3" s="1"/>
  <c r="AC77" i="3" s="1"/>
  <c r="AC78" i="3" s="1"/>
  <c r="AC79" i="3" s="1"/>
  <c r="AC80" i="3" s="1"/>
  <c r="AC81" i="3" s="1"/>
  <c r="AC82" i="3" s="1"/>
  <c r="AC83" i="3" s="1"/>
  <c r="AC84" i="3" s="1"/>
  <c r="AC85" i="3" s="1"/>
  <c r="AC86" i="3" s="1"/>
  <c r="AC87" i="3" s="1"/>
  <c r="AC88" i="3" s="1"/>
  <c r="AC89" i="3" s="1"/>
  <c r="AC90" i="3" s="1"/>
  <c r="AC91" i="3" s="1"/>
  <c r="AC92" i="3" s="1"/>
  <c r="AC93" i="3" s="1"/>
  <c r="AC94" i="3" s="1"/>
  <c r="AC95" i="3" s="1"/>
  <c r="AC96" i="3" s="1"/>
  <c r="AC97" i="3" s="1"/>
  <c r="AC98" i="3" s="1"/>
  <c r="AC99" i="3" s="1"/>
  <c r="AC100" i="3" s="1"/>
  <c r="AC101" i="3" s="1"/>
  <c r="AC102" i="3" s="1"/>
  <c r="AC103" i="3" s="1"/>
  <c r="AC104" i="3" s="1"/>
  <c r="Y63" i="3"/>
  <c r="BF98" i="3" s="1"/>
  <c r="Y59" i="3"/>
  <c r="BF94" i="3" s="1"/>
  <c r="Y49" i="3"/>
  <c r="BF84" i="3" s="1"/>
  <c r="BG96" i="3"/>
  <c r="Y61" i="3"/>
  <c r="DX97" i="3"/>
  <c r="DX96" i="3" s="1"/>
  <c r="DX95" i="3" s="1"/>
  <c r="DX94" i="3" s="1"/>
  <c r="DX93" i="3" s="1"/>
  <c r="DX92" i="3" s="1"/>
  <c r="DX91" i="3" s="1"/>
  <c r="DX90" i="3" s="1"/>
  <c r="DX89" i="3" s="1"/>
  <c r="DX88" i="3" s="1"/>
  <c r="DX87" i="3" s="1"/>
  <c r="DX86" i="3" s="1"/>
  <c r="DX85" i="3" s="1"/>
  <c r="DX84" i="3" s="1"/>
  <c r="DX83" i="3" s="1"/>
  <c r="DX82" i="3" s="1"/>
  <c r="DX81" i="3" s="1"/>
  <c r="DX80" i="3" s="1"/>
  <c r="DX79" i="3" s="1"/>
  <c r="DW101" i="3"/>
  <c r="DW100" i="3" s="1"/>
  <c r="DW99" i="3" s="1"/>
  <c r="DW98" i="3" s="1"/>
  <c r="BG75" i="3"/>
  <c r="Y40" i="3"/>
  <c r="BG88" i="3"/>
  <c r="Y53" i="3"/>
  <c r="BG82" i="3"/>
  <c r="Y47" i="3"/>
  <c r="BG97" i="3"/>
  <c r="Y62" i="3"/>
  <c r="BG79" i="3"/>
  <c r="Y44" i="3"/>
  <c r="DY78" i="3"/>
  <c r="DY77" i="3" s="1"/>
  <c r="DY76" i="3" s="1"/>
  <c r="DY75" i="3" s="1"/>
  <c r="AB74" i="3" s="1"/>
  <c r="AB75" i="3" s="1"/>
  <c r="AB76" i="3" s="1"/>
  <c r="AB77" i="3" s="1"/>
  <c r="AB78" i="3" s="1"/>
  <c r="AB79" i="3" s="1"/>
  <c r="AB80" i="3" s="1"/>
  <c r="AB81" i="3" s="1"/>
  <c r="AB82" i="3" s="1"/>
  <c r="AB83" i="3" s="1"/>
  <c r="AB84" i="3" s="1"/>
  <c r="AB85" i="3" s="1"/>
  <c r="AB86" i="3" s="1"/>
  <c r="AB87" i="3" s="1"/>
  <c r="AB88" i="3" s="1"/>
  <c r="AB89" i="3" s="1"/>
  <c r="AB90" i="3" s="1"/>
  <c r="AB91" i="3" s="1"/>
  <c r="AB92" i="3" s="1"/>
  <c r="AB93" i="3" s="1"/>
  <c r="AB94" i="3" s="1"/>
  <c r="AB95" i="3" s="1"/>
  <c r="AB96" i="3" s="1"/>
  <c r="AB97" i="3" s="1"/>
  <c r="AB98" i="3" s="1"/>
  <c r="AB99" i="3" s="1"/>
  <c r="AB100" i="3" s="1"/>
  <c r="AB101" i="3" s="1"/>
  <c r="AB102" i="3" s="1"/>
  <c r="AB103" i="3" s="1"/>
  <c r="AB104" i="3" s="1"/>
  <c r="BG91" i="3"/>
  <c r="Y56" i="3"/>
  <c r="X52" i="3"/>
  <c r="BE87" i="3" s="1"/>
  <c r="Z51" i="3"/>
  <c r="BG86" i="3" s="1"/>
  <c r="Y54" i="3"/>
  <c r="BF89" i="3" s="1"/>
  <c r="Z58" i="3"/>
  <c r="BG93" i="3" s="1"/>
  <c r="X69" i="3"/>
  <c r="BE104" i="3" s="1"/>
  <c r="AA43" i="3"/>
  <c r="BH78" i="3" s="1"/>
  <c r="Z57" i="3"/>
  <c r="BG92" i="3" s="1"/>
  <c r="Y66" i="3"/>
  <c r="BF101" i="3" s="1"/>
  <c r="Y46" i="3"/>
  <c r="BF81" i="3" s="1"/>
  <c r="Y64" i="3"/>
  <c r="BF99" i="3" s="1"/>
  <c r="X60" i="3"/>
  <c r="BE95" i="3" s="1"/>
  <c r="Y48" i="3"/>
  <c r="BF83" i="3" s="1"/>
  <c r="Y41" i="3"/>
  <c r="BF76" i="3" s="1"/>
  <c r="Y65" i="3"/>
  <c r="BF100" i="3" s="1"/>
  <c r="I18" i="1"/>
  <c r="J18" i="1" s="1"/>
  <c r="K18" i="1" s="1"/>
  <c r="DT68" i="4" l="1"/>
  <c r="DU60" i="4"/>
  <c r="CW89" i="4"/>
  <c r="CJ64" i="4"/>
  <c r="CK48" i="4"/>
  <c r="CM69" i="4"/>
  <c r="CJ41" i="4"/>
  <c r="CJ57" i="4"/>
  <c r="CJ66" i="4"/>
  <c r="CK45" i="4"/>
  <c r="DS45" i="4"/>
  <c r="DT45" i="4" s="1"/>
  <c r="CM90" i="4"/>
  <c r="CL90" i="4"/>
  <c r="DR57" i="4"/>
  <c r="CJ59" i="4"/>
  <c r="DR39" i="4"/>
  <c r="BY88" i="4"/>
  <c r="CR89" i="4"/>
  <c r="CK62" i="4"/>
  <c r="DS62" i="4"/>
  <c r="DT62" i="4" s="1"/>
  <c r="BZ88" i="4"/>
  <c r="CV88" i="4"/>
  <c r="CO88" i="4"/>
  <c r="DR41" i="4"/>
  <c r="CF87" i="4"/>
  <c r="CK90" i="4"/>
  <c r="CJ46" i="4"/>
  <c r="CC90" i="4"/>
  <c r="CL56" i="4"/>
  <c r="CK54" i="4"/>
  <c r="CA89" i="4"/>
  <c r="DS48" i="4"/>
  <c r="DT48" i="4" s="1"/>
  <c r="DR66" i="4"/>
  <c r="DS66" i="4" s="1"/>
  <c r="CM40" i="4"/>
  <c r="CU89" i="4"/>
  <c r="CJ63" i="4"/>
  <c r="DS63" i="4" s="1"/>
  <c r="CJ87" i="4"/>
  <c r="CJ58" i="4"/>
  <c r="CN90" i="4"/>
  <c r="CN51" i="4"/>
  <c r="DW51" i="4" s="1"/>
  <c r="CJ39" i="4"/>
  <c r="CL42" i="4"/>
  <c r="CG90" i="4"/>
  <c r="CL49" i="4"/>
  <c r="CJ61" i="4"/>
  <c r="CK67" i="4"/>
  <c r="DR58" i="4"/>
  <c r="DS58" i="4" s="1"/>
  <c r="CL47" i="4"/>
  <c r="CL68" i="4"/>
  <c r="DU68" i="4" s="1"/>
  <c r="CI90" i="4"/>
  <c r="DU42" i="4"/>
  <c r="CL65" i="4"/>
  <c r="DU65" i="4" s="1"/>
  <c r="CH89" i="4"/>
  <c r="CY89" i="4"/>
  <c r="CP84" i="4"/>
  <c r="CQ90" i="4"/>
  <c r="BW89" i="4"/>
  <c r="DS67" i="4"/>
  <c r="DT67" i="4" s="1"/>
  <c r="BX89" i="4"/>
  <c r="DU69" i="4"/>
  <c r="DV69" i="4" s="1"/>
  <c r="CB90" i="4"/>
  <c r="CD88" i="4"/>
  <c r="DR64" i="4"/>
  <c r="CX88" i="4"/>
  <c r="CE90" i="4"/>
  <c r="CJ43" i="4"/>
  <c r="CS89" i="4"/>
  <c r="CT88" i="4"/>
  <c r="CK55" i="4"/>
  <c r="CJ52" i="4"/>
  <c r="DS52" i="4" s="1"/>
  <c r="DS55" i="4"/>
  <c r="CK53" i="4"/>
  <c r="DT53" i="4" s="1"/>
  <c r="CJ44" i="4"/>
  <c r="DS44" i="4" s="1"/>
  <c r="CJ50" i="4"/>
  <c r="DS50" i="4" s="1"/>
  <c r="CM60" i="4"/>
  <c r="DR46" i="4"/>
  <c r="DS46" i="4" s="1"/>
  <c r="X67" i="3"/>
  <c r="BE102" i="3" s="1"/>
  <c r="X50" i="3"/>
  <c r="BE85" i="3" s="1"/>
  <c r="DV102" i="3"/>
  <c r="DV101" i="3" s="1"/>
  <c r="DV100" i="3" s="1"/>
  <c r="DV99" i="3" s="1"/>
  <c r="DV98" i="3" s="1"/>
  <c r="X39" i="3"/>
  <c r="BE74" i="3" s="1"/>
  <c r="W55" i="3"/>
  <c r="BD90" i="3" s="1"/>
  <c r="W42" i="3"/>
  <c r="BD77" i="3" s="1"/>
  <c r="X68" i="3"/>
  <c r="BE103" i="3" s="1"/>
  <c r="DU103" i="3" s="1"/>
  <c r="X59" i="3"/>
  <c r="BE94" i="3" s="1"/>
  <c r="X45" i="3"/>
  <c r="BE80" i="3" s="1"/>
  <c r="X63" i="3"/>
  <c r="BE98" i="3" s="1"/>
  <c r="X49" i="3"/>
  <c r="BE84" i="3" s="1"/>
  <c r="BF96" i="3"/>
  <c r="X61" i="3"/>
  <c r="DX78" i="3"/>
  <c r="DX77" i="3" s="1"/>
  <c r="DX76" i="3" s="1"/>
  <c r="DX75" i="3" s="1"/>
  <c r="DX74" i="3" s="1"/>
  <c r="BF75" i="3"/>
  <c r="X40" i="3"/>
  <c r="DW97" i="3"/>
  <c r="DW96" i="3" s="1"/>
  <c r="DW95" i="3" s="1"/>
  <c r="DW94" i="3" s="1"/>
  <c r="DW93" i="3" s="1"/>
  <c r="DW92" i="3" s="1"/>
  <c r="DW91" i="3" s="1"/>
  <c r="DW90" i="3" s="1"/>
  <c r="DW89" i="3" s="1"/>
  <c r="DW88" i="3" s="1"/>
  <c r="DW87" i="3" s="1"/>
  <c r="DW86" i="3" s="1"/>
  <c r="DW85" i="3" s="1"/>
  <c r="DW84" i="3" s="1"/>
  <c r="DW83" i="3" s="1"/>
  <c r="DW82" i="3" s="1"/>
  <c r="DW81" i="3" s="1"/>
  <c r="DW80" i="3" s="1"/>
  <c r="DW79" i="3" s="1"/>
  <c r="BF82" i="3"/>
  <c r="X47" i="3"/>
  <c r="BF88" i="3"/>
  <c r="X53" i="3"/>
  <c r="DY74" i="3"/>
  <c r="BF79" i="3"/>
  <c r="X44" i="3"/>
  <c r="BF97" i="3"/>
  <c r="X62" i="3"/>
  <c r="BF91" i="3"/>
  <c r="X56" i="3"/>
  <c r="X48" i="3"/>
  <c r="BE83" i="3" s="1"/>
  <c r="Y57" i="3"/>
  <c r="BF92" i="3" s="1"/>
  <c r="X54" i="3"/>
  <c r="BE89" i="3" s="1"/>
  <c r="X65" i="3"/>
  <c r="BE100" i="3" s="1"/>
  <c r="W69" i="3"/>
  <c r="BD104" i="3" s="1"/>
  <c r="X66" i="3"/>
  <c r="BE101" i="3" s="1"/>
  <c r="X41" i="3"/>
  <c r="BE76" i="3" s="1"/>
  <c r="W60" i="3"/>
  <c r="BD95" i="3" s="1"/>
  <c r="Z43" i="3"/>
  <c r="BG78" i="3" s="1"/>
  <c r="Y51" i="3"/>
  <c r="BF86" i="3" s="1"/>
  <c r="X46" i="3"/>
  <c r="BE81" i="3" s="1"/>
  <c r="Y58" i="3"/>
  <c r="BF93" i="3" s="1"/>
  <c r="X64" i="3"/>
  <c r="BE99" i="3" s="1"/>
  <c r="W50" i="3"/>
  <c r="BD85" i="3" s="1"/>
  <c r="W52" i="3"/>
  <c r="BD87" i="3" s="1"/>
  <c r="L18" i="1"/>
  <c r="DT55" i="4" l="1"/>
  <c r="CK39" i="4"/>
  <c r="CK89" i="4"/>
  <c r="BY87" i="4"/>
  <c r="CN60" i="4"/>
  <c r="CX87" i="4"/>
  <c r="CO51" i="4"/>
  <c r="BX88" i="4"/>
  <c r="CI89" i="4"/>
  <c r="CM47" i="4"/>
  <c r="DS39" i="4"/>
  <c r="CW88" i="4"/>
  <c r="CT87" i="4"/>
  <c r="CQ89" i="4"/>
  <c r="CK61" i="4"/>
  <c r="CL54" i="4"/>
  <c r="CK57" i="4"/>
  <c r="DT54" i="4"/>
  <c r="BZ87" i="4"/>
  <c r="CS88" i="4"/>
  <c r="CM56" i="4"/>
  <c r="CK41" i="4"/>
  <c r="CK43" i="4"/>
  <c r="CY88" i="4"/>
  <c r="CG89" i="4"/>
  <c r="CN89" i="4"/>
  <c r="CU88" i="4"/>
  <c r="CC89" i="4"/>
  <c r="DS41" i="4"/>
  <c r="CK59" i="4"/>
  <c r="CL45" i="4"/>
  <c r="DS61" i="4"/>
  <c r="CM49" i="4"/>
  <c r="CF86" i="4"/>
  <c r="DS43" i="4"/>
  <c r="CO87" i="4"/>
  <c r="CL62" i="4"/>
  <c r="DU62" i="4" s="1"/>
  <c r="CN69" i="4"/>
  <c r="DW69" i="4" s="1"/>
  <c r="DU49" i="4"/>
  <c r="CJ86" i="4"/>
  <c r="CM89" i="4"/>
  <c r="CN40" i="4"/>
  <c r="DS64" i="4"/>
  <c r="CK44" i="4"/>
  <c r="CL55" i="4"/>
  <c r="DV40" i="4"/>
  <c r="BW88" i="4"/>
  <c r="CH88" i="4"/>
  <c r="CM68" i="4"/>
  <c r="DV68" i="4" s="1"/>
  <c r="CL67" i="4"/>
  <c r="CM42" i="4"/>
  <c r="CK58" i="4"/>
  <c r="DT58" i="4" s="1"/>
  <c r="CA88" i="4"/>
  <c r="CK46" i="4"/>
  <c r="DT46" i="4" s="1"/>
  <c r="DS57" i="4"/>
  <c r="CK66" i="4"/>
  <c r="DT66" i="4" s="1"/>
  <c r="DU56" i="4"/>
  <c r="DV56" i="4" s="1"/>
  <c r="CL53" i="4"/>
  <c r="DU53" i="4" s="1"/>
  <c r="CM65" i="4"/>
  <c r="CK64" i="4"/>
  <c r="DV60" i="4"/>
  <c r="DW60" i="4" s="1"/>
  <c r="CP83" i="4"/>
  <c r="CK63" i="4"/>
  <c r="DT63" i="4" s="1"/>
  <c r="CK50" i="4"/>
  <c r="CK52" i="4"/>
  <c r="CD87" i="4"/>
  <c r="CE89" i="4"/>
  <c r="CB89" i="4"/>
  <c r="DS59" i="4"/>
  <c r="DT59" i="4" s="1"/>
  <c r="CV87" i="4"/>
  <c r="CR88" i="4"/>
  <c r="CL89" i="4"/>
  <c r="CL48" i="4"/>
  <c r="DU48" i="4" s="1"/>
  <c r="DU47" i="4"/>
  <c r="DV47" i="4" s="1"/>
  <c r="DU102" i="3"/>
  <c r="W67" i="3"/>
  <c r="BD102" i="3" s="1"/>
  <c r="W39" i="3"/>
  <c r="BD74" i="3" s="1"/>
  <c r="V42" i="3"/>
  <c r="BC77" i="3" s="1"/>
  <c r="V55" i="3"/>
  <c r="BC90" i="3" s="1"/>
  <c r="W45" i="3"/>
  <c r="BD80" i="3" s="1"/>
  <c r="W68" i="3"/>
  <c r="BD103" i="3" s="1"/>
  <c r="DT103" i="3" s="1"/>
  <c r="DT102" i="3" s="1"/>
  <c r="W59" i="3"/>
  <c r="BD94" i="3" s="1"/>
  <c r="W63" i="3"/>
  <c r="BD98" i="3" s="1"/>
  <c r="DW78" i="3"/>
  <c r="DW77" i="3" s="1"/>
  <c r="DW76" i="3" s="1"/>
  <c r="DW75" i="3" s="1"/>
  <c r="DW74" i="3" s="1"/>
  <c r="W49" i="3"/>
  <c r="BD84" i="3" s="1"/>
  <c r="BE96" i="3"/>
  <c r="W61" i="3"/>
  <c r="AA74" i="3"/>
  <c r="AA75" i="3" s="1"/>
  <c r="AA76" i="3" s="1"/>
  <c r="AA77" i="3" s="1"/>
  <c r="AA78" i="3" s="1"/>
  <c r="AA79" i="3" s="1"/>
  <c r="AA80" i="3" s="1"/>
  <c r="AA81" i="3" s="1"/>
  <c r="AA82" i="3" s="1"/>
  <c r="AA83" i="3" s="1"/>
  <c r="AA84" i="3" s="1"/>
  <c r="AA85" i="3" s="1"/>
  <c r="AA86" i="3" s="1"/>
  <c r="AA87" i="3" s="1"/>
  <c r="AA88" i="3" s="1"/>
  <c r="AA89" i="3" s="1"/>
  <c r="AA90" i="3" s="1"/>
  <c r="AA91" i="3" s="1"/>
  <c r="AA92" i="3" s="1"/>
  <c r="AA93" i="3" s="1"/>
  <c r="AA94" i="3" s="1"/>
  <c r="AA95" i="3" s="1"/>
  <c r="AA96" i="3" s="1"/>
  <c r="AA97" i="3" s="1"/>
  <c r="AA98" i="3" s="1"/>
  <c r="AA99" i="3" s="1"/>
  <c r="AA100" i="3" s="1"/>
  <c r="AA101" i="3" s="1"/>
  <c r="AA102" i="3" s="1"/>
  <c r="AA103" i="3" s="1"/>
  <c r="AA104" i="3" s="1"/>
  <c r="BE75" i="3"/>
  <c r="W40" i="3"/>
  <c r="BE88" i="3"/>
  <c r="W53" i="3"/>
  <c r="BE82" i="3"/>
  <c r="W47" i="3"/>
  <c r="DU101" i="3"/>
  <c r="DU100" i="3" s="1"/>
  <c r="DU99" i="3" s="1"/>
  <c r="DU98" i="3" s="1"/>
  <c r="BE97" i="3"/>
  <c r="W62" i="3"/>
  <c r="BE79" i="3"/>
  <c r="W44" i="3"/>
  <c r="DV97" i="3"/>
  <c r="DV96" i="3" s="1"/>
  <c r="DV95" i="3" s="1"/>
  <c r="DV94" i="3" s="1"/>
  <c r="DV93" i="3" s="1"/>
  <c r="DV92" i="3" s="1"/>
  <c r="DV91" i="3" s="1"/>
  <c r="DV90" i="3" s="1"/>
  <c r="DV89" i="3" s="1"/>
  <c r="DV88" i="3" s="1"/>
  <c r="DV87" i="3" s="1"/>
  <c r="DV86" i="3" s="1"/>
  <c r="DV85" i="3" s="1"/>
  <c r="DV84" i="3" s="1"/>
  <c r="DV83" i="3" s="1"/>
  <c r="DV82" i="3" s="1"/>
  <c r="DV81" i="3" s="1"/>
  <c r="DV80" i="3" s="1"/>
  <c r="DV79" i="3" s="1"/>
  <c r="BE91" i="3"/>
  <c r="W56" i="3"/>
  <c r="W41" i="3"/>
  <c r="BD76" i="3" s="1"/>
  <c r="V50" i="3"/>
  <c r="BC85" i="3" s="1"/>
  <c r="V69" i="3"/>
  <c r="BC104" i="3" s="1"/>
  <c r="W64" i="3"/>
  <c r="BD99" i="3" s="1"/>
  <c r="X51" i="3"/>
  <c r="BE86" i="3" s="1"/>
  <c r="V60" i="3"/>
  <c r="BC95" i="3" s="1"/>
  <c r="W66" i="3"/>
  <c r="BD101" i="3" s="1"/>
  <c r="W54" i="3"/>
  <c r="BD89" i="3" s="1"/>
  <c r="Y43" i="3"/>
  <c r="BF78" i="3" s="1"/>
  <c r="V52" i="3"/>
  <c r="BC87" i="3" s="1"/>
  <c r="X58" i="3"/>
  <c r="BE93" i="3" s="1"/>
  <c r="X57" i="3"/>
  <c r="BE92" i="3" s="1"/>
  <c r="V67" i="3"/>
  <c r="BC102" i="3" s="1"/>
  <c r="W65" i="3"/>
  <c r="BD100" i="3" s="1"/>
  <c r="W46" i="3"/>
  <c r="BD81" i="3" s="1"/>
  <c r="W48" i="3"/>
  <c r="BD83" i="3" s="1"/>
  <c r="V39" i="3"/>
  <c r="BC74" i="3" s="1"/>
  <c r="M18" i="1"/>
  <c r="DU55" i="4" l="1"/>
  <c r="DT43" i="4"/>
  <c r="DU54" i="4"/>
  <c r="DT61" i="4"/>
  <c r="CL44" i="4"/>
  <c r="CL50" i="4"/>
  <c r="CN42" i="4"/>
  <c r="BW87" i="4"/>
  <c r="CO40" i="4"/>
  <c r="DV49" i="4"/>
  <c r="CC88" i="4"/>
  <c r="CM54" i="4"/>
  <c r="CW87" i="4"/>
  <c r="BX87" i="4"/>
  <c r="CN49" i="4"/>
  <c r="CL41" i="4"/>
  <c r="CX86" i="4"/>
  <c r="CL52" i="4"/>
  <c r="CL58" i="4"/>
  <c r="CL57" i="4"/>
  <c r="CI88" i="4"/>
  <c r="CL64" i="4"/>
  <c r="CN56" i="4"/>
  <c r="DT57" i="4"/>
  <c r="CO69" i="4"/>
  <c r="DX69" i="4" s="1"/>
  <c r="CY87" i="4"/>
  <c r="CS87" i="4"/>
  <c r="BY86" i="4"/>
  <c r="DT50" i="4"/>
  <c r="CO86" i="4"/>
  <c r="DW56" i="4"/>
  <c r="CT86" i="4"/>
  <c r="DT64" i="4"/>
  <c r="CG88" i="4"/>
  <c r="CB88" i="4"/>
  <c r="CE88" i="4"/>
  <c r="CL63" i="4"/>
  <c r="DU63" i="4" s="1"/>
  <c r="CN65" i="4"/>
  <c r="CL46" i="4"/>
  <c r="CM67" i="4"/>
  <c r="DW40" i="4"/>
  <c r="DV42" i="4"/>
  <c r="DU67" i="4"/>
  <c r="CM45" i="4"/>
  <c r="CL61" i="4"/>
  <c r="DU45" i="4"/>
  <c r="DV45" i="4" s="1"/>
  <c r="DV65" i="4"/>
  <c r="CJ85" i="4"/>
  <c r="CL39" i="4"/>
  <c r="CM48" i="4"/>
  <c r="DT41" i="4"/>
  <c r="DU41" i="4" s="1"/>
  <c r="CO60" i="4"/>
  <c r="CR87" i="4"/>
  <c r="CM55" i="4"/>
  <c r="DV55" i="4" s="1"/>
  <c r="CM88" i="4"/>
  <c r="CM62" i="4"/>
  <c r="CF85" i="4"/>
  <c r="CU87" i="4"/>
  <c r="CL43" i="4"/>
  <c r="DU43" i="4" s="1"/>
  <c r="BZ86" i="4"/>
  <c r="DT39" i="4"/>
  <c r="CP51" i="4"/>
  <c r="DX51" i="4"/>
  <c r="CV86" i="4"/>
  <c r="DT44" i="4"/>
  <c r="DU44" i="4" s="1"/>
  <c r="CN88" i="4"/>
  <c r="DX60" i="4"/>
  <c r="CH87" i="4"/>
  <c r="CL66" i="4"/>
  <c r="DU66" i="4" s="1"/>
  <c r="CL88" i="4"/>
  <c r="CD86" i="4"/>
  <c r="CP82" i="4"/>
  <c r="CM53" i="4"/>
  <c r="DV53" i="4" s="1"/>
  <c r="CA87" i="4"/>
  <c r="CN68" i="4"/>
  <c r="DW68" i="4" s="1"/>
  <c r="CL59" i="4"/>
  <c r="DU59" i="4" s="1"/>
  <c r="CQ88" i="4"/>
  <c r="CN47" i="4"/>
  <c r="CK88" i="4"/>
  <c r="DT52" i="4"/>
  <c r="DU52" i="4" s="1"/>
  <c r="U42" i="3"/>
  <c r="BB77" i="3" s="1"/>
  <c r="U55" i="3"/>
  <c r="BB90" i="3" s="1"/>
  <c r="V45" i="3"/>
  <c r="BC80" i="3" s="1"/>
  <c r="V59" i="3"/>
  <c r="BC94" i="3" s="1"/>
  <c r="V49" i="3"/>
  <c r="BC84" i="3" s="1"/>
  <c r="V68" i="3"/>
  <c r="BC103" i="3" s="1"/>
  <c r="DS103" i="3" s="1"/>
  <c r="DS102" i="3" s="1"/>
  <c r="Z74" i="3"/>
  <c r="Z75" i="3" s="1"/>
  <c r="Z76" i="3" s="1"/>
  <c r="Z77" i="3" s="1"/>
  <c r="Z78" i="3" s="1"/>
  <c r="Z79" i="3" s="1"/>
  <c r="Z80" i="3" s="1"/>
  <c r="Z81" i="3" s="1"/>
  <c r="Z82" i="3" s="1"/>
  <c r="Z83" i="3" s="1"/>
  <c r="Z84" i="3" s="1"/>
  <c r="Z85" i="3" s="1"/>
  <c r="Z86" i="3" s="1"/>
  <c r="Z87" i="3" s="1"/>
  <c r="Z88" i="3" s="1"/>
  <c r="Z89" i="3" s="1"/>
  <c r="Z90" i="3" s="1"/>
  <c r="Z91" i="3" s="1"/>
  <c r="Z92" i="3" s="1"/>
  <c r="Z93" i="3" s="1"/>
  <c r="Z94" i="3" s="1"/>
  <c r="Z95" i="3" s="1"/>
  <c r="Z96" i="3" s="1"/>
  <c r="Z97" i="3" s="1"/>
  <c r="Z98" i="3" s="1"/>
  <c r="Z99" i="3" s="1"/>
  <c r="Z100" i="3" s="1"/>
  <c r="Z101" i="3" s="1"/>
  <c r="Z102" i="3" s="1"/>
  <c r="Z103" i="3" s="1"/>
  <c r="Z104" i="3" s="1"/>
  <c r="V63" i="3"/>
  <c r="BC98" i="3" s="1"/>
  <c r="DU97" i="3"/>
  <c r="DU96" i="3" s="1"/>
  <c r="DU95" i="3" s="1"/>
  <c r="DU94" i="3" s="1"/>
  <c r="DU93" i="3" s="1"/>
  <c r="DU92" i="3" s="1"/>
  <c r="DU91" i="3" s="1"/>
  <c r="DU90" i="3" s="1"/>
  <c r="DU89" i="3" s="1"/>
  <c r="DU88" i="3" s="1"/>
  <c r="DU87" i="3" s="1"/>
  <c r="DU86" i="3" s="1"/>
  <c r="DU85" i="3" s="1"/>
  <c r="DU84" i="3" s="1"/>
  <c r="DU83" i="3" s="1"/>
  <c r="DU82" i="3" s="1"/>
  <c r="DU81" i="3" s="1"/>
  <c r="DU80" i="3" s="1"/>
  <c r="DU79" i="3" s="1"/>
  <c r="BD96" i="3"/>
  <c r="V61" i="3"/>
  <c r="BD75" i="3"/>
  <c r="V40" i="3"/>
  <c r="DT101" i="3"/>
  <c r="DT100" i="3" s="1"/>
  <c r="DT99" i="3" s="1"/>
  <c r="DT98" i="3" s="1"/>
  <c r="BD82" i="3"/>
  <c r="V47" i="3"/>
  <c r="BD88" i="3"/>
  <c r="V53" i="3"/>
  <c r="DV78" i="3"/>
  <c r="DV77" i="3" s="1"/>
  <c r="DV76" i="3" s="1"/>
  <c r="DV75" i="3" s="1"/>
  <c r="Y74" i="3" s="1"/>
  <c r="Y75" i="3" s="1"/>
  <c r="Y76" i="3" s="1"/>
  <c r="Y77" i="3" s="1"/>
  <c r="Y78" i="3" s="1"/>
  <c r="Y79" i="3" s="1"/>
  <c r="Y80" i="3" s="1"/>
  <c r="Y81" i="3" s="1"/>
  <c r="Y82" i="3" s="1"/>
  <c r="Y83" i="3" s="1"/>
  <c r="Y84" i="3" s="1"/>
  <c r="Y85" i="3" s="1"/>
  <c r="Y86" i="3" s="1"/>
  <c r="Y87" i="3" s="1"/>
  <c r="Y88" i="3" s="1"/>
  <c r="Y89" i="3" s="1"/>
  <c r="Y90" i="3" s="1"/>
  <c r="Y91" i="3" s="1"/>
  <c r="Y92" i="3" s="1"/>
  <c r="Y93" i="3" s="1"/>
  <c r="Y94" i="3" s="1"/>
  <c r="Y95" i="3" s="1"/>
  <c r="Y96" i="3" s="1"/>
  <c r="Y97" i="3" s="1"/>
  <c r="Y98" i="3" s="1"/>
  <c r="Y99" i="3" s="1"/>
  <c r="Y100" i="3" s="1"/>
  <c r="Y101" i="3" s="1"/>
  <c r="Y102" i="3" s="1"/>
  <c r="Y103" i="3" s="1"/>
  <c r="Y104" i="3" s="1"/>
  <c r="BD79" i="3"/>
  <c r="V44" i="3"/>
  <c r="BD97" i="3"/>
  <c r="V62" i="3"/>
  <c r="BD91" i="3"/>
  <c r="V56" i="3"/>
  <c r="V65" i="3"/>
  <c r="BC100" i="3" s="1"/>
  <c r="X43" i="3"/>
  <c r="BE78" i="3" s="1"/>
  <c r="U60" i="3"/>
  <c r="BB95" i="3" s="1"/>
  <c r="U69" i="3"/>
  <c r="BB104" i="3" s="1"/>
  <c r="V48" i="3"/>
  <c r="BC83" i="3" s="1"/>
  <c r="W51" i="3"/>
  <c r="BD86" i="3" s="1"/>
  <c r="W58" i="3"/>
  <c r="BD93" i="3" s="1"/>
  <c r="V46" i="3"/>
  <c r="BC81" i="3" s="1"/>
  <c r="U52" i="3"/>
  <c r="BB87" i="3" s="1"/>
  <c r="V54" i="3"/>
  <c r="BC89" i="3" s="1"/>
  <c r="U50" i="3"/>
  <c r="BB85" i="3" s="1"/>
  <c r="W57" i="3"/>
  <c r="BD92" i="3" s="1"/>
  <c r="V41" i="3"/>
  <c r="BC76" i="3" s="1"/>
  <c r="V66" i="3"/>
  <c r="BC101" i="3" s="1"/>
  <c r="U67" i="3"/>
  <c r="BB102" i="3" s="1"/>
  <c r="V64" i="3"/>
  <c r="BC99" i="3" s="1"/>
  <c r="U39" i="3"/>
  <c r="BB74" i="3" s="1"/>
  <c r="N18" i="1"/>
  <c r="DV54" i="4" l="1"/>
  <c r="DW54" i="4" s="1"/>
  <c r="DW42" i="4"/>
  <c r="DW49" i="4"/>
  <c r="DY51" i="4"/>
  <c r="CH86" i="4"/>
  <c r="CN48" i="4"/>
  <c r="CM61" i="4"/>
  <c r="CM52" i="4"/>
  <c r="CM39" i="4"/>
  <c r="CM46" i="4"/>
  <c r="CN87" i="4"/>
  <c r="DU39" i="4"/>
  <c r="DV39" i="4" s="1"/>
  <c r="CN45" i="4"/>
  <c r="CI87" i="4"/>
  <c r="CX85" i="4"/>
  <c r="CW86" i="4"/>
  <c r="CP40" i="4"/>
  <c r="CK87" i="4"/>
  <c r="CF84" i="4"/>
  <c r="CO85" i="4"/>
  <c r="CO47" i="4"/>
  <c r="CA86" i="4"/>
  <c r="CL87" i="4"/>
  <c r="BZ85" i="4"/>
  <c r="CN62" i="4"/>
  <c r="DU46" i="4"/>
  <c r="DV46" i="4" s="1"/>
  <c r="CJ84" i="4"/>
  <c r="CO65" i="4"/>
  <c r="CG87" i="4"/>
  <c r="DU50" i="4"/>
  <c r="CP69" i="4"/>
  <c r="DW45" i="4"/>
  <c r="BX86" i="4"/>
  <c r="CD85" i="4"/>
  <c r="CB87" i="4"/>
  <c r="CP60" i="4"/>
  <c r="DY60" i="4" s="1"/>
  <c r="DV67" i="4"/>
  <c r="BY85" i="4"/>
  <c r="CM57" i="4"/>
  <c r="CM41" i="4"/>
  <c r="CN54" i="4"/>
  <c r="BW86" i="4"/>
  <c r="DV62" i="4"/>
  <c r="DW62" i="4" s="1"/>
  <c r="DV48" i="4"/>
  <c r="DW48" i="4" s="1"/>
  <c r="CM59" i="4"/>
  <c r="DV59" i="4" s="1"/>
  <c r="CU86" i="4"/>
  <c r="CE87" i="4"/>
  <c r="CQ51" i="4"/>
  <c r="CY86" i="4"/>
  <c r="DU61" i="4"/>
  <c r="CQ87" i="4"/>
  <c r="CM66" i="4"/>
  <c r="CV85" i="4"/>
  <c r="CM43" i="4"/>
  <c r="DV43" i="4" s="1"/>
  <c r="CM87" i="4"/>
  <c r="CM63" i="4"/>
  <c r="DU64" i="4"/>
  <c r="DU57" i="4"/>
  <c r="DW47" i="4"/>
  <c r="DX47" i="4" s="1"/>
  <c r="CP81" i="4"/>
  <c r="CN55" i="4"/>
  <c r="DW55" i="4" s="1"/>
  <c r="CN67" i="4"/>
  <c r="CM64" i="4"/>
  <c r="CM50" i="4"/>
  <c r="CO68" i="4"/>
  <c r="DX68" i="4" s="1"/>
  <c r="CR86" i="4"/>
  <c r="CN53" i="4"/>
  <c r="DW65" i="4"/>
  <c r="DX65" i="4" s="1"/>
  <c r="DX40" i="4"/>
  <c r="DY40" i="4" s="1"/>
  <c r="CT85" i="4"/>
  <c r="CS86" i="4"/>
  <c r="CO56" i="4"/>
  <c r="CM58" i="4"/>
  <c r="CO49" i="4"/>
  <c r="CC87" i="4"/>
  <c r="CO42" i="4"/>
  <c r="DX42" i="4" s="1"/>
  <c r="CM44" i="4"/>
  <c r="DU58" i="4"/>
  <c r="DV58" i="4" s="1"/>
  <c r="T55" i="3"/>
  <c r="BA90" i="3" s="1"/>
  <c r="T42" i="3"/>
  <c r="BA77" i="3" s="1"/>
  <c r="U45" i="3"/>
  <c r="BB80" i="3" s="1"/>
  <c r="U68" i="3"/>
  <c r="BB103" i="3" s="1"/>
  <c r="DR103" i="3" s="1"/>
  <c r="DR102" i="3" s="1"/>
  <c r="U49" i="3"/>
  <c r="BB84" i="3" s="1"/>
  <c r="U59" i="3"/>
  <c r="BB94" i="3" s="1"/>
  <c r="U63" i="3"/>
  <c r="BB98" i="3" s="1"/>
  <c r="BC96" i="3"/>
  <c r="U61" i="3"/>
  <c r="BC75" i="3"/>
  <c r="U40" i="3"/>
  <c r="DV74" i="3"/>
  <c r="BC88" i="3"/>
  <c r="U53" i="3"/>
  <c r="BC82" i="3"/>
  <c r="U47" i="3"/>
  <c r="DS101" i="3"/>
  <c r="DS100" i="3" s="1"/>
  <c r="DS99" i="3" s="1"/>
  <c r="DS98" i="3" s="1"/>
  <c r="DT97" i="3"/>
  <c r="DT96" i="3" s="1"/>
  <c r="DT95" i="3" s="1"/>
  <c r="DT94" i="3" s="1"/>
  <c r="DT93" i="3" s="1"/>
  <c r="DT92" i="3" s="1"/>
  <c r="DT91" i="3" s="1"/>
  <c r="DT90" i="3" s="1"/>
  <c r="DT89" i="3" s="1"/>
  <c r="DT88" i="3" s="1"/>
  <c r="DT87" i="3" s="1"/>
  <c r="DT86" i="3" s="1"/>
  <c r="DT85" i="3" s="1"/>
  <c r="DT84" i="3" s="1"/>
  <c r="DT83" i="3" s="1"/>
  <c r="DT82" i="3" s="1"/>
  <c r="DT81" i="3" s="1"/>
  <c r="DT80" i="3" s="1"/>
  <c r="DT79" i="3" s="1"/>
  <c r="BC79" i="3"/>
  <c r="U44" i="3"/>
  <c r="BC97" i="3"/>
  <c r="U62" i="3"/>
  <c r="DU78" i="3"/>
  <c r="DU77" i="3" s="1"/>
  <c r="DU76" i="3" s="1"/>
  <c r="DU75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X84" i="3" s="1"/>
  <c r="X85" i="3" s="1"/>
  <c r="X86" i="3" s="1"/>
  <c r="X87" i="3" s="1"/>
  <c r="X88" i="3" s="1"/>
  <c r="X89" i="3" s="1"/>
  <c r="X90" i="3" s="1"/>
  <c r="X91" i="3" s="1"/>
  <c r="X92" i="3" s="1"/>
  <c r="X93" i="3" s="1"/>
  <c r="X94" i="3" s="1"/>
  <c r="X95" i="3" s="1"/>
  <c r="X96" i="3" s="1"/>
  <c r="X97" i="3" s="1"/>
  <c r="X98" i="3" s="1"/>
  <c r="X99" i="3" s="1"/>
  <c r="X100" i="3" s="1"/>
  <c r="X101" i="3" s="1"/>
  <c r="X102" i="3" s="1"/>
  <c r="X103" i="3" s="1"/>
  <c r="X104" i="3" s="1"/>
  <c r="BC91" i="3"/>
  <c r="U56" i="3"/>
  <c r="T69" i="3"/>
  <c r="BA104" i="3" s="1"/>
  <c r="V57" i="3"/>
  <c r="BC92" i="3" s="1"/>
  <c r="V51" i="3"/>
  <c r="BC86" i="3" s="1"/>
  <c r="T60" i="3"/>
  <c r="BA95" i="3" s="1"/>
  <c r="W43" i="3"/>
  <c r="BD78" i="3" s="1"/>
  <c r="U41" i="3"/>
  <c r="BB76" i="3" s="1"/>
  <c r="U64" i="3"/>
  <c r="BB99" i="3" s="1"/>
  <c r="T50" i="3"/>
  <c r="BA85" i="3" s="1"/>
  <c r="U48" i="3"/>
  <c r="BB83" i="3" s="1"/>
  <c r="U65" i="3"/>
  <c r="BB100" i="3" s="1"/>
  <c r="V58" i="3"/>
  <c r="BC93" i="3" s="1"/>
  <c r="T67" i="3"/>
  <c r="BA102" i="3" s="1"/>
  <c r="T52" i="3"/>
  <c r="BA87" i="3" s="1"/>
  <c r="U66" i="3"/>
  <c r="BB101" i="3" s="1"/>
  <c r="U54" i="3"/>
  <c r="BB89" i="3" s="1"/>
  <c r="U46" i="3"/>
  <c r="BB81" i="3" s="1"/>
  <c r="S42" i="3"/>
  <c r="AZ77" i="3" s="1"/>
  <c r="T39" i="3"/>
  <c r="BA74" i="3" s="1"/>
  <c r="O18" i="1"/>
  <c r="P18" i="1" s="1"/>
  <c r="DV64" i="4" l="1"/>
  <c r="DV61" i="4"/>
  <c r="CL86" i="4"/>
  <c r="CN63" i="4"/>
  <c r="CW85" i="4"/>
  <c r="CN44" i="4"/>
  <c r="CA85" i="4"/>
  <c r="CN50" i="4"/>
  <c r="CN66" i="4"/>
  <c r="CR51" i="4"/>
  <c r="CN57" i="4"/>
  <c r="CB86" i="4"/>
  <c r="CX84" i="4"/>
  <c r="CP49" i="4"/>
  <c r="CN58" i="4"/>
  <c r="CQ69" i="4"/>
  <c r="CK86" i="4"/>
  <c r="CN52" i="4"/>
  <c r="DV50" i="4"/>
  <c r="CO62" i="4"/>
  <c r="CP47" i="4"/>
  <c r="DV66" i="4"/>
  <c r="DW66" i="4" s="1"/>
  <c r="DV63" i="4"/>
  <c r="DW63" i="4" s="1"/>
  <c r="CN61" i="4"/>
  <c r="CH85" i="4"/>
  <c r="CP68" i="4"/>
  <c r="CY85" i="4"/>
  <c r="CJ83" i="4"/>
  <c r="DZ40" i="4"/>
  <c r="DV44" i="4"/>
  <c r="CN86" i="4"/>
  <c r="CP42" i="4"/>
  <c r="CO53" i="4"/>
  <c r="CN64" i="4"/>
  <c r="CM86" i="4"/>
  <c r="CQ86" i="4"/>
  <c r="CE86" i="4"/>
  <c r="BW85" i="4"/>
  <c r="BY84" i="4"/>
  <c r="CD84" i="4"/>
  <c r="CG86" i="4"/>
  <c r="DV52" i="4"/>
  <c r="DW52" i="4" s="1"/>
  <c r="CI86" i="4"/>
  <c r="CN46" i="4"/>
  <c r="DW46" i="4" s="1"/>
  <c r="DY69" i="4"/>
  <c r="CO67" i="4"/>
  <c r="CQ60" i="4"/>
  <c r="DZ60" i="4" s="1"/>
  <c r="CV84" i="4"/>
  <c r="CN41" i="4"/>
  <c r="CP56" i="4"/>
  <c r="DV41" i="4"/>
  <c r="CC86" i="4"/>
  <c r="CS85" i="4"/>
  <c r="DY47" i="4"/>
  <c r="BZ84" i="4"/>
  <c r="CO84" i="4"/>
  <c r="DZ51" i="4"/>
  <c r="CO48" i="4"/>
  <c r="DX48" i="4" s="1"/>
  <c r="CT84" i="4"/>
  <c r="CF83" i="4"/>
  <c r="CN59" i="4"/>
  <c r="CO55" i="4"/>
  <c r="CP80" i="4"/>
  <c r="CR85" i="4"/>
  <c r="DX56" i="4"/>
  <c r="DV57" i="4"/>
  <c r="DW57" i="4" s="1"/>
  <c r="CN43" i="4"/>
  <c r="DX49" i="4"/>
  <c r="CU85" i="4"/>
  <c r="CO54" i="4"/>
  <c r="DX54" i="4" s="1"/>
  <c r="DW67" i="4"/>
  <c r="BX85" i="4"/>
  <c r="CP65" i="4"/>
  <c r="DY65" i="4" s="1"/>
  <c r="CQ40" i="4"/>
  <c r="CO45" i="4"/>
  <c r="DX45" i="4" s="1"/>
  <c r="CN39" i="4"/>
  <c r="DW53" i="4"/>
  <c r="DX53" i="4" s="1"/>
  <c r="S55" i="3"/>
  <c r="AZ90" i="3" s="1"/>
  <c r="T59" i="3"/>
  <c r="BA94" i="3" s="1"/>
  <c r="T45" i="3"/>
  <c r="BA80" i="3" s="1"/>
  <c r="T49" i="3"/>
  <c r="BA84" i="3" s="1"/>
  <c r="T63" i="3"/>
  <c r="BA98" i="3" s="1"/>
  <c r="T68" i="3"/>
  <c r="BA103" i="3" s="1"/>
  <c r="DQ103" i="3" s="1"/>
  <c r="DQ102" i="3" s="1"/>
  <c r="BB96" i="3"/>
  <c r="T61" i="3"/>
  <c r="BB75" i="3"/>
  <c r="T40" i="3"/>
  <c r="BB88" i="3"/>
  <c r="T53" i="3"/>
  <c r="DS97" i="3"/>
  <c r="DS96" i="3" s="1"/>
  <c r="DS95" i="3" s="1"/>
  <c r="DS94" i="3" s="1"/>
  <c r="DS93" i="3" s="1"/>
  <c r="DS92" i="3" s="1"/>
  <c r="DS91" i="3" s="1"/>
  <c r="DS90" i="3" s="1"/>
  <c r="DS89" i="3" s="1"/>
  <c r="DS88" i="3" s="1"/>
  <c r="DS87" i="3" s="1"/>
  <c r="DS86" i="3" s="1"/>
  <c r="DS85" i="3" s="1"/>
  <c r="DS84" i="3" s="1"/>
  <c r="DS83" i="3" s="1"/>
  <c r="DS82" i="3" s="1"/>
  <c r="DS81" i="3" s="1"/>
  <c r="DS80" i="3" s="1"/>
  <c r="DS79" i="3" s="1"/>
  <c r="BB82" i="3"/>
  <c r="T47" i="3"/>
  <c r="BB97" i="3"/>
  <c r="T62" i="3"/>
  <c r="BB79" i="3"/>
  <c r="T44" i="3"/>
  <c r="DU74" i="3"/>
  <c r="BB91" i="3"/>
  <c r="T56" i="3"/>
  <c r="DT78" i="3"/>
  <c r="DT77" i="3" s="1"/>
  <c r="DT76" i="3" s="1"/>
  <c r="DT75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W84" i="3" s="1"/>
  <c r="W85" i="3" s="1"/>
  <c r="W86" i="3" s="1"/>
  <c r="W87" i="3" s="1"/>
  <c r="W88" i="3" s="1"/>
  <c r="W89" i="3" s="1"/>
  <c r="W90" i="3" s="1"/>
  <c r="W91" i="3" s="1"/>
  <c r="W92" i="3" s="1"/>
  <c r="W93" i="3" s="1"/>
  <c r="W94" i="3" s="1"/>
  <c r="W95" i="3" s="1"/>
  <c r="W96" i="3" s="1"/>
  <c r="W97" i="3" s="1"/>
  <c r="W98" i="3" s="1"/>
  <c r="W99" i="3" s="1"/>
  <c r="W100" i="3" s="1"/>
  <c r="W101" i="3" s="1"/>
  <c r="W102" i="3" s="1"/>
  <c r="W103" i="3" s="1"/>
  <c r="W104" i="3" s="1"/>
  <c r="DR101" i="3"/>
  <c r="DR100" i="3" s="1"/>
  <c r="DR99" i="3" s="1"/>
  <c r="DR98" i="3" s="1"/>
  <c r="DR97" i="3" s="1"/>
  <c r="S67" i="3"/>
  <c r="AZ102" i="3" s="1"/>
  <c r="S52" i="3"/>
  <c r="AZ87" i="3" s="1"/>
  <c r="T46" i="3"/>
  <c r="BA81" i="3" s="1"/>
  <c r="T48" i="3"/>
  <c r="BA83" i="3" s="1"/>
  <c r="V43" i="3"/>
  <c r="BC78" i="3" s="1"/>
  <c r="U51" i="3"/>
  <c r="BB86" i="3" s="1"/>
  <c r="R55" i="3"/>
  <c r="AY90" i="3" s="1"/>
  <c r="T41" i="3"/>
  <c r="BA76" i="3" s="1"/>
  <c r="T54" i="3"/>
  <c r="BA89" i="3" s="1"/>
  <c r="U58" i="3"/>
  <c r="BB93" i="3" s="1"/>
  <c r="S50" i="3"/>
  <c r="AZ85" i="3" s="1"/>
  <c r="S49" i="3"/>
  <c r="AZ84" i="3" s="1"/>
  <c r="S69" i="3"/>
  <c r="AZ104" i="3" s="1"/>
  <c r="S60" i="3"/>
  <c r="AZ95" i="3" s="1"/>
  <c r="T66" i="3"/>
  <c r="BA101" i="3" s="1"/>
  <c r="U57" i="3"/>
  <c r="BB92" i="3" s="1"/>
  <c r="R42" i="3"/>
  <c r="AY77" i="3" s="1"/>
  <c r="T65" i="3"/>
  <c r="BA100" i="3" s="1"/>
  <c r="T64" i="3"/>
  <c r="BA99" i="3" s="1"/>
  <c r="S39" i="3"/>
  <c r="AZ74" i="3" s="1"/>
  <c r="Q18" i="1"/>
  <c r="DW64" i="4" l="1"/>
  <c r="DY49" i="4"/>
  <c r="DZ49" i="4" s="1"/>
  <c r="DW50" i="4"/>
  <c r="DX50" i="4" s="1"/>
  <c r="CP79" i="4"/>
  <c r="CQ56" i="4"/>
  <c r="CP62" i="4"/>
  <c r="CP53" i="4"/>
  <c r="CP55" i="4"/>
  <c r="CP48" i="4"/>
  <c r="CS84" i="4"/>
  <c r="CO41" i="4"/>
  <c r="DZ69" i="4"/>
  <c r="CD83" i="4"/>
  <c r="CQ85" i="4"/>
  <c r="CQ42" i="4"/>
  <c r="CY84" i="4"/>
  <c r="DX62" i="4"/>
  <c r="CO58" i="4"/>
  <c r="CO66" i="4"/>
  <c r="DX66" i="4" s="1"/>
  <c r="CW84" i="4"/>
  <c r="DY53" i="4"/>
  <c r="CR69" i="4"/>
  <c r="CO44" i="4"/>
  <c r="CO43" i="4"/>
  <c r="CO46" i="4"/>
  <c r="DX46" i="4" s="1"/>
  <c r="CB85" i="4"/>
  <c r="DY42" i="4"/>
  <c r="CO39" i="4"/>
  <c r="DW43" i="4"/>
  <c r="CO61" i="4"/>
  <c r="CP54" i="4"/>
  <c r="CO59" i="4"/>
  <c r="CV83" i="4"/>
  <c r="BY83" i="4"/>
  <c r="CM85" i="4"/>
  <c r="CN85" i="4"/>
  <c r="CQ68" i="4"/>
  <c r="CO52" i="4"/>
  <c r="DX52" i="4" s="1"/>
  <c r="DW39" i="4"/>
  <c r="DX39" i="4" s="1"/>
  <c r="CO50" i="4"/>
  <c r="DX55" i="4"/>
  <c r="BZ83" i="4"/>
  <c r="CL85" i="4"/>
  <c r="CT83" i="4"/>
  <c r="CG85" i="4"/>
  <c r="CJ82" i="4"/>
  <c r="CS51" i="4"/>
  <c r="DW61" i="4"/>
  <c r="DX61" i="4" s="1"/>
  <c r="CP45" i="4"/>
  <c r="DY45" i="4" s="1"/>
  <c r="DY56" i="4"/>
  <c r="DZ56" i="4" s="1"/>
  <c r="CC85" i="4"/>
  <c r="CR40" i="4"/>
  <c r="EA40" i="4" s="1"/>
  <c r="CR84" i="4"/>
  <c r="CO83" i="4"/>
  <c r="CI85" i="4"/>
  <c r="CQ47" i="4"/>
  <c r="DW58" i="4"/>
  <c r="DX58" i="4" s="1"/>
  <c r="CO57" i="4"/>
  <c r="DX57" i="4" s="1"/>
  <c r="CO63" i="4"/>
  <c r="DY68" i="4"/>
  <c r="DZ68" i="4" s="1"/>
  <c r="CQ65" i="4"/>
  <c r="DZ65" i="4" s="1"/>
  <c r="DY48" i="4"/>
  <c r="CP67" i="4"/>
  <c r="CE85" i="4"/>
  <c r="CX83" i="4"/>
  <c r="BX84" i="4"/>
  <c r="DX67" i="4"/>
  <c r="EA51" i="4"/>
  <c r="CU84" i="4"/>
  <c r="CF82" i="4"/>
  <c r="DW41" i="4"/>
  <c r="DX41" i="4" s="1"/>
  <c r="CR60" i="4"/>
  <c r="BW84" i="4"/>
  <c r="CO64" i="4"/>
  <c r="DW44" i="4"/>
  <c r="CH84" i="4"/>
  <c r="CK85" i="4"/>
  <c r="CQ49" i="4"/>
  <c r="CA84" i="4"/>
  <c r="DW59" i="4"/>
  <c r="DX59" i="4" s="1"/>
  <c r="S59" i="3"/>
  <c r="AZ94" i="3" s="1"/>
  <c r="S68" i="3"/>
  <c r="AZ103" i="3" s="1"/>
  <c r="DP103" i="3" s="1"/>
  <c r="DP102" i="3" s="1"/>
  <c r="S45" i="3"/>
  <c r="AZ80" i="3" s="1"/>
  <c r="S63" i="3"/>
  <c r="AZ98" i="3" s="1"/>
  <c r="DR96" i="3"/>
  <c r="DR95" i="3" s="1"/>
  <c r="DR94" i="3" s="1"/>
  <c r="DR93" i="3" s="1"/>
  <c r="DR92" i="3" s="1"/>
  <c r="DR91" i="3" s="1"/>
  <c r="DR90" i="3" s="1"/>
  <c r="DR89" i="3" s="1"/>
  <c r="DR88" i="3" s="1"/>
  <c r="DR87" i="3" s="1"/>
  <c r="DR86" i="3" s="1"/>
  <c r="DR85" i="3" s="1"/>
  <c r="DR84" i="3" s="1"/>
  <c r="DR83" i="3" s="1"/>
  <c r="DR82" i="3" s="1"/>
  <c r="DR81" i="3" s="1"/>
  <c r="DR80" i="3" s="1"/>
  <c r="DR79" i="3" s="1"/>
  <c r="BA96" i="3"/>
  <c r="S61" i="3"/>
  <c r="DQ101" i="3"/>
  <c r="DQ100" i="3" s="1"/>
  <c r="DQ99" i="3" s="1"/>
  <c r="DQ98" i="3" s="1"/>
  <c r="BA75" i="3"/>
  <c r="S40" i="3"/>
  <c r="BA82" i="3"/>
  <c r="S47" i="3"/>
  <c r="DS78" i="3"/>
  <c r="DS77" i="3" s="1"/>
  <c r="DS76" i="3" s="1"/>
  <c r="DS75" i="3" s="1"/>
  <c r="V74" i="3" s="1"/>
  <c r="V75" i="3" s="1"/>
  <c r="V76" i="3" s="1"/>
  <c r="V77" i="3" s="1"/>
  <c r="V78" i="3" s="1"/>
  <c r="V79" i="3" s="1"/>
  <c r="V80" i="3" s="1"/>
  <c r="V81" i="3" s="1"/>
  <c r="V82" i="3" s="1"/>
  <c r="V83" i="3" s="1"/>
  <c r="V84" i="3" s="1"/>
  <c r="V85" i="3" s="1"/>
  <c r="V86" i="3" s="1"/>
  <c r="V87" i="3" s="1"/>
  <c r="V88" i="3" s="1"/>
  <c r="V89" i="3" s="1"/>
  <c r="V90" i="3" s="1"/>
  <c r="V91" i="3" s="1"/>
  <c r="V92" i="3" s="1"/>
  <c r="V93" i="3" s="1"/>
  <c r="V94" i="3" s="1"/>
  <c r="V95" i="3" s="1"/>
  <c r="V96" i="3" s="1"/>
  <c r="V97" i="3" s="1"/>
  <c r="V98" i="3" s="1"/>
  <c r="V99" i="3" s="1"/>
  <c r="V100" i="3" s="1"/>
  <c r="V101" i="3" s="1"/>
  <c r="V102" i="3" s="1"/>
  <c r="V103" i="3" s="1"/>
  <c r="V104" i="3" s="1"/>
  <c r="BA88" i="3"/>
  <c r="S53" i="3"/>
  <c r="BA91" i="3"/>
  <c r="S56" i="3"/>
  <c r="BA79" i="3"/>
  <c r="S44" i="3"/>
  <c r="DT74" i="3"/>
  <c r="BA97" i="3"/>
  <c r="S62" i="3"/>
  <c r="S64" i="3"/>
  <c r="AZ99" i="3" s="1"/>
  <c r="R68" i="3"/>
  <c r="AY103" i="3" s="1"/>
  <c r="DO103" i="3" s="1"/>
  <c r="T51" i="3"/>
  <c r="BA86" i="3" s="1"/>
  <c r="S65" i="3"/>
  <c r="AZ100" i="3" s="1"/>
  <c r="R69" i="3"/>
  <c r="AY104" i="3" s="1"/>
  <c r="R60" i="3"/>
  <c r="AY95" i="3" s="1"/>
  <c r="T57" i="3"/>
  <c r="BA92" i="3" s="1"/>
  <c r="S54" i="3"/>
  <c r="AZ89" i="3" s="1"/>
  <c r="U43" i="3"/>
  <c r="BB78" i="3" s="1"/>
  <c r="R49" i="3"/>
  <c r="AY84" i="3" s="1"/>
  <c r="R52" i="3"/>
  <c r="AY87" i="3" s="1"/>
  <c r="S66" i="3"/>
  <c r="AZ101" i="3" s="1"/>
  <c r="S41" i="3"/>
  <c r="AZ76" i="3" s="1"/>
  <c r="S48" i="3"/>
  <c r="AZ83" i="3" s="1"/>
  <c r="R67" i="3"/>
  <c r="AY102" i="3" s="1"/>
  <c r="R50" i="3"/>
  <c r="AY85" i="3" s="1"/>
  <c r="T58" i="3"/>
  <c r="BA93" i="3" s="1"/>
  <c r="R59" i="3"/>
  <c r="AY94" i="3" s="1"/>
  <c r="Q42" i="3"/>
  <c r="AX77" i="3" s="1"/>
  <c r="Q55" i="3"/>
  <c r="AX90" i="3" s="1"/>
  <c r="S46" i="3"/>
  <c r="AZ81" i="3" s="1"/>
  <c r="R39" i="3"/>
  <c r="AY74" i="3" s="1"/>
  <c r="R18" i="1"/>
  <c r="DX44" i="4" l="1"/>
  <c r="DZ42" i="4"/>
  <c r="EA69" i="4"/>
  <c r="DY62" i="4"/>
  <c r="DY52" i="4"/>
  <c r="CH83" i="4"/>
  <c r="CP78" i="4"/>
  <c r="CP64" i="4"/>
  <c r="CI84" i="4"/>
  <c r="CC84" i="4"/>
  <c r="BY82" i="4"/>
  <c r="CP61" i="4"/>
  <c r="DY61" i="4" s="1"/>
  <c r="CB84" i="4"/>
  <c r="CP44" i="4"/>
  <c r="CR42" i="4"/>
  <c r="CQ53" i="4"/>
  <c r="CP52" i="4"/>
  <c r="CP41" i="4"/>
  <c r="CR49" i="4"/>
  <c r="EA49" i="4" s="1"/>
  <c r="CU83" i="4"/>
  <c r="CE84" i="4"/>
  <c r="CP63" i="4"/>
  <c r="CJ81" i="4"/>
  <c r="BZ82" i="4"/>
  <c r="CP66" i="4"/>
  <c r="CS83" i="4"/>
  <c r="DY41" i="4"/>
  <c r="CS40" i="4"/>
  <c r="EB40" i="4" s="1"/>
  <c r="CA83" i="4"/>
  <c r="CX82" i="4"/>
  <c r="CL84" i="4"/>
  <c r="CW83" i="4"/>
  <c r="BW83" i="4"/>
  <c r="CR68" i="4"/>
  <c r="CV82" i="4"/>
  <c r="DX43" i="4"/>
  <c r="DX63" i="4"/>
  <c r="CS69" i="4"/>
  <c r="CQ84" i="4"/>
  <c r="CQ62" i="4"/>
  <c r="CR65" i="4"/>
  <c r="CQ54" i="4"/>
  <c r="CK84" i="4"/>
  <c r="EB51" i="4"/>
  <c r="EC51" i="4" s="1"/>
  <c r="CQ67" i="4"/>
  <c r="CP57" i="4"/>
  <c r="CQ45" i="4"/>
  <c r="DZ45" i="4" s="1"/>
  <c r="CG84" i="4"/>
  <c r="DY55" i="4"/>
  <c r="CP39" i="4"/>
  <c r="CP46" i="4"/>
  <c r="CP58" i="4"/>
  <c r="CQ48" i="4"/>
  <c r="DZ48" i="4" s="1"/>
  <c r="DY54" i="4"/>
  <c r="BX83" i="4"/>
  <c r="CT82" i="4"/>
  <c r="DY57" i="4"/>
  <c r="CQ55" i="4"/>
  <c r="CR47" i="4"/>
  <c r="DZ47" i="4"/>
  <c r="CM84" i="4"/>
  <c r="CP43" i="4"/>
  <c r="CY83" i="4"/>
  <c r="CF81" i="4"/>
  <c r="CT51" i="4"/>
  <c r="CO82" i="4"/>
  <c r="CS60" i="4"/>
  <c r="DY67" i="4"/>
  <c r="CR83" i="4"/>
  <c r="CP50" i="4"/>
  <c r="DY50" i="4" s="1"/>
  <c r="CN84" i="4"/>
  <c r="CP59" i="4"/>
  <c r="DY59" i="4" s="1"/>
  <c r="DX64" i="4"/>
  <c r="CD82" i="4"/>
  <c r="CR56" i="4"/>
  <c r="EA60" i="4"/>
  <c r="R63" i="3"/>
  <c r="AY98" i="3" s="1"/>
  <c r="R45" i="3"/>
  <c r="AY80" i="3" s="1"/>
  <c r="AZ96" i="3"/>
  <c r="R61" i="3"/>
  <c r="DR78" i="3"/>
  <c r="DR77" i="3" s="1"/>
  <c r="DR76" i="3" s="1"/>
  <c r="DR75" i="3" s="1"/>
  <c r="DR74" i="3" s="1"/>
  <c r="AZ75" i="3"/>
  <c r="R40" i="3"/>
  <c r="DS74" i="3"/>
  <c r="AZ88" i="3"/>
  <c r="R53" i="3"/>
  <c r="AZ82" i="3"/>
  <c r="R47" i="3"/>
  <c r="AZ97" i="3"/>
  <c r="R62" i="3"/>
  <c r="DQ97" i="3"/>
  <c r="DQ96" i="3" s="1"/>
  <c r="DQ95" i="3" s="1"/>
  <c r="DQ94" i="3" s="1"/>
  <c r="DQ93" i="3" s="1"/>
  <c r="DQ92" i="3" s="1"/>
  <c r="DQ91" i="3" s="1"/>
  <c r="DQ90" i="3" s="1"/>
  <c r="DQ89" i="3" s="1"/>
  <c r="DQ88" i="3" s="1"/>
  <c r="DQ87" i="3" s="1"/>
  <c r="DQ86" i="3" s="1"/>
  <c r="DQ85" i="3" s="1"/>
  <c r="DQ84" i="3" s="1"/>
  <c r="DQ83" i="3" s="1"/>
  <c r="DQ82" i="3" s="1"/>
  <c r="DQ81" i="3" s="1"/>
  <c r="DQ80" i="3" s="1"/>
  <c r="DQ79" i="3" s="1"/>
  <c r="AZ79" i="3"/>
  <c r="R44" i="3"/>
  <c r="AZ91" i="3"/>
  <c r="R56" i="3"/>
  <c r="DP101" i="3"/>
  <c r="DP100" i="3" s="1"/>
  <c r="DP99" i="3" s="1"/>
  <c r="DP98" i="3" s="1"/>
  <c r="DO102" i="3"/>
  <c r="P55" i="3"/>
  <c r="AW90" i="3" s="1"/>
  <c r="S58" i="3"/>
  <c r="AZ93" i="3" s="1"/>
  <c r="R48" i="3"/>
  <c r="AY83" i="3" s="1"/>
  <c r="S51" i="3"/>
  <c r="AZ86" i="3" s="1"/>
  <c r="Q60" i="3"/>
  <c r="AX95" i="3" s="1"/>
  <c r="R41" i="3"/>
  <c r="AY76" i="3" s="1"/>
  <c r="P42" i="3"/>
  <c r="AW77" i="3" s="1"/>
  <c r="Q52" i="3"/>
  <c r="AX87" i="3" s="1"/>
  <c r="R54" i="3"/>
  <c r="AY89" i="3" s="1"/>
  <c r="Q69" i="3"/>
  <c r="AX104" i="3" s="1"/>
  <c r="Q68" i="3"/>
  <c r="AX103" i="3" s="1"/>
  <c r="DN103" i="3" s="1"/>
  <c r="T43" i="3"/>
  <c r="BA78" i="3" s="1"/>
  <c r="Q67" i="3"/>
  <c r="AX102" i="3" s="1"/>
  <c r="R66" i="3"/>
  <c r="AY101" i="3" s="1"/>
  <c r="Q49" i="3"/>
  <c r="AX84" i="3" s="1"/>
  <c r="Q45" i="3"/>
  <c r="AX80" i="3" s="1"/>
  <c r="Q50" i="3"/>
  <c r="AX85" i="3" s="1"/>
  <c r="R46" i="3"/>
  <c r="AY81" i="3" s="1"/>
  <c r="Q59" i="3"/>
  <c r="AX94" i="3" s="1"/>
  <c r="S57" i="3"/>
  <c r="AZ92" i="3" s="1"/>
  <c r="R65" i="3"/>
  <c r="AY100" i="3" s="1"/>
  <c r="R64" i="3"/>
  <c r="AY99" i="3" s="1"/>
  <c r="Q39" i="3"/>
  <c r="AX74" i="3" s="1"/>
  <c r="S18" i="1"/>
  <c r="DY44" i="4" l="1"/>
  <c r="DY63" i="4"/>
  <c r="DZ55" i="4"/>
  <c r="DZ54" i="4"/>
  <c r="CS47" i="4"/>
  <c r="CS68" i="4"/>
  <c r="BZ81" i="4"/>
  <c r="CR53" i="4"/>
  <c r="EA68" i="4"/>
  <c r="EB68" i="4" s="1"/>
  <c r="CN83" i="4"/>
  <c r="CS65" i="4"/>
  <c r="DZ53" i="4"/>
  <c r="CH82" i="4"/>
  <c r="CO81" i="4"/>
  <c r="CS42" i="4"/>
  <c r="CD81" i="4"/>
  <c r="CQ58" i="4"/>
  <c r="CK83" i="4"/>
  <c r="CQ63" i="4"/>
  <c r="CQ41" i="4"/>
  <c r="DZ41" i="4" s="1"/>
  <c r="CQ44" i="4"/>
  <c r="CC83" i="4"/>
  <c r="CP77" i="4"/>
  <c r="EA48" i="4"/>
  <c r="CY82" i="4"/>
  <c r="CR67" i="4"/>
  <c r="CQ64" i="4"/>
  <c r="CS56" i="4"/>
  <c r="CR55" i="4"/>
  <c r="CT69" i="4"/>
  <c r="CS49" i="4"/>
  <c r="CQ43" i="4"/>
  <c r="BW82" i="4"/>
  <c r="CS82" i="4"/>
  <c r="CR82" i="4"/>
  <c r="CU51" i="4"/>
  <c r="CM83" i="4"/>
  <c r="CT81" i="4"/>
  <c r="CR45" i="4"/>
  <c r="DY58" i="4"/>
  <c r="DY43" i="4"/>
  <c r="DZ43" i="4" s="1"/>
  <c r="CW82" i="4"/>
  <c r="EB69" i="4"/>
  <c r="CQ66" i="4"/>
  <c r="CQ39" i="4"/>
  <c r="CQ83" i="4"/>
  <c r="CU82" i="4"/>
  <c r="CX81" i="4"/>
  <c r="EA56" i="4"/>
  <c r="EB56" i="4" s="1"/>
  <c r="BY81" i="4"/>
  <c r="CQ50" i="4"/>
  <c r="DZ50" i="4" s="1"/>
  <c r="CA82" i="4"/>
  <c r="EA42" i="4"/>
  <c r="EB42" i="4" s="1"/>
  <c r="DY64" i="4"/>
  <c r="DZ64" i="4" s="1"/>
  <c r="CQ46" i="4"/>
  <c r="CR62" i="4"/>
  <c r="CV81" i="4"/>
  <c r="CT40" i="4"/>
  <c r="EC40" i="4" s="1"/>
  <c r="CE83" i="4"/>
  <c r="CQ52" i="4"/>
  <c r="CB83" i="4"/>
  <c r="CI83" i="4"/>
  <c r="DY39" i="4"/>
  <c r="DY46" i="4"/>
  <c r="CT60" i="4"/>
  <c r="CQ61" i="4"/>
  <c r="DZ61" i="4" s="1"/>
  <c r="EB60" i="4"/>
  <c r="CR48" i="4"/>
  <c r="CJ80" i="4"/>
  <c r="CG83" i="4"/>
  <c r="DZ52" i="4"/>
  <c r="CQ59" i="4"/>
  <c r="DZ59" i="4" s="1"/>
  <c r="DZ67" i="4"/>
  <c r="EA67" i="4" s="1"/>
  <c r="CF80" i="4"/>
  <c r="EA47" i="4"/>
  <c r="BX82" i="4"/>
  <c r="CQ57" i="4"/>
  <c r="CR54" i="4"/>
  <c r="CL83" i="4"/>
  <c r="DY66" i="4"/>
  <c r="DZ66" i="4" s="1"/>
  <c r="DZ62" i="4"/>
  <c r="EA62" i="4" s="1"/>
  <c r="EA65" i="4"/>
  <c r="EB65" i="4" s="1"/>
  <c r="Q63" i="3"/>
  <c r="AX98" i="3" s="1"/>
  <c r="AY96" i="3"/>
  <c r="Q61" i="3"/>
  <c r="U74" i="3"/>
  <c r="U75" i="3" s="1"/>
  <c r="U76" i="3" s="1"/>
  <c r="U77" i="3" s="1"/>
  <c r="U78" i="3" s="1"/>
  <c r="U79" i="3" s="1"/>
  <c r="U80" i="3" s="1"/>
  <c r="U81" i="3" s="1"/>
  <c r="U82" i="3" s="1"/>
  <c r="U83" i="3" s="1"/>
  <c r="U84" i="3" s="1"/>
  <c r="U85" i="3" s="1"/>
  <c r="U86" i="3" s="1"/>
  <c r="U87" i="3" s="1"/>
  <c r="U88" i="3" s="1"/>
  <c r="U89" i="3" s="1"/>
  <c r="U90" i="3" s="1"/>
  <c r="U91" i="3" s="1"/>
  <c r="U92" i="3" s="1"/>
  <c r="U93" i="3" s="1"/>
  <c r="U94" i="3" s="1"/>
  <c r="U95" i="3" s="1"/>
  <c r="U96" i="3" s="1"/>
  <c r="U97" i="3" s="1"/>
  <c r="U98" i="3" s="1"/>
  <c r="U99" i="3" s="1"/>
  <c r="U100" i="3" s="1"/>
  <c r="U101" i="3" s="1"/>
  <c r="U102" i="3" s="1"/>
  <c r="U103" i="3" s="1"/>
  <c r="U104" i="3" s="1"/>
  <c r="DP97" i="3"/>
  <c r="DP96" i="3" s="1"/>
  <c r="DP95" i="3" s="1"/>
  <c r="DP94" i="3" s="1"/>
  <c r="DP93" i="3" s="1"/>
  <c r="DP92" i="3" s="1"/>
  <c r="DP91" i="3" s="1"/>
  <c r="DP90" i="3" s="1"/>
  <c r="DP89" i="3" s="1"/>
  <c r="DP88" i="3" s="1"/>
  <c r="DP87" i="3" s="1"/>
  <c r="DP86" i="3" s="1"/>
  <c r="DP85" i="3" s="1"/>
  <c r="DP84" i="3" s="1"/>
  <c r="DP83" i="3" s="1"/>
  <c r="DP82" i="3" s="1"/>
  <c r="DP81" i="3" s="1"/>
  <c r="DP80" i="3" s="1"/>
  <c r="DP79" i="3" s="1"/>
  <c r="AY75" i="3"/>
  <c r="Q40" i="3"/>
  <c r="AY82" i="3"/>
  <c r="Q47" i="3"/>
  <c r="AY88" i="3"/>
  <c r="Q53" i="3"/>
  <c r="DQ78" i="3"/>
  <c r="DQ77" i="3" s="1"/>
  <c r="DQ76" i="3" s="1"/>
  <c r="DQ75" i="3" s="1"/>
  <c r="T74" i="3" s="1"/>
  <c r="T75" i="3" s="1"/>
  <c r="T76" i="3" s="1"/>
  <c r="T77" i="3" s="1"/>
  <c r="T78" i="3" s="1"/>
  <c r="T79" i="3" s="1"/>
  <c r="T80" i="3" s="1"/>
  <c r="T81" i="3" s="1"/>
  <c r="T82" i="3" s="1"/>
  <c r="T83" i="3" s="1"/>
  <c r="T84" i="3" s="1"/>
  <c r="T85" i="3" s="1"/>
  <c r="T86" i="3" s="1"/>
  <c r="T87" i="3" s="1"/>
  <c r="T88" i="3" s="1"/>
  <c r="T89" i="3" s="1"/>
  <c r="T90" i="3" s="1"/>
  <c r="T91" i="3" s="1"/>
  <c r="T92" i="3" s="1"/>
  <c r="T93" i="3" s="1"/>
  <c r="T94" i="3" s="1"/>
  <c r="T95" i="3" s="1"/>
  <c r="T96" i="3" s="1"/>
  <c r="T97" i="3" s="1"/>
  <c r="T98" i="3" s="1"/>
  <c r="T99" i="3" s="1"/>
  <c r="T100" i="3" s="1"/>
  <c r="T101" i="3" s="1"/>
  <c r="T102" i="3" s="1"/>
  <c r="T103" i="3" s="1"/>
  <c r="T104" i="3" s="1"/>
  <c r="AY91" i="3"/>
  <c r="Q56" i="3"/>
  <c r="AY79" i="3"/>
  <c r="Q44" i="3"/>
  <c r="AY97" i="3"/>
  <c r="Q62" i="3"/>
  <c r="DO101" i="3"/>
  <c r="DO100" i="3" s="1"/>
  <c r="DO99" i="3" s="1"/>
  <c r="DO98" i="3" s="1"/>
  <c r="DN102" i="3"/>
  <c r="R57" i="3"/>
  <c r="AY92" i="3" s="1"/>
  <c r="P45" i="3"/>
  <c r="AW80" i="3" s="1"/>
  <c r="S43" i="3"/>
  <c r="AZ78" i="3" s="1"/>
  <c r="P63" i="3"/>
  <c r="AW98" i="3" s="1"/>
  <c r="R51" i="3"/>
  <c r="AY86" i="3" s="1"/>
  <c r="Q48" i="3"/>
  <c r="AX83" i="3" s="1"/>
  <c r="P59" i="3"/>
  <c r="AW94" i="3" s="1"/>
  <c r="P52" i="3"/>
  <c r="AW87" i="3" s="1"/>
  <c r="R58" i="3"/>
  <c r="AY93" i="3" s="1"/>
  <c r="Q64" i="3"/>
  <c r="AX99" i="3" s="1"/>
  <c r="P69" i="3"/>
  <c r="AW104" i="3" s="1"/>
  <c r="O42" i="3"/>
  <c r="AV77" i="3" s="1"/>
  <c r="P49" i="3"/>
  <c r="AW84" i="3" s="1"/>
  <c r="Q46" i="3"/>
  <c r="AX81" i="3" s="1"/>
  <c r="Q65" i="3"/>
  <c r="AX100" i="3" s="1"/>
  <c r="Q54" i="3"/>
  <c r="AX89" i="3" s="1"/>
  <c r="O55" i="3"/>
  <c r="AV90" i="3" s="1"/>
  <c r="P68" i="3"/>
  <c r="AW103" i="3" s="1"/>
  <c r="DM103" i="3" s="1"/>
  <c r="Q41" i="3"/>
  <c r="AX76" i="3" s="1"/>
  <c r="Q66" i="3"/>
  <c r="AX101" i="3" s="1"/>
  <c r="P50" i="3"/>
  <c r="AW85" i="3" s="1"/>
  <c r="P67" i="3"/>
  <c r="AW102" i="3" s="1"/>
  <c r="P60" i="3"/>
  <c r="AW95" i="3" s="1"/>
  <c r="P39" i="3"/>
  <c r="AW74" i="3" s="1"/>
  <c r="T18" i="1"/>
  <c r="EA55" i="4" l="1"/>
  <c r="EB55" i="4" s="1"/>
  <c r="EC60" i="4"/>
  <c r="EC69" i="4"/>
  <c r="CR57" i="4"/>
  <c r="CW81" i="4"/>
  <c r="CR44" i="4"/>
  <c r="CN82" i="4"/>
  <c r="CQ82" i="4"/>
  <c r="CO80" i="4"/>
  <c r="CV80" i="4"/>
  <c r="CR39" i="4"/>
  <c r="DZ58" i="4"/>
  <c r="DZ57" i="4"/>
  <c r="CH81" i="4"/>
  <c r="CS53" i="4"/>
  <c r="CI82" i="4"/>
  <c r="CS55" i="4"/>
  <c r="CV51" i="4"/>
  <c r="CR41" i="4"/>
  <c r="CG82" i="4"/>
  <c r="CA81" i="4"/>
  <c r="CL82" i="4"/>
  <c r="EB47" i="4"/>
  <c r="CU60" i="4"/>
  <c r="CR52" i="4"/>
  <c r="CS62" i="4"/>
  <c r="CX80" i="4"/>
  <c r="CS45" i="4"/>
  <c r="CR81" i="4"/>
  <c r="CT49" i="4"/>
  <c r="CR64" i="4"/>
  <c r="EA64" i="4" s="1"/>
  <c r="CP76" i="4"/>
  <c r="CR63" i="4"/>
  <c r="CD80" i="4"/>
  <c r="CM82" i="4"/>
  <c r="CT56" i="4"/>
  <c r="EC56" i="4" s="1"/>
  <c r="CF79" i="4"/>
  <c r="CJ79" i="4"/>
  <c r="CR66" i="4"/>
  <c r="EA53" i="4"/>
  <c r="BZ80" i="4"/>
  <c r="CU40" i="4"/>
  <c r="BW81" i="4"/>
  <c r="CR58" i="4"/>
  <c r="CR43" i="4"/>
  <c r="EA66" i="4"/>
  <c r="CS54" i="4"/>
  <c r="DZ46" i="4"/>
  <c r="CE82" i="4"/>
  <c r="DZ44" i="4"/>
  <c r="CR50" i="4"/>
  <c r="EA54" i="4"/>
  <c r="CT80" i="4"/>
  <c r="CS81" i="4"/>
  <c r="CU69" i="4"/>
  <c r="CS67" i="4"/>
  <c r="CC82" i="4"/>
  <c r="DZ63" i="4"/>
  <c r="EA63" i="4" s="1"/>
  <c r="ED51" i="4"/>
  <c r="CT65" i="4"/>
  <c r="EC65" i="4" s="1"/>
  <c r="EB49" i="4"/>
  <c r="CR59" i="4"/>
  <c r="EA59" i="4" s="1"/>
  <c r="BY80" i="4"/>
  <c r="CY81" i="4"/>
  <c r="CT47" i="4"/>
  <c r="BX81" i="4"/>
  <c r="CR61" i="4"/>
  <c r="EA61" i="4" s="1"/>
  <c r="CB82" i="4"/>
  <c r="EB48" i="4"/>
  <c r="EB67" i="4"/>
  <c r="CS48" i="4"/>
  <c r="DZ39" i="4"/>
  <c r="CR46" i="4"/>
  <c r="CU81" i="4"/>
  <c r="ED69" i="4"/>
  <c r="CK82" i="4"/>
  <c r="CT42" i="4"/>
  <c r="EC42" i="4" s="1"/>
  <c r="CT68" i="4"/>
  <c r="EC68" i="4" s="1"/>
  <c r="EA45" i="4"/>
  <c r="EB45" i="4" s="1"/>
  <c r="AX96" i="3"/>
  <c r="P61" i="3"/>
  <c r="DP78" i="3"/>
  <c r="DP77" i="3" s="1"/>
  <c r="DP76" i="3" s="1"/>
  <c r="DP75" i="3" s="1"/>
  <c r="S74" i="3" s="1"/>
  <c r="S75" i="3" s="1"/>
  <c r="S76" i="3" s="1"/>
  <c r="S77" i="3" s="1"/>
  <c r="S78" i="3" s="1"/>
  <c r="S79" i="3" s="1"/>
  <c r="S80" i="3" s="1"/>
  <c r="S81" i="3" s="1"/>
  <c r="S82" i="3" s="1"/>
  <c r="S83" i="3" s="1"/>
  <c r="S84" i="3" s="1"/>
  <c r="S85" i="3" s="1"/>
  <c r="S86" i="3" s="1"/>
  <c r="S87" i="3" s="1"/>
  <c r="S88" i="3" s="1"/>
  <c r="S89" i="3" s="1"/>
  <c r="S90" i="3" s="1"/>
  <c r="S91" i="3" s="1"/>
  <c r="S92" i="3" s="1"/>
  <c r="S93" i="3" s="1"/>
  <c r="S94" i="3" s="1"/>
  <c r="S95" i="3" s="1"/>
  <c r="S96" i="3" s="1"/>
  <c r="S97" i="3" s="1"/>
  <c r="S98" i="3" s="1"/>
  <c r="S99" i="3" s="1"/>
  <c r="S100" i="3" s="1"/>
  <c r="S101" i="3" s="1"/>
  <c r="S102" i="3" s="1"/>
  <c r="S103" i="3" s="1"/>
  <c r="S104" i="3" s="1"/>
  <c r="AX75" i="3"/>
  <c r="P40" i="3"/>
  <c r="DQ74" i="3"/>
  <c r="AX88" i="3"/>
  <c r="P53" i="3"/>
  <c r="DM102" i="3"/>
  <c r="AX82" i="3"/>
  <c r="P47" i="3"/>
  <c r="AX97" i="3"/>
  <c r="P62" i="3"/>
  <c r="AX79" i="3"/>
  <c r="P44" i="3"/>
  <c r="AX91" i="3"/>
  <c r="P56" i="3"/>
  <c r="DO97" i="3"/>
  <c r="DO96" i="3" s="1"/>
  <c r="DO95" i="3" s="1"/>
  <c r="DO94" i="3" s="1"/>
  <c r="DO93" i="3" s="1"/>
  <c r="DO92" i="3" s="1"/>
  <c r="DO91" i="3" s="1"/>
  <c r="DO90" i="3" s="1"/>
  <c r="DO89" i="3" s="1"/>
  <c r="DO88" i="3" s="1"/>
  <c r="DO87" i="3" s="1"/>
  <c r="DO86" i="3" s="1"/>
  <c r="DO85" i="3" s="1"/>
  <c r="DO84" i="3" s="1"/>
  <c r="DO83" i="3" s="1"/>
  <c r="DO82" i="3" s="1"/>
  <c r="DO81" i="3" s="1"/>
  <c r="DO80" i="3" s="1"/>
  <c r="DO79" i="3" s="1"/>
  <c r="DN101" i="3"/>
  <c r="DN100" i="3" s="1"/>
  <c r="DN99" i="3" s="1"/>
  <c r="DN98" i="3" s="1"/>
  <c r="P41" i="3"/>
  <c r="AW76" i="3" s="1"/>
  <c r="O68" i="3"/>
  <c r="AV103" i="3" s="1"/>
  <c r="DL103" i="3" s="1"/>
  <c r="P46" i="3"/>
  <c r="AW81" i="3" s="1"/>
  <c r="O59" i="3"/>
  <c r="AV94" i="3" s="1"/>
  <c r="R43" i="3"/>
  <c r="AY78" i="3" s="1"/>
  <c r="P65" i="3"/>
  <c r="AW100" i="3" s="1"/>
  <c r="O63" i="3"/>
  <c r="AV98" i="3" s="1"/>
  <c r="Q58" i="3"/>
  <c r="AX93" i="3" s="1"/>
  <c r="O50" i="3"/>
  <c r="AV85" i="3" s="1"/>
  <c r="N55" i="3"/>
  <c r="AU90" i="3" s="1"/>
  <c r="N42" i="3"/>
  <c r="AU77" i="3" s="1"/>
  <c r="P48" i="3"/>
  <c r="AW83" i="3" s="1"/>
  <c r="O45" i="3"/>
  <c r="AV80" i="3" s="1"/>
  <c r="O69" i="3"/>
  <c r="AV104" i="3" s="1"/>
  <c r="Q57" i="3"/>
  <c r="AX92" i="3" s="1"/>
  <c r="O52" i="3"/>
  <c r="AV87" i="3" s="1"/>
  <c r="P64" i="3"/>
  <c r="AW99" i="3" s="1"/>
  <c r="O67" i="3"/>
  <c r="AV102" i="3" s="1"/>
  <c r="O60" i="3"/>
  <c r="AV95" i="3" s="1"/>
  <c r="P66" i="3"/>
  <c r="AW101" i="3" s="1"/>
  <c r="P54" i="3"/>
  <c r="AW89" i="3" s="1"/>
  <c r="O49" i="3"/>
  <c r="AV84" i="3" s="1"/>
  <c r="Q51" i="3"/>
  <c r="AX86" i="3" s="1"/>
  <c r="O39" i="3"/>
  <c r="AV74" i="3" s="1"/>
  <c r="U18" i="1"/>
  <c r="ED60" i="4" l="1"/>
  <c r="EC49" i="4"/>
  <c r="EA44" i="4"/>
  <c r="CS50" i="4"/>
  <c r="CI81" i="4"/>
  <c r="CV69" i="4"/>
  <c r="EE69" i="4" s="1"/>
  <c r="CM81" i="4"/>
  <c r="CL81" i="4"/>
  <c r="CW51" i="4"/>
  <c r="CT53" i="4"/>
  <c r="CN81" i="4"/>
  <c r="CS46" i="4"/>
  <c r="EE51" i="4"/>
  <c r="EF51" i="4" s="1"/>
  <c r="CS80" i="4"/>
  <c r="CE81" i="4"/>
  <c r="BZ79" i="4"/>
  <c r="CD79" i="4"/>
  <c r="CU49" i="4"/>
  <c r="ED49" i="4" s="1"/>
  <c r="CT62" i="4"/>
  <c r="CV79" i="4"/>
  <c r="CU47" i="4"/>
  <c r="CJ78" i="4"/>
  <c r="CS41" i="4"/>
  <c r="CS57" i="4"/>
  <c r="EC47" i="4"/>
  <c r="CB81" i="4"/>
  <c r="CU42" i="4"/>
  <c r="BY79" i="4"/>
  <c r="CS58" i="4"/>
  <c r="EA39" i="4"/>
  <c r="EB39" i="4" s="1"/>
  <c r="CC81" i="4"/>
  <c r="CT79" i="4"/>
  <c r="EA46" i="4"/>
  <c r="EB46" i="4" s="1"/>
  <c r="EB53" i="4"/>
  <c r="CS63" i="4"/>
  <c r="CR80" i="4"/>
  <c r="CS52" i="4"/>
  <c r="EA52" i="4"/>
  <c r="EB52" i="4" s="1"/>
  <c r="CS39" i="4"/>
  <c r="CS43" i="4"/>
  <c r="CS64" i="4"/>
  <c r="EB64" i="4" s="1"/>
  <c r="CU68" i="4"/>
  <c r="ED68" i="4" s="1"/>
  <c r="CS44" i="4"/>
  <c r="CK81" i="4"/>
  <c r="CT54" i="4"/>
  <c r="CS66" i="4"/>
  <c r="EA43" i="4"/>
  <c r="CG81" i="4"/>
  <c r="CT55" i="4"/>
  <c r="EA57" i="4"/>
  <c r="EB57" i="4" s="1"/>
  <c r="CO79" i="4"/>
  <c r="CW80" i="4"/>
  <c r="EA41" i="4"/>
  <c r="ED65" i="4"/>
  <c r="CQ81" i="4"/>
  <c r="CU80" i="4"/>
  <c r="CU65" i="4"/>
  <c r="CV40" i="4"/>
  <c r="CX79" i="4"/>
  <c r="CY80" i="4"/>
  <c r="CF78" i="4"/>
  <c r="CS61" i="4"/>
  <c r="EB61" i="4" s="1"/>
  <c r="CU56" i="4"/>
  <c r="ED56" i="4" s="1"/>
  <c r="CA80" i="4"/>
  <c r="CH80" i="4"/>
  <c r="EA50" i="4"/>
  <c r="EB50" i="4" s="1"/>
  <c r="CT48" i="4"/>
  <c r="EC48" i="4" s="1"/>
  <c r="BX80" i="4"/>
  <c r="CS59" i="4"/>
  <c r="EB59" i="4" s="1"/>
  <c r="CT67" i="4"/>
  <c r="EC67" i="4" s="1"/>
  <c r="EB54" i="4"/>
  <c r="BW80" i="4"/>
  <c r="EB62" i="4"/>
  <c r="EC62" i="4" s="1"/>
  <c r="CP75" i="4"/>
  <c r="CT45" i="4"/>
  <c r="EC45" i="4" s="1"/>
  <c r="CV60" i="4"/>
  <c r="EA58" i="4"/>
  <c r="EB58" i="4" s="1"/>
  <c r="ED40" i="4"/>
  <c r="EE40" i="4" s="1"/>
  <c r="DO78" i="3"/>
  <c r="DO77" i="3" s="1"/>
  <c r="DO76" i="3" s="1"/>
  <c r="DO75" i="3" s="1"/>
  <c r="R74" i="3" s="1"/>
  <c r="R75" i="3" s="1"/>
  <c r="R76" i="3" s="1"/>
  <c r="R77" i="3" s="1"/>
  <c r="R78" i="3" s="1"/>
  <c r="R79" i="3" s="1"/>
  <c r="R80" i="3" s="1"/>
  <c r="R81" i="3" s="1"/>
  <c r="R82" i="3" s="1"/>
  <c r="R83" i="3" s="1"/>
  <c r="R84" i="3" s="1"/>
  <c r="R85" i="3" s="1"/>
  <c r="R86" i="3" s="1"/>
  <c r="R87" i="3" s="1"/>
  <c r="R88" i="3" s="1"/>
  <c r="R89" i="3" s="1"/>
  <c r="R90" i="3" s="1"/>
  <c r="R91" i="3" s="1"/>
  <c r="R92" i="3" s="1"/>
  <c r="R93" i="3" s="1"/>
  <c r="R94" i="3" s="1"/>
  <c r="R95" i="3" s="1"/>
  <c r="R96" i="3" s="1"/>
  <c r="R97" i="3" s="1"/>
  <c r="R98" i="3" s="1"/>
  <c r="R99" i="3" s="1"/>
  <c r="R100" i="3" s="1"/>
  <c r="R101" i="3" s="1"/>
  <c r="R102" i="3" s="1"/>
  <c r="R103" i="3" s="1"/>
  <c r="R104" i="3" s="1"/>
  <c r="DN97" i="3"/>
  <c r="DN96" i="3" s="1"/>
  <c r="DN95" i="3" s="1"/>
  <c r="DN94" i="3" s="1"/>
  <c r="DN93" i="3" s="1"/>
  <c r="DN92" i="3" s="1"/>
  <c r="DN91" i="3" s="1"/>
  <c r="DN90" i="3" s="1"/>
  <c r="DN89" i="3" s="1"/>
  <c r="DN88" i="3" s="1"/>
  <c r="DN87" i="3" s="1"/>
  <c r="DN86" i="3" s="1"/>
  <c r="DN85" i="3" s="1"/>
  <c r="DN84" i="3" s="1"/>
  <c r="DN83" i="3" s="1"/>
  <c r="DN82" i="3" s="1"/>
  <c r="DN81" i="3" s="1"/>
  <c r="DN80" i="3" s="1"/>
  <c r="DN79" i="3" s="1"/>
  <c r="AW96" i="3"/>
  <c r="O61" i="3"/>
  <c r="DM101" i="3"/>
  <c r="DM100" i="3" s="1"/>
  <c r="DM99" i="3" s="1"/>
  <c r="DM98" i="3" s="1"/>
  <c r="DP74" i="3"/>
  <c r="AW75" i="3"/>
  <c r="O40" i="3"/>
  <c r="AW82" i="3"/>
  <c r="O47" i="3"/>
  <c r="AW88" i="3"/>
  <c r="O53" i="3"/>
  <c r="AW91" i="3"/>
  <c r="O56" i="3"/>
  <c r="AW79" i="3"/>
  <c r="O44" i="3"/>
  <c r="AW97" i="3"/>
  <c r="O62" i="3"/>
  <c r="DL102" i="3"/>
  <c r="P57" i="3"/>
  <c r="AW92" i="3" s="1"/>
  <c r="N50" i="3"/>
  <c r="AU85" i="3" s="1"/>
  <c r="O65" i="3"/>
  <c r="AV100" i="3" s="1"/>
  <c r="N49" i="3"/>
  <c r="AU84" i="3" s="1"/>
  <c r="O54" i="3"/>
  <c r="AV89" i="3" s="1"/>
  <c r="N67" i="3"/>
  <c r="AU102" i="3" s="1"/>
  <c r="N69" i="3"/>
  <c r="AU104" i="3" s="1"/>
  <c r="O46" i="3"/>
  <c r="AV81" i="3" s="1"/>
  <c r="M55" i="3"/>
  <c r="AT90" i="3" s="1"/>
  <c r="O66" i="3"/>
  <c r="AV101" i="3" s="1"/>
  <c r="O64" i="3"/>
  <c r="AV99" i="3" s="1"/>
  <c r="M42" i="3"/>
  <c r="AT77" i="3" s="1"/>
  <c r="P58" i="3"/>
  <c r="AW93" i="3" s="1"/>
  <c r="Q43" i="3"/>
  <c r="AX78" i="3" s="1"/>
  <c r="N68" i="3"/>
  <c r="AU103" i="3" s="1"/>
  <c r="DK103" i="3" s="1"/>
  <c r="O48" i="3"/>
  <c r="AV83" i="3" s="1"/>
  <c r="N60" i="3"/>
  <c r="AU95" i="3" s="1"/>
  <c r="N52" i="3"/>
  <c r="AU87" i="3" s="1"/>
  <c r="N45" i="3"/>
  <c r="AU80" i="3" s="1"/>
  <c r="P51" i="3"/>
  <c r="AW86" i="3" s="1"/>
  <c r="N63" i="3"/>
  <c r="AU98" i="3" s="1"/>
  <c r="N59" i="3"/>
  <c r="AU94" i="3" s="1"/>
  <c r="O41" i="3"/>
  <c r="AV76" i="3" s="1"/>
  <c r="N39" i="3"/>
  <c r="AU74" i="3" s="1"/>
  <c r="V18" i="1"/>
  <c r="EB41" i="4" l="1"/>
  <c r="ED47" i="4"/>
  <c r="EC54" i="4"/>
  <c r="EB43" i="4"/>
  <c r="EE49" i="4"/>
  <c r="CJ77" i="4"/>
  <c r="CU53" i="4"/>
  <c r="BW79" i="4"/>
  <c r="CW60" i="4"/>
  <c r="EC53" i="4"/>
  <c r="ED53" i="4" s="1"/>
  <c r="CX51" i="4"/>
  <c r="CY79" i="4"/>
  <c r="CT39" i="4"/>
  <c r="CS79" i="4"/>
  <c r="CX78" i="4"/>
  <c r="EE60" i="4"/>
  <c r="EF60" i="4" s="1"/>
  <c r="CW40" i="4"/>
  <c r="CU55" i="4"/>
  <c r="CU54" i="4"/>
  <c r="EC52" i="4"/>
  <c r="BY78" i="4"/>
  <c r="CT46" i="4"/>
  <c r="CU79" i="4"/>
  <c r="CT66" i="4"/>
  <c r="CQ80" i="4"/>
  <c r="EB66" i="4"/>
  <c r="CD78" i="4"/>
  <c r="CT61" i="4"/>
  <c r="EC61" i="4" s="1"/>
  <c r="CU45" i="4"/>
  <c r="CU67" i="4"/>
  <c r="CT64" i="4"/>
  <c r="EC64" i="4" s="1"/>
  <c r="CT52" i="4"/>
  <c r="CT78" i="4"/>
  <c r="CT57" i="4"/>
  <c r="EC57" i="4" s="1"/>
  <c r="CV78" i="4"/>
  <c r="BZ78" i="4"/>
  <c r="CL80" i="4"/>
  <c r="CI80" i="4"/>
  <c r="CA79" i="4"/>
  <c r="CB80" i="4"/>
  <c r="CM80" i="4"/>
  <c r="BX79" i="4"/>
  <c r="CO78" i="4"/>
  <c r="CV49" i="4"/>
  <c r="CW69" i="4"/>
  <c r="CU48" i="4"/>
  <c r="ED48" i="4" s="1"/>
  <c r="CV68" i="4"/>
  <c r="EE68" i="4" s="1"/>
  <c r="CV47" i="4"/>
  <c r="CH79" i="4"/>
  <c r="CF77" i="4"/>
  <c r="CV65" i="4"/>
  <c r="EE65" i="4" s="1"/>
  <c r="CG80" i="4"/>
  <c r="CK80" i="4"/>
  <c r="CV42" i="4"/>
  <c r="EC55" i="4"/>
  <c r="ED55" i="4" s="1"/>
  <c r="CT44" i="4"/>
  <c r="EF40" i="4"/>
  <c r="CT63" i="4"/>
  <c r="CV56" i="4"/>
  <c r="EE56" i="4" s="1"/>
  <c r="EB63" i="4"/>
  <c r="CT58" i="4"/>
  <c r="EC58" i="4" s="1"/>
  <c r="ED45" i="4"/>
  <c r="CP74" i="4"/>
  <c r="CT59" i="4"/>
  <c r="EC59" i="4" s="1"/>
  <c r="CW79" i="4"/>
  <c r="CT43" i="4"/>
  <c r="CR79" i="4"/>
  <c r="CC80" i="4"/>
  <c r="CT41" i="4"/>
  <c r="CU62" i="4"/>
  <c r="ED62" i="4" s="1"/>
  <c r="CE80" i="4"/>
  <c r="CN80" i="4"/>
  <c r="EB44" i="4"/>
  <c r="EC44" i="4" s="1"/>
  <c r="CT50" i="4"/>
  <c r="EC50" i="4" s="1"/>
  <c r="ED42" i="4"/>
  <c r="DO74" i="3"/>
  <c r="AV96" i="3"/>
  <c r="N61" i="3"/>
  <c r="DN78" i="3"/>
  <c r="DN77" i="3" s="1"/>
  <c r="DN76" i="3" s="1"/>
  <c r="DN75" i="3" s="1"/>
  <c r="DN74" i="3" s="1"/>
  <c r="DM97" i="3"/>
  <c r="DM96" i="3" s="1"/>
  <c r="DM95" i="3" s="1"/>
  <c r="DM94" i="3" s="1"/>
  <c r="DM93" i="3" s="1"/>
  <c r="DM92" i="3" s="1"/>
  <c r="DM91" i="3" s="1"/>
  <c r="DM90" i="3" s="1"/>
  <c r="DM89" i="3" s="1"/>
  <c r="DM88" i="3" s="1"/>
  <c r="DM87" i="3" s="1"/>
  <c r="DM86" i="3" s="1"/>
  <c r="DM85" i="3" s="1"/>
  <c r="DM84" i="3" s="1"/>
  <c r="DM83" i="3" s="1"/>
  <c r="DM82" i="3" s="1"/>
  <c r="DM81" i="3" s="1"/>
  <c r="DM80" i="3" s="1"/>
  <c r="DM79" i="3" s="1"/>
  <c r="AV75" i="3"/>
  <c r="N40" i="3"/>
  <c r="AV88" i="3"/>
  <c r="N53" i="3"/>
  <c r="AV82" i="3"/>
  <c r="N47" i="3"/>
  <c r="AV97" i="3"/>
  <c r="N62" i="3"/>
  <c r="AV79" i="3"/>
  <c r="N44" i="3"/>
  <c r="AV91" i="3"/>
  <c r="N56" i="3"/>
  <c r="DL101" i="3"/>
  <c r="DL100" i="3" s="1"/>
  <c r="DL99" i="3" s="1"/>
  <c r="DL98" i="3" s="1"/>
  <c r="DK102" i="3"/>
  <c r="N48" i="3"/>
  <c r="AU83" i="3" s="1"/>
  <c r="M69" i="3"/>
  <c r="AT104" i="3" s="1"/>
  <c r="M49" i="3"/>
  <c r="AT84" i="3" s="1"/>
  <c r="N65" i="3"/>
  <c r="AU100" i="3" s="1"/>
  <c r="M45" i="3"/>
  <c r="AT80" i="3" s="1"/>
  <c r="M68" i="3"/>
  <c r="AT103" i="3" s="1"/>
  <c r="DJ103" i="3" s="1"/>
  <c r="L55" i="3"/>
  <c r="AS90" i="3" s="1"/>
  <c r="M67" i="3"/>
  <c r="AT102" i="3" s="1"/>
  <c r="M63" i="3"/>
  <c r="AT98" i="3" s="1"/>
  <c r="N46" i="3"/>
  <c r="AU81" i="3" s="1"/>
  <c r="L42" i="3"/>
  <c r="AS77" i="3" s="1"/>
  <c r="P43" i="3"/>
  <c r="AW78" i="3" s="1"/>
  <c r="N64" i="3"/>
  <c r="AU99" i="3" s="1"/>
  <c r="N54" i="3"/>
  <c r="AU89" i="3" s="1"/>
  <c r="M50" i="3"/>
  <c r="AT85" i="3" s="1"/>
  <c r="O51" i="3"/>
  <c r="AV86" i="3" s="1"/>
  <c r="N41" i="3"/>
  <c r="AU76" i="3" s="1"/>
  <c r="M60" i="3"/>
  <c r="AT95" i="3" s="1"/>
  <c r="M52" i="3"/>
  <c r="AT87" i="3" s="1"/>
  <c r="O58" i="3"/>
  <c r="AV93" i="3" s="1"/>
  <c r="M59" i="3"/>
  <c r="AT94" i="3" s="1"/>
  <c r="N66" i="3"/>
  <c r="AU101" i="3" s="1"/>
  <c r="O57" i="3"/>
  <c r="AV92" i="3" s="1"/>
  <c r="M39" i="3"/>
  <c r="AT74" i="3" s="1"/>
  <c r="W18" i="1"/>
  <c r="EC41" i="4" l="1"/>
  <c r="EC43" i="4"/>
  <c r="ED43" i="4" s="1"/>
  <c r="EC66" i="4"/>
  <c r="EE42" i="4"/>
  <c r="EE48" i="4"/>
  <c r="BX78" i="4"/>
  <c r="CX77" i="4"/>
  <c r="CU41" i="4"/>
  <c r="CW78" i="4"/>
  <c r="CU44" i="4"/>
  <c r="ED44" i="4" s="1"/>
  <c r="CM79" i="4"/>
  <c r="CL79" i="4"/>
  <c r="CT77" i="4"/>
  <c r="CU46" i="4"/>
  <c r="CV55" i="4"/>
  <c r="EE55" i="4" s="1"/>
  <c r="CY51" i="4"/>
  <c r="CV53" i="4"/>
  <c r="CK79" i="4"/>
  <c r="CI79" i="4"/>
  <c r="CV54" i="4"/>
  <c r="CW47" i="4"/>
  <c r="CV45" i="4"/>
  <c r="EE45" i="4" s="1"/>
  <c r="EF68" i="4"/>
  <c r="CV48" i="4"/>
  <c r="CU43" i="4"/>
  <c r="BW78" i="4"/>
  <c r="CU50" i="4"/>
  <c r="ED50" i="4" s="1"/>
  <c r="CC79" i="4"/>
  <c r="CW65" i="4"/>
  <c r="CW49" i="4"/>
  <c r="CB79" i="4"/>
  <c r="BZ77" i="4"/>
  <c r="CU52" i="4"/>
  <c r="BY77" i="4"/>
  <c r="CX40" i="4"/>
  <c r="EG51" i="4"/>
  <c r="CJ76" i="4"/>
  <c r="CU63" i="4"/>
  <c r="CD77" i="4"/>
  <c r="CV62" i="4"/>
  <c r="CH78" i="4"/>
  <c r="CU57" i="4"/>
  <c r="ED57" i="4" s="1"/>
  <c r="CU78" i="4"/>
  <c r="CY78" i="4"/>
  <c r="CG79" i="4"/>
  <c r="ED41" i="4"/>
  <c r="CS78" i="4"/>
  <c r="CW42" i="4"/>
  <c r="CW68" i="4"/>
  <c r="CU61" i="4"/>
  <c r="CU39" i="4"/>
  <c r="EE53" i="4"/>
  <c r="EF49" i="4"/>
  <c r="CU58" i="4"/>
  <c r="CX69" i="4"/>
  <c r="CV67" i="4"/>
  <c r="EC63" i="4"/>
  <c r="EE47" i="4"/>
  <c r="EF47" i="4" s="1"/>
  <c r="CQ79" i="4"/>
  <c r="CN79" i="4"/>
  <c r="CU59" i="4"/>
  <c r="ED59" i="4" s="1"/>
  <c r="CW56" i="4"/>
  <c r="EF56" i="4" s="1"/>
  <c r="CE79" i="4"/>
  <c r="CR78" i="4"/>
  <c r="ED67" i="4"/>
  <c r="CF76" i="4"/>
  <c r="CO77" i="4"/>
  <c r="CA78" i="4"/>
  <c r="CV77" i="4"/>
  <c r="CU64" i="4"/>
  <c r="CU66" i="4"/>
  <c r="EC46" i="4"/>
  <c r="ED46" i="4" s="1"/>
  <c r="ED54" i="4"/>
  <c r="EE54" i="4" s="1"/>
  <c r="CX60" i="4"/>
  <c r="EG60" i="4" s="1"/>
  <c r="EC39" i="4"/>
  <c r="ED39" i="4" s="1"/>
  <c r="EF69" i="4"/>
  <c r="EG69" i="4" s="1"/>
  <c r="AU96" i="3"/>
  <c r="M61" i="3"/>
  <c r="Q74" i="3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Q94" i="3" s="1"/>
  <c r="Q95" i="3" s="1"/>
  <c r="Q96" i="3" s="1"/>
  <c r="Q97" i="3" s="1"/>
  <c r="Q98" i="3" s="1"/>
  <c r="Q99" i="3" s="1"/>
  <c r="Q100" i="3" s="1"/>
  <c r="Q101" i="3" s="1"/>
  <c r="Q102" i="3" s="1"/>
  <c r="Q103" i="3" s="1"/>
  <c r="Q104" i="3" s="1"/>
  <c r="DL97" i="3"/>
  <c r="DL96" i="3" s="1"/>
  <c r="DL95" i="3" s="1"/>
  <c r="DL94" i="3" s="1"/>
  <c r="DL93" i="3" s="1"/>
  <c r="DL92" i="3" s="1"/>
  <c r="DL91" i="3" s="1"/>
  <c r="DL90" i="3" s="1"/>
  <c r="DL89" i="3" s="1"/>
  <c r="DL88" i="3" s="1"/>
  <c r="DL87" i="3" s="1"/>
  <c r="DL86" i="3" s="1"/>
  <c r="DL85" i="3" s="1"/>
  <c r="DL84" i="3" s="1"/>
  <c r="DL83" i="3" s="1"/>
  <c r="DL82" i="3" s="1"/>
  <c r="DL81" i="3" s="1"/>
  <c r="DL80" i="3" s="1"/>
  <c r="DL79" i="3" s="1"/>
  <c r="AU75" i="3"/>
  <c r="M40" i="3"/>
  <c r="AU82" i="3"/>
  <c r="M47" i="3"/>
  <c r="AU88" i="3"/>
  <c r="M53" i="3"/>
  <c r="AU91" i="3"/>
  <c r="M56" i="3"/>
  <c r="DJ102" i="3"/>
  <c r="AU79" i="3"/>
  <c r="M44" i="3"/>
  <c r="DK101" i="3"/>
  <c r="DK100" i="3" s="1"/>
  <c r="DK99" i="3" s="1"/>
  <c r="DK98" i="3" s="1"/>
  <c r="DM78" i="3"/>
  <c r="DM77" i="3" s="1"/>
  <c r="DM76" i="3" s="1"/>
  <c r="DM75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AU97" i="3"/>
  <c r="M62" i="3"/>
  <c r="L63" i="3"/>
  <c r="AS98" i="3" s="1"/>
  <c r="N51" i="3"/>
  <c r="AU86" i="3" s="1"/>
  <c r="L67" i="3"/>
  <c r="AS102" i="3" s="1"/>
  <c r="L69" i="3"/>
  <c r="AS104" i="3" s="1"/>
  <c r="M65" i="3"/>
  <c r="AT100" i="3" s="1"/>
  <c r="M64" i="3"/>
  <c r="AT99" i="3" s="1"/>
  <c r="L50" i="3"/>
  <c r="AS85" i="3" s="1"/>
  <c r="K42" i="3"/>
  <c r="AR77" i="3" s="1"/>
  <c r="K55" i="3"/>
  <c r="AR90" i="3" s="1"/>
  <c r="M48" i="3"/>
  <c r="AT83" i="3" s="1"/>
  <c r="M41" i="3"/>
  <c r="AT76" i="3" s="1"/>
  <c r="M66" i="3"/>
  <c r="AT101" i="3" s="1"/>
  <c r="N57" i="3"/>
  <c r="AU92" i="3" s="1"/>
  <c r="L68" i="3"/>
  <c r="AS103" i="3" s="1"/>
  <c r="DI103" i="3" s="1"/>
  <c r="N58" i="3"/>
  <c r="AU93" i="3" s="1"/>
  <c r="L45" i="3"/>
  <c r="AS80" i="3" s="1"/>
  <c r="O43" i="3"/>
  <c r="AV78" i="3" s="1"/>
  <c r="L52" i="3"/>
  <c r="AS87" i="3" s="1"/>
  <c r="L59" i="3"/>
  <c r="AS94" i="3" s="1"/>
  <c r="L60" i="3"/>
  <c r="AS95" i="3" s="1"/>
  <c r="M54" i="3"/>
  <c r="AT89" i="3" s="1"/>
  <c r="M46" i="3"/>
  <c r="AT81" i="3" s="1"/>
  <c r="L49" i="3"/>
  <c r="AS84" i="3" s="1"/>
  <c r="L39" i="3"/>
  <c r="AS74" i="3" s="1"/>
  <c r="X18" i="1"/>
  <c r="EF42" i="4" l="1"/>
  <c r="AJ51" i="4"/>
  <c r="BQ86" i="4" s="1"/>
  <c r="CV66" i="4"/>
  <c r="CX65" i="4"/>
  <c r="CM78" i="4"/>
  <c r="EH69" i="4"/>
  <c r="CV64" i="4"/>
  <c r="CF75" i="4"/>
  <c r="ED63" i="4"/>
  <c r="CY77" i="4"/>
  <c r="CW62" i="4"/>
  <c r="BZ76" i="4"/>
  <c r="CV41" i="4"/>
  <c r="CG78" i="4"/>
  <c r="CV52" i="4"/>
  <c r="CI78" i="4"/>
  <c r="CX68" i="4"/>
  <c r="CV59" i="4"/>
  <c r="CW67" i="4"/>
  <c r="CX42" i="4"/>
  <c r="CV43" i="4"/>
  <c r="EE43" i="4" s="1"/>
  <c r="CV46" i="4"/>
  <c r="EE46" i="4" s="1"/>
  <c r="ED66" i="4"/>
  <c r="EE67" i="4"/>
  <c r="EF67" i="4" s="1"/>
  <c r="CU77" i="4"/>
  <c r="EE62" i="4"/>
  <c r="EF62" i="4" s="1"/>
  <c r="CY40" i="4"/>
  <c r="CB78" i="4"/>
  <c r="ED64" i="4"/>
  <c r="CQ78" i="4"/>
  <c r="CV61" i="4"/>
  <c r="CL78" i="4"/>
  <c r="CO76" i="4"/>
  <c r="EE59" i="4"/>
  <c r="CW55" i="4"/>
  <c r="EF55" i="4" s="1"/>
  <c r="EF65" i="4"/>
  <c r="EG65" i="4" s="1"/>
  <c r="EH51" i="4"/>
  <c r="EE57" i="4"/>
  <c r="CV76" i="4"/>
  <c r="CR77" i="4"/>
  <c r="CN78" i="4"/>
  <c r="CY69" i="4"/>
  <c r="AJ69" i="4" s="1"/>
  <c r="BQ104" i="4" s="1"/>
  <c r="CV39" i="4"/>
  <c r="EE39" i="4" s="1"/>
  <c r="CS77" i="4"/>
  <c r="CD76" i="4"/>
  <c r="ED52" i="4"/>
  <c r="EE52" i="4" s="1"/>
  <c r="EG40" i="4"/>
  <c r="EH40" i="4" s="1"/>
  <c r="CW53" i="4"/>
  <c r="CT76" i="4"/>
  <c r="CW77" i="4"/>
  <c r="BX77" i="4"/>
  <c r="ED61" i="4"/>
  <c r="CE78" i="4"/>
  <c r="CV58" i="4"/>
  <c r="CV63" i="4"/>
  <c r="CH77" i="4"/>
  <c r="BW77" i="4"/>
  <c r="CX56" i="4"/>
  <c r="CJ75" i="4"/>
  <c r="CW45" i="4"/>
  <c r="CX76" i="4"/>
  <c r="CC78" i="4"/>
  <c r="CX47" i="4"/>
  <c r="CK78" i="4"/>
  <c r="CV44" i="4"/>
  <c r="EE44" i="4" s="1"/>
  <c r="CY60" i="4"/>
  <c r="AJ60" i="4" s="1"/>
  <c r="BQ95" i="4" s="1"/>
  <c r="EF54" i="4"/>
  <c r="CA77" i="4"/>
  <c r="CV57" i="4"/>
  <c r="BY76" i="4"/>
  <c r="CX49" i="4"/>
  <c r="EG49" i="4" s="1"/>
  <c r="CV50" i="4"/>
  <c r="CW48" i="4"/>
  <c r="EF48" i="4" s="1"/>
  <c r="CW54" i="4"/>
  <c r="ED58" i="4"/>
  <c r="AT96" i="3"/>
  <c r="L61" i="3"/>
  <c r="DL78" i="3"/>
  <c r="DL77" i="3" s="1"/>
  <c r="DL76" i="3" s="1"/>
  <c r="DL75" i="3" s="1"/>
  <c r="O74" i="3" s="1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O94" i="3" s="1"/>
  <c r="O95" i="3" s="1"/>
  <c r="O96" i="3" s="1"/>
  <c r="O97" i="3" s="1"/>
  <c r="O98" i="3" s="1"/>
  <c r="O99" i="3" s="1"/>
  <c r="O100" i="3" s="1"/>
  <c r="O101" i="3" s="1"/>
  <c r="O102" i="3" s="1"/>
  <c r="O103" i="3" s="1"/>
  <c r="O104" i="3" s="1"/>
  <c r="AT75" i="3"/>
  <c r="L40" i="3"/>
  <c r="DI102" i="3"/>
  <c r="DJ101" i="3"/>
  <c r="DJ100" i="3" s="1"/>
  <c r="DJ99" i="3" s="1"/>
  <c r="DJ98" i="3" s="1"/>
  <c r="AT88" i="3"/>
  <c r="L53" i="3"/>
  <c r="DK97" i="3"/>
  <c r="DK96" i="3" s="1"/>
  <c r="DK95" i="3" s="1"/>
  <c r="DK94" i="3" s="1"/>
  <c r="DK93" i="3" s="1"/>
  <c r="DK92" i="3" s="1"/>
  <c r="DK91" i="3" s="1"/>
  <c r="DK90" i="3" s="1"/>
  <c r="DK89" i="3" s="1"/>
  <c r="DK88" i="3" s="1"/>
  <c r="DK87" i="3" s="1"/>
  <c r="DK86" i="3" s="1"/>
  <c r="DK85" i="3" s="1"/>
  <c r="DK84" i="3" s="1"/>
  <c r="DK83" i="3" s="1"/>
  <c r="DK82" i="3" s="1"/>
  <c r="DK81" i="3" s="1"/>
  <c r="DK80" i="3" s="1"/>
  <c r="DK79" i="3" s="1"/>
  <c r="AT82" i="3"/>
  <c r="L47" i="3"/>
  <c r="AT79" i="3"/>
  <c r="L44" i="3"/>
  <c r="DM74" i="3"/>
  <c r="AT91" i="3"/>
  <c r="L56" i="3"/>
  <c r="AT97" i="3"/>
  <c r="L62" i="3"/>
  <c r="L46" i="3"/>
  <c r="AS81" i="3" s="1"/>
  <c r="K50" i="3"/>
  <c r="AR85" i="3" s="1"/>
  <c r="K67" i="3"/>
  <c r="AR102" i="3" s="1"/>
  <c r="K52" i="3"/>
  <c r="AR87" i="3" s="1"/>
  <c r="K68" i="3"/>
  <c r="AR103" i="3" s="1"/>
  <c r="DH103" i="3" s="1"/>
  <c r="L48" i="3"/>
  <c r="AS83" i="3" s="1"/>
  <c r="L65" i="3"/>
  <c r="AS100" i="3" s="1"/>
  <c r="M51" i="3"/>
  <c r="AT86" i="3" s="1"/>
  <c r="K60" i="3"/>
  <c r="AR95" i="3" s="1"/>
  <c r="K69" i="3"/>
  <c r="AR104" i="3" s="1"/>
  <c r="K63" i="3"/>
  <c r="AR98" i="3" s="1"/>
  <c r="L41" i="3"/>
  <c r="AS76" i="3" s="1"/>
  <c r="M58" i="3"/>
  <c r="AT93" i="3" s="1"/>
  <c r="L54" i="3"/>
  <c r="AS89" i="3" s="1"/>
  <c r="N43" i="3"/>
  <c r="AU78" i="3" s="1"/>
  <c r="J55" i="3"/>
  <c r="AQ90" i="3" s="1"/>
  <c r="M57" i="3"/>
  <c r="AT92" i="3" s="1"/>
  <c r="K49" i="3"/>
  <c r="AR84" i="3" s="1"/>
  <c r="K59" i="3"/>
  <c r="AR94" i="3" s="1"/>
  <c r="K45" i="3"/>
  <c r="AR80" i="3" s="1"/>
  <c r="L66" i="3"/>
  <c r="AS101" i="3" s="1"/>
  <c r="J42" i="3"/>
  <c r="AQ77" i="3" s="1"/>
  <c r="L64" i="3"/>
  <c r="AS99" i="3" s="1"/>
  <c r="K39" i="3"/>
  <c r="AR74" i="3" s="1"/>
  <c r="Y18" i="1"/>
  <c r="AJ40" i="4" l="1"/>
  <c r="EE58" i="4"/>
  <c r="EE61" i="4"/>
  <c r="AI51" i="4"/>
  <c r="AH51" i="4" s="1"/>
  <c r="AI60" i="4"/>
  <c r="AH60" i="4" s="1"/>
  <c r="CA76" i="4"/>
  <c r="CX53" i="4"/>
  <c r="CQ77" i="4"/>
  <c r="CW41" i="4"/>
  <c r="CY47" i="4"/>
  <c r="CO75" i="4"/>
  <c r="EF53" i="4"/>
  <c r="CY76" i="4"/>
  <c r="CM77" i="4"/>
  <c r="CH76" i="4"/>
  <c r="CV75" i="4"/>
  <c r="CY68" i="4"/>
  <c r="CW66" i="4"/>
  <c r="CJ74" i="4"/>
  <c r="CC77" i="4"/>
  <c r="CW63" i="4"/>
  <c r="EF52" i="4"/>
  <c r="AI69" i="4"/>
  <c r="CB77" i="4"/>
  <c r="CX67" i="4"/>
  <c r="EG67" i="4" s="1"/>
  <c r="CK77" i="4"/>
  <c r="CW50" i="4"/>
  <c r="CX62" i="4"/>
  <c r="EG68" i="4"/>
  <c r="EH68" i="4" s="1"/>
  <c r="CY49" i="4"/>
  <c r="AJ49" i="4" s="1"/>
  <c r="BQ84" i="4" s="1"/>
  <c r="BX76" i="4"/>
  <c r="EE64" i="4"/>
  <c r="EE41" i="4"/>
  <c r="EF41" i="4" s="1"/>
  <c r="CX54" i="4"/>
  <c r="CY56" i="4"/>
  <c r="CW76" i="4"/>
  <c r="CD75" i="4"/>
  <c r="CN77" i="4"/>
  <c r="CL77" i="4"/>
  <c r="EE66" i="4"/>
  <c r="CW52" i="4"/>
  <c r="EE63" i="4"/>
  <c r="EG47" i="4"/>
  <c r="EG56" i="4"/>
  <c r="EG62" i="4"/>
  <c r="CW64" i="4"/>
  <c r="CX45" i="4"/>
  <c r="CU76" i="4"/>
  <c r="CY42" i="4"/>
  <c r="CI77" i="4"/>
  <c r="CW44" i="4"/>
  <c r="EH60" i="4"/>
  <c r="CW58" i="4"/>
  <c r="CX55" i="4"/>
  <c r="CW46" i="4"/>
  <c r="CW59" i="4"/>
  <c r="EF59" i="4" s="1"/>
  <c r="EE50" i="4"/>
  <c r="EF50" i="4" s="1"/>
  <c r="CF74" i="4"/>
  <c r="EF45" i="4"/>
  <c r="EG45" i="4" s="1"/>
  <c r="CE77" i="4"/>
  <c r="CW43" i="4"/>
  <c r="CW39" i="4"/>
  <c r="EG54" i="4"/>
  <c r="BY75" i="4"/>
  <c r="CX48" i="4"/>
  <c r="EG48" i="4" s="1"/>
  <c r="CW57" i="4"/>
  <c r="CX75" i="4"/>
  <c r="BW76" i="4"/>
  <c r="CT75" i="4"/>
  <c r="CS76" i="4"/>
  <c r="CR76" i="4"/>
  <c r="CW61" i="4"/>
  <c r="EF61" i="4" s="1"/>
  <c r="CG77" i="4"/>
  <c r="BZ75" i="4"/>
  <c r="CY65" i="4"/>
  <c r="AJ65" i="4" s="1"/>
  <c r="BQ100" i="4" s="1"/>
  <c r="EG42" i="4"/>
  <c r="AS96" i="3"/>
  <c r="K61" i="3"/>
  <c r="DI101" i="3"/>
  <c r="DI100" i="3" s="1"/>
  <c r="DI99" i="3" s="1"/>
  <c r="DI98" i="3" s="1"/>
  <c r="DH102" i="3"/>
  <c r="DL74" i="3"/>
  <c r="DJ97" i="3"/>
  <c r="DJ96" i="3" s="1"/>
  <c r="DJ95" i="3" s="1"/>
  <c r="DJ94" i="3" s="1"/>
  <c r="DJ93" i="3" s="1"/>
  <c r="DJ92" i="3" s="1"/>
  <c r="DJ91" i="3" s="1"/>
  <c r="DJ90" i="3" s="1"/>
  <c r="DJ89" i="3" s="1"/>
  <c r="DJ88" i="3" s="1"/>
  <c r="DJ87" i="3" s="1"/>
  <c r="DJ86" i="3" s="1"/>
  <c r="DJ85" i="3" s="1"/>
  <c r="DJ84" i="3" s="1"/>
  <c r="DJ83" i="3" s="1"/>
  <c r="DJ82" i="3" s="1"/>
  <c r="DJ81" i="3" s="1"/>
  <c r="DJ80" i="3" s="1"/>
  <c r="DJ79" i="3" s="1"/>
  <c r="AS75" i="3"/>
  <c r="K40" i="3"/>
  <c r="AS82" i="3"/>
  <c r="K47" i="3"/>
  <c r="AS88" i="3"/>
  <c r="K53" i="3"/>
  <c r="DK78" i="3"/>
  <c r="DK77" i="3" s="1"/>
  <c r="DK76" i="3" s="1"/>
  <c r="DK75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N103" i="3" s="1"/>
  <c r="N104" i="3" s="1"/>
  <c r="AS97" i="3"/>
  <c r="K62" i="3"/>
  <c r="AS91" i="3"/>
  <c r="K56" i="3"/>
  <c r="AS79" i="3"/>
  <c r="K44" i="3"/>
  <c r="J60" i="3"/>
  <c r="AQ95" i="3" s="1"/>
  <c r="J67" i="3"/>
  <c r="AQ102" i="3" s="1"/>
  <c r="K54" i="3"/>
  <c r="AR89" i="3" s="1"/>
  <c r="K48" i="3"/>
  <c r="AR83" i="3" s="1"/>
  <c r="K64" i="3"/>
  <c r="AR99" i="3" s="1"/>
  <c r="J50" i="3"/>
  <c r="AQ85" i="3" s="1"/>
  <c r="J59" i="3"/>
  <c r="AQ94" i="3" s="1"/>
  <c r="L57" i="3"/>
  <c r="AS92" i="3" s="1"/>
  <c r="L58" i="3"/>
  <c r="AS93" i="3" s="1"/>
  <c r="J63" i="3"/>
  <c r="AQ98" i="3" s="1"/>
  <c r="L51" i="3"/>
  <c r="AS86" i="3" s="1"/>
  <c r="J68" i="3"/>
  <c r="AQ103" i="3" s="1"/>
  <c r="DG103" i="3" s="1"/>
  <c r="M43" i="3"/>
  <c r="AT78" i="3" s="1"/>
  <c r="I42" i="3"/>
  <c r="AP77" i="3" s="1"/>
  <c r="K66" i="3"/>
  <c r="AR101" i="3" s="1"/>
  <c r="J52" i="3"/>
  <c r="AQ87" i="3" s="1"/>
  <c r="J49" i="3"/>
  <c r="AQ84" i="3" s="1"/>
  <c r="J45" i="3"/>
  <c r="AQ80" i="3" s="1"/>
  <c r="I55" i="3"/>
  <c r="AP90" i="3" s="1"/>
  <c r="K41" i="3"/>
  <c r="AR76" i="3" s="1"/>
  <c r="J69" i="3"/>
  <c r="AQ104" i="3" s="1"/>
  <c r="K65" i="3"/>
  <c r="AR100" i="3" s="1"/>
  <c r="K46" i="3"/>
  <c r="AR81" i="3" s="1"/>
  <c r="J39" i="3"/>
  <c r="AQ74" i="3" s="1"/>
  <c r="Z18" i="1"/>
  <c r="BP95" i="4" l="1"/>
  <c r="EG53" i="4"/>
  <c r="EH53" i="4" s="1"/>
  <c r="EH42" i="4"/>
  <c r="BP86" i="4"/>
  <c r="AJ56" i="4"/>
  <c r="BQ91" i="4" s="1"/>
  <c r="AJ47" i="4"/>
  <c r="BQ82" i="4" s="1"/>
  <c r="EH56" i="4"/>
  <c r="BZ74" i="4"/>
  <c r="CS75" i="4"/>
  <c r="CX57" i="4"/>
  <c r="CX39" i="4"/>
  <c r="BQ75" i="4"/>
  <c r="AI40" i="4"/>
  <c r="BO95" i="4"/>
  <c r="AG60" i="4"/>
  <c r="EF63" i="4"/>
  <c r="EG63" i="4" s="1"/>
  <c r="CY62" i="4"/>
  <c r="AJ62" i="4" s="1"/>
  <c r="BQ97" i="4" s="1"/>
  <c r="CY67" i="4"/>
  <c r="AJ67" i="4" s="1"/>
  <c r="BQ102" i="4" s="1"/>
  <c r="AJ68" i="4"/>
  <c r="CX41" i="4"/>
  <c r="EF39" i="4"/>
  <c r="EG39" i="4" s="1"/>
  <c r="CR75" i="4"/>
  <c r="CX46" i="4"/>
  <c r="AI49" i="4"/>
  <c r="BO86" i="4"/>
  <c r="AG51" i="4"/>
  <c r="CY45" i="4"/>
  <c r="AJ45" i="4" s="1"/>
  <c r="BQ80" i="4" s="1"/>
  <c r="CC76" i="4"/>
  <c r="CY75" i="4"/>
  <c r="AJ42" i="4"/>
  <c r="CX74" i="4"/>
  <c r="CX44" i="4"/>
  <c r="CX66" i="4"/>
  <c r="CN76" i="4"/>
  <c r="CX63" i="4"/>
  <c r="CY55" i="4"/>
  <c r="CX52" i="4"/>
  <c r="EG52" i="4" s="1"/>
  <c r="CD74" i="4"/>
  <c r="CG76" i="4"/>
  <c r="CT74" i="4"/>
  <c r="CY48" i="4"/>
  <c r="AJ48" i="4" s="1"/>
  <c r="BQ83" i="4" s="1"/>
  <c r="CX43" i="4"/>
  <c r="CI76" i="4"/>
  <c r="EF64" i="4"/>
  <c r="EH67" i="4"/>
  <c r="CV74" i="4"/>
  <c r="CQ76" i="4"/>
  <c r="EF46" i="4"/>
  <c r="EH49" i="4"/>
  <c r="EF44" i="4"/>
  <c r="AI65" i="4"/>
  <c r="EH47" i="4"/>
  <c r="CM76" i="4"/>
  <c r="CX58" i="4"/>
  <c r="CX64" i="4"/>
  <c r="CW75" i="4"/>
  <c r="BX75" i="4"/>
  <c r="CX50" i="4"/>
  <c r="EG50" i="4" s="1"/>
  <c r="EF58" i="4"/>
  <c r="EG58" i="4" s="1"/>
  <c r="EF43" i="4"/>
  <c r="EG43" i="4" s="1"/>
  <c r="BP104" i="4"/>
  <c r="AH69" i="4"/>
  <c r="EH45" i="4"/>
  <c r="EH65" i="4"/>
  <c r="CK76" i="4"/>
  <c r="CA75" i="4"/>
  <c r="CU75" i="4"/>
  <c r="CY54" i="4"/>
  <c r="AJ54" i="4" s="1"/>
  <c r="BQ89" i="4" s="1"/>
  <c r="EF66" i="4"/>
  <c r="CB76" i="4"/>
  <c r="CX61" i="4"/>
  <c r="EG61" i="4" s="1"/>
  <c r="BW75" i="4"/>
  <c r="BY74" i="4"/>
  <c r="CE76" i="4"/>
  <c r="CX59" i="4"/>
  <c r="EG59" i="4" s="1"/>
  <c r="EF57" i="4"/>
  <c r="EG57" i="4" s="1"/>
  <c r="CL76" i="4"/>
  <c r="CH75" i="4"/>
  <c r="CO74" i="4"/>
  <c r="CY53" i="4"/>
  <c r="EG55" i="4"/>
  <c r="EH55" i="4" s="1"/>
  <c r="AR96" i="3"/>
  <c r="J61" i="3"/>
  <c r="DH101" i="3"/>
  <c r="DH100" i="3" s="1"/>
  <c r="DH99" i="3" s="1"/>
  <c r="DH98" i="3" s="1"/>
  <c r="DI97" i="3"/>
  <c r="DI96" i="3" s="1"/>
  <c r="DI95" i="3" s="1"/>
  <c r="DI94" i="3" s="1"/>
  <c r="DI93" i="3" s="1"/>
  <c r="DI92" i="3" s="1"/>
  <c r="DI91" i="3" s="1"/>
  <c r="DI90" i="3" s="1"/>
  <c r="DI89" i="3" s="1"/>
  <c r="DI88" i="3" s="1"/>
  <c r="DI87" i="3" s="1"/>
  <c r="DI86" i="3" s="1"/>
  <c r="DI85" i="3" s="1"/>
  <c r="DI84" i="3" s="1"/>
  <c r="DI83" i="3" s="1"/>
  <c r="DI82" i="3" s="1"/>
  <c r="DI81" i="3" s="1"/>
  <c r="DI80" i="3" s="1"/>
  <c r="DI79" i="3" s="1"/>
  <c r="AR75" i="3"/>
  <c r="J40" i="3"/>
  <c r="DK74" i="3"/>
  <c r="AR88" i="3"/>
  <c r="J53" i="3"/>
  <c r="AR82" i="3"/>
  <c r="J47" i="3"/>
  <c r="AR79" i="3"/>
  <c r="J44" i="3"/>
  <c r="AR91" i="3"/>
  <c r="J56" i="3"/>
  <c r="DG102" i="3"/>
  <c r="DJ78" i="3"/>
  <c r="DJ77" i="3" s="1"/>
  <c r="DJ76" i="3" s="1"/>
  <c r="DJ75" i="3" s="1"/>
  <c r="DJ74" i="3" s="1"/>
  <c r="AR97" i="3"/>
  <c r="J62" i="3"/>
  <c r="I59" i="3"/>
  <c r="AP94" i="3" s="1"/>
  <c r="J54" i="3"/>
  <c r="AQ89" i="3" s="1"/>
  <c r="I50" i="3"/>
  <c r="AP85" i="3" s="1"/>
  <c r="I69" i="3"/>
  <c r="AP104" i="3" s="1"/>
  <c r="H42" i="3"/>
  <c r="AO77" i="3" s="1"/>
  <c r="J46" i="3"/>
  <c r="AQ81" i="3" s="1"/>
  <c r="L43" i="3"/>
  <c r="AS78" i="3" s="1"/>
  <c r="J41" i="3"/>
  <c r="AQ76" i="3" s="1"/>
  <c r="I63" i="3"/>
  <c r="AP98" i="3" s="1"/>
  <c r="H55" i="3"/>
  <c r="AO90" i="3" s="1"/>
  <c r="K58" i="3"/>
  <c r="AR93" i="3" s="1"/>
  <c r="J64" i="3"/>
  <c r="AQ99" i="3" s="1"/>
  <c r="I60" i="3"/>
  <c r="AP95" i="3" s="1"/>
  <c r="K51" i="3"/>
  <c r="AR86" i="3" s="1"/>
  <c r="I49" i="3"/>
  <c r="AP84" i="3" s="1"/>
  <c r="I67" i="3"/>
  <c r="AP102" i="3" s="1"/>
  <c r="I52" i="3"/>
  <c r="AP87" i="3" s="1"/>
  <c r="J65" i="3"/>
  <c r="AQ100" i="3" s="1"/>
  <c r="I45" i="3"/>
  <c r="AP80" i="3" s="1"/>
  <c r="J66" i="3"/>
  <c r="AQ101" i="3" s="1"/>
  <c r="I68" i="3"/>
  <c r="AP103" i="3" s="1"/>
  <c r="DF103" i="3" s="1"/>
  <c r="K57" i="3"/>
  <c r="AR92" i="3" s="1"/>
  <c r="J48" i="3"/>
  <c r="AQ83" i="3" s="1"/>
  <c r="I39" i="3"/>
  <c r="AA18" i="1"/>
  <c r="AJ53" i="4" l="1"/>
  <c r="BQ88" i="4" s="1"/>
  <c r="EG44" i="4"/>
  <c r="EH44" i="4" s="1"/>
  <c r="EG66" i="4"/>
  <c r="EH62" i="4"/>
  <c r="EG46" i="4"/>
  <c r="AI56" i="4"/>
  <c r="BP91" i="4" s="1"/>
  <c r="AI47" i="4"/>
  <c r="BP82" i="4" s="1"/>
  <c r="AI45" i="4"/>
  <c r="BP80" i="4" s="1"/>
  <c r="CH74" i="4"/>
  <c r="BQ77" i="4"/>
  <c r="AI42" i="4"/>
  <c r="BN86" i="4"/>
  <c r="AF51" i="4"/>
  <c r="CY41" i="4"/>
  <c r="BN95" i="4"/>
  <c r="AF60" i="4"/>
  <c r="CS74" i="4"/>
  <c r="CL75" i="4"/>
  <c r="CY50" i="4"/>
  <c r="AJ50" i="4" s="1"/>
  <c r="BQ85" i="4" s="1"/>
  <c r="CY58" i="4"/>
  <c r="AJ58" i="4" s="1"/>
  <c r="BQ93" i="4" s="1"/>
  <c r="EH54" i="4"/>
  <c r="AI48" i="4"/>
  <c r="CY66" i="4"/>
  <c r="CY74" i="4"/>
  <c r="AI54" i="4"/>
  <c r="BX74" i="4"/>
  <c r="CM75" i="4"/>
  <c r="EG64" i="4"/>
  <c r="EH64" i="4" s="1"/>
  <c r="CC75" i="4"/>
  <c r="CY46" i="4"/>
  <c r="CY64" i="4"/>
  <c r="CK75" i="4"/>
  <c r="AJ55" i="4"/>
  <c r="BP84" i="4"/>
  <c r="AH49" i="4"/>
  <c r="CY59" i="4"/>
  <c r="AJ59" i="4" s="1"/>
  <c r="BQ94" i="4" s="1"/>
  <c r="CY61" i="4"/>
  <c r="AJ61" i="4" s="1"/>
  <c r="BQ96" i="4" s="1"/>
  <c r="CU74" i="4"/>
  <c r="BO104" i="4"/>
  <c r="AG69" i="4"/>
  <c r="CI75" i="4"/>
  <c r="CG75" i="4"/>
  <c r="CY63" i="4"/>
  <c r="AJ63" i="4" s="1"/>
  <c r="BQ98" i="4" s="1"/>
  <c r="CY44" i="4"/>
  <c r="AI67" i="4"/>
  <c r="CY39" i="4"/>
  <c r="AJ39" i="4" s="1"/>
  <c r="BQ74" i="4" s="1"/>
  <c r="BQ103" i="4"/>
  <c r="EG103" i="4" s="1"/>
  <c r="EG102" i="4" s="1"/>
  <c r="AI68" i="4"/>
  <c r="CW74" i="4"/>
  <c r="CQ75" i="4"/>
  <c r="EG41" i="4"/>
  <c r="CR74" i="4"/>
  <c r="EH63" i="4"/>
  <c r="CY52" i="4"/>
  <c r="AJ52" i="4" s="1"/>
  <c r="BQ87" i="4" s="1"/>
  <c r="BW74" i="4"/>
  <c r="BP75" i="4"/>
  <c r="AH40" i="4"/>
  <c r="CE75" i="4"/>
  <c r="CB75" i="4"/>
  <c r="CA74" i="4"/>
  <c r="BP100" i="4"/>
  <c r="AH65" i="4"/>
  <c r="CY43" i="4"/>
  <c r="AJ43" i="4" s="1"/>
  <c r="BQ78" i="4" s="1"/>
  <c r="CN75" i="4"/>
  <c r="AI62" i="4"/>
  <c r="CY57" i="4"/>
  <c r="AJ57" i="4" s="1"/>
  <c r="BQ92" i="4" s="1"/>
  <c r="EH48" i="4"/>
  <c r="AQ96" i="3"/>
  <c r="I61" i="3"/>
  <c r="DG101" i="3"/>
  <c r="DG100" i="3" s="1"/>
  <c r="DG99" i="3" s="1"/>
  <c r="DG98" i="3" s="1"/>
  <c r="AQ75" i="3"/>
  <c r="I40" i="3"/>
  <c r="DI78" i="3"/>
  <c r="DI77" i="3" s="1"/>
  <c r="DI76" i="3" s="1"/>
  <c r="DI75" i="3" s="1"/>
  <c r="DI74" i="3" s="1"/>
  <c r="AQ82" i="3"/>
  <c r="I47" i="3"/>
  <c r="AQ88" i="3"/>
  <c r="I53" i="3"/>
  <c r="AQ91" i="3"/>
  <c r="I56" i="3"/>
  <c r="DH97" i="3"/>
  <c r="DH96" i="3" s="1"/>
  <c r="DH95" i="3" s="1"/>
  <c r="DH94" i="3" s="1"/>
  <c r="DH93" i="3" s="1"/>
  <c r="DH92" i="3" s="1"/>
  <c r="DH91" i="3" s="1"/>
  <c r="DH90" i="3" s="1"/>
  <c r="DH89" i="3" s="1"/>
  <c r="DH88" i="3" s="1"/>
  <c r="DH87" i="3" s="1"/>
  <c r="DH86" i="3" s="1"/>
  <c r="DH85" i="3" s="1"/>
  <c r="DH84" i="3" s="1"/>
  <c r="DH83" i="3" s="1"/>
  <c r="DH82" i="3" s="1"/>
  <c r="DH81" i="3" s="1"/>
  <c r="DH80" i="3" s="1"/>
  <c r="DH79" i="3" s="1"/>
  <c r="M74" i="3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M96" i="3" s="1"/>
  <c r="M97" i="3" s="1"/>
  <c r="M98" i="3" s="1"/>
  <c r="M99" i="3" s="1"/>
  <c r="M100" i="3" s="1"/>
  <c r="M101" i="3" s="1"/>
  <c r="M102" i="3" s="1"/>
  <c r="M103" i="3" s="1"/>
  <c r="M104" i="3" s="1"/>
  <c r="AQ79" i="3"/>
  <c r="I44" i="3"/>
  <c r="AQ97" i="3"/>
  <c r="I62" i="3"/>
  <c r="DF102" i="3"/>
  <c r="AP74" i="3"/>
  <c r="H39" i="3"/>
  <c r="AO74" i="3" s="1"/>
  <c r="I41" i="3"/>
  <c r="AP76" i="3" s="1"/>
  <c r="I46" i="3"/>
  <c r="AP81" i="3" s="1"/>
  <c r="H45" i="3"/>
  <c r="AO80" i="3" s="1"/>
  <c r="J57" i="3"/>
  <c r="AQ92" i="3" s="1"/>
  <c r="I65" i="3"/>
  <c r="AP100" i="3" s="1"/>
  <c r="H49" i="3"/>
  <c r="AO84" i="3" s="1"/>
  <c r="J58" i="3"/>
  <c r="AQ93" i="3" s="1"/>
  <c r="H68" i="3"/>
  <c r="AO103" i="3" s="1"/>
  <c r="DE103" i="3" s="1"/>
  <c r="I64" i="3"/>
  <c r="AP99" i="3" s="1"/>
  <c r="H69" i="3"/>
  <c r="AO104" i="3" s="1"/>
  <c r="I54" i="3"/>
  <c r="AP89" i="3" s="1"/>
  <c r="J51" i="3"/>
  <c r="AQ86" i="3" s="1"/>
  <c r="H52" i="3"/>
  <c r="AO87" i="3" s="1"/>
  <c r="I66" i="3"/>
  <c r="AP101" i="3" s="1"/>
  <c r="I48" i="3"/>
  <c r="AP83" i="3" s="1"/>
  <c r="H67" i="3"/>
  <c r="AO102" i="3" s="1"/>
  <c r="H60" i="3"/>
  <c r="AO95" i="3" s="1"/>
  <c r="H63" i="3"/>
  <c r="AO98" i="3" s="1"/>
  <c r="K43" i="3"/>
  <c r="AR78" i="3" s="1"/>
  <c r="H50" i="3"/>
  <c r="AO85" i="3" s="1"/>
  <c r="H59" i="3"/>
  <c r="AO94" i="3" s="1"/>
  <c r="AB18" i="1"/>
  <c r="AJ44" i="4" l="1"/>
  <c r="BQ79" i="4" s="1"/>
  <c r="AI53" i="4"/>
  <c r="AJ66" i="4"/>
  <c r="BQ101" i="4" s="1"/>
  <c r="AJ46" i="4"/>
  <c r="BQ81" i="4" s="1"/>
  <c r="EH57" i="4"/>
  <c r="EH52" i="4"/>
  <c r="EH66" i="4"/>
  <c r="AH47" i="4"/>
  <c r="AG47" i="4" s="1"/>
  <c r="AH56" i="4"/>
  <c r="BO91" i="4" s="1"/>
  <c r="AI52" i="4"/>
  <c r="AH52" i="4" s="1"/>
  <c r="EG101" i="4"/>
  <c r="EG100" i="4" s="1"/>
  <c r="AH45" i="4"/>
  <c r="BO80" i="4" s="1"/>
  <c r="AJ64" i="4"/>
  <c r="BQ99" i="4" s="1"/>
  <c r="AI50" i="4"/>
  <c r="AH50" i="4" s="1"/>
  <c r="AJ41" i="4"/>
  <c r="BQ76" i="4" s="1"/>
  <c r="EH46" i="4"/>
  <c r="AI59" i="4"/>
  <c r="CM74" i="4"/>
  <c r="EH58" i="4"/>
  <c r="BP77" i="4"/>
  <c r="AH42" i="4"/>
  <c r="AI43" i="4"/>
  <c r="CI74" i="4"/>
  <c r="BM95" i="4"/>
  <c r="AE60" i="4"/>
  <c r="AI57" i="4"/>
  <c r="EH59" i="4"/>
  <c r="BN104" i="4"/>
  <c r="AF69" i="4"/>
  <c r="BO84" i="4"/>
  <c r="AG49" i="4"/>
  <c r="EH50" i="4"/>
  <c r="CE74" i="4"/>
  <c r="AI61" i="4"/>
  <c r="BO100" i="4"/>
  <c r="AG65" i="4"/>
  <c r="BP103" i="4"/>
  <c r="EF103" i="4" s="1"/>
  <c r="AH68" i="4"/>
  <c r="AI58" i="4"/>
  <c r="BP97" i="4"/>
  <c r="AH62" i="4"/>
  <c r="EH41" i="4"/>
  <c r="CN74" i="4"/>
  <c r="CQ74" i="4"/>
  <c r="AI63" i="4"/>
  <c r="CC74" i="4"/>
  <c r="AI66" i="4"/>
  <c r="CL74" i="4"/>
  <c r="BM86" i="4"/>
  <c r="AE51" i="4"/>
  <c r="CK74" i="4"/>
  <c r="AI39" i="4"/>
  <c r="BP102" i="4"/>
  <c r="AH67" i="4"/>
  <c r="EH61" i="4"/>
  <c r="BO75" i="4"/>
  <c r="AG40" i="4"/>
  <c r="EH43" i="4"/>
  <c r="BP88" i="4"/>
  <c r="AH53" i="4"/>
  <c r="EH39" i="4"/>
  <c r="CB74" i="4"/>
  <c r="CG74" i="4"/>
  <c r="BQ90" i="4"/>
  <c r="AI55" i="4"/>
  <c r="BP89" i="4"/>
  <c r="AH54" i="4"/>
  <c r="BP83" i="4"/>
  <c r="AH48" i="4"/>
  <c r="AP96" i="3"/>
  <c r="H61" i="3"/>
  <c r="AO96" i="3" s="1"/>
  <c r="DG97" i="3"/>
  <c r="DG96" i="3" s="1"/>
  <c r="DG95" i="3" s="1"/>
  <c r="DG94" i="3" s="1"/>
  <c r="DG93" i="3" s="1"/>
  <c r="DG92" i="3" s="1"/>
  <c r="DG91" i="3" s="1"/>
  <c r="DG90" i="3" s="1"/>
  <c r="DG89" i="3" s="1"/>
  <c r="DG88" i="3" s="1"/>
  <c r="DG87" i="3" s="1"/>
  <c r="DG86" i="3" s="1"/>
  <c r="DG85" i="3" s="1"/>
  <c r="DG84" i="3" s="1"/>
  <c r="DG83" i="3" s="1"/>
  <c r="DG82" i="3" s="1"/>
  <c r="DG81" i="3" s="1"/>
  <c r="DG80" i="3" s="1"/>
  <c r="DG79" i="3" s="1"/>
  <c r="L74" i="3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L94" i="3" s="1"/>
  <c r="L95" i="3" s="1"/>
  <c r="L96" i="3" s="1"/>
  <c r="L97" i="3" s="1"/>
  <c r="L98" i="3" s="1"/>
  <c r="L99" i="3" s="1"/>
  <c r="L100" i="3" s="1"/>
  <c r="L101" i="3" s="1"/>
  <c r="L102" i="3" s="1"/>
  <c r="L103" i="3" s="1"/>
  <c r="L104" i="3" s="1"/>
  <c r="AP75" i="3"/>
  <c r="H40" i="3"/>
  <c r="AO75" i="3" s="1"/>
  <c r="AP88" i="3"/>
  <c r="H53" i="3"/>
  <c r="AO88" i="3" s="1"/>
  <c r="AP82" i="3"/>
  <c r="H47" i="3"/>
  <c r="AO82" i="3" s="1"/>
  <c r="AP79" i="3"/>
  <c r="H44" i="3"/>
  <c r="AO79" i="3" s="1"/>
  <c r="DH78" i="3"/>
  <c r="DH77" i="3" s="1"/>
  <c r="DH76" i="3" s="1"/>
  <c r="DH75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K94" i="3" s="1"/>
  <c r="K95" i="3" s="1"/>
  <c r="K96" i="3" s="1"/>
  <c r="K97" i="3" s="1"/>
  <c r="K98" i="3" s="1"/>
  <c r="K99" i="3" s="1"/>
  <c r="K100" i="3" s="1"/>
  <c r="K101" i="3" s="1"/>
  <c r="K102" i="3" s="1"/>
  <c r="K103" i="3" s="1"/>
  <c r="K104" i="3" s="1"/>
  <c r="AP97" i="3"/>
  <c r="H62" i="3"/>
  <c r="AO97" i="3" s="1"/>
  <c r="AP91" i="3"/>
  <c r="H56" i="3"/>
  <c r="AO91" i="3" s="1"/>
  <c r="DE102" i="3"/>
  <c r="DF101" i="3"/>
  <c r="DF100" i="3" s="1"/>
  <c r="DF99" i="3" s="1"/>
  <c r="DF98" i="3" s="1"/>
  <c r="I57" i="3"/>
  <c r="AP92" i="3" s="1"/>
  <c r="H54" i="3"/>
  <c r="AO89" i="3" s="1"/>
  <c r="J43" i="3"/>
  <c r="AQ78" i="3" s="1"/>
  <c r="H66" i="3"/>
  <c r="AO101" i="3" s="1"/>
  <c r="I58" i="3"/>
  <c r="AP93" i="3" s="1"/>
  <c r="H46" i="3"/>
  <c r="AO81" i="3" s="1"/>
  <c r="I51" i="3"/>
  <c r="AP86" i="3" s="1"/>
  <c r="H48" i="3"/>
  <c r="AO83" i="3" s="1"/>
  <c r="H64" i="3"/>
  <c r="AO99" i="3" s="1"/>
  <c r="H65" i="3"/>
  <c r="AO100" i="3" s="1"/>
  <c r="H41" i="3"/>
  <c r="AO76" i="3" s="1"/>
  <c r="AC18" i="1"/>
  <c r="AI44" i="4" l="1"/>
  <c r="AI46" i="4"/>
  <c r="BP81" i="4" s="1"/>
  <c r="BO82" i="4"/>
  <c r="AG56" i="4"/>
  <c r="BN91" i="4" s="1"/>
  <c r="AG45" i="4"/>
  <c r="AF45" i="4" s="1"/>
  <c r="BP87" i="4"/>
  <c r="EG99" i="4"/>
  <c r="EG98" i="4" s="1"/>
  <c r="EG97" i="4" s="1"/>
  <c r="EG96" i="4" s="1"/>
  <c r="EG95" i="4" s="1"/>
  <c r="EG94" i="4" s="1"/>
  <c r="EG93" i="4" s="1"/>
  <c r="EG92" i="4" s="1"/>
  <c r="EG91" i="4" s="1"/>
  <c r="EG90" i="4" s="1"/>
  <c r="EG89" i="4" s="1"/>
  <c r="EG88" i="4" s="1"/>
  <c r="EG87" i="4" s="1"/>
  <c r="EG86" i="4" s="1"/>
  <c r="EG85" i="4" s="1"/>
  <c r="EG84" i="4" s="1"/>
  <c r="EG83" i="4" s="1"/>
  <c r="EG82" i="4" s="1"/>
  <c r="EG81" i="4" s="1"/>
  <c r="EG80" i="4" s="1"/>
  <c r="EG79" i="4" s="1"/>
  <c r="EG78" i="4" s="1"/>
  <c r="EG77" i="4" s="1"/>
  <c r="EG76" i="4" s="1"/>
  <c r="EG75" i="4" s="1"/>
  <c r="EG74" i="4" s="1"/>
  <c r="AI64" i="4"/>
  <c r="BP99" i="4" s="1"/>
  <c r="AI41" i="4"/>
  <c r="AH41" i="4" s="1"/>
  <c r="BP85" i="4"/>
  <c r="BN82" i="4"/>
  <c r="AF47" i="4"/>
  <c r="BN100" i="4"/>
  <c r="AF65" i="4"/>
  <c r="BL95" i="4"/>
  <c r="AD60" i="4"/>
  <c r="BO83" i="4"/>
  <c r="AG48" i="4"/>
  <c r="BP96" i="4"/>
  <c r="AH61" i="4"/>
  <c r="BN84" i="4"/>
  <c r="AF49" i="4"/>
  <c r="BO89" i="4"/>
  <c r="AG54" i="4"/>
  <c r="BO102" i="4"/>
  <c r="AG67" i="4"/>
  <c r="BO85" i="4"/>
  <c r="AG50" i="4"/>
  <c r="BP94" i="4"/>
  <c r="AH59" i="4"/>
  <c r="BL86" i="4"/>
  <c r="AD51" i="4"/>
  <c r="BP101" i="4"/>
  <c r="AH66" i="4"/>
  <c r="BM104" i="4"/>
  <c r="AE69" i="4"/>
  <c r="BP78" i="4"/>
  <c r="AH43" i="4"/>
  <c r="BO103" i="4"/>
  <c r="EE103" i="4" s="1"/>
  <c r="AG68" i="4"/>
  <c r="BO87" i="4"/>
  <c r="AG52" i="4"/>
  <c r="BN75" i="4"/>
  <c r="AF40" i="4"/>
  <c r="BO88" i="4"/>
  <c r="AG53" i="4"/>
  <c r="BP90" i="4"/>
  <c r="AH55" i="4"/>
  <c r="BP74" i="4"/>
  <c r="AH39" i="4"/>
  <c r="BP93" i="4"/>
  <c r="AH58" i="4"/>
  <c r="BO77" i="4"/>
  <c r="AG42" i="4"/>
  <c r="BP79" i="4"/>
  <c r="AH44" i="4"/>
  <c r="BP98" i="4"/>
  <c r="AH63" i="4"/>
  <c r="BO97" i="4"/>
  <c r="AG62" i="4"/>
  <c r="EF102" i="4"/>
  <c r="BP92" i="4"/>
  <c r="AH57" i="4"/>
  <c r="DF97" i="3"/>
  <c r="DF96" i="3" s="1"/>
  <c r="DF95" i="3" s="1"/>
  <c r="DF94" i="3" s="1"/>
  <c r="DF93" i="3" s="1"/>
  <c r="DF92" i="3" s="1"/>
  <c r="DF91" i="3" s="1"/>
  <c r="DF90" i="3" s="1"/>
  <c r="DF89" i="3" s="1"/>
  <c r="DF88" i="3" s="1"/>
  <c r="DF87" i="3" s="1"/>
  <c r="DF86" i="3" s="1"/>
  <c r="DF85" i="3" s="1"/>
  <c r="DF84" i="3" s="1"/>
  <c r="DF83" i="3" s="1"/>
  <c r="DF82" i="3" s="1"/>
  <c r="DF81" i="3" s="1"/>
  <c r="DF80" i="3" s="1"/>
  <c r="DF79" i="3" s="1"/>
  <c r="DG78" i="3"/>
  <c r="DG77" i="3" s="1"/>
  <c r="DG76" i="3" s="1"/>
  <c r="DG75" i="3" s="1"/>
  <c r="DG74" i="3" s="1"/>
  <c r="DE101" i="3"/>
  <c r="DE100" i="3" s="1"/>
  <c r="DE99" i="3" s="1"/>
  <c r="DE98" i="3" s="1"/>
  <c r="DE97" i="3" s="1"/>
  <c r="DE96" i="3" s="1"/>
  <c r="DE95" i="3" s="1"/>
  <c r="DE94" i="3" s="1"/>
  <c r="DH74" i="3"/>
  <c r="H51" i="3"/>
  <c r="AO86" i="3" s="1"/>
  <c r="H57" i="3"/>
  <c r="AO92" i="3" s="1"/>
  <c r="I43" i="3"/>
  <c r="AP78" i="3" s="1"/>
  <c r="H58" i="3"/>
  <c r="AO93" i="3" s="1"/>
  <c r="AD18" i="1"/>
  <c r="AH46" i="4" l="1"/>
  <c r="BO81" i="4" s="1"/>
  <c r="AF56" i="4"/>
  <c r="BM91" i="4" s="1"/>
  <c r="EE102" i="4"/>
  <c r="EF101" i="4"/>
  <c r="EF100" i="4" s="1"/>
  <c r="EF99" i="4" s="1"/>
  <c r="EF98" i="4" s="1"/>
  <c r="EF97" i="4" s="1"/>
  <c r="EF96" i="4" s="1"/>
  <c r="EF95" i="4" s="1"/>
  <c r="EF94" i="4" s="1"/>
  <c r="EF93" i="4" s="1"/>
  <c r="EF92" i="4" s="1"/>
  <c r="EF91" i="4" s="1"/>
  <c r="EF90" i="4" s="1"/>
  <c r="EF89" i="4" s="1"/>
  <c r="EF88" i="4" s="1"/>
  <c r="EF87" i="4" s="1"/>
  <c r="EF86" i="4" s="1"/>
  <c r="EF85" i="4" s="1"/>
  <c r="EF84" i="4" s="1"/>
  <c r="EF83" i="4" s="1"/>
  <c r="EF82" i="4" s="1"/>
  <c r="EF81" i="4" s="1"/>
  <c r="EF80" i="4" s="1"/>
  <c r="EF79" i="4" s="1"/>
  <c r="EF78" i="4" s="1"/>
  <c r="EF77" i="4" s="1"/>
  <c r="EF76" i="4" s="1"/>
  <c r="EF75" i="4" s="1"/>
  <c r="EF74" i="4" s="1"/>
  <c r="BP76" i="4"/>
  <c r="BN80" i="4"/>
  <c r="AH64" i="4"/>
  <c r="BO99" i="4" s="1"/>
  <c r="AJ74" i="4"/>
  <c r="AJ75" i="4" s="1"/>
  <c r="AJ76" i="4" s="1"/>
  <c r="AJ77" i="4" s="1"/>
  <c r="AJ78" i="4" s="1"/>
  <c r="AJ79" i="4" s="1"/>
  <c r="AJ80" i="4" s="1"/>
  <c r="AJ81" i="4" s="1"/>
  <c r="AJ82" i="4" s="1"/>
  <c r="AJ83" i="4" s="1"/>
  <c r="AJ84" i="4" s="1"/>
  <c r="AJ85" i="4" s="1"/>
  <c r="AJ86" i="4" s="1"/>
  <c r="AJ87" i="4" s="1"/>
  <c r="AJ88" i="4" s="1"/>
  <c r="AJ89" i="4" s="1"/>
  <c r="AJ90" i="4" s="1"/>
  <c r="AJ91" i="4" s="1"/>
  <c r="AJ92" i="4" s="1"/>
  <c r="AJ93" i="4" s="1"/>
  <c r="AJ94" i="4" s="1"/>
  <c r="AJ95" i="4" s="1"/>
  <c r="AJ96" i="4" s="1"/>
  <c r="AJ97" i="4" s="1"/>
  <c r="AJ98" i="4" s="1"/>
  <c r="AJ99" i="4" s="1"/>
  <c r="AJ100" i="4" s="1"/>
  <c r="AJ101" i="4" s="1"/>
  <c r="AJ102" i="4" s="1"/>
  <c r="AJ103" i="4" s="1"/>
  <c r="AJ104" i="4" s="1"/>
  <c r="BO79" i="4"/>
  <c r="AG44" i="4"/>
  <c r="BL104" i="4"/>
  <c r="AD69" i="4"/>
  <c r="BN88" i="4"/>
  <c r="AF53" i="4"/>
  <c r="BO101" i="4"/>
  <c r="AG66" i="4"/>
  <c r="BK95" i="4"/>
  <c r="AC60" i="4"/>
  <c r="BN97" i="4"/>
  <c r="AF62" i="4"/>
  <c r="BK86" i="4"/>
  <c r="AC51" i="4"/>
  <c r="BN102" i="4"/>
  <c r="AF67" i="4"/>
  <c r="BO96" i="4"/>
  <c r="AG61" i="4"/>
  <c r="BM100" i="4"/>
  <c r="AE65" i="4"/>
  <c r="BO90" i="4"/>
  <c r="AG55" i="4"/>
  <c r="BO94" i="4"/>
  <c r="AG59" i="4"/>
  <c r="BO76" i="4"/>
  <c r="AG41" i="4"/>
  <c r="BN77" i="4"/>
  <c r="AF42" i="4"/>
  <c r="BN103" i="4"/>
  <c r="ED103" i="4" s="1"/>
  <c r="AF68" i="4"/>
  <c r="BN85" i="4"/>
  <c r="AF50" i="4"/>
  <c r="BM84" i="4"/>
  <c r="AE49" i="4"/>
  <c r="BO93" i="4"/>
  <c r="AG58" i="4"/>
  <c r="BO98" i="4"/>
  <c r="AG63" i="4"/>
  <c r="BO74" i="4"/>
  <c r="AG39" i="4"/>
  <c r="BM75" i="4"/>
  <c r="AE40" i="4"/>
  <c r="BO78" i="4"/>
  <c r="AG43" i="4"/>
  <c r="BN89" i="4"/>
  <c r="AF54" i="4"/>
  <c r="BM82" i="4"/>
  <c r="AE47" i="4"/>
  <c r="BN87" i="4"/>
  <c r="AF52" i="4"/>
  <c r="BN83" i="4"/>
  <c r="AF48" i="4"/>
  <c r="BM80" i="4"/>
  <c r="AE45" i="4"/>
  <c r="BO92" i="4"/>
  <c r="AG57" i="4"/>
  <c r="DF78" i="3"/>
  <c r="DF77" i="3" s="1"/>
  <c r="DF76" i="3" s="1"/>
  <c r="DF75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03" i="3" s="1"/>
  <c r="I104" i="3" s="1"/>
  <c r="DE93" i="3"/>
  <c r="DE92" i="3" s="1"/>
  <c r="DE91" i="3" s="1"/>
  <c r="DE90" i="3" s="1"/>
  <c r="DE89" i="3" s="1"/>
  <c r="DE88" i="3" s="1"/>
  <c r="DE87" i="3" s="1"/>
  <c r="DE86" i="3" s="1"/>
  <c r="DE85" i="3" s="1"/>
  <c r="DE84" i="3" s="1"/>
  <c r="DE83" i="3" s="1"/>
  <c r="DE82" i="3" s="1"/>
  <c r="DE81" i="3" s="1"/>
  <c r="DE80" i="3" s="1"/>
  <c r="DE79" i="3" s="1"/>
  <c r="J74" i="3"/>
  <c r="J75" i="3" s="1"/>
  <c r="J76" i="3" s="1"/>
  <c r="J77" i="3" s="1"/>
  <c r="J78" i="3" s="1"/>
  <c r="J79" i="3" s="1"/>
  <c r="J80" i="3" s="1"/>
  <c r="J81" i="3" s="1"/>
  <c r="J82" i="3" s="1"/>
  <c r="J83" i="3" s="1"/>
  <c r="J84" i="3" s="1"/>
  <c r="J85" i="3" s="1"/>
  <c r="J86" i="3" s="1"/>
  <c r="J87" i="3" s="1"/>
  <c r="J88" i="3" s="1"/>
  <c r="J89" i="3" s="1"/>
  <c r="J90" i="3" s="1"/>
  <c r="J91" i="3" s="1"/>
  <c r="J92" i="3" s="1"/>
  <c r="J93" i="3" s="1"/>
  <c r="J94" i="3" s="1"/>
  <c r="J95" i="3" s="1"/>
  <c r="J96" i="3" s="1"/>
  <c r="J97" i="3" s="1"/>
  <c r="J98" i="3" s="1"/>
  <c r="J99" i="3" s="1"/>
  <c r="J100" i="3" s="1"/>
  <c r="J101" i="3" s="1"/>
  <c r="J102" i="3" s="1"/>
  <c r="J103" i="3" s="1"/>
  <c r="J104" i="3" s="1"/>
  <c r="H43" i="3"/>
  <c r="AO78" i="3" s="1"/>
  <c r="AE18" i="1"/>
  <c r="AG46" i="4" l="1"/>
  <c r="AF46" i="4" s="1"/>
  <c r="AE56" i="4"/>
  <c r="AD56" i="4" s="1"/>
  <c r="EE101" i="4"/>
  <c r="EE100" i="4" s="1"/>
  <c r="EE99" i="4" s="1"/>
  <c r="EE98" i="4" s="1"/>
  <c r="EE97" i="4" s="1"/>
  <c r="EE96" i="4" s="1"/>
  <c r="EE95" i="4" s="1"/>
  <c r="EE94" i="4" s="1"/>
  <c r="EE93" i="4" s="1"/>
  <c r="EE92" i="4" s="1"/>
  <c r="EE91" i="4" s="1"/>
  <c r="EE90" i="4" s="1"/>
  <c r="EE89" i="4" s="1"/>
  <c r="EE88" i="4" s="1"/>
  <c r="EE87" i="4" s="1"/>
  <c r="EE86" i="4" s="1"/>
  <c r="EE85" i="4" s="1"/>
  <c r="EE84" i="4" s="1"/>
  <c r="EE83" i="4" s="1"/>
  <c r="EE82" i="4" s="1"/>
  <c r="EE81" i="4" s="1"/>
  <c r="EE80" i="4" s="1"/>
  <c r="EE79" i="4" s="1"/>
  <c r="EE78" i="4" s="1"/>
  <c r="EE77" i="4" s="1"/>
  <c r="EE76" i="4" s="1"/>
  <c r="EE75" i="4" s="1"/>
  <c r="AG64" i="4"/>
  <c r="AF64" i="4" s="1"/>
  <c r="AI74" i="4"/>
  <c r="AI75" i="4" s="1"/>
  <c r="AI76" i="4" s="1"/>
  <c r="AI77" i="4" s="1"/>
  <c r="AI78" i="4" s="1"/>
  <c r="AI79" i="4" s="1"/>
  <c r="AI80" i="4" s="1"/>
  <c r="AI81" i="4" s="1"/>
  <c r="AI82" i="4" s="1"/>
  <c r="AI83" i="4" s="1"/>
  <c r="AI84" i="4" s="1"/>
  <c r="AI85" i="4" s="1"/>
  <c r="AI86" i="4" s="1"/>
  <c r="AI87" i="4" s="1"/>
  <c r="AI88" i="4" s="1"/>
  <c r="AI89" i="4" s="1"/>
  <c r="AI90" i="4" s="1"/>
  <c r="AI91" i="4" s="1"/>
  <c r="AI92" i="4" s="1"/>
  <c r="AI93" i="4" s="1"/>
  <c r="AI94" i="4" s="1"/>
  <c r="AI95" i="4" s="1"/>
  <c r="AI96" i="4" s="1"/>
  <c r="AI97" i="4" s="1"/>
  <c r="AI98" i="4" s="1"/>
  <c r="AI99" i="4" s="1"/>
  <c r="AI100" i="4" s="1"/>
  <c r="AI101" i="4" s="1"/>
  <c r="AI102" i="4" s="1"/>
  <c r="AI103" i="4" s="1"/>
  <c r="AI104" i="4" s="1"/>
  <c r="BM83" i="4"/>
  <c r="AE48" i="4"/>
  <c r="BN90" i="4"/>
  <c r="AF55" i="4"/>
  <c r="ED102" i="4"/>
  <c r="BM87" i="4"/>
  <c r="AE52" i="4"/>
  <c r="BL75" i="4"/>
  <c r="AD40" i="4"/>
  <c r="BN93" i="4"/>
  <c r="AF58" i="4"/>
  <c r="BM77" i="4"/>
  <c r="AE42" i="4"/>
  <c r="BL100" i="4"/>
  <c r="AD65" i="4"/>
  <c r="BL80" i="4"/>
  <c r="AD45" i="4"/>
  <c r="BM85" i="4"/>
  <c r="AE50" i="4"/>
  <c r="BJ95" i="4"/>
  <c r="AB60" i="4"/>
  <c r="BK104" i="4"/>
  <c r="AC69" i="4"/>
  <c r="BN79" i="4"/>
  <c r="AF44" i="4"/>
  <c r="BM88" i="4"/>
  <c r="AE53" i="4"/>
  <c r="BM89" i="4"/>
  <c r="AE54" i="4"/>
  <c r="BN98" i="4"/>
  <c r="AF63" i="4"/>
  <c r="BN94" i="4"/>
  <c r="AF59" i="4"/>
  <c r="BM102" i="4"/>
  <c r="AE67" i="4"/>
  <c r="BN78" i="4"/>
  <c r="AF43" i="4"/>
  <c r="BM103" i="4"/>
  <c r="EC103" i="4" s="1"/>
  <c r="AE68" i="4"/>
  <c r="BJ86" i="4"/>
  <c r="AB51" i="4"/>
  <c r="BN101" i="4"/>
  <c r="AF66" i="4"/>
  <c r="BN92" i="4"/>
  <c r="AF57" i="4"/>
  <c r="BL82" i="4"/>
  <c r="AD47" i="4"/>
  <c r="BN74" i="4"/>
  <c r="AF39" i="4"/>
  <c r="BL84" i="4"/>
  <c r="AD49" i="4"/>
  <c r="BN76" i="4"/>
  <c r="AF41" i="4"/>
  <c r="BN96" i="4"/>
  <c r="AF61" i="4"/>
  <c r="BM97" i="4"/>
  <c r="AE62" i="4"/>
  <c r="DF74" i="3"/>
  <c r="DE78" i="3"/>
  <c r="DE77" i="3" s="1"/>
  <c r="DE76" i="3" s="1"/>
  <c r="DE75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H103" i="3" s="1"/>
  <c r="H104" i="3" s="1"/>
  <c r="AF18" i="1"/>
  <c r="BN81" i="4" l="1"/>
  <c r="BL91" i="4"/>
  <c r="BN99" i="4"/>
  <c r="ED101" i="4"/>
  <c r="ED100" i="4" s="1"/>
  <c r="BL97" i="4"/>
  <c r="AD62" i="4"/>
  <c r="BL102" i="4"/>
  <c r="AD67" i="4"/>
  <c r="BM96" i="4"/>
  <c r="AE61" i="4"/>
  <c r="BM74" i="4"/>
  <c r="AE39" i="4"/>
  <c r="BI86" i="4"/>
  <c r="AA51" i="4"/>
  <c r="BL88" i="4"/>
  <c r="AD53" i="4"/>
  <c r="BL77" i="4"/>
  <c r="AD42" i="4"/>
  <c r="BL103" i="4"/>
  <c r="EB103" i="4" s="1"/>
  <c r="AD68" i="4"/>
  <c r="EC102" i="4"/>
  <c r="BK80" i="4"/>
  <c r="AC45" i="4"/>
  <c r="BM76" i="4"/>
  <c r="AE41" i="4"/>
  <c r="BM98" i="4"/>
  <c r="AE63" i="4"/>
  <c r="BM81" i="4"/>
  <c r="AE46" i="4"/>
  <c r="BK75" i="4"/>
  <c r="AC40" i="4"/>
  <c r="BM94" i="4"/>
  <c r="AE59" i="4"/>
  <c r="BM90" i="4"/>
  <c r="AE55" i="4"/>
  <c r="BM92" i="4"/>
  <c r="AE57" i="4"/>
  <c r="BM78" i="4"/>
  <c r="AE43" i="4"/>
  <c r="BK91" i="4"/>
  <c r="AC56" i="4"/>
  <c r="BM99" i="4"/>
  <c r="AE64" i="4"/>
  <c r="AH74" i="4"/>
  <c r="AH75" i="4" s="1"/>
  <c r="AH76" i="4" s="1"/>
  <c r="AH77" i="4" s="1"/>
  <c r="AH78" i="4" s="1"/>
  <c r="AH79" i="4" s="1"/>
  <c r="AH80" i="4" s="1"/>
  <c r="AH81" i="4" s="1"/>
  <c r="AH82" i="4" s="1"/>
  <c r="AH83" i="4" s="1"/>
  <c r="AH84" i="4" s="1"/>
  <c r="AH85" i="4" s="1"/>
  <c r="AH86" i="4" s="1"/>
  <c r="AH87" i="4" s="1"/>
  <c r="AH88" i="4" s="1"/>
  <c r="AH89" i="4" s="1"/>
  <c r="AH90" i="4" s="1"/>
  <c r="AH91" i="4" s="1"/>
  <c r="AH92" i="4" s="1"/>
  <c r="AH93" i="4" s="1"/>
  <c r="AH94" i="4" s="1"/>
  <c r="AH95" i="4" s="1"/>
  <c r="AH96" i="4" s="1"/>
  <c r="AH97" i="4" s="1"/>
  <c r="AH98" i="4" s="1"/>
  <c r="AH99" i="4" s="1"/>
  <c r="AH100" i="4" s="1"/>
  <c r="AH101" i="4" s="1"/>
  <c r="AH102" i="4" s="1"/>
  <c r="AH103" i="4" s="1"/>
  <c r="AH104" i="4" s="1"/>
  <c r="EE74" i="4"/>
  <c r="BL85" i="4"/>
  <c r="AD50" i="4"/>
  <c r="BK82" i="4"/>
  <c r="AC47" i="4"/>
  <c r="BM79" i="4"/>
  <c r="AE44" i="4"/>
  <c r="BM93" i="4"/>
  <c r="AE58" i="4"/>
  <c r="BJ104" i="4"/>
  <c r="AB69" i="4"/>
  <c r="BK84" i="4"/>
  <c r="AC49" i="4"/>
  <c r="BM101" i="4"/>
  <c r="AE66" i="4"/>
  <c r="BL89" i="4"/>
  <c r="AD54" i="4"/>
  <c r="BI95" i="4"/>
  <c r="AA60" i="4"/>
  <c r="BL83" i="4"/>
  <c r="AD48" i="4"/>
  <c r="BK100" i="4"/>
  <c r="AC65" i="4"/>
  <c r="BL87" i="4"/>
  <c r="AD52" i="4"/>
  <c r="DE74" i="3"/>
  <c r="AG18" i="1"/>
  <c r="ED99" i="4" l="1"/>
  <c r="ED98" i="4" s="1"/>
  <c r="ED97" i="4" s="1"/>
  <c r="ED96" i="4" s="1"/>
  <c r="ED95" i="4" s="1"/>
  <c r="ED94" i="4" s="1"/>
  <c r="ED93" i="4" s="1"/>
  <c r="ED92" i="4" s="1"/>
  <c r="ED91" i="4" s="1"/>
  <c r="ED90" i="4" s="1"/>
  <c r="ED89" i="4" s="1"/>
  <c r="ED88" i="4" s="1"/>
  <c r="ED87" i="4" s="1"/>
  <c r="ED86" i="4" s="1"/>
  <c r="ED85" i="4" s="1"/>
  <c r="ED84" i="4" s="1"/>
  <c r="ED83" i="4" s="1"/>
  <c r="ED82" i="4" s="1"/>
  <c r="ED81" i="4" s="1"/>
  <c r="ED80" i="4" s="1"/>
  <c r="ED79" i="4" s="1"/>
  <c r="ED78" i="4" s="1"/>
  <c r="ED77" i="4" s="1"/>
  <c r="ED76" i="4" s="1"/>
  <c r="ED75" i="4" s="1"/>
  <c r="AG74" i="4" s="1"/>
  <c r="AG75" i="4" s="1"/>
  <c r="AG76" i="4" s="1"/>
  <c r="AG77" i="4" s="1"/>
  <c r="AG78" i="4" s="1"/>
  <c r="AG79" i="4" s="1"/>
  <c r="AG80" i="4" s="1"/>
  <c r="AG81" i="4" s="1"/>
  <c r="AG82" i="4" s="1"/>
  <c r="AG83" i="4" s="1"/>
  <c r="AG84" i="4" s="1"/>
  <c r="AG85" i="4" s="1"/>
  <c r="AG86" i="4" s="1"/>
  <c r="AG87" i="4" s="1"/>
  <c r="AG88" i="4" s="1"/>
  <c r="AG89" i="4" s="1"/>
  <c r="AG90" i="4" s="1"/>
  <c r="AG91" i="4" s="1"/>
  <c r="AG92" i="4" s="1"/>
  <c r="AG93" i="4" s="1"/>
  <c r="AG94" i="4" s="1"/>
  <c r="AG95" i="4" s="1"/>
  <c r="AG96" i="4" s="1"/>
  <c r="AG97" i="4" s="1"/>
  <c r="AG98" i="4" s="1"/>
  <c r="AG99" i="4" s="1"/>
  <c r="AG100" i="4" s="1"/>
  <c r="AG101" i="4" s="1"/>
  <c r="AG102" i="4" s="1"/>
  <c r="AG103" i="4" s="1"/>
  <c r="AG104" i="4" s="1"/>
  <c r="EB102" i="4"/>
  <c r="BK103" i="4"/>
  <c r="EA103" i="4" s="1"/>
  <c r="AC68" i="4"/>
  <c r="BK77" i="4"/>
  <c r="AC42" i="4"/>
  <c r="BL96" i="4"/>
  <c r="AD61" i="4"/>
  <c r="BH95" i="4"/>
  <c r="Z60" i="4"/>
  <c r="BI104" i="4"/>
  <c r="AA69" i="4"/>
  <c r="BK85" i="4"/>
  <c r="AC50" i="4"/>
  <c r="BL78" i="4"/>
  <c r="AD43" i="4"/>
  <c r="BL76" i="4"/>
  <c r="AD41" i="4"/>
  <c r="BK88" i="4"/>
  <c r="AC53" i="4"/>
  <c r="BK102" i="4"/>
  <c r="AC67" i="4"/>
  <c r="BK87" i="4"/>
  <c r="AC52" i="4"/>
  <c r="BK89" i="4"/>
  <c r="AC54" i="4"/>
  <c r="BL93" i="4"/>
  <c r="AD58" i="4"/>
  <c r="BL92" i="4"/>
  <c r="AD57" i="4"/>
  <c r="BJ75" i="4"/>
  <c r="AB40" i="4"/>
  <c r="BJ80" i="4"/>
  <c r="AB45" i="4"/>
  <c r="BH86" i="4"/>
  <c r="Z51" i="4"/>
  <c r="BK97" i="4"/>
  <c r="AC62" i="4"/>
  <c r="BL74" i="4"/>
  <c r="AD39" i="4"/>
  <c r="BK83" i="4"/>
  <c r="AC48" i="4"/>
  <c r="BJ84" i="4"/>
  <c r="AB49" i="4"/>
  <c r="BJ82" i="4"/>
  <c r="AB47" i="4"/>
  <c r="BJ91" i="4"/>
  <c r="AB56" i="4"/>
  <c r="BL94" i="4"/>
  <c r="AD59" i="4"/>
  <c r="BL98" i="4"/>
  <c r="AD63" i="4"/>
  <c r="BJ100" i="4"/>
  <c r="AB65" i="4"/>
  <c r="BL101" i="4"/>
  <c r="AD66" i="4"/>
  <c r="BL79" i="4"/>
  <c r="AD44" i="4"/>
  <c r="BL99" i="4"/>
  <c r="AD64" i="4"/>
  <c r="BL90" i="4"/>
  <c r="AD55" i="4"/>
  <c r="BL81" i="4"/>
  <c r="AD46" i="4"/>
  <c r="EC101" i="4"/>
  <c r="EC100" i="4" s="1"/>
  <c r="EC99" i="4" s="1"/>
  <c r="EC98" i="4" s="1"/>
  <c r="EC97" i="4" s="1"/>
  <c r="EC96" i="4" s="1"/>
  <c r="EC95" i="4" s="1"/>
  <c r="EC94" i="4" s="1"/>
  <c r="EC93" i="4" s="1"/>
  <c r="EC92" i="4" s="1"/>
  <c r="EC91" i="4" s="1"/>
  <c r="EC90" i="4" s="1"/>
  <c r="EC89" i="4" s="1"/>
  <c r="EC88" i="4" s="1"/>
  <c r="EC87" i="4" s="1"/>
  <c r="EC86" i="4" s="1"/>
  <c r="EC85" i="4" s="1"/>
  <c r="EC84" i="4" s="1"/>
  <c r="EC83" i="4" s="1"/>
  <c r="EC82" i="4" s="1"/>
  <c r="EC81" i="4" s="1"/>
  <c r="EC80" i="4" s="1"/>
  <c r="EC79" i="4" s="1"/>
  <c r="EC78" i="4" s="1"/>
  <c r="EC77" i="4" s="1"/>
  <c r="EC76" i="4" s="1"/>
  <c r="EC75" i="4" s="1"/>
  <c r="AH18" i="1"/>
  <c r="EB101" i="4" l="1"/>
  <c r="EB100" i="4" s="1"/>
  <c r="EB99" i="4" s="1"/>
  <c r="EB98" i="4" s="1"/>
  <c r="EB97" i="4" s="1"/>
  <c r="EB96" i="4" s="1"/>
  <c r="EB95" i="4" s="1"/>
  <c r="EB94" i="4" s="1"/>
  <c r="EB93" i="4" s="1"/>
  <c r="EB92" i="4" s="1"/>
  <c r="EB91" i="4" s="1"/>
  <c r="EB90" i="4" s="1"/>
  <c r="EB89" i="4" s="1"/>
  <c r="EB88" i="4" s="1"/>
  <c r="EB87" i="4" s="1"/>
  <c r="EB86" i="4" s="1"/>
  <c r="EB85" i="4" s="1"/>
  <c r="EB84" i="4" s="1"/>
  <c r="EB83" i="4" s="1"/>
  <c r="EB82" i="4" s="1"/>
  <c r="EB81" i="4" s="1"/>
  <c r="EB80" i="4" s="1"/>
  <c r="EB79" i="4" s="1"/>
  <c r="EB78" i="4" s="1"/>
  <c r="EB77" i="4" s="1"/>
  <c r="EB76" i="4" s="1"/>
  <c r="EB75" i="4" s="1"/>
  <c r="AE74" i="4" s="1"/>
  <c r="AE75" i="4" s="1"/>
  <c r="AE76" i="4" s="1"/>
  <c r="AE77" i="4" s="1"/>
  <c r="AE78" i="4" s="1"/>
  <c r="AE79" i="4" s="1"/>
  <c r="AE80" i="4" s="1"/>
  <c r="AE81" i="4" s="1"/>
  <c r="AE82" i="4" s="1"/>
  <c r="AE83" i="4" s="1"/>
  <c r="AE84" i="4" s="1"/>
  <c r="AE85" i="4" s="1"/>
  <c r="AE86" i="4" s="1"/>
  <c r="AE87" i="4" s="1"/>
  <c r="AE88" i="4" s="1"/>
  <c r="AE89" i="4" s="1"/>
  <c r="AE90" i="4" s="1"/>
  <c r="AE91" i="4" s="1"/>
  <c r="AE92" i="4" s="1"/>
  <c r="AE93" i="4" s="1"/>
  <c r="AE94" i="4" s="1"/>
  <c r="AE95" i="4" s="1"/>
  <c r="AE96" i="4" s="1"/>
  <c r="AE97" i="4" s="1"/>
  <c r="AE98" i="4" s="1"/>
  <c r="AE99" i="4" s="1"/>
  <c r="AE100" i="4" s="1"/>
  <c r="AE101" i="4" s="1"/>
  <c r="AE102" i="4" s="1"/>
  <c r="AE103" i="4" s="1"/>
  <c r="AE104" i="4" s="1"/>
  <c r="ED74" i="4"/>
  <c r="BK81" i="4"/>
  <c r="AC46" i="4"/>
  <c r="BK101" i="4"/>
  <c r="AC66" i="4"/>
  <c r="BI91" i="4"/>
  <c r="AA56" i="4"/>
  <c r="BK74" i="4"/>
  <c r="AC39" i="4"/>
  <c r="BI75" i="4"/>
  <c r="AA40" i="4"/>
  <c r="BJ87" i="4"/>
  <c r="AB52" i="4"/>
  <c r="BK78" i="4"/>
  <c r="AC43" i="4"/>
  <c r="BK96" i="4"/>
  <c r="AC61" i="4"/>
  <c r="BK90" i="4"/>
  <c r="AC55" i="4"/>
  <c r="BI100" i="4"/>
  <c r="AA65" i="4"/>
  <c r="BI82" i="4"/>
  <c r="AA47" i="4"/>
  <c r="BJ97" i="4"/>
  <c r="AB62" i="4"/>
  <c r="BK92" i="4"/>
  <c r="AC57" i="4"/>
  <c r="BJ102" i="4"/>
  <c r="AB67" i="4"/>
  <c r="BJ85" i="4"/>
  <c r="AB50" i="4"/>
  <c r="BJ77" i="4"/>
  <c r="AB42" i="4"/>
  <c r="EC74" i="4"/>
  <c r="AF74" i="4"/>
  <c r="AF75" i="4" s="1"/>
  <c r="AF76" i="4" s="1"/>
  <c r="AF77" i="4" s="1"/>
  <c r="AF78" i="4" s="1"/>
  <c r="AF79" i="4" s="1"/>
  <c r="AF80" i="4" s="1"/>
  <c r="AF81" i="4" s="1"/>
  <c r="AF82" i="4" s="1"/>
  <c r="AF83" i="4" s="1"/>
  <c r="AF84" i="4" s="1"/>
  <c r="AF85" i="4" s="1"/>
  <c r="AF86" i="4" s="1"/>
  <c r="AF87" i="4" s="1"/>
  <c r="AF88" i="4" s="1"/>
  <c r="AF89" i="4" s="1"/>
  <c r="AF90" i="4" s="1"/>
  <c r="AF91" i="4" s="1"/>
  <c r="AF92" i="4" s="1"/>
  <c r="AF93" i="4" s="1"/>
  <c r="AF94" i="4" s="1"/>
  <c r="AF95" i="4" s="1"/>
  <c r="AF96" i="4" s="1"/>
  <c r="AF97" i="4" s="1"/>
  <c r="AF98" i="4" s="1"/>
  <c r="AF99" i="4" s="1"/>
  <c r="AF100" i="4" s="1"/>
  <c r="AF101" i="4" s="1"/>
  <c r="AF102" i="4" s="1"/>
  <c r="AF103" i="4" s="1"/>
  <c r="AF104" i="4" s="1"/>
  <c r="BK99" i="4"/>
  <c r="AC64" i="4"/>
  <c r="BK98" i="4"/>
  <c r="AC63" i="4"/>
  <c r="BI84" i="4"/>
  <c r="AA49" i="4"/>
  <c r="BG86" i="4"/>
  <c r="Y51" i="4"/>
  <c r="BK93" i="4"/>
  <c r="AC58" i="4"/>
  <c r="BJ88" i="4"/>
  <c r="AB53" i="4"/>
  <c r="BH104" i="4"/>
  <c r="Z69" i="4"/>
  <c r="BJ103" i="4"/>
  <c r="DZ103" i="4" s="1"/>
  <c r="AB68" i="4"/>
  <c r="BK79" i="4"/>
  <c r="AC44" i="4"/>
  <c r="BK94" i="4"/>
  <c r="AC59" i="4"/>
  <c r="BJ83" i="4"/>
  <c r="AB48" i="4"/>
  <c r="BI80" i="4"/>
  <c r="AA45" i="4"/>
  <c r="BJ89" i="4"/>
  <c r="AB54" i="4"/>
  <c r="BK76" i="4"/>
  <c r="AC41" i="4"/>
  <c r="BG95" i="4"/>
  <c r="Y60" i="4"/>
  <c r="EA102" i="4"/>
  <c r="AI18" i="1"/>
  <c r="AI15" i="1" s="1"/>
  <c r="EB74" i="4" l="1"/>
  <c r="EA101" i="4"/>
  <c r="EA100" i="4" s="1"/>
  <c r="EA99" i="4" s="1"/>
  <c r="EA98" i="4" s="1"/>
  <c r="EA97" i="4" s="1"/>
  <c r="EA96" i="4" s="1"/>
  <c r="EA95" i="4" s="1"/>
  <c r="EA94" i="4" s="1"/>
  <c r="EA93" i="4" s="1"/>
  <c r="EA92" i="4" s="1"/>
  <c r="EA91" i="4" s="1"/>
  <c r="EA90" i="4" s="1"/>
  <c r="EA89" i="4" s="1"/>
  <c r="EA88" i="4" s="1"/>
  <c r="EA87" i="4" s="1"/>
  <c r="EA86" i="4" s="1"/>
  <c r="EA85" i="4" s="1"/>
  <c r="EA84" i="4" s="1"/>
  <c r="EA83" i="4" s="1"/>
  <c r="EA82" i="4" s="1"/>
  <c r="EA81" i="4" s="1"/>
  <c r="EA80" i="4" s="1"/>
  <c r="EA79" i="4" s="1"/>
  <c r="EA78" i="4" s="1"/>
  <c r="EA77" i="4" s="1"/>
  <c r="EA76" i="4" s="1"/>
  <c r="EA75" i="4" s="1"/>
  <c r="EA74" i="4" s="1"/>
  <c r="DZ102" i="4"/>
  <c r="BH80" i="4"/>
  <c r="Z45" i="4"/>
  <c r="BI103" i="4"/>
  <c r="DY103" i="4" s="1"/>
  <c r="AA68" i="4"/>
  <c r="BF86" i="4"/>
  <c r="X51" i="4"/>
  <c r="BJ92" i="4"/>
  <c r="AB57" i="4"/>
  <c r="BJ76" i="4"/>
  <c r="AB41" i="4"/>
  <c r="BJ94" i="4"/>
  <c r="AB59" i="4"/>
  <c r="BI88" i="4"/>
  <c r="AA53" i="4"/>
  <c r="BJ98" i="4"/>
  <c r="AB63" i="4"/>
  <c r="BI85" i="4"/>
  <c r="AA50" i="4"/>
  <c r="BH82" i="4"/>
  <c r="Z47" i="4"/>
  <c r="BJ78" i="4"/>
  <c r="AB43" i="4"/>
  <c r="BH91" i="4"/>
  <c r="Z56" i="4"/>
  <c r="BI89" i="4"/>
  <c r="AA54" i="4"/>
  <c r="BJ79" i="4"/>
  <c r="AB44" i="4"/>
  <c r="BJ93" i="4"/>
  <c r="AB58" i="4"/>
  <c r="BJ99" i="4"/>
  <c r="AB64" i="4"/>
  <c r="BI102" i="4"/>
  <c r="AA67" i="4"/>
  <c r="BH100" i="4"/>
  <c r="Z65" i="4"/>
  <c r="BI87" i="4"/>
  <c r="AA52" i="4"/>
  <c r="BJ101" i="4"/>
  <c r="AB66" i="4"/>
  <c r="BI77" i="4"/>
  <c r="AA42" i="4"/>
  <c r="BJ90" i="4"/>
  <c r="AB55" i="4"/>
  <c r="BH75" i="4"/>
  <c r="Z40" i="4"/>
  <c r="BJ81" i="4"/>
  <c r="AB46" i="4"/>
  <c r="BF95" i="4"/>
  <c r="X60" i="4"/>
  <c r="BI83" i="4"/>
  <c r="AA48" i="4"/>
  <c r="BG104" i="4"/>
  <c r="Y69" i="4"/>
  <c r="BH84" i="4"/>
  <c r="Z49" i="4"/>
  <c r="BI97" i="4"/>
  <c r="AA62" i="4"/>
  <c r="BJ96" i="4"/>
  <c r="AB61" i="4"/>
  <c r="BJ74" i="4"/>
  <c r="AB39" i="4"/>
  <c r="AH15" i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  <c r="AJ18" i="1"/>
  <c r="DZ101" i="4" l="1"/>
  <c r="DZ100" i="4" s="1"/>
  <c r="DZ99" i="4" s="1"/>
  <c r="DZ98" i="4" s="1"/>
  <c r="DZ97" i="4" s="1"/>
  <c r="DZ96" i="4" s="1"/>
  <c r="DZ95" i="4" s="1"/>
  <c r="DZ94" i="4" s="1"/>
  <c r="DZ93" i="4" s="1"/>
  <c r="DZ92" i="4" s="1"/>
  <c r="DZ91" i="4" s="1"/>
  <c r="DZ90" i="4" s="1"/>
  <c r="DZ89" i="4" s="1"/>
  <c r="DZ88" i="4" s="1"/>
  <c r="DZ87" i="4" s="1"/>
  <c r="DZ86" i="4" s="1"/>
  <c r="DZ85" i="4" s="1"/>
  <c r="DZ84" i="4" s="1"/>
  <c r="DZ83" i="4" s="1"/>
  <c r="DZ82" i="4" s="1"/>
  <c r="DZ81" i="4" s="1"/>
  <c r="DZ80" i="4" s="1"/>
  <c r="DZ79" i="4" s="1"/>
  <c r="DZ78" i="4" s="1"/>
  <c r="DZ77" i="4" s="1"/>
  <c r="DZ76" i="4" s="1"/>
  <c r="DZ75" i="4" s="1"/>
  <c r="DZ74" i="4" s="1"/>
  <c r="DY102" i="4"/>
  <c r="AD74" i="4"/>
  <c r="AD75" i="4" s="1"/>
  <c r="AD76" i="4" s="1"/>
  <c r="AD77" i="4" s="1"/>
  <c r="AD78" i="4" s="1"/>
  <c r="AD79" i="4" s="1"/>
  <c r="AD80" i="4" s="1"/>
  <c r="AD81" i="4" s="1"/>
  <c r="AD82" i="4" s="1"/>
  <c r="AD83" i="4" s="1"/>
  <c r="AD84" i="4" s="1"/>
  <c r="AD85" i="4" s="1"/>
  <c r="AD86" i="4" s="1"/>
  <c r="AD87" i="4" s="1"/>
  <c r="AD88" i="4" s="1"/>
  <c r="AD89" i="4" s="1"/>
  <c r="AD90" i="4" s="1"/>
  <c r="AD91" i="4" s="1"/>
  <c r="AD92" i="4" s="1"/>
  <c r="AD93" i="4" s="1"/>
  <c r="AD94" i="4" s="1"/>
  <c r="AD95" i="4" s="1"/>
  <c r="AD96" i="4" s="1"/>
  <c r="AD97" i="4" s="1"/>
  <c r="AD98" i="4" s="1"/>
  <c r="AD99" i="4" s="1"/>
  <c r="AD100" i="4" s="1"/>
  <c r="AD101" i="4" s="1"/>
  <c r="AD102" i="4" s="1"/>
  <c r="AD103" i="4" s="1"/>
  <c r="AD104" i="4" s="1"/>
  <c r="BI99" i="4"/>
  <c r="AA64" i="4"/>
  <c r="BI98" i="4"/>
  <c r="AA63" i="4"/>
  <c r="BI96" i="4"/>
  <c r="AA61" i="4"/>
  <c r="BI90" i="4"/>
  <c r="AA55" i="4"/>
  <c r="BH87" i="4"/>
  <c r="Z52" i="4"/>
  <c r="BI93" i="4"/>
  <c r="AA58" i="4"/>
  <c r="BI78" i="4"/>
  <c r="AA43" i="4"/>
  <c r="BH88" i="4"/>
  <c r="Z53" i="4"/>
  <c r="BE86" i="4"/>
  <c r="W51" i="4"/>
  <c r="BH97" i="4"/>
  <c r="Z62" i="4"/>
  <c r="BE95" i="4"/>
  <c r="W60" i="4"/>
  <c r="BH77" i="4"/>
  <c r="Z42" i="4"/>
  <c r="BI101" i="4"/>
  <c r="AA66" i="4"/>
  <c r="BG91" i="4"/>
  <c r="Y56" i="4"/>
  <c r="BI92" i="4"/>
  <c r="AA57" i="4"/>
  <c r="BH83" i="4"/>
  <c r="Z48" i="4"/>
  <c r="BG100" i="4"/>
  <c r="Y65" i="4"/>
  <c r="BI79" i="4"/>
  <c r="AA44" i="4"/>
  <c r="BG82" i="4"/>
  <c r="Y47" i="4"/>
  <c r="BI94" i="4"/>
  <c r="AA59" i="4"/>
  <c r="BH103" i="4"/>
  <c r="DX103" i="4" s="1"/>
  <c r="Z68" i="4"/>
  <c r="BG84" i="4"/>
  <c r="Y49" i="4"/>
  <c r="BI81" i="4"/>
  <c r="AA46" i="4"/>
  <c r="BH102" i="4"/>
  <c r="Z67" i="4"/>
  <c r="BH89" i="4"/>
  <c r="Z54" i="4"/>
  <c r="BH85" i="4"/>
  <c r="Z50" i="4"/>
  <c r="BI76" i="4"/>
  <c r="AA41" i="4"/>
  <c r="BG80" i="4"/>
  <c r="Y45" i="4"/>
  <c r="BI74" i="4"/>
  <c r="AA39" i="4"/>
  <c r="BF104" i="4"/>
  <c r="X69" i="4"/>
  <c r="BG75" i="4"/>
  <c r="Y40" i="4"/>
  <c r="DY101" i="4" l="1"/>
  <c r="DY100" i="4" s="1"/>
  <c r="DY99" i="4" s="1"/>
  <c r="DY98" i="4" s="1"/>
  <c r="DY97" i="4" s="1"/>
  <c r="DY96" i="4" s="1"/>
  <c r="DY95" i="4" s="1"/>
  <c r="DY94" i="4" s="1"/>
  <c r="DY93" i="4" s="1"/>
  <c r="DY92" i="4" s="1"/>
  <c r="DY91" i="4" s="1"/>
  <c r="DY90" i="4" s="1"/>
  <c r="DY89" i="4" s="1"/>
  <c r="DY88" i="4" s="1"/>
  <c r="DY87" i="4" s="1"/>
  <c r="DY86" i="4" s="1"/>
  <c r="DY85" i="4" s="1"/>
  <c r="DY84" i="4" s="1"/>
  <c r="DY83" i="4" s="1"/>
  <c r="DY82" i="4" s="1"/>
  <c r="DY81" i="4" s="1"/>
  <c r="DY80" i="4" s="1"/>
  <c r="DY79" i="4" s="1"/>
  <c r="DY78" i="4" s="1"/>
  <c r="DY77" i="4" s="1"/>
  <c r="DY76" i="4" s="1"/>
  <c r="DY75" i="4" s="1"/>
  <c r="DY74" i="4" s="1"/>
  <c r="AC74" i="4"/>
  <c r="AC75" i="4" s="1"/>
  <c r="AC76" i="4" s="1"/>
  <c r="AC77" i="4" s="1"/>
  <c r="AC78" i="4" s="1"/>
  <c r="AC79" i="4" s="1"/>
  <c r="AC80" i="4" s="1"/>
  <c r="AC81" i="4" s="1"/>
  <c r="AC82" i="4" s="1"/>
  <c r="AC83" i="4" s="1"/>
  <c r="AC84" i="4" s="1"/>
  <c r="AC85" i="4" s="1"/>
  <c r="AC86" i="4" s="1"/>
  <c r="AC87" i="4" s="1"/>
  <c r="AC88" i="4" s="1"/>
  <c r="AC89" i="4" s="1"/>
  <c r="AC90" i="4" s="1"/>
  <c r="AC91" i="4" s="1"/>
  <c r="AC92" i="4" s="1"/>
  <c r="AC93" i="4" s="1"/>
  <c r="AC94" i="4" s="1"/>
  <c r="AC95" i="4" s="1"/>
  <c r="AC96" i="4" s="1"/>
  <c r="AC97" i="4" s="1"/>
  <c r="AC98" i="4" s="1"/>
  <c r="AC99" i="4" s="1"/>
  <c r="AC100" i="4" s="1"/>
  <c r="AC101" i="4" s="1"/>
  <c r="AC102" i="4" s="1"/>
  <c r="AC103" i="4" s="1"/>
  <c r="AC104" i="4" s="1"/>
  <c r="BH94" i="4"/>
  <c r="Z59" i="4"/>
  <c r="BG88" i="4"/>
  <c r="Y53" i="4"/>
  <c r="BH81" i="4"/>
  <c r="Z46" i="4"/>
  <c r="BH92" i="4"/>
  <c r="Z57" i="4"/>
  <c r="BH78" i="4"/>
  <c r="Z43" i="4"/>
  <c r="BE104" i="4"/>
  <c r="W69" i="4"/>
  <c r="BF84" i="4"/>
  <c r="X49" i="4"/>
  <c r="BH79" i="4"/>
  <c r="Z44" i="4"/>
  <c r="BF91" i="4"/>
  <c r="X56" i="4"/>
  <c r="BG97" i="4"/>
  <c r="Y62" i="4"/>
  <c r="BH93" i="4"/>
  <c r="Z58" i="4"/>
  <c r="BH98" i="4"/>
  <c r="Z63" i="4"/>
  <c r="BH74" i="4"/>
  <c r="Z39" i="4"/>
  <c r="BG89" i="4"/>
  <c r="Y54" i="4"/>
  <c r="BG77" i="4"/>
  <c r="Y42" i="4"/>
  <c r="BF82" i="4"/>
  <c r="X47" i="4"/>
  <c r="BD95" i="4"/>
  <c r="V60" i="4"/>
  <c r="BH96" i="4"/>
  <c r="Z61" i="4"/>
  <c r="BG85" i="4"/>
  <c r="Y50" i="4"/>
  <c r="BG103" i="4"/>
  <c r="DW103" i="4" s="1"/>
  <c r="Y68" i="4"/>
  <c r="BF100" i="4"/>
  <c r="X65" i="4"/>
  <c r="BH101" i="4"/>
  <c r="Z66" i="4"/>
  <c r="BD86" i="4"/>
  <c r="V51" i="4"/>
  <c r="BG87" i="4"/>
  <c r="Y52" i="4"/>
  <c r="BH99" i="4"/>
  <c r="Z64" i="4"/>
  <c r="BF80" i="4"/>
  <c r="X45" i="4"/>
  <c r="BG102" i="4"/>
  <c r="Y67" i="4"/>
  <c r="DX102" i="4"/>
  <c r="BG83" i="4"/>
  <c r="Y48" i="4"/>
  <c r="BH90" i="4"/>
  <c r="Z55" i="4"/>
  <c r="BF75" i="4"/>
  <c r="X40" i="4"/>
  <c r="BH76" i="4"/>
  <c r="Z41" i="4"/>
  <c r="AB74" i="4" l="1"/>
  <c r="AB75" i="4" s="1"/>
  <c r="AB76" i="4" s="1"/>
  <c r="AB77" i="4" s="1"/>
  <c r="AB78" i="4" s="1"/>
  <c r="AB79" i="4" s="1"/>
  <c r="AB80" i="4" s="1"/>
  <c r="AB81" i="4" s="1"/>
  <c r="AB82" i="4" s="1"/>
  <c r="AB83" i="4" s="1"/>
  <c r="AB84" i="4" s="1"/>
  <c r="AB85" i="4" s="1"/>
  <c r="AB86" i="4" s="1"/>
  <c r="AB87" i="4" s="1"/>
  <c r="AB88" i="4" s="1"/>
  <c r="AB89" i="4" s="1"/>
  <c r="AB90" i="4" s="1"/>
  <c r="AB91" i="4" s="1"/>
  <c r="AB92" i="4" s="1"/>
  <c r="AB93" i="4" s="1"/>
  <c r="AB94" i="4" s="1"/>
  <c r="AB95" i="4" s="1"/>
  <c r="AB96" i="4" s="1"/>
  <c r="AB97" i="4" s="1"/>
  <c r="AB98" i="4" s="1"/>
  <c r="AB99" i="4" s="1"/>
  <c r="AB100" i="4" s="1"/>
  <c r="AB101" i="4" s="1"/>
  <c r="AB102" i="4" s="1"/>
  <c r="AB103" i="4" s="1"/>
  <c r="AB104" i="4" s="1"/>
  <c r="BF77" i="4"/>
  <c r="X42" i="4"/>
  <c r="BE84" i="4"/>
  <c r="W49" i="4"/>
  <c r="BG81" i="4"/>
  <c r="Y46" i="4"/>
  <c r="BE75" i="4"/>
  <c r="W40" i="4"/>
  <c r="BE80" i="4"/>
  <c r="W45" i="4"/>
  <c r="BG101" i="4"/>
  <c r="Y66" i="4"/>
  <c r="BG96" i="4"/>
  <c r="Y61" i="4"/>
  <c r="BF89" i="4"/>
  <c r="X54" i="4"/>
  <c r="BF97" i="4"/>
  <c r="X62" i="4"/>
  <c r="BD104" i="4"/>
  <c r="V69" i="4"/>
  <c r="BF88" i="4"/>
  <c r="X53" i="4"/>
  <c r="BG90" i="4"/>
  <c r="Y55" i="4"/>
  <c r="BC86" i="4"/>
  <c r="U51" i="4"/>
  <c r="BG93" i="4"/>
  <c r="Y58" i="4"/>
  <c r="BE100" i="4"/>
  <c r="W65" i="4"/>
  <c r="BG74" i="4"/>
  <c r="Y39" i="4"/>
  <c r="BF102" i="4"/>
  <c r="X67" i="4"/>
  <c r="BF85" i="4"/>
  <c r="X50" i="4"/>
  <c r="BG99" i="4"/>
  <c r="Y64" i="4"/>
  <c r="BC95" i="4"/>
  <c r="U60" i="4"/>
  <c r="BE91" i="4"/>
  <c r="W56" i="4"/>
  <c r="BG78" i="4"/>
  <c r="Y43" i="4"/>
  <c r="BG94" i="4"/>
  <c r="Y59" i="4"/>
  <c r="BF83" i="4"/>
  <c r="X48" i="4"/>
  <c r="BF87" i="4"/>
  <c r="X52" i="4"/>
  <c r="BF103" i="4"/>
  <c r="DV103" i="4" s="1"/>
  <c r="X68" i="4"/>
  <c r="BE82" i="4"/>
  <c r="W47" i="4"/>
  <c r="BG98" i="4"/>
  <c r="Y63" i="4"/>
  <c r="BG79" i="4"/>
  <c r="Y44" i="4"/>
  <c r="BG92" i="4"/>
  <c r="Y57" i="4"/>
  <c r="BG76" i="4"/>
  <c r="Y41" i="4"/>
  <c r="DX101" i="4"/>
  <c r="DX100" i="4" s="1"/>
  <c r="DX99" i="4" s="1"/>
  <c r="DX98" i="4" s="1"/>
  <c r="DX97" i="4" s="1"/>
  <c r="DX96" i="4" s="1"/>
  <c r="DX95" i="4" s="1"/>
  <c r="DX94" i="4" s="1"/>
  <c r="DX93" i="4" s="1"/>
  <c r="DX92" i="4" s="1"/>
  <c r="DX91" i="4" s="1"/>
  <c r="DX90" i="4" s="1"/>
  <c r="DX89" i="4" s="1"/>
  <c r="DX88" i="4" s="1"/>
  <c r="DX87" i="4" s="1"/>
  <c r="DX86" i="4" s="1"/>
  <c r="DX85" i="4" s="1"/>
  <c r="DX84" i="4" s="1"/>
  <c r="DX83" i="4" s="1"/>
  <c r="DX82" i="4" s="1"/>
  <c r="DX81" i="4" s="1"/>
  <c r="DX80" i="4" s="1"/>
  <c r="DX79" i="4" s="1"/>
  <c r="DX78" i="4" s="1"/>
  <c r="DX77" i="4" s="1"/>
  <c r="DX76" i="4" s="1"/>
  <c r="DX75" i="4" s="1"/>
  <c r="DW102" i="4"/>
  <c r="DW101" i="4" l="1"/>
  <c r="DW100" i="4" s="1"/>
  <c r="DW99" i="4" s="1"/>
  <c r="DW98" i="4" s="1"/>
  <c r="DW97" i="4" s="1"/>
  <c r="DW96" i="4" s="1"/>
  <c r="DW95" i="4" s="1"/>
  <c r="DW94" i="4" s="1"/>
  <c r="DW93" i="4" s="1"/>
  <c r="DW92" i="4" s="1"/>
  <c r="DW91" i="4" s="1"/>
  <c r="DW90" i="4" s="1"/>
  <c r="DW89" i="4" s="1"/>
  <c r="DW88" i="4" s="1"/>
  <c r="DW87" i="4" s="1"/>
  <c r="DW86" i="4" s="1"/>
  <c r="DW85" i="4" s="1"/>
  <c r="DW84" i="4" s="1"/>
  <c r="DW83" i="4" s="1"/>
  <c r="DW82" i="4" s="1"/>
  <c r="DW81" i="4" s="1"/>
  <c r="DW80" i="4" s="1"/>
  <c r="DW79" i="4" s="1"/>
  <c r="DW78" i="4" s="1"/>
  <c r="DW77" i="4" s="1"/>
  <c r="DW76" i="4" s="1"/>
  <c r="DW75" i="4" s="1"/>
  <c r="Z74" i="4" s="1"/>
  <c r="Z75" i="4" s="1"/>
  <c r="Z76" i="4" s="1"/>
  <c r="Z77" i="4" s="1"/>
  <c r="Z78" i="4" s="1"/>
  <c r="Z79" i="4" s="1"/>
  <c r="Z80" i="4" s="1"/>
  <c r="Z81" i="4" s="1"/>
  <c r="Z82" i="4" s="1"/>
  <c r="Z83" i="4" s="1"/>
  <c r="Z84" i="4" s="1"/>
  <c r="Z85" i="4" s="1"/>
  <c r="Z86" i="4" s="1"/>
  <c r="Z87" i="4" s="1"/>
  <c r="Z88" i="4" s="1"/>
  <c r="Z89" i="4" s="1"/>
  <c r="Z90" i="4" s="1"/>
  <c r="Z91" i="4" s="1"/>
  <c r="Z92" i="4" s="1"/>
  <c r="Z93" i="4" s="1"/>
  <c r="Z94" i="4" s="1"/>
  <c r="Z95" i="4" s="1"/>
  <c r="Z96" i="4" s="1"/>
  <c r="Z97" i="4" s="1"/>
  <c r="Z98" i="4" s="1"/>
  <c r="Z99" i="4" s="1"/>
  <c r="Z100" i="4" s="1"/>
  <c r="Z101" i="4" s="1"/>
  <c r="Z102" i="4" s="1"/>
  <c r="Z103" i="4" s="1"/>
  <c r="Z104" i="4" s="1"/>
  <c r="DV102" i="4"/>
  <c r="AA74" i="4"/>
  <c r="AA75" i="4" s="1"/>
  <c r="AA76" i="4" s="1"/>
  <c r="AA77" i="4" s="1"/>
  <c r="AA78" i="4" s="1"/>
  <c r="AA79" i="4" s="1"/>
  <c r="AA80" i="4" s="1"/>
  <c r="AA81" i="4" s="1"/>
  <c r="AA82" i="4" s="1"/>
  <c r="AA83" i="4" s="1"/>
  <c r="AA84" i="4" s="1"/>
  <c r="AA85" i="4" s="1"/>
  <c r="AA86" i="4" s="1"/>
  <c r="AA87" i="4" s="1"/>
  <c r="AA88" i="4" s="1"/>
  <c r="AA89" i="4" s="1"/>
  <c r="AA90" i="4" s="1"/>
  <c r="AA91" i="4" s="1"/>
  <c r="AA92" i="4" s="1"/>
  <c r="AA93" i="4" s="1"/>
  <c r="AA94" i="4" s="1"/>
  <c r="AA95" i="4" s="1"/>
  <c r="AA96" i="4" s="1"/>
  <c r="AA97" i="4" s="1"/>
  <c r="AA98" i="4" s="1"/>
  <c r="AA99" i="4" s="1"/>
  <c r="AA100" i="4" s="1"/>
  <c r="AA101" i="4" s="1"/>
  <c r="AA102" i="4" s="1"/>
  <c r="AA103" i="4" s="1"/>
  <c r="AA104" i="4" s="1"/>
  <c r="DX74" i="4"/>
  <c r="BD82" i="4"/>
  <c r="V47" i="4"/>
  <c r="BF94" i="4"/>
  <c r="X59" i="4"/>
  <c r="BF99" i="4"/>
  <c r="X64" i="4"/>
  <c r="BD100" i="4"/>
  <c r="V65" i="4"/>
  <c r="BE88" i="4"/>
  <c r="W53" i="4"/>
  <c r="BF96" i="4"/>
  <c r="X61" i="4"/>
  <c r="BF81" i="4"/>
  <c r="X46" i="4"/>
  <c r="BE83" i="4"/>
  <c r="W48" i="4"/>
  <c r="BF74" i="4"/>
  <c r="X39" i="4"/>
  <c r="BD75" i="4"/>
  <c r="V40" i="4"/>
  <c r="BF76" i="4"/>
  <c r="X41" i="4"/>
  <c r="BE103" i="4"/>
  <c r="DU103" i="4" s="1"/>
  <c r="W68" i="4"/>
  <c r="BF78" i="4"/>
  <c r="X43" i="4"/>
  <c r="BF93" i="4"/>
  <c r="X58" i="4"/>
  <c r="BC104" i="4"/>
  <c r="U69" i="4"/>
  <c r="BF101" i="4"/>
  <c r="X66" i="4"/>
  <c r="BD84" i="4"/>
  <c r="V49" i="4"/>
  <c r="BE87" i="4"/>
  <c r="W52" i="4"/>
  <c r="BE102" i="4"/>
  <c r="W67" i="4"/>
  <c r="BE97" i="4"/>
  <c r="W62" i="4"/>
  <c r="BD80" i="4"/>
  <c r="V45" i="4"/>
  <c r="BE77" i="4"/>
  <c r="W42" i="4"/>
  <c r="BF98" i="4"/>
  <c r="X63" i="4"/>
  <c r="BB95" i="4"/>
  <c r="T60" i="4"/>
  <c r="BF90" i="4"/>
  <c r="X55" i="4"/>
  <c r="BE89" i="4"/>
  <c r="W54" i="4"/>
  <c r="BF92" i="4"/>
  <c r="X57" i="4"/>
  <c r="BE85" i="4"/>
  <c r="W50" i="4"/>
  <c r="BF79" i="4"/>
  <c r="X44" i="4"/>
  <c r="BD91" i="4"/>
  <c r="V56" i="4"/>
  <c r="BB86" i="4"/>
  <c r="T51" i="4"/>
  <c r="DV101" i="4" l="1"/>
  <c r="DV100" i="4" s="1"/>
  <c r="DV99" i="4" s="1"/>
  <c r="DV98" i="4" s="1"/>
  <c r="DV97" i="4" s="1"/>
  <c r="DV96" i="4" s="1"/>
  <c r="DV95" i="4" s="1"/>
  <c r="DV94" i="4" s="1"/>
  <c r="DV93" i="4" s="1"/>
  <c r="DV92" i="4" s="1"/>
  <c r="DV91" i="4" s="1"/>
  <c r="DV90" i="4" s="1"/>
  <c r="DV89" i="4" s="1"/>
  <c r="DV88" i="4" s="1"/>
  <c r="DV87" i="4" s="1"/>
  <c r="DV86" i="4" s="1"/>
  <c r="DV85" i="4" s="1"/>
  <c r="DV84" i="4" s="1"/>
  <c r="DV83" i="4" s="1"/>
  <c r="DV82" i="4" s="1"/>
  <c r="DV81" i="4" s="1"/>
  <c r="DV80" i="4" s="1"/>
  <c r="DV79" i="4" s="1"/>
  <c r="DV78" i="4" s="1"/>
  <c r="DV77" i="4" s="1"/>
  <c r="DV76" i="4" s="1"/>
  <c r="DV75" i="4" s="1"/>
  <c r="Y74" i="4" s="1"/>
  <c r="Y75" i="4" s="1"/>
  <c r="Y76" i="4" s="1"/>
  <c r="Y77" i="4" s="1"/>
  <c r="Y78" i="4" s="1"/>
  <c r="Y79" i="4" s="1"/>
  <c r="Y80" i="4" s="1"/>
  <c r="Y81" i="4" s="1"/>
  <c r="Y82" i="4" s="1"/>
  <c r="Y83" i="4" s="1"/>
  <c r="Y84" i="4" s="1"/>
  <c r="Y85" i="4" s="1"/>
  <c r="Y86" i="4" s="1"/>
  <c r="Y87" i="4" s="1"/>
  <c r="Y88" i="4" s="1"/>
  <c r="Y89" i="4" s="1"/>
  <c r="Y90" i="4" s="1"/>
  <c r="Y91" i="4" s="1"/>
  <c r="Y92" i="4" s="1"/>
  <c r="Y93" i="4" s="1"/>
  <c r="Y94" i="4" s="1"/>
  <c r="Y95" i="4" s="1"/>
  <c r="Y96" i="4" s="1"/>
  <c r="Y97" i="4" s="1"/>
  <c r="Y98" i="4" s="1"/>
  <c r="Y99" i="4" s="1"/>
  <c r="Y100" i="4" s="1"/>
  <c r="Y101" i="4" s="1"/>
  <c r="Y102" i="4" s="1"/>
  <c r="Y103" i="4" s="1"/>
  <c r="Y104" i="4" s="1"/>
  <c r="DW74" i="4"/>
  <c r="BD89" i="4"/>
  <c r="V54" i="4"/>
  <c r="BD87" i="4"/>
  <c r="V52" i="4"/>
  <c r="BE93" i="4"/>
  <c r="W58" i="4"/>
  <c r="BC75" i="4"/>
  <c r="U40" i="4"/>
  <c r="BE81" i="4"/>
  <c r="W46" i="4"/>
  <c r="BE99" i="4"/>
  <c r="W64" i="4"/>
  <c r="BE79" i="4"/>
  <c r="W44" i="4"/>
  <c r="BE90" i="4"/>
  <c r="W55" i="4"/>
  <c r="BC80" i="4"/>
  <c r="U45" i="4"/>
  <c r="BC84" i="4"/>
  <c r="U49" i="4"/>
  <c r="BE78" i="4"/>
  <c r="W43" i="4"/>
  <c r="BE74" i="4"/>
  <c r="W39" i="4"/>
  <c r="BE96" i="4"/>
  <c r="W61" i="4"/>
  <c r="BE94" i="4"/>
  <c r="W59" i="4"/>
  <c r="BC91" i="4"/>
  <c r="U56" i="4"/>
  <c r="BD77" i="4"/>
  <c r="V42" i="4"/>
  <c r="BD85" i="4"/>
  <c r="V50" i="4"/>
  <c r="BA95" i="4"/>
  <c r="S60" i="4"/>
  <c r="BD97" i="4"/>
  <c r="V62" i="4"/>
  <c r="BE101" i="4"/>
  <c r="W66" i="4"/>
  <c r="BD103" i="4"/>
  <c r="DT103" i="4" s="1"/>
  <c r="V68" i="4"/>
  <c r="BD83" i="4"/>
  <c r="V48" i="4"/>
  <c r="BD88" i="4"/>
  <c r="V53" i="4"/>
  <c r="BC82" i="4"/>
  <c r="U47" i="4"/>
  <c r="BA86" i="4"/>
  <c r="S51" i="4"/>
  <c r="DU102" i="4"/>
  <c r="BE92" i="4"/>
  <c r="W57" i="4"/>
  <c r="BE98" i="4"/>
  <c r="W63" i="4"/>
  <c r="BD102" i="4"/>
  <c r="V67" i="4"/>
  <c r="BB104" i="4"/>
  <c r="T69" i="4"/>
  <c r="BE76" i="4"/>
  <c r="W41" i="4"/>
  <c r="BC100" i="4"/>
  <c r="U65" i="4"/>
  <c r="DT102" i="4" l="1"/>
  <c r="DV74" i="4"/>
  <c r="BC97" i="4"/>
  <c r="U62" i="4"/>
  <c r="BD79" i="4"/>
  <c r="V44" i="4"/>
  <c r="BB84" i="4"/>
  <c r="T49" i="4"/>
  <c r="DU101" i="4"/>
  <c r="DU100" i="4" s="1"/>
  <c r="DU99" i="4" s="1"/>
  <c r="DU98" i="4" s="1"/>
  <c r="DU97" i="4" s="1"/>
  <c r="DU96" i="4" s="1"/>
  <c r="DU95" i="4" s="1"/>
  <c r="DU94" i="4" s="1"/>
  <c r="DU93" i="4" s="1"/>
  <c r="DU92" i="4" s="1"/>
  <c r="DU91" i="4" s="1"/>
  <c r="DU90" i="4" s="1"/>
  <c r="DU89" i="4" s="1"/>
  <c r="DU88" i="4" s="1"/>
  <c r="DU87" i="4" s="1"/>
  <c r="DU86" i="4" s="1"/>
  <c r="DU85" i="4" s="1"/>
  <c r="DU84" i="4" s="1"/>
  <c r="DU83" i="4" s="1"/>
  <c r="DU82" i="4" s="1"/>
  <c r="DU81" i="4" s="1"/>
  <c r="DU80" i="4" s="1"/>
  <c r="DU79" i="4" s="1"/>
  <c r="DU78" i="4" s="1"/>
  <c r="DU77" i="4" s="1"/>
  <c r="DU76" i="4" s="1"/>
  <c r="DU75" i="4" s="1"/>
  <c r="BC88" i="4"/>
  <c r="U53" i="4"/>
  <c r="BD93" i="4"/>
  <c r="V58" i="4"/>
  <c r="BC83" i="4"/>
  <c r="U48" i="4"/>
  <c r="BD99" i="4"/>
  <c r="V64" i="4"/>
  <c r="BA104" i="4"/>
  <c r="S69" i="4"/>
  <c r="AZ86" i="4"/>
  <c r="R51" i="4"/>
  <c r="BC103" i="4"/>
  <c r="DS103" i="4" s="1"/>
  <c r="U68" i="4"/>
  <c r="BC85" i="4"/>
  <c r="U50" i="4"/>
  <c r="BD96" i="4"/>
  <c r="V61" i="4"/>
  <c r="BB80" i="4"/>
  <c r="T45" i="4"/>
  <c r="BD81" i="4"/>
  <c r="V46" i="4"/>
  <c r="BC89" i="4"/>
  <c r="U54" i="4"/>
  <c r="BB100" i="4"/>
  <c r="T65" i="4"/>
  <c r="BD78" i="4"/>
  <c r="V43" i="4"/>
  <c r="BD92" i="4"/>
  <c r="V57" i="4"/>
  <c r="AZ95" i="4"/>
  <c r="R60" i="4"/>
  <c r="BC87" i="4"/>
  <c r="U52" i="4"/>
  <c r="BC102" i="4"/>
  <c r="U67" i="4"/>
  <c r="BD98" i="4"/>
  <c r="V63" i="4"/>
  <c r="BB91" i="4"/>
  <c r="T56" i="4"/>
  <c r="BD76" i="4"/>
  <c r="V41" i="4"/>
  <c r="BD94" i="4"/>
  <c r="V59" i="4"/>
  <c r="BB82" i="4"/>
  <c r="T47" i="4"/>
  <c r="BD101" i="4"/>
  <c r="V66" i="4"/>
  <c r="BC77" i="4"/>
  <c r="U42" i="4"/>
  <c r="BD74" i="4"/>
  <c r="V39" i="4"/>
  <c r="BD90" i="4"/>
  <c r="V55" i="4"/>
  <c r="BB75" i="4"/>
  <c r="T40" i="4"/>
  <c r="DS102" i="4" l="1"/>
  <c r="DT101" i="4"/>
  <c r="DT100" i="4" s="1"/>
  <c r="DT99" i="4" s="1"/>
  <c r="DT98" i="4" s="1"/>
  <c r="DT97" i="4" s="1"/>
  <c r="DT96" i="4" s="1"/>
  <c r="DT95" i="4" s="1"/>
  <c r="DT94" i="4" s="1"/>
  <c r="DT93" i="4" s="1"/>
  <c r="DT92" i="4" s="1"/>
  <c r="DT91" i="4" s="1"/>
  <c r="DT90" i="4" s="1"/>
  <c r="DT89" i="4" s="1"/>
  <c r="DT88" i="4" s="1"/>
  <c r="DT87" i="4" s="1"/>
  <c r="DT86" i="4" s="1"/>
  <c r="DT85" i="4" s="1"/>
  <c r="DT84" i="4" s="1"/>
  <c r="DT83" i="4" s="1"/>
  <c r="DT82" i="4" s="1"/>
  <c r="DT81" i="4" s="1"/>
  <c r="DT80" i="4" s="1"/>
  <c r="DT79" i="4" s="1"/>
  <c r="DT78" i="4" s="1"/>
  <c r="DT77" i="4" s="1"/>
  <c r="DT76" i="4" s="1"/>
  <c r="DT75" i="4" s="1"/>
  <c r="W74" i="4" s="1"/>
  <c r="W75" i="4" s="1"/>
  <c r="W76" i="4" s="1"/>
  <c r="W77" i="4" s="1"/>
  <c r="W78" i="4" s="1"/>
  <c r="W79" i="4" s="1"/>
  <c r="W80" i="4" s="1"/>
  <c r="W81" i="4" s="1"/>
  <c r="W82" i="4" s="1"/>
  <c r="W83" i="4" s="1"/>
  <c r="W84" i="4" s="1"/>
  <c r="W85" i="4" s="1"/>
  <c r="W86" i="4" s="1"/>
  <c r="W87" i="4" s="1"/>
  <c r="W88" i="4" s="1"/>
  <c r="W89" i="4" s="1"/>
  <c r="W90" i="4" s="1"/>
  <c r="W91" i="4" s="1"/>
  <c r="W92" i="4" s="1"/>
  <c r="W93" i="4" s="1"/>
  <c r="W94" i="4" s="1"/>
  <c r="W95" i="4" s="1"/>
  <c r="W96" i="4" s="1"/>
  <c r="W97" i="4" s="1"/>
  <c r="W98" i="4" s="1"/>
  <c r="W99" i="4" s="1"/>
  <c r="W100" i="4" s="1"/>
  <c r="W101" i="4" s="1"/>
  <c r="W102" i="4" s="1"/>
  <c r="W103" i="4" s="1"/>
  <c r="W104" i="4" s="1"/>
  <c r="BC101" i="4"/>
  <c r="U66" i="4"/>
  <c r="BA91" i="4"/>
  <c r="S56" i="4"/>
  <c r="BC99" i="4"/>
  <c r="U64" i="4"/>
  <c r="BC92" i="4"/>
  <c r="U57" i="4"/>
  <c r="BC81" i="4"/>
  <c r="U46" i="4"/>
  <c r="BB103" i="4"/>
  <c r="DR103" i="4" s="1"/>
  <c r="T68" i="4"/>
  <c r="BB83" i="4"/>
  <c r="T48" i="4"/>
  <c r="BB89" i="4"/>
  <c r="T54" i="4"/>
  <c r="BC90" i="4"/>
  <c r="U55" i="4"/>
  <c r="BC79" i="4"/>
  <c r="U44" i="4"/>
  <c r="X74" i="4"/>
  <c r="X75" i="4" s="1"/>
  <c r="X76" i="4" s="1"/>
  <c r="X77" i="4" s="1"/>
  <c r="X78" i="4" s="1"/>
  <c r="X79" i="4" s="1"/>
  <c r="X80" i="4" s="1"/>
  <c r="X81" i="4" s="1"/>
  <c r="X82" i="4" s="1"/>
  <c r="X83" i="4" s="1"/>
  <c r="X84" i="4" s="1"/>
  <c r="X85" i="4" s="1"/>
  <c r="X86" i="4" s="1"/>
  <c r="X87" i="4" s="1"/>
  <c r="X88" i="4" s="1"/>
  <c r="X89" i="4" s="1"/>
  <c r="X90" i="4" s="1"/>
  <c r="X91" i="4" s="1"/>
  <c r="X92" i="4" s="1"/>
  <c r="X93" i="4" s="1"/>
  <c r="X94" i="4" s="1"/>
  <c r="X95" i="4" s="1"/>
  <c r="X96" i="4" s="1"/>
  <c r="X97" i="4" s="1"/>
  <c r="X98" i="4" s="1"/>
  <c r="X99" i="4" s="1"/>
  <c r="X100" i="4" s="1"/>
  <c r="X101" i="4" s="1"/>
  <c r="X102" i="4" s="1"/>
  <c r="X103" i="4" s="1"/>
  <c r="X104" i="4" s="1"/>
  <c r="DU74" i="4"/>
  <c r="BA84" i="4"/>
  <c r="S49" i="4"/>
  <c r="BC98" i="4"/>
  <c r="U63" i="4"/>
  <c r="BB102" i="4"/>
  <c r="T67" i="4"/>
  <c r="BA80" i="4"/>
  <c r="S45" i="4"/>
  <c r="AY86" i="4"/>
  <c r="Q51" i="4"/>
  <c r="BC93" i="4"/>
  <c r="U58" i="4"/>
  <c r="BB85" i="4"/>
  <c r="T50" i="4"/>
  <c r="BC78" i="4"/>
  <c r="U43" i="4"/>
  <c r="BB77" i="4"/>
  <c r="T42" i="4"/>
  <c r="BB97" i="4"/>
  <c r="T62" i="4"/>
  <c r="BA75" i="4"/>
  <c r="S40" i="4"/>
  <c r="AY95" i="4"/>
  <c r="Q60" i="4"/>
  <c r="BA82" i="4"/>
  <c r="S47" i="4"/>
  <c r="BC74" i="4"/>
  <c r="U39" i="4"/>
  <c r="BC94" i="4"/>
  <c r="U59" i="4"/>
  <c r="BC76" i="4"/>
  <c r="U41" i="4"/>
  <c r="BB87" i="4"/>
  <c r="T52" i="4"/>
  <c r="BA100" i="4"/>
  <c r="S65" i="4"/>
  <c r="BC96" i="4"/>
  <c r="U61" i="4"/>
  <c r="AZ104" i="4"/>
  <c r="R69" i="4"/>
  <c r="BB88" i="4"/>
  <c r="T53" i="4"/>
  <c r="DS101" i="4" l="1"/>
  <c r="DS100" i="4" s="1"/>
  <c r="DS99" i="4" s="1"/>
  <c r="DS98" i="4" s="1"/>
  <c r="DS97" i="4" s="1"/>
  <c r="DS96" i="4" s="1"/>
  <c r="DS95" i="4" s="1"/>
  <c r="DS94" i="4" s="1"/>
  <c r="DS93" i="4" s="1"/>
  <c r="DS92" i="4" s="1"/>
  <c r="DS91" i="4" s="1"/>
  <c r="DS90" i="4" s="1"/>
  <c r="DS89" i="4" s="1"/>
  <c r="DS88" i="4" s="1"/>
  <c r="DS87" i="4" s="1"/>
  <c r="DS86" i="4" s="1"/>
  <c r="DS85" i="4" s="1"/>
  <c r="DS84" i="4" s="1"/>
  <c r="DS83" i="4" s="1"/>
  <c r="DS82" i="4" s="1"/>
  <c r="DS81" i="4" s="1"/>
  <c r="DS80" i="4" s="1"/>
  <c r="DS79" i="4" s="1"/>
  <c r="DS78" i="4" s="1"/>
  <c r="DS77" i="4" s="1"/>
  <c r="DS76" i="4" s="1"/>
  <c r="DS75" i="4" s="1"/>
  <c r="V74" i="4" s="1"/>
  <c r="DT74" i="4"/>
  <c r="AZ75" i="4"/>
  <c r="R40" i="4"/>
  <c r="BB74" i="4"/>
  <c r="T39" i="4"/>
  <c r="BB98" i="4"/>
  <c r="T63" i="4"/>
  <c r="DR102" i="4"/>
  <c r="BB78" i="4"/>
  <c r="T43" i="4"/>
  <c r="BB99" i="4"/>
  <c r="T64" i="4"/>
  <c r="BA85" i="4"/>
  <c r="S50" i="4"/>
  <c r="BA103" i="4"/>
  <c r="DQ103" i="4" s="1"/>
  <c r="S68" i="4"/>
  <c r="AZ100" i="4"/>
  <c r="R65" i="4"/>
  <c r="BA97" i="4"/>
  <c r="S62" i="4"/>
  <c r="BB90" i="4"/>
  <c r="T55" i="4"/>
  <c r="BB81" i="4"/>
  <c r="T46" i="4"/>
  <c r="BB101" i="4"/>
  <c r="T66" i="4"/>
  <c r="BB76" i="4"/>
  <c r="T41" i="4"/>
  <c r="AZ80" i="4"/>
  <c r="R45" i="4"/>
  <c r="BB96" i="4"/>
  <c r="T61" i="4"/>
  <c r="BB79" i="4"/>
  <c r="T44" i="4"/>
  <c r="BA87" i="4"/>
  <c r="S52" i="4"/>
  <c r="BA77" i="4"/>
  <c r="S42" i="4"/>
  <c r="AX86" i="4"/>
  <c r="P51" i="4"/>
  <c r="AZ84" i="4"/>
  <c r="R49" i="4"/>
  <c r="AY104" i="4"/>
  <c r="Q69" i="4"/>
  <c r="AX95" i="4"/>
  <c r="P60" i="4"/>
  <c r="BA83" i="4"/>
  <c r="S48" i="4"/>
  <c r="BB94" i="4"/>
  <c r="T59" i="4"/>
  <c r="BA102" i="4"/>
  <c r="S67" i="4"/>
  <c r="AZ91" i="4"/>
  <c r="R56" i="4"/>
  <c r="BB93" i="4"/>
  <c r="T58" i="4"/>
  <c r="BA88" i="4"/>
  <c r="S53" i="4"/>
  <c r="AZ82" i="4"/>
  <c r="R47" i="4"/>
  <c r="BA89" i="4"/>
  <c r="S54" i="4"/>
  <c r="BB92" i="4"/>
  <c r="T57" i="4"/>
  <c r="DQ102" i="4" l="1"/>
  <c r="AW86" i="4"/>
  <c r="O51" i="4"/>
  <c r="AY91" i="4"/>
  <c r="Q56" i="4"/>
  <c r="BA98" i="4"/>
  <c r="S63" i="4"/>
  <c r="BA93" i="4"/>
  <c r="S58" i="4"/>
  <c r="DR101" i="4"/>
  <c r="DR100" i="4" s="1"/>
  <c r="DR99" i="4" s="1"/>
  <c r="DR98" i="4" s="1"/>
  <c r="DR97" i="4" s="1"/>
  <c r="DR96" i="4" s="1"/>
  <c r="DR95" i="4" s="1"/>
  <c r="DR94" i="4" s="1"/>
  <c r="DR93" i="4" s="1"/>
  <c r="DR92" i="4" s="1"/>
  <c r="DR91" i="4" s="1"/>
  <c r="DR90" i="4" s="1"/>
  <c r="DR89" i="4" s="1"/>
  <c r="DR88" i="4" s="1"/>
  <c r="DR87" i="4" s="1"/>
  <c r="DR86" i="4" s="1"/>
  <c r="DR85" i="4" s="1"/>
  <c r="DR84" i="4" s="1"/>
  <c r="DR83" i="4" s="1"/>
  <c r="DR82" i="4" s="1"/>
  <c r="DR81" i="4" s="1"/>
  <c r="DR80" i="4" s="1"/>
  <c r="DR79" i="4" s="1"/>
  <c r="DR78" i="4" s="1"/>
  <c r="DR77" i="4" s="1"/>
  <c r="DR76" i="4" s="1"/>
  <c r="DR75" i="4" s="1"/>
  <c r="AZ77" i="4"/>
  <c r="R42" i="4"/>
  <c r="AZ85" i="4"/>
  <c r="R50" i="4"/>
  <c r="AZ102" i="4"/>
  <c r="R67" i="4"/>
  <c r="AX104" i="4"/>
  <c r="P69" i="4"/>
  <c r="AZ87" i="4"/>
  <c r="R52" i="4"/>
  <c r="BA74" i="4"/>
  <c r="S39" i="4"/>
  <c r="BA92" i="4"/>
  <c r="S57" i="4"/>
  <c r="BA81" i="4"/>
  <c r="S46" i="4"/>
  <c r="AW95" i="4"/>
  <c r="O60" i="4"/>
  <c r="AY80" i="4"/>
  <c r="Q45" i="4"/>
  <c r="BA76" i="4"/>
  <c r="S41" i="4"/>
  <c r="AZ97" i="4"/>
  <c r="R62" i="4"/>
  <c r="BA99" i="4"/>
  <c r="S64" i="4"/>
  <c r="DS74" i="4"/>
  <c r="V75" i="4"/>
  <c r="V76" i="4" s="1"/>
  <c r="V77" i="4" s="1"/>
  <c r="V78" i="4" s="1"/>
  <c r="V79" i="4" s="1"/>
  <c r="V80" i="4" s="1"/>
  <c r="V81" i="4" s="1"/>
  <c r="V82" i="4" s="1"/>
  <c r="V83" i="4" s="1"/>
  <c r="V84" i="4" s="1"/>
  <c r="V85" i="4" s="1"/>
  <c r="V86" i="4" s="1"/>
  <c r="V87" i="4" s="1"/>
  <c r="V88" i="4" s="1"/>
  <c r="V89" i="4" s="1"/>
  <c r="V90" i="4" s="1"/>
  <c r="V91" i="4" s="1"/>
  <c r="V92" i="4" s="1"/>
  <c r="V93" i="4" s="1"/>
  <c r="V94" i="4" s="1"/>
  <c r="V95" i="4" s="1"/>
  <c r="V96" i="4" s="1"/>
  <c r="V97" i="4" s="1"/>
  <c r="V98" i="4" s="1"/>
  <c r="V99" i="4" s="1"/>
  <c r="V100" i="4" s="1"/>
  <c r="V101" i="4" s="1"/>
  <c r="V102" i="4" s="1"/>
  <c r="V103" i="4" s="1"/>
  <c r="V104" i="4" s="1"/>
  <c r="AY75" i="4"/>
  <c r="Q40" i="4"/>
  <c r="AZ83" i="4"/>
  <c r="R48" i="4"/>
  <c r="BA96" i="4"/>
  <c r="S61" i="4"/>
  <c r="AZ103" i="4"/>
  <c r="DP103" i="4" s="1"/>
  <c r="R68" i="4"/>
  <c r="AZ89" i="4"/>
  <c r="R54" i="4"/>
  <c r="BA90" i="4"/>
  <c r="S55" i="4"/>
  <c r="AY82" i="4"/>
  <c r="Q47" i="4"/>
  <c r="AZ88" i="4"/>
  <c r="R53" i="4"/>
  <c r="BA94" i="4"/>
  <c r="S59" i="4"/>
  <c r="AY84" i="4"/>
  <c r="Q49" i="4"/>
  <c r="BA79" i="4"/>
  <c r="S44" i="4"/>
  <c r="BA101" i="4"/>
  <c r="S66" i="4"/>
  <c r="AY100" i="4"/>
  <c r="Q65" i="4"/>
  <c r="BA78" i="4"/>
  <c r="S43" i="4"/>
  <c r="DQ101" i="4" l="1"/>
  <c r="DQ100" i="4" s="1"/>
  <c r="DQ99" i="4" s="1"/>
  <c r="DQ98" i="4" s="1"/>
  <c r="DQ97" i="4" s="1"/>
  <c r="DQ96" i="4" s="1"/>
  <c r="DQ95" i="4" s="1"/>
  <c r="DQ94" i="4" s="1"/>
  <c r="DQ93" i="4" s="1"/>
  <c r="DQ92" i="4" s="1"/>
  <c r="DQ91" i="4" s="1"/>
  <c r="DQ90" i="4" s="1"/>
  <c r="DQ89" i="4" s="1"/>
  <c r="DQ88" i="4" s="1"/>
  <c r="DQ87" i="4" s="1"/>
  <c r="DQ86" i="4" s="1"/>
  <c r="DQ85" i="4" s="1"/>
  <c r="DQ84" i="4" s="1"/>
  <c r="DQ83" i="4" s="1"/>
  <c r="DQ82" i="4" s="1"/>
  <c r="DQ81" i="4" s="1"/>
  <c r="DQ80" i="4" s="1"/>
  <c r="DQ79" i="4" s="1"/>
  <c r="DQ78" i="4" s="1"/>
  <c r="DQ77" i="4" s="1"/>
  <c r="DQ76" i="4" s="1"/>
  <c r="DQ75" i="4" s="1"/>
  <c r="AZ94" i="4"/>
  <c r="R59" i="4"/>
  <c r="AZ76" i="4"/>
  <c r="R41" i="4"/>
  <c r="AZ98" i="4"/>
  <c r="R63" i="4"/>
  <c r="AZ101" i="4"/>
  <c r="R66" i="4"/>
  <c r="AX80" i="4"/>
  <c r="P45" i="4"/>
  <c r="AY85" i="4"/>
  <c r="Q50" i="4"/>
  <c r="AZ79" i="4"/>
  <c r="R44" i="4"/>
  <c r="AZ96" i="4"/>
  <c r="R61" i="4"/>
  <c r="AZ99" i="4"/>
  <c r="R64" i="4"/>
  <c r="AV95" i="4"/>
  <c r="N60" i="4"/>
  <c r="AY87" i="4"/>
  <c r="Q52" i="4"/>
  <c r="AY77" i="4"/>
  <c r="Q42" i="4"/>
  <c r="AX91" i="4"/>
  <c r="P56" i="4"/>
  <c r="AX100" i="4"/>
  <c r="P65" i="4"/>
  <c r="AY89" i="4"/>
  <c r="Q54" i="4"/>
  <c r="AY102" i="4"/>
  <c r="Q67" i="4"/>
  <c r="AY88" i="4"/>
  <c r="Q53" i="4"/>
  <c r="AZ74" i="4"/>
  <c r="R39" i="4"/>
  <c r="DP102" i="4"/>
  <c r="AX82" i="4"/>
  <c r="P47" i="4"/>
  <c r="DR74" i="4"/>
  <c r="U74" i="4"/>
  <c r="U75" i="4" s="1"/>
  <c r="U76" i="4" s="1"/>
  <c r="U77" i="4" s="1"/>
  <c r="U78" i="4" s="1"/>
  <c r="U79" i="4" s="1"/>
  <c r="U80" i="4" s="1"/>
  <c r="U81" i="4" s="1"/>
  <c r="U82" i="4" s="1"/>
  <c r="U83" i="4" s="1"/>
  <c r="U84" i="4" s="1"/>
  <c r="U85" i="4" s="1"/>
  <c r="U86" i="4" s="1"/>
  <c r="U87" i="4" s="1"/>
  <c r="U88" i="4" s="1"/>
  <c r="U89" i="4" s="1"/>
  <c r="U90" i="4" s="1"/>
  <c r="U91" i="4" s="1"/>
  <c r="U92" i="4" s="1"/>
  <c r="U93" i="4" s="1"/>
  <c r="U94" i="4" s="1"/>
  <c r="U95" i="4" s="1"/>
  <c r="U96" i="4" s="1"/>
  <c r="U97" i="4" s="1"/>
  <c r="U98" i="4" s="1"/>
  <c r="U99" i="4" s="1"/>
  <c r="U100" i="4" s="1"/>
  <c r="U101" i="4" s="1"/>
  <c r="U102" i="4" s="1"/>
  <c r="U103" i="4" s="1"/>
  <c r="U104" i="4" s="1"/>
  <c r="AV86" i="4"/>
  <c r="N51" i="4"/>
  <c r="AX75" i="4"/>
  <c r="P40" i="4"/>
  <c r="AZ92" i="4"/>
  <c r="R57" i="4"/>
  <c r="AY103" i="4"/>
  <c r="DO103" i="4" s="1"/>
  <c r="Q68" i="4"/>
  <c r="AZ78" i="4"/>
  <c r="R43" i="4"/>
  <c r="AX84" i="4"/>
  <c r="P49" i="4"/>
  <c r="AZ90" i="4"/>
  <c r="R55" i="4"/>
  <c r="AY83" i="4"/>
  <c r="Q48" i="4"/>
  <c r="AY97" i="4"/>
  <c r="Q62" i="4"/>
  <c r="AZ81" i="4"/>
  <c r="R46" i="4"/>
  <c r="AW104" i="4"/>
  <c r="O69" i="4"/>
  <c r="AZ93" i="4"/>
  <c r="R58" i="4"/>
  <c r="DQ74" i="4" l="1"/>
  <c r="T74" i="4"/>
  <c r="T75" i="4" s="1"/>
  <c r="T76" i="4" s="1"/>
  <c r="T77" i="4" s="1"/>
  <c r="DO102" i="4"/>
  <c r="DP101" i="4"/>
  <c r="DP100" i="4" s="1"/>
  <c r="DP99" i="4" s="1"/>
  <c r="DP98" i="4" s="1"/>
  <c r="DP97" i="4" s="1"/>
  <c r="DP96" i="4" s="1"/>
  <c r="DP95" i="4" s="1"/>
  <c r="DP94" i="4" s="1"/>
  <c r="DP93" i="4" s="1"/>
  <c r="DP92" i="4" s="1"/>
  <c r="DP91" i="4" s="1"/>
  <c r="DP90" i="4" s="1"/>
  <c r="DP89" i="4" s="1"/>
  <c r="DP88" i="4" s="1"/>
  <c r="DP87" i="4" s="1"/>
  <c r="DP86" i="4" s="1"/>
  <c r="DP85" i="4" s="1"/>
  <c r="DP84" i="4" s="1"/>
  <c r="DP83" i="4" s="1"/>
  <c r="DP82" i="4" s="1"/>
  <c r="DP81" i="4" s="1"/>
  <c r="DP80" i="4" s="1"/>
  <c r="DP79" i="4" s="1"/>
  <c r="DP78" i="4" s="1"/>
  <c r="DP77" i="4" s="1"/>
  <c r="DP76" i="4" s="1"/>
  <c r="DP75" i="4" s="1"/>
  <c r="S74" i="4" s="1"/>
  <c r="S75" i="4" s="1"/>
  <c r="S76" i="4" s="1"/>
  <c r="S77" i="4" s="1"/>
  <c r="S78" i="4" s="1"/>
  <c r="S79" i="4" s="1"/>
  <c r="S80" i="4" s="1"/>
  <c r="S81" i="4" s="1"/>
  <c r="S82" i="4" s="1"/>
  <c r="S83" i="4" s="1"/>
  <c r="S84" i="4" s="1"/>
  <c r="S85" i="4" s="1"/>
  <c r="S86" i="4" s="1"/>
  <c r="S87" i="4" s="1"/>
  <c r="S88" i="4" s="1"/>
  <c r="S89" i="4" s="1"/>
  <c r="S90" i="4" s="1"/>
  <c r="S91" i="4" s="1"/>
  <c r="S92" i="4" s="1"/>
  <c r="S93" i="4" s="1"/>
  <c r="S94" i="4" s="1"/>
  <c r="S95" i="4" s="1"/>
  <c r="S96" i="4" s="1"/>
  <c r="S97" i="4" s="1"/>
  <c r="S98" i="4" s="1"/>
  <c r="S99" i="4" s="1"/>
  <c r="S100" i="4" s="1"/>
  <c r="S101" i="4" s="1"/>
  <c r="S102" i="4" s="1"/>
  <c r="S103" i="4" s="1"/>
  <c r="S104" i="4" s="1"/>
  <c r="AY74" i="4"/>
  <c r="Q39" i="4"/>
  <c r="AW100" i="4"/>
  <c r="O65" i="4"/>
  <c r="AU95" i="4"/>
  <c r="M60" i="4"/>
  <c r="AX85" i="4"/>
  <c r="P50" i="4"/>
  <c r="AY76" i="4"/>
  <c r="Q41" i="4"/>
  <c r="AY79" i="4"/>
  <c r="Q44" i="4"/>
  <c r="AY98" i="4"/>
  <c r="Q63" i="4"/>
  <c r="AY81" i="4"/>
  <c r="Q46" i="4"/>
  <c r="AW84" i="4"/>
  <c r="O49" i="4"/>
  <c r="AW75" i="4"/>
  <c r="O40" i="4"/>
  <c r="AX97" i="4"/>
  <c r="P62" i="4"/>
  <c r="AY78" i="4"/>
  <c r="Q43" i="4"/>
  <c r="AU86" i="4"/>
  <c r="M51" i="4"/>
  <c r="AX88" i="4"/>
  <c r="P53" i="4"/>
  <c r="AW91" i="4"/>
  <c r="O56" i="4"/>
  <c r="AY99" i="4"/>
  <c r="Q64" i="4"/>
  <c r="AW80" i="4"/>
  <c r="O45" i="4"/>
  <c r="AY94" i="4"/>
  <c r="Q59" i="4"/>
  <c r="AX89" i="4"/>
  <c r="P54" i="4"/>
  <c r="AX87" i="4"/>
  <c r="P52" i="4"/>
  <c r="AY93" i="4"/>
  <c r="Q58" i="4"/>
  <c r="AX83" i="4"/>
  <c r="P48" i="4"/>
  <c r="AX103" i="4"/>
  <c r="DN103" i="4" s="1"/>
  <c r="P68" i="4"/>
  <c r="AX102" i="4"/>
  <c r="P67" i="4"/>
  <c r="AX77" i="4"/>
  <c r="P42" i="4"/>
  <c r="AY96" i="4"/>
  <c r="Q61" i="4"/>
  <c r="AY101" i="4"/>
  <c r="Q66" i="4"/>
  <c r="AV104" i="4"/>
  <c r="N69" i="4"/>
  <c r="AY90" i="4"/>
  <c r="Q55" i="4"/>
  <c r="AY92" i="4"/>
  <c r="Q57" i="4"/>
  <c r="AW82" i="4"/>
  <c r="O47" i="4"/>
  <c r="T78" i="4" l="1"/>
  <c r="T79" i="4" s="1"/>
  <c r="T80" i="4" s="1"/>
  <c r="T81" i="4" s="1"/>
  <c r="T82" i="4" s="1"/>
  <c r="T83" i="4" s="1"/>
  <c r="T84" i="4" s="1"/>
  <c r="T85" i="4" s="1"/>
  <c r="DO101" i="4"/>
  <c r="DO100" i="4" s="1"/>
  <c r="DO99" i="4" s="1"/>
  <c r="DO98" i="4" s="1"/>
  <c r="DO97" i="4" s="1"/>
  <c r="DO96" i="4" s="1"/>
  <c r="DO95" i="4" s="1"/>
  <c r="DO94" i="4" s="1"/>
  <c r="DO93" i="4" s="1"/>
  <c r="DO92" i="4" s="1"/>
  <c r="DO91" i="4" s="1"/>
  <c r="DO90" i="4" s="1"/>
  <c r="DO89" i="4" s="1"/>
  <c r="DO88" i="4" s="1"/>
  <c r="DO87" i="4" s="1"/>
  <c r="DO86" i="4" s="1"/>
  <c r="DO85" i="4" s="1"/>
  <c r="DO84" i="4" s="1"/>
  <c r="DO83" i="4" s="1"/>
  <c r="DO82" i="4" s="1"/>
  <c r="DO81" i="4" s="1"/>
  <c r="DO80" i="4" s="1"/>
  <c r="DO79" i="4" s="1"/>
  <c r="DO78" i="4" s="1"/>
  <c r="DO77" i="4" s="1"/>
  <c r="DO76" i="4" s="1"/>
  <c r="DO75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3" i="4" s="1"/>
  <c r="R104" i="4" s="1"/>
  <c r="DP74" i="4"/>
  <c r="DN102" i="4"/>
  <c r="AW89" i="4"/>
  <c r="O54" i="4"/>
  <c r="AW97" i="4"/>
  <c r="O62" i="4"/>
  <c r="AX92" i="4"/>
  <c r="P57" i="4"/>
  <c r="AV75" i="4"/>
  <c r="N40" i="4"/>
  <c r="AW77" i="4"/>
  <c r="O42" i="4"/>
  <c r="AV82" i="4"/>
  <c r="N47" i="4"/>
  <c r="AW103" i="4"/>
  <c r="DM103" i="4" s="1"/>
  <c r="O68" i="4"/>
  <c r="AX98" i="4"/>
  <c r="P63" i="4"/>
  <c r="AX96" i="4"/>
  <c r="P61" i="4"/>
  <c r="AX94" i="4"/>
  <c r="P59" i="4"/>
  <c r="AV100" i="4"/>
  <c r="N65" i="4"/>
  <c r="AX93" i="4"/>
  <c r="P58" i="4"/>
  <c r="AV80" i="4"/>
  <c r="N45" i="4"/>
  <c r="AT86" i="4"/>
  <c r="L51" i="4"/>
  <c r="AV84" i="4"/>
  <c r="N49" i="4"/>
  <c r="AX76" i="4"/>
  <c r="P41" i="4"/>
  <c r="AX74" i="4"/>
  <c r="P39" i="4"/>
  <c r="AW88" i="4"/>
  <c r="O53" i="4"/>
  <c r="AX90" i="4"/>
  <c r="P55" i="4"/>
  <c r="AU104" i="4"/>
  <c r="M69" i="4"/>
  <c r="AV91" i="4"/>
  <c r="N56" i="4"/>
  <c r="AT95" i="4"/>
  <c r="L60" i="4"/>
  <c r="AW83" i="4"/>
  <c r="O48" i="4"/>
  <c r="AX79" i="4"/>
  <c r="P44" i="4"/>
  <c r="AW102" i="4"/>
  <c r="O67" i="4"/>
  <c r="AW87" i="4"/>
  <c r="O52" i="4"/>
  <c r="AX99" i="4"/>
  <c r="P64" i="4"/>
  <c r="AX78" i="4"/>
  <c r="P43" i="4"/>
  <c r="AX81" i="4"/>
  <c r="P46" i="4"/>
  <c r="AW85" i="4"/>
  <c r="O50" i="4"/>
  <c r="AX101" i="4"/>
  <c r="P66" i="4"/>
  <c r="T86" i="4" l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DN101" i="4"/>
  <c r="DN100" i="4" s="1"/>
  <c r="DN99" i="4" s="1"/>
  <c r="DN98" i="4" s="1"/>
  <c r="DN97" i="4" s="1"/>
  <c r="DN96" i="4" s="1"/>
  <c r="DN95" i="4" s="1"/>
  <c r="DN94" i="4" s="1"/>
  <c r="DN93" i="4" s="1"/>
  <c r="DN92" i="4" s="1"/>
  <c r="DN91" i="4" s="1"/>
  <c r="DN90" i="4" s="1"/>
  <c r="DN89" i="4" s="1"/>
  <c r="DN88" i="4" s="1"/>
  <c r="DN87" i="4" s="1"/>
  <c r="DN86" i="4" s="1"/>
  <c r="DN85" i="4" s="1"/>
  <c r="DN84" i="4" s="1"/>
  <c r="DN83" i="4" s="1"/>
  <c r="DN82" i="4" s="1"/>
  <c r="DN81" i="4" s="1"/>
  <c r="DN80" i="4" s="1"/>
  <c r="DN79" i="4" s="1"/>
  <c r="DN78" i="4" s="1"/>
  <c r="DN77" i="4" s="1"/>
  <c r="DN76" i="4" s="1"/>
  <c r="DN75" i="4" s="1"/>
  <c r="Q74" i="4" s="1"/>
  <c r="Q75" i="4" s="1"/>
  <c r="Q76" i="4" s="1"/>
  <c r="Q77" i="4" s="1"/>
  <c r="Q78" i="4" s="1"/>
  <c r="Q79" i="4" s="1"/>
  <c r="Q80" i="4" s="1"/>
  <c r="Q81" i="4" s="1"/>
  <c r="Q82" i="4" s="1"/>
  <c r="Q83" i="4" s="1"/>
  <c r="Q84" i="4" s="1"/>
  <c r="Q85" i="4" s="1"/>
  <c r="Q86" i="4" s="1"/>
  <c r="Q87" i="4" s="1"/>
  <c r="Q88" i="4" s="1"/>
  <c r="Q89" i="4" s="1"/>
  <c r="Q90" i="4" s="1"/>
  <c r="Q91" i="4" s="1"/>
  <c r="Q92" i="4" s="1"/>
  <c r="Q93" i="4" s="1"/>
  <c r="Q94" i="4" s="1"/>
  <c r="Q95" i="4" s="1"/>
  <c r="Q96" i="4" s="1"/>
  <c r="Q97" i="4" s="1"/>
  <c r="Q98" i="4" s="1"/>
  <c r="Q99" i="4" s="1"/>
  <c r="Q100" i="4" s="1"/>
  <c r="Q101" i="4" s="1"/>
  <c r="Q102" i="4" s="1"/>
  <c r="Q103" i="4" s="1"/>
  <c r="Q104" i="4" s="1"/>
  <c r="DM102" i="4"/>
  <c r="DO74" i="4"/>
  <c r="AW93" i="4"/>
  <c r="O58" i="4"/>
  <c r="AV87" i="4"/>
  <c r="N52" i="4"/>
  <c r="AU84" i="4"/>
  <c r="M49" i="4"/>
  <c r="AU100" i="4"/>
  <c r="M65" i="4"/>
  <c r="AV103" i="4"/>
  <c r="DL103" i="4" s="1"/>
  <c r="N68" i="4"/>
  <c r="AW92" i="4"/>
  <c r="O57" i="4"/>
  <c r="AW76" i="4"/>
  <c r="O41" i="4"/>
  <c r="AV85" i="4"/>
  <c r="N50" i="4"/>
  <c r="AW90" i="4"/>
  <c r="O55" i="4"/>
  <c r="AW81" i="4"/>
  <c r="O46" i="4"/>
  <c r="AU91" i="4"/>
  <c r="M56" i="4"/>
  <c r="AS86" i="4"/>
  <c r="K51" i="4"/>
  <c r="AW94" i="4"/>
  <c r="O59" i="4"/>
  <c r="AU82" i="4"/>
  <c r="M47" i="4"/>
  <c r="AV97" i="4"/>
  <c r="N62" i="4"/>
  <c r="AU75" i="4"/>
  <c r="M40" i="4"/>
  <c r="AW79" i="4"/>
  <c r="O44" i="4"/>
  <c r="AW74" i="4"/>
  <c r="O39" i="4"/>
  <c r="AU80" i="4"/>
  <c r="M45" i="4"/>
  <c r="AW96" i="4"/>
  <c r="O61" i="4"/>
  <c r="AV77" i="4"/>
  <c r="N42" i="4"/>
  <c r="AV89" i="4"/>
  <c r="N54" i="4"/>
  <c r="AW98" i="4"/>
  <c r="O63" i="4"/>
  <c r="AS95" i="4"/>
  <c r="K60" i="4"/>
  <c r="AV102" i="4"/>
  <c r="N67" i="4"/>
  <c r="AV88" i="4"/>
  <c r="N53" i="4"/>
  <c r="AW78" i="4"/>
  <c r="O43" i="4"/>
  <c r="AW101" i="4"/>
  <c r="O66" i="4"/>
  <c r="AW99" i="4"/>
  <c r="O64" i="4"/>
  <c r="AV83" i="4"/>
  <c r="N48" i="4"/>
  <c r="AT104" i="4"/>
  <c r="L69" i="4"/>
  <c r="T103" i="4" l="1"/>
  <c r="T104" i="4" s="1"/>
  <c r="DM101" i="4"/>
  <c r="DM100" i="4" s="1"/>
  <c r="DM99" i="4" s="1"/>
  <c r="DM98" i="4" s="1"/>
  <c r="DM97" i="4" s="1"/>
  <c r="DM96" i="4" s="1"/>
  <c r="DM95" i="4" s="1"/>
  <c r="DM94" i="4" s="1"/>
  <c r="DM93" i="4" s="1"/>
  <c r="DM92" i="4" s="1"/>
  <c r="DM91" i="4" s="1"/>
  <c r="DM90" i="4" s="1"/>
  <c r="DM89" i="4" s="1"/>
  <c r="DM88" i="4" s="1"/>
  <c r="DM87" i="4" s="1"/>
  <c r="DM86" i="4" s="1"/>
  <c r="DM85" i="4" s="1"/>
  <c r="DM84" i="4" s="1"/>
  <c r="DM83" i="4" s="1"/>
  <c r="DM82" i="4" s="1"/>
  <c r="DM81" i="4" s="1"/>
  <c r="DM80" i="4" s="1"/>
  <c r="DM79" i="4" s="1"/>
  <c r="DM78" i="4" s="1"/>
  <c r="DM77" i="4" s="1"/>
  <c r="DM76" i="4" s="1"/>
  <c r="DM75" i="4" s="1"/>
  <c r="DN74" i="4"/>
  <c r="AS104" i="4"/>
  <c r="K69" i="4"/>
  <c r="AT91" i="4"/>
  <c r="L56" i="4"/>
  <c r="AU88" i="4"/>
  <c r="M53" i="4"/>
  <c r="AV81" i="4"/>
  <c r="N46" i="4"/>
  <c r="AU102" i="4"/>
  <c r="M67" i="4"/>
  <c r="AU77" i="4"/>
  <c r="M42" i="4"/>
  <c r="AV79" i="4"/>
  <c r="N44" i="4"/>
  <c r="AV98" i="4"/>
  <c r="N63" i="4"/>
  <c r="AU97" i="4"/>
  <c r="M62" i="4"/>
  <c r="AV74" i="4"/>
  <c r="N39" i="4"/>
  <c r="AV92" i="4"/>
  <c r="N57" i="4"/>
  <c r="AV99" i="4"/>
  <c r="N64" i="4"/>
  <c r="AV94" i="4"/>
  <c r="N59" i="4"/>
  <c r="AV90" i="4"/>
  <c r="N55" i="4"/>
  <c r="AU103" i="4"/>
  <c r="DK103" i="4" s="1"/>
  <c r="M68" i="4"/>
  <c r="AV93" i="4"/>
  <c r="N58" i="4"/>
  <c r="AT80" i="4"/>
  <c r="L45" i="4"/>
  <c r="AT84" i="4"/>
  <c r="L49" i="4"/>
  <c r="AU89" i="4"/>
  <c r="M54" i="4"/>
  <c r="AT82" i="4"/>
  <c r="L47" i="4"/>
  <c r="AU87" i="4"/>
  <c r="M52" i="4"/>
  <c r="AV101" i="4"/>
  <c r="N66" i="4"/>
  <c r="AR95" i="4"/>
  <c r="J60" i="4"/>
  <c r="AV96" i="4"/>
  <c r="N61" i="4"/>
  <c r="DL102" i="4"/>
  <c r="AV76" i="4"/>
  <c r="N41" i="4"/>
  <c r="AU83" i="4"/>
  <c r="M48" i="4"/>
  <c r="AT75" i="4"/>
  <c r="L40" i="4"/>
  <c r="AR86" i="4"/>
  <c r="J51" i="4"/>
  <c r="AU85" i="4"/>
  <c r="M50" i="4"/>
  <c r="AT100" i="4"/>
  <c r="L65" i="4"/>
  <c r="AV78" i="4"/>
  <c r="N43" i="4"/>
  <c r="DK102" i="4" l="1"/>
  <c r="AU96" i="4"/>
  <c r="M61" i="4"/>
  <c r="AU81" i="4"/>
  <c r="M46" i="4"/>
  <c r="AS75" i="4"/>
  <c r="K40" i="4"/>
  <c r="AU93" i="4"/>
  <c r="M58" i="4"/>
  <c r="AS100" i="4"/>
  <c r="K65" i="4"/>
  <c r="AT103" i="4"/>
  <c r="DJ103" i="4" s="1"/>
  <c r="L68" i="4"/>
  <c r="AT85" i="4"/>
  <c r="L50" i="4"/>
  <c r="AS84" i="4"/>
  <c r="K49" i="4"/>
  <c r="AU90" i="4"/>
  <c r="M55" i="4"/>
  <c r="AU74" i="4"/>
  <c r="M39" i="4"/>
  <c r="AT77" i="4"/>
  <c r="L42" i="4"/>
  <c r="AS91" i="4"/>
  <c r="K56" i="4"/>
  <c r="AU78" i="4"/>
  <c r="M43" i="4"/>
  <c r="AU99" i="4"/>
  <c r="M64" i="4"/>
  <c r="AT89" i="4"/>
  <c r="L54" i="4"/>
  <c r="AU92" i="4"/>
  <c r="M57" i="4"/>
  <c r="AT83" i="4"/>
  <c r="L48" i="4"/>
  <c r="AU76" i="4"/>
  <c r="M41" i="4"/>
  <c r="AS82" i="4"/>
  <c r="K47" i="4"/>
  <c r="AU98" i="4"/>
  <c r="M63" i="4"/>
  <c r="AQ95" i="4"/>
  <c r="I60" i="4"/>
  <c r="AU79" i="4"/>
  <c r="M44" i="4"/>
  <c r="AU101" i="4"/>
  <c r="M66" i="4"/>
  <c r="AQ86" i="4"/>
  <c r="I51" i="4"/>
  <c r="AT87" i="4"/>
  <c r="L52" i="4"/>
  <c r="AS80" i="4"/>
  <c r="K45" i="4"/>
  <c r="AU94" i="4"/>
  <c r="M59" i="4"/>
  <c r="AT97" i="4"/>
  <c r="L62" i="4"/>
  <c r="AT102" i="4"/>
  <c r="L67" i="4"/>
  <c r="AR104" i="4"/>
  <c r="J69" i="4"/>
  <c r="DM74" i="4"/>
  <c r="P74" i="4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AT88" i="4"/>
  <c r="L53" i="4"/>
  <c r="DL101" i="4"/>
  <c r="DL100" i="4" s="1"/>
  <c r="DL99" i="4" s="1"/>
  <c r="DL98" i="4" s="1"/>
  <c r="DL97" i="4" s="1"/>
  <c r="DL96" i="4" s="1"/>
  <c r="DL95" i="4" s="1"/>
  <c r="DL94" i="4" s="1"/>
  <c r="DL93" i="4" s="1"/>
  <c r="DL92" i="4" s="1"/>
  <c r="DL91" i="4" s="1"/>
  <c r="DL90" i="4" s="1"/>
  <c r="DL89" i="4" s="1"/>
  <c r="DL88" i="4" s="1"/>
  <c r="DL87" i="4" s="1"/>
  <c r="DL86" i="4" s="1"/>
  <c r="DL85" i="4" s="1"/>
  <c r="DL84" i="4" s="1"/>
  <c r="DL83" i="4" s="1"/>
  <c r="DL82" i="4" s="1"/>
  <c r="DL81" i="4" s="1"/>
  <c r="DL80" i="4" s="1"/>
  <c r="DL79" i="4" s="1"/>
  <c r="DL78" i="4" s="1"/>
  <c r="DL77" i="4" s="1"/>
  <c r="DL76" i="4" s="1"/>
  <c r="DL75" i="4" s="1"/>
  <c r="DK101" i="4" l="1"/>
  <c r="DK100" i="4" s="1"/>
  <c r="DK99" i="4" s="1"/>
  <c r="DK98" i="4" s="1"/>
  <c r="DK97" i="4" s="1"/>
  <c r="DK96" i="4" s="1"/>
  <c r="DK95" i="4" s="1"/>
  <c r="DK94" i="4" s="1"/>
  <c r="DK93" i="4" s="1"/>
  <c r="DK92" i="4" s="1"/>
  <c r="DK91" i="4" s="1"/>
  <c r="DK90" i="4" s="1"/>
  <c r="DK89" i="4" s="1"/>
  <c r="DK88" i="4" s="1"/>
  <c r="DK87" i="4" s="1"/>
  <c r="DK86" i="4" s="1"/>
  <c r="DK85" i="4" s="1"/>
  <c r="DK84" i="4" s="1"/>
  <c r="DK83" i="4" s="1"/>
  <c r="DK82" i="4" s="1"/>
  <c r="DK81" i="4" s="1"/>
  <c r="DK80" i="4" s="1"/>
  <c r="DK79" i="4" s="1"/>
  <c r="DK78" i="4" s="1"/>
  <c r="DK77" i="4" s="1"/>
  <c r="DK76" i="4" s="1"/>
  <c r="DK75" i="4" s="1"/>
  <c r="DK74" i="4" s="1"/>
  <c r="DJ102" i="4"/>
  <c r="AS89" i="4"/>
  <c r="K54" i="4"/>
  <c r="AR75" i="4"/>
  <c r="J40" i="4"/>
  <c r="AT79" i="4"/>
  <c r="L44" i="4"/>
  <c r="AT76" i="4"/>
  <c r="L41" i="4"/>
  <c r="AT99" i="4"/>
  <c r="L64" i="4"/>
  <c r="AT74" i="4"/>
  <c r="L39" i="4"/>
  <c r="AS103" i="4"/>
  <c r="DI103" i="4" s="1"/>
  <c r="K68" i="4"/>
  <c r="AR82" i="4"/>
  <c r="J47" i="4"/>
  <c r="AT81" i="4"/>
  <c r="L46" i="4"/>
  <c r="AT101" i="4"/>
  <c r="L66" i="4"/>
  <c r="AS85" i="4"/>
  <c r="K50" i="4"/>
  <c r="AQ104" i="4"/>
  <c r="I69" i="4"/>
  <c r="AS102" i="4"/>
  <c r="K67" i="4"/>
  <c r="AP95" i="4"/>
  <c r="H60" i="4"/>
  <c r="AO95" i="4" s="1"/>
  <c r="AS83" i="4"/>
  <c r="K48" i="4"/>
  <c r="AT78" i="4"/>
  <c r="L43" i="4"/>
  <c r="AT90" i="4"/>
  <c r="L55" i="4"/>
  <c r="AR100" i="4"/>
  <c r="J65" i="4"/>
  <c r="O74" i="4"/>
  <c r="O75" i="4" s="1"/>
  <c r="O76" i="4" s="1"/>
  <c r="O77" i="4" s="1"/>
  <c r="O78" i="4" s="1"/>
  <c r="O79" i="4" s="1"/>
  <c r="O80" i="4" s="1"/>
  <c r="O81" i="4" s="1"/>
  <c r="O82" i="4" s="1"/>
  <c r="O83" i="4" s="1"/>
  <c r="O84" i="4" s="1"/>
  <c r="O85" i="4" s="1"/>
  <c r="O86" i="4" s="1"/>
  <c r="O87" i="4" s="1"/>
  <c r="O88" i="4" s="1"/>
  <c r="O89" i="4" s="1"/>
  <c r="O90" i="4" s="1"/>
  <c r="O91" i="4" s="1"/>
  <c r="O92" i="4" s="1"/>
  <c r="O93" i="4" s="1"/>
  <c r="O94" i="4" s="1"/>
  <c r="O95" i="4" s="1"/>
  <c r="O96" i="4" s="1"/>
  <c r="O97" i="4" s="1"/>
  <c r="O98" i="4" s="1"/>
  <c r="O99" i="4" s="1"/>
  <c r="O100" i="4" s="1"/>
  <c r="O101" i="4" s="1"/>
  <c r="O102" i="4" s="1"/>
  <c r="O103" i="4" s="1"/>
  <c r="O104" i="4" s="1"/>
  <c r="DL74" i="4"/>
  <c r="AT96" i="4"/>
  <c r="L61" i="4"/>
  <c r="AT94" i="4"/>
  <c r="L59" i="4"/>
  <c r="AS77" i="4"/>
  <c r="K42" i="4"/>
  <c r="AR80" i="4"/>
  <c r="J45" i="4"/>
  <c r="AS87" i="4"/>
  <c r="K52" i="4"/>
  <c r="AS88" i="4"/>
  <c r="K53" i="4"/>
  <c r="AS97" i="4"/>
  <c r="K62" i="4"/>
  <c r="AP86" i="4"/>
  <c r="H51" i="4"/>
  <c r="AO86" i="4" s="1"/>
  <c r="AT98" i="4"/>
  <c r="L63" i="4"/>
  <c r="AT92" i="4"/>
  <c r="L57" i="4"/>
  <c r="AR91" i="4"/>
  <c r="J56" i="4"/>
  <c r="AR84" i="4"/>
  <c r="J49" i="4"/>
  <c r="AT93" i="4"/>
  <c r="L58" i="4"/>
  <c r="DI102" i="4" l="1"/>
  <c r="DJ101" i="4"/>
  <c r="DJ100" i="4" s="1"/>
  <c r="DJ99" i="4" s="1"/>
  <c r="DJ98" i="4" s="1"/>
  <c r="DJ97" i="4" s="1"/>
  <c r="DJ96" i="4" s="1"/>
  <c r="DJ95" i="4" s="1"/>
  <c r="DJ94" i="4" s="1"/>
  <c r="DJ93" i="4" s="1"/>
  <c r="DJ92" i="4" s="1"/>
  <c r="DJ91" i="4" s="1"/>
  <c r="DJ90" i="4" s="1"/>
  <c r="DJ89" i="4" s="1"/>
  <c r="DJ88" i="4" s="1"/>
  <c r="DJ87" i="4" s="1"/>
  <c r="DJ86" i="4" s="1"/>
  <c r="DJ85" i="4" s="1"/>
  <c r="DJ84" i="4" s="1"/>
  <c r="DJ83" i="4" s="1"/>
  <c r="DJ82" i="4" s="1"/>
  <c r="DJ81" i="4" s="1"/>
  <c r="DJ80" i="4" s="1"/>
  <c r="DJ79" i="4" s="1"/>
  <c r="DJ78" i="4" s="1"/>
  <c r="DJ77" i="4" s="1"/>
  <c r="DJ76" i="4" s="1"/>
  <c r="DJ75" i="4" s="1"/>
  <c r="DJ74" i="4" s="1"/>
  <c r="N74" i="4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AQ91" i="4"/>
  <c r="I56" i="4"/>
  <c r="AR77" i="4"/>
  <c r="J42" i="4"/>
  <c r="AS101" i="4"/>
  <c r="K66" i="4"/>
  <c r="AS94" i="4"/>
  <c r="K59" i="4"/>
  <c r="AS90" i="4"/>
  <c r="K55" i="4"/>
  <c r="AR102" i="4"/>
  <c r="J67" i="4"/>
  <c r="AS81" i="4"/>
  <c r="K46" i="4"/>
  <c r="AS79" i="4"/>
  <c r="K44" i="4"/>
  <c r="AQ75" i="4"/>
  <c r="I40" i="4"/>
  <c r="H40" i="4" s="1"/>
  <c r="AS92" i="4"/>
  <c r="K57" i="4"/>
  <c r="AS99" i="4"/>
  <c r="K64" i="4"/>
  <c r="AR89" i="4"/>
  <c r="J54" i="4"/>
  <c r="AS74" i="4"/>
  <c r="K39" i="4"/>
  <c r="AR88" i="4"/>
  <c r="J53" i="4"/>
  <c r="AS93" i="4"/>
  <c r="K58" i="4"/>
  <c r="AS98" i="4"/>
  <c r="K63" i="4"/>
  <c r="AR87" i="4"/>
  <c r="J52" i="4"/>
  <c r="AS96" i="4"/>
  <c r="K61" i="4"/>
  <c r="AS78" i="4"/>
  <c r="K43" i="4"/>
  <c r="AP104" i="4"/>
  <c r="H69" i="4"/>
  <c r="AO104" i="4" s="1"/>
  <c r="AR103" i="4"/>
  <c r="DH103" i="4" s="1"/>
  <c r="J68" i="4"/>
  <c r="AR97" i="4"/>
  <c r="J62" i="4"/>
  <c r="AQ100" i="4"/>
  <c r="I65" i="4"/>
  <c r="AQ82" i="4"/>
  <c r="I47" i="4"/>
  <c r="AS76" i="4"/>
  <c r="K41" i="4"/>
  <c r="AQ84" i="4"/>
  <c r="I49" i="4"/>
  <c r="AQ80" i="4"/>
  <c r="I45" i="4"/>
  <c r="AR83" i="4"/>
  <c r="J48" i="4"/>
  <c r="AR85" i="4"/>
  <c r="J50" i="4"/>
  <c r="DI101" i="4" l="1"/>
  <c r="DI100" i="4" s="1"/>
  <c r="DI99" i="4" s="1"/>
  <c r="DI98" i="4" s="1"/>
  <c r="DI97" i="4" s="1"/>
  <c r="DI96" i="4" s="1"/>
  <c r="DI95" i="4" s="1"/>
  <c r="DI94" i="4" s="1"/>
  <c r="DI93" i="4" s="1"/>
  <c r="DI92" i="4" s="1"/>
  <c r="DI91" i="4" s="1"/>
  <c r="DI90" i="4" s="1"/>
  <c r="DI89" i="4" s="1"/>
  <c r="DI88" i="4" s="1"/>
  <c r="DI87" i="4" s="1"/>
  <c r="DI86" i="4" s="1"/>
  <c r="DI85" i="4" s="1"/>
  <c r="DI84" i="4" s="1"/>
  <c r="DI83" i="4" s="1"/>
  <c r="DI82" i="4" s="1"/>
  <c r="DI81" i="4" s="1"/>
  <c r="DI80" i="4" s="1"/>
  <c r="DI79" i="4" s="1"/>
  <c r="DI78" i="4" s="1"/>
  <c r="DI77" i="4" s="1"/>
  <c r="DI76" i="4" s="1"/>
  <c r="DI75" i="4" s="1"/>
  <c r="DI74" i="4" s="1"/>
  <c r="M74" i="4"/>
  <c r="M75" i="4" s="1"/>
  <c r="M76" i="4" s="1"/>
  <c r="M77" i="4" s="1"/>
  <c r="M78" i="4" s="1"/>
  <c r="M79" i="4" s="1"/>
  <c r="M80" i="4" s="1"/>
  <c r="M81" i="4" s="1"/>
  <c r="M82" i="4" s="1"/>
  <c r="M83" i="4" s="1"/>
  <c r="M84" i="4" s="1"/>
  <c r="M85" i="4" s="1"/>
  <c r="M86" i="4" s="1"/>
  <c r="M87" i="4" s="1"/>
  <c r="M88" i="4" s="1"/>
  <c r="M89" i="4" s="1"/>
  <c r="M90" i="4" s="1"/>
  <c r="M91" i="4" s="1"/>
  <c r="M92" i="4" s="1"/>
  <c r="M93" i="4" s="1"/>
  <c r="M94" i="4" s="1"/>
  <c r="M95" i="4" s="1"/>
  <c r="M96" i="4" s="1"/>
  <c r="M97" i="4" s="1"/>
  <c r="M98" i="4" s="1"/>
  <c r="M99" i="4" s="1"/>
  <c r="M100" i="4" s="1"/>
  <c r="M101" i="4" s="1"/>
  <c r="M102" i="4" s="1"/>
  <c r="M103" i="4" s="1"/>
  <c r="M104" i="4" s="1"/>
  <c r="DH102" i="4"/>
  <c r="AR81" i="4"/>
  <c r="J46" i="4"/>
  <c r="AQ97" i="4"/>
  <c r="I62" i="4"/>
  <c r="AQ102" i="4"/>
  <c r="I67" i="4"/>
  <c r="AQ85" i="4"/>
  <c r="I50" i="4"/>
  <c r="AQ103" i="4"/>
  <c r="DG103" i="4" s="1"/>
  <c r="I68" i="4"/>
  <c r="AQ87" i="4"/>
  <c r="I52" i="4"/>
  <c r="AR74" i="4"/>
  <c r="J39" i="4"/>
  <c r="AR101" i="4"/>
  <c r="J66" i="4"/>
  <c r="AP75" i="4"/>
  <c r="AO75" i="4"/>
  <c r="AR90" i="4"/>
  <c r="J55" i="4"/>
  <c r="AP91" i="4"/>
  <c r="H56" i="4"/>
  <c r="AO91" i="4" s="1"/>
  <c r="AP84" i="4"/>
  <c r="H49" i="4"/>
  <c r="AO84" i="4" s="1"/>
  <c r="AQ88" i="4"/>
  <c r="I53" i="4"/>
  <c r="AQ77" i="4"/>
  <c r="I42" i="4"/>
  <c r="AR76" i="4"/>
  <c r="J41" i="4"/>
  <c r="AQ83" i="4"/>
  <c r="I48" i="4"/>
  <c r="AP82" i="4"/>
  <c r="H47" i="4"/>
  <c r="AO82" i="4" s="1"/>
  <c r="AR98" i="4"/>
  <c r="J63" i="4"/>
  <c r="AR99" i="4"/>
  <c r="J64" i="4"/>
  <c r="AR96" i="4"/>
  <c r="J61" i="4"/>
  <c r="AR92" i="4"/>
  <c r="J57" i="4"/>
  <c r="AQ89" i="4"/>
  <c r="I54" i="4"/>
  <c r="AR79" i="4"/>
  <c r="J44" i="4"/>
  <c r="AR94" i="4"/>
  <c r="J59" i="4"/>
  <c r="AP80" i="4"/>
  <c r="H45" i="4"/>
  <c r="AO80" i="4" s="1"/>
  <c r="AP100" i="4"/>
  <c r="H65" i="4"/>
  <c r="AO100" i="4" s="1"/>
  <c r="AR78" i="4"/>
  <c r="J43" i="4"/>
  <c r="AR93" i="4"/>
  <c r="J58" i="4"/>
  <c r="DH101" i="4" l="1"/>
  <c r="DH100" i="4" s="1"/>
  <c r="DH99" i="4" s="1"/>
  <c r="DH98" i="4" s="1"/>
  <c r="DH97" i="4" s="1"/>
  <c r="DH96" i="4" s="1"/>
  <c r="DH95" i="4" s="1"/>
  <c r="DH94" i="4" s="1"/>
  <c r="DH93" i="4" s="1"/>
  <c r="DH92" i="4" s="1"/>
  <c r="DH91" i="4" s="1"/>
  <c r="DH90" i="4" s="1"/>
  <c r="DH89" i="4" s="1"/>
  <c r="DH88" i="4" s="1"/>
  <c r="DH87" i="4" s="1"/>
  <c r="DH86" i="4" s="1"/>
  <c r="DH85" i="4" s="1"/>
  <c r="DH84" i="4" s="1"/>
  <c r="DH83" i="4" s="1"/>
  <c r="DH82" i="4" s="1"/>
  <c r="DH81" i="4" s="1"/>
  <c r="DH80" i="4" s="1"/>
  <c r="DH79" i="4" s="1"/>
  <c r="DH78" i="4" s="1"/>
  <c r="DH77" i="4" s="1"/>
  <c r="DH76" i="4" s="1"/>
  <c r="DH75" i="4" s="1"/>
  <c r="L74" i="4"/>
  <c r="L75" i="4" s="1"/>
  <c r="L76" i="4" s="1"/>
  <c r="L77" i="4" s="1"/>
  <c r="L78" i="4" s="1"/>
  <c r="L79" i="4" s="1"/>
  <c r="L80" i="4" s="1"/>
  <c r="L81" i="4" s="1"/>
  <c r="L82" i="4" s="1"/>
  <c r="L83" i="4" s="1"/>
  <c r="L84" i="4" s="1"/>
  <c r="L85" i="4" s="1"/>
  <c r="L86" i="4" s="1"/>
  <c r="L87" i="4" s="1"/>
  <c r="L88" i="4" s="1"/>
  <c r="L89" i="4" s="1"/>
  <c r="L90" i="4" s="1"/>
  <c r="L91" i="4" s="1"/>
  <c r="L92" i="4" s="1"/>
  <c r="L93" i="4" s="1"/>
  <c r="L94" i="4" s="1"/>
  <c r="L95" i="4" s="1"/>
  <c r="L96" i="4" s="1"/>
  <c r="L97" i="4" s="1"/>
  <c r="L98" i="4" s="1"/>
  <c r="L99" i="4" s="1"/>
  <c r="L100" i="4" s="1"/>
  <c r="L101" i="4" s="1"/>
  <c r="L102" i="4" s="1"/>
  <c r="L103" i="4" s="1"/>
  <c r="L104" i="4" s="1"/>
  <c r="AP77" i="4"/>
  <c r="H42" i="4"/>
  <c r="AO77" i="4" s="1"/>
  <c r="AQ90" i="4"/>
  <c r="I55" i="4"/>
  <c r="AP87" i="4"/>
  <c r="H52" i="4"/>
  <c r="AO87" i="4" s="1"/>
  <c r="AP97" i="4"/>
  <c r="H62" i="4"/>
  <c r="AO97" i="4" s="1"/>
  <c r="AP88" i="4"/>
  <c r="H53" i="4"/>
  <c r="AO88" i="4" s="1"/>
  <c r="AP103" i="4"/>
  <c r="DF103" i="4" s="1"/>
  <c r="H68" i="4"/>
  <c r="AO103" i="4" s="1"/>
  <c r="DE103" i="4" s="1"/>
  <c r="AQ81" i="4"/>
  <c r="I46" i="4"/>
  <c r="AP102" i="4"/>
  <c r="H67" i="4"/>
  <c r="AO102" i="4" s="1"/>
  <c r="AP89" i="4"/>
  <c r="H54" i="4"/>
  <c r="AO89" i="4" s="1"/>
  <c r="AQ93" i="4"/>
  <c r="I58" i="4"/>
  <c r="AQ96" i="4"/>
  <c r="I61" i="4"/>
  <c r="AP83" i="4"/>
  <c r="H48" i="4"/>
  <c r="AO83" i="4" s="1"/>
  <c r="DG102" i="4"/>
  <c r="AQ74" i="4"/>
  <c r="I39" i="4"/>
  <c r="AQ98" i="4"/>
  <c r="I63" i="4"/>
  <c r="AQ92" i="4"/>
  <c r="I57" i="4"/>
  <c r="AQ94" i="4"/>
  <c r="I59" i="4"/>
  <c r="AQ101" i="4"/>
  <c r="I66" i="4"/>
  <c r="AP85" i="4"/>
  <c r="H50" i="4"/>
  <c r="AO85" i="4" s="1"/>
  <c r="AQ78" i="4"/>
  <c r="I43" i="4"/>
  <c r="AQ79" i="4"/>
  <c r="I44" i="4"/>
  <c r="AQ99" i="4"/>
  <c r="I64" i="4"/>
  <c r="AQ76" i="4"/>
  <c r="I41" i="4"/>
  <c r="AP78" i="4" l="1"/>
  <c r="H43" i="4"/>
  <c r="AO78" i="4" s="1"/>
  <c r="AP98" i="4"/>
  <c r="H63" i="4"/>
  <c r="AO98" i="4" s="1"/>
  <c r="AP96" i="4"/>
  <c r="H61" i="4"/>
  <c r="AO96" i="4" s="1"/>
  <c r="AP81" i="4"/>
  <c r="H46" i="4"/>
  <c r="AO81" i="4" s="1"/>
  <c r="AP76" i="4"/>
  <c r="H41" i="4"/>
  <c r="AO76" i="4" s="1"/>
  <c r="AP99" i="4"/>
  <c r="H64" i="4"/>
  <c r="AO99" i="4" s="1"/>
  <c r="AP74" i="4"/>
  <c r="H39" i="4"/>
  <c r="AO74" i="4" s="1"/>
  <c r="AP93" i="4"/>
  <c r="H58" i="4"/>
  <c r="AO93" i="4" s="1"/>
  <c r="DE102" i="4"/>
  <c r="AP90" i="4"/>
  <c r="H55" i="4"/>
  <c r="AO90" i="4" s="1"/>
  <c r="AP92" i="4"/>
  <c r="H57" i="4"/>
  <c r="AO92" i="4" s="1"/>
  <c r="DF102" i="4"/>
  <c r="AP101" i="4"/>
  <c r="H66" i="4"/>
  <c r="AO101" i="4" s="1"/>
  <c r="AP79" i="4"/>
  <c r="H44" i="4"/>
  <c r="AO79" i="4" s="1"/>
  <c r="AP94" i="4"/>
  <c r="H59" i="4"/>
  <c r="AO94" i="4" s="1"/>
  <c r="DG101" i="4"/>
  <c r="DG100" i="4" s="1"/>
  <c r="DG99" i="4" s="1"/>
  <c r="DG98" i="4" s="1"/>
  <c r="DG97" i="4" s="1"/>
  <c r="DG96" i="4" s="1"/>
  <c r="DG95" i="4" s="1"/>
  <c r="DG94" i="4" s="1"/>
  <c r="DG93" i="4" s="1"/>
  <c r="DG92" i="4" s="1"/>
  <c r="DG91" i="4" s="1"/>
  <c r="DG90" i="4" s="1"/>
  <c r="DG89" i="4" s="1"/>
  <c r="DG88" i="4" s="1"/>
  <c r="DG87" i="4" s="1"/>
  <c r="DG86" i="4" s="1"/>
  <c r="DG85" i="4" s="1"/>
  <c r="DG84" i="4" s="1"/>
  <c r="DG83" i="4" s="1"/>
  <c r="DG82" i="4" s="1"/>
  <c r="DG81" i="4" s="1"/>
  <c r="DG80" i="4" s="1"/>
  <c r="DG79" i="4" s="1"/>
  <c r="DG78" i="4" s="1"/>
  <c r="DG77" i="4" s="1"/>
  <c r="DG76" i="4" s="1"/>
  <c r="DG75" i="4" s="1"/>
  <c r="K74" i="4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DH74" i="4"/>
  <c r="J74" i="4" l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DG74" i="4"/>
  <c r="DF101" i="4"/>
  <c r="DF100" i="4" s="1"/>
  <c r="DF99" i="4" s="1"/>
  <c r="DF98" i="4" s="1"/>
  <c r="DF97" i="4" s="1"/>
  <c r="DF96" i="4" s="1"/>
  <c r="DF95" i="4" s="1"/>
  <c r="DF94" i="4" s="1"/>
  <c r="DF93" i="4" s="1"/>
  <c r="DF92" i="4" s="1"/>
  <c r="DF91" i="4" s="1"/>
  <c r="DF90" i="4" s="1"/>
  <c r="DF89" i="4" s="1"/>
  <c r="DF88" i="4" s="1"/>
  <c r="DF87" i="4" s="1"/>
  <c r="DF86" i="4" s="1"/>
  <c r="DF85" i="4" s="1"/>
  <c r="DF84" i="4" s="1"/>
  <c r="DF83" i="4" s="1"/>
  <c r="DF82" i="4" s="1"/>
  <c r="DF81" i="4" s="1"/>
  <c r="DF80" i="4" s="1"/>
  <c r="DF79" i="4" s="1"/>
  <c r="DF78" i="4" s="1"/>
  <c r="DF77" i="4" s="1"/>
  <c r="DF76" i="4" s="1"/>
  <c r="DF75" i="4" s="1"/>
  <c r="DE101" i="4"/>
  <c r="DE100" i="4" s="1"/>
  <c r="DE99" i="4" s="1"/>
  <c r="DE98" i="4" s="1"/>
  <c r="DE97" i="4" s="1"/>
  <c r="DE96" i="4" s="1"/>
  <c r="DE95" i="4" s="1"/>
  <c r="DE94" i="4" s="1"/>
  <c r="DE93" i="4" s="1"/>
  <c r="DE92" i="4" s="1"/>
  <c r="DE91" i="4" s="1"/>
  <c r="DE90" i="4" s="1"/>
  <c r="DE89" i="4" s="1"/>
  <c r="DE88" i="4" s="1"/>
  <c r="DE87" i="4" s="1"/>
  <c r="DE86" i="4" s="1"/>
  <c r="DE85" i="4" s="1"/>
  <c r="DE84" i="4" s="1"/>
  <c r="DE83" i="4" s="1"/>
  <c r="DE82" i="4" s="1"/>
  <c r="DE81" i="4" s="1"/>
  <c r="DE80" i="4" s="1"/>
  <c r="DE79" i="4" s="1"/>
  <c r="DE78" i="4" s="1"/>
  <c r="DE77" i="4" s="1"/>
  <c r="DE76" i="4" s="1"/>
  <c r="DE75" i="4" s="1"/>
  <c r="H74" i="4" l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DE74" i="4"/>
  <c r="I74" i="4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DF74" i="4"/>
</calcChain>
</file>

<file path=xl/sharedStrings.xml><?xml version="1.0" encoding="utf-8"?>
<sst xmlns="http://schemas.openxmlformats.org/spreadsheetml/2006/main" count="153" uniqueCount="50">
  <si>
    <t>L</t>
  </si>
  <si>
    <t>dx</t>
  </si>
  <si>
    <t>dt</t>
  </si>
  <si>
    <t>t</t>
  </si>
  <si>
    <t>Cp</t>
  </si>
  <si>
    <t>ro</t>
  </si>
  <si>
    <t>lamda</t>
  </si>
  <si>
    <t>T</t>
  </si>
  <si>
    <t>tstart</t>
  </si>
  <si>
    <t>tend</t>
  </si>
  <si>
    <t>Ti</t>
  </si>
  <si>
    <t>q_start</t>
  </si>
  <si>
    <t>T_iter</t>
  </si>
  <si>
    <t>q</t>
  </si>
  <si>
    <t>T_gas</t>
  </si>
  <si>
    <t>alpha</t>
  </si>
  <si>
    <t xml:space="preserve"> </t>
  </si>
  <si>
    <t>dtzapas</t>
  </si>
  <si>
    <t>dt&lt;dx^2</t>
  </si>
  <si>
    <t>A</t>
  </si>
  <si>
    <t>B</t>
  </si>
  <si>
    <t>C</t>
  </si>
  <si>
    <t>F</t>
  </si>
  <si>
    <t>Alpha</t>
  </si>
  <si>
    <t>Betta</t>
  </si>
  <si>
    <t>доп метод расчета + 2 гр усл</t>
  </si>
  <si>
    <t>Макрос DZno2</t>
  </si>
  <si>
    <t>Параметры расчетной области</t>
  </si>
  <si>
    <t>H</t>
  </si>
  <si>
    <t>dy</t>
  </si>
  <si>
    <t>Физические параметры</t>
  </si>
  <si>
    <t>Гр. Усл</t>
  </si>
  <si>
    <t>Х</t>
  </si>
  <si>
    <t>У</t>
  </si>
  <si>
    <t>Прошло:</t>
  </si>
  <si>
    <t>lambda</t>
  </si>
  <si>
    <t>T_start</t>
  </si>
  <si>
    <t>T_end</t>
  </si>
  <si>
    <t>Точка</t>
  </si>
  <si>
    <t>Координата</t>
  </si>
  <si>
    <t>n+0.5</t>
  </si>
  <si>
    <t>Fi</t>
  </si>
  <si>
    <r>
      <rPr>
        <sz val="18"/>
        <color theme="1"/>
        <rFont val="Calibri"/>
        <family val="2"/>
        <charset val="204"/>
      </rPr>
      <t>β</t>
    </r>
    <r>
      <rPr>
        <sz val="18"/>
        <color theme="1"/>
        <rFont val="Calibri"/>
        <family val="2"/>
        <charset val="204"/>
        <scheme val="minor"/>
      </rPr>
      <t>i</t>
    </r>
  </si>
  <si>
    <r>
      <rPr>
        <sz val="18"/>
        <color theme="1"/>
        <rFont val="Calibri"/>
        <family val="2"/>
        <charset val="204"/>
      </rPr>
      <t>α</t>
    </r>
    <r>
      <rPr>
        <sz val="18"/>
        <color theme="1"/>
        <rFont val="Calibri"/>
        <family val="2"/>
        <charset val="204"/>
        <scheme val="minor"/>
      </rPr>
      <t>i</t>
    </r>
  </si>
  <si>
    <t>n+1</t>
  </si>
  <si>
    <t>Fj</t>
  </si>
  <si>
    <t>αj</t>
  </si>
  <si>
    <t>βj</t>
  </si>
  <si>
    <t xml:space="preserve">     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</si>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</sst>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_ ;\-0.000\ "/>
    <numFmt numFmtId="166" formatCode="0_ ;\-0\ "/>
    <numFmt numFmtId="167" formatCode="0.00_ ;\-0.00\ "/>
  </numFmts>
  <fonts count="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</font>
    <font>
      <sz val="11"/>
      <color rgb="FF000000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2" borderId="3" applyNumberFormat="0" applyAlignment="0" applyProtection="0"/>
    <xf numFmtId="0" fontId="1" fillId="3" borderId="4" applyNumberFormat="0" applyFont="0" applyAlignment="0" applyProtection="0"/>
    <xf numFmtId="0" fontId="3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53">
    <xf numFmtId="0" fontId="0" fillId="0" borderId="0" xfId="0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1" fontId="0" fillId="0" borderId="0" xfId="0" applyNumberFormat="1"/>
    <xf numFmtId="166" fontId="0" fillId="0" borderId="0" xfId="0" applyNumberFormat="1"/>
    <xf numFmtId="0" fontId="0" fillId="0" borderId="1" xfId="0" applyFill="1" applyBorder="1"/>
    <xf numFmtId="0" fontId="0" fillId="0" borderId="2" xfId="0" applyFill="1" applyBorder="1"/>
    <xf numFmtId="167" fontId="0" fillId="0" borderId="0" xfId="0" applyNumberFormat="1"/>
    <xf numFmtId="167" fontId="0" fillId="0" borderId="1" xfId="0" applyNumberFormat="1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7" borderId="1" xfId="6" applyBorder="1" applyAlignment="1">
      <alignment horizontal="center" vertical="center"/>
    </xf>
    <xf numFmtId="0" fontId="2" fillId="2" borderId="5" xfId="1" applyBorder="1"/>
    <xf numFmtId="0" fontId="0" fillId="3" borderId="1" xfId="2" applyFont="1" applyBorder="1" applyAlignment="1">
      <alignment horizontal="center" vertical="center"/>
    </xf>
    <xf numFmtId="0" fontId="0" fillId="3" borderId="1" xfId="2" applyFont="1" applyBorder="1" applyAlignment="1">
      <alignment horizontal="center"/>
    </xf>
    <xf numFmtId="0" fontId="0" fillId="6" borderId="1" xfId="5" applyFont="1" applyBorder="1" applyAlignment="1">
      <alignment horizontal="center" vertical="center"/>
    </xf>
    <xf numFmtId="0" fontId="1" fillId="6" borderId="1" xfId="5" applyBorder="1" applyAlignment="1">
      <alignment horizontal="center" vertical="center"/>
    </xf>
    <xf numFmtId="0" fontId="0" fillId="7" borderId="1" xfId="6" applyFont="1" applyBorder="1" applyAlignment="1">
      <alignment horizontal="center" vertical="center"/>
    </xf>
    <xf numFmtId="0" fontId="0" fillId="5" borderId="1" xfId="4" applyFont="1" applyBorder="1" applyAlignment="1">
      <alignment horizontal="center" vertical="center"/>
    </xf>
    <xf numFmtId="0" fontId="1" fillId="5" borderId="1" xfId="4" applyBorder="1" applyAlignment="1">
      <alignment horizontal="center" vertical="center"/>
    </xf>
    <xf numFmtId="0" fontId="3" fillId="4" borderId="1" xfId="3" applyBorder="1" applyAlignment="1">
      <alignment horizontal="center" vertical="center"/>
    </xf>
    <xf numFmtId="0" fontId="0" fillId="8" borderId="0" xfId="0" applyFill="1"/>
    <xf numFmtId="0" fontId="0" fillId="8" borderId="1" xfId="0" applyFill="1" applyBorder="1" applyAlignment="1">
      <alignment horizontal="center" vertical="center"/>
    </xf>
    <xf numFmtId="164" fontId="0" fillId="8" borderId="1" xfId="0" applyNumberForma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0" xfId="0" applyBorder="1"/>
    <xf numFmtId="0" fontId="0" fillId="8" borderId="6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0" xfId="0" applyFill="1" applyBorder="1"/>
    <xf numFmtId="0" fontId="0" fillId="8" borderId="8" xfId="0" applyFill="1" applyBorder="1"/>
    <xf numFmtId="0" fontId="0" fillId="8" borderId="7" xfId="0" applyFill="1" applyBorder="1"/>
    <xf numFmtId="164" fontId="0" fillId="3" borderId="1" xfId="2" applyNumberFormat="1" applyFont="1" applyBorder="1" applyAlignment="1">
      <alignment horizontal="center"/>
    </xf>
    <xf numFmtId="0" fontId="3" fillId="4" borderId="1" xfId="3" applyBorder="1" applyAlignment="1">
      <alignment horizontal="center" vertical="center"/>
    </xf>
    <xf numFmtId="0" fontId="1" fillId="5" borderId="1" xfId="4" applyBorder="1" applyAlignment="1">
      <alignment horizontal="center" vertical="center"/>
    </xf>
    <xf numFmtId="0" fontId="1" fillId="7" borderId="1" xfId="6" applyBorder="1" applyAlignment="1">
      <alignment horizontal="center" vertical="center"/>
    </xf>
    <xf numFmtId="0" fontId="1" fillId="6" borderId="1" xfId="5" applyBorder="1" applyAlignment="1">
      <alignment horizontal="center" vertical="center"/>
    </xf>
    <xf numFmtId="0" fontId="0" fillId="3" borderId="1" xfId="2" applyFont="1" applyBorder="1" applyAlignment="1">
      <alignment horizontal="center" vertical="center" wrapText="1"/>
    </xf>
    <xf numFmtId="0" fontId="3" fillId="4" borderId="1" xfId="3" applyBorder="1" applyAlignment="1">
      <alignment horizontal="center" vertical="center"/>
    </xf>
    <xf numFmtId="0" fontId="1" fillId="5" borderId="1" xfId="4" applyBorder="1" applyAlignment="1">
      <alignment horizontal="center" vertical="center"/>
    </xf>
    <xf numFmtId="0" fontId="1" fillId="7" borderId="1" xfId="6" applyBorder="1" applyAlignment="1">
      <alignment horizontal="center" vertical="center"/>
    </xf>
    <xf numFmtId="0" fontId="1" fillId="6" borderId="1" xfId="5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</cellXfs>
  <cellStyles count="7">
    <cellStyle name="40% — акцент2" xfId="4" builtinId="35"/>
    <cellStyle name="40% — акцент3" xfId="5" builtinId="39"/>
    <cellStyle name="40% — акцент5" xfId="6" builtinId="47"/>
    <cellStyle name="Акцент2" xfId="3" builtinId="33"/>
    <cellStyle name="Вывод" xfId="1" builtinId="21"/>
    <cellStyle name="Обычный" xfId="0" builtinId="0"/>
    <cellStyle name="Примечание" xfId="2" builtinId="1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607131755376867E-2"/>
          <c:y val="3.1760383990935101E-2"/>
          <c:w val="0.76891278232984672"/>
          <c:h val="0.9286900157821939"/>
        </c:manualLayout>
      </c:layout>
      <c:lineChart>
        <c:grouping val="standard"/>
        <c:varyColors val="0"/>
        <c:ser>
          <c:idx val="1"/>
          <c:order val="0"/>
          <c:tx>
            <c:v>Явный</c:v>
          </c:tx>
          <c:marker>
            <c:symbol val="none"/>
          </c:marker>
          <c:val>
            <c:numRef>
              <c:f>Явный!$F$13:$AJ$13</c:f>
              <c:numCache>
                <c:formatCode>0.00_ ;\-0.00\ </c:formatCode>
                <c:ptCount val="31"/>
                <c:pt idx="0">
                  <c:v>300</c:v>
                </c:pt>
                <c:pt idx="1">
                  <c:v>280.33248702411498</c:v>
                </c:pt>
                <c:pt idx="2">
                  <c:v>260.82943111125104</c:v>
                </c:pt>
                <c:pt idx="3">
                  <c:v>241.65241041627974</c:v>
                </c:pt>
                <c:pt idx="4">
                  <c:v>222.95733520467056</c:v>
                </c:pt>
                <c:pt idx="5">
                  <c:v>204.89183406861548</c:v>
                </c:pt>
                <c:pt idx="6">
                  <c:v>187.59289162100396</c:v>
                </c:pt>
                <c:pt idx="7">
                  <c:v>171.18480124452063</c:v>
                </c:pt>
                <c:pt idx="8">
                  <c:v>155.77748092073821</c:v>
                </c:pt>
                <c:pt idx="9">
                  <c:v>141.46518280387318</c:v>
                </c:pt>
                <c:pt idx="10">
                  <c:v>128.32560916526384</c:v>
                </c:pt>
                <c:pt idx="11">
                  <c:v>116.41942975288697</c:v>
                </c:pt>
                <c:pt idx="12">
                  <c:v>105.79017953158954</c:v>
                </c:pt>
                <c:pt idx="13">
                  <c:v>96.464502083957584</c:v>
                </c:pt>
                <c:pt idx="14">
                  <c:v>88.452693321787663</c:v>
                </c:pt>
                <c:pt idx="15">
                  <c:v>81.749492991935327</c:v>
                </c:pt>
                <c:pt idx="16">
                  <c:v>76.335067884064244</c:v>
                </c:pt>
                <c:pt idx="17">
                  <c:v>72.176130526888727</c:v>
                </c:pt>
                <c:pt idx="18">
                  <c:v>69.227140117118267</c:v>
                </c:pt>
                <c:pt idx="19">
                  <c:v>67.431537904562404</c:v>
                </c:pt>
                <c:pt idx="20">
                  <c:v>66.722976570188905</c:v>
                </c:pt>
                <c:pt idx="21">
                  <c:v>67.026511544344075</c:v>
                </c:pt>
                <c:pt idx="22">
                  <c:v>68.259730989291498</c:v>
                </c:pt>
                <c:pt idx="23">
                  <c:v>70.333809663175956</c:v>
                </c:pt>
                <c:pt idx="24">
                  <c:v>73.154479558885129</c:v>
                </c:pt>
                <c:pt idx="25">
                  <c:v>76.622916700669137</c:v>
                </c:pt>
                <c:pt idx="26">
                  <c:v>80.636548580288988</c:v>
                </c:pt>
                <c:pt idx="27">
                  <c:v>85.089790392026359</c:v>
                </c:pt>
                <c:pt idx="28">
                  <c:v>89.874720594298054</c:v>
                </c:pt>
                <c:pt idx="29">
                  <c:v>94.881707612924288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2D-4241-9BD4-6ECA95466625}"/>
            </c:ext>
          </c:extLst>
        </c:ser>
        <c:ser>
          <c:idx val="2"/>
          <c:order val="1"/>
          <c:tx>
            <c:v>Неявный</c:v>
          </c:tx>
          <c:marker>
            <c:symbol val="none"/>
          </c:marker>
          <c:val>
            <c:numRef>
              <c:f>Неявный!$F$13:$AJ$13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09-4C2E-8E19-DB40C7CC8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299264"/>
        <c:axId val="74300800"/>
      </c:lineChart>
      <c:catAx>
        <c:axId val="74299264"/>
        <c:scaling>
          <c:orientation val="minMax"/>
        </c:scaling>
        <c:delete val="0"/>
        <c:axPos val="b"/>
        <c:majorTickMark val="out"/>
        <c:minorTickMark val="none"/>
        <c:tickLblPos val="nextTo"/>
        <c:crossAx val="74300800"/>
        <c:crosses val="autoZero"/>
        <c:auto val="1"/>
        <c:lblAlgn val="ctr"/>
        <c:lblOffset val="100"/>
        <c:noMultiLvlLbl val="0"/>
      </c:catAx>
      <c:valAx>
        <c:axId val="74300800"/>
        <c:scaling>
          <c:orientation val="minMax"/>
        </c:scaling>
        <c:delete val="0"/>
        <c:axPos val="l"/>
        <c:majorGridlines/>
        <c:numFmt formatCode="0.00_ ;\-0.00\ " sourceLinked="1"/>
        <c:majorTickMark val="out"/>
        <c:minorTickMark val="none"/>
        <c:tickLblPos val="nextTo"/>
        <c:crossAx val="742992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Второй род в неявном виде</a:t>
            </a:r>
          </a:p>
          <a:p>
            <a:pPr>
              <a:defRPr/>
            </a:pPr>
            <a:endParaRPr lang="ru-RU"/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Неявный!$F$22</c:f>
              <c:strCache>
                <c:ptCount val="1"/>
                <c:pt idx="0">
                  <c:v>247,6442251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Неявный!$F$21:$AJ$21</c:f>
              <c:numCache>
                <c:formatCode>0.000_ ;\-0.000\ 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Неявный!$F$22:$AJ$22</c:f>
              <c:numCache>
                <c:formatCode>General</c:formatCode>
                <c:ptCount val="31"/>
                <c:pt idx="0">
                  <c:v>247.64422507446139</c:v>
                </c:pt>
                <c:pt idx="1">
                  <c:v>240.97755840779473</c:v>
                </c:pt>
                <c:pt idx="2">
                  <c:v>235.31029114824543</c:v>
                </c:pt>
                <c:pt idx="3">
                  <c:v>229.7212091003725</c:v>
                </c:pt>
                <c:pt idx="4">
                  <c:v>224.20867174518264</c:v>
                </c:pt>
                <c:pt idx="5">
                  <c:v>218.77092203170392</c:v>
                </c:pt>
                <c:pt idx="6">
                  <c:v>213.40608905190356</c:v>
                </c:pt>
                <c:pt idx="7">
                  <c:v>208.11219088894143</c:v>
                </c:pt>
                <c:pt idx="8">
                  <c:v>202.88713763442394</c:v>
                </c:pt>
                <c:pt idx="9">
                  <c:v>197.72873457006492</c:v>
                </c:pt>
                <c:pt idx="10">
                  <c:v>192.63468550891042</c:v>
                </c:pt>
                <c:pt idx="11">
                  <c:v>187.6025962910411</c:v>
                </c:pt>
                <c:pt idx="12">
                  <c:v>182.62997842843041</c:v>
                </c:pt>
                <c:pt idx="13">
                  <c:v>177.71425289341039</c:v>
                </c:pt>
                <c:pt idx="14">
                  <c:v>172.85275404497793</c:v>
                </c:pt>
                <c:pt idx="15">
                  <c:v>168.0427336869638</c:v>
                </c:pt>
                <c:pt idx="16">
                  <c:v>163.28136525188734</c:v>
                </c:pt>
                <c:pt idx="17">
                  <c:v>158.56574810412664</c:v>
                </c:pt>
                <c:pt idx="18">
                  <c:v>153.89291195585406</c:v>
                </c:pt>
                <c:pt idx="19">
                  <c:v>149.25982138901384</c:v>
                </c:pt>
                <c:pt idx="20">
                  <c:v>144.66338047645772</c:v>
                </c:pt>
                <c:pt idx="21">
                  <c:v>140.10043749520338</c:v>
                </c:pt>
                <c:pt idx="22">
                  <c:v>135.56778972464014</c:v>
                </c:pt>
                <c:pt idx="23">
                  <c:v>131.06218832237701</c:v>
                </c:pt>
                <c:pt idx="24">
                  <c:v>126.58034327030994</c:v>
                </c:pt>
                <c:pt idx="25">
                  <c:v>122.11892838337812</c:v>
                </c:pt>
                <c:pt idx="26">
                  <c:v>117.67458637338373</c:v>
                </c:pt>
                <c:pt idx="27">
                  <c:v>113.24393396016569</c:v>
                </c:pt>
                <c:pt idx="28">
                  <c:v>108.82356702234567</c:v>
                </c:pt>
                <c:pt idx="29">
                  <c:v>104.41006577980471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A3-4C67-97D2-7E0BC1170F4A}"/>
            </c:ext>
          </c:extLst>
        </c:ser>
        <c:ser>
          <c:idx val="1"/>
          <c:order val="1"/>
          <c:tx>
            <c:v>Явная схема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Явный!$F$22:$AJ$22</c:f>
              <c:numCache>
                <c:formatCode>0.00_ ;\-0.00\ </c:formatCode>
                <c:ptCount val="31"/>
                <c:pt idx="0">
                  <c:v>289.14551881260553</c:v>
                </c:pt>
                <c:pt idx="1">
                  <c:v>282.47885214593884</c:v>
                </c:pt>
                <c:pt idx="2">
                  <c:v>275.84295376549903</c:v>
                </c:pt>
                <c:pt idx="3">
                  <c:v>269.23773613614185</c:v>
                </c:pt>
                <c:pt idx="4">
                  <c:v>262.66302570846733</c:v>
                </c:pt>
                <c:pt idx="5">
                  <c:v>256.11856087966436</c:v>
                </c:pt>
                <c:pt idx="6">
                  <c:v>249.60399649581322</c:v>
                </c:pt>
                <c:pt idx="7">
                  <c:v>243.11889988245093</c:v>
                </c:pt>
                <c:pt idx="8">
                  <c:v>236.66275814983416</c:v>
                </c:pt>
                <c:pt idx="9">
                  <c:v>230.23497250586695</c:v>
                </c:pt>
                <c:pt idx="10">
                  <c:v>223.83486807556034</c:v>
                </c:pt>
                <c:pt idx="11">
                  <c:v>217.46168680274295</c:v>
                </c:pt>
                <c:pt idx="12">
                  <c:v>211.11459939722539</c:v>
                </c:pt>
                <c:pt idx="13">
                  <c:v>204.79269721108508</c:v>
                </c:pt>
                <c:pt idx="14">
                  <c:v>198.49500584613287</c:v>
                </c:pt>
                <c:pt idx="15">
                  <c:v>192.22047645176292</c:v>
                </c:pt>
                <c:pt idx="16">
                  <c:v>185.96800046470983</c:v>
                </c:pt>
                <c:pt idx="17">
                  <c:v>179.73640081554817</c:v>
                </c:pt>
                <c:pt idx="18">
                  <c:v>173.52444723499667</c:v>
                </c:pt>
                <c:pt idx="19">
                  <c:v>167.33084787316977</c:v>
                </c:pt>
                <c:pt idx="20">
                  <c:v>161.15426459338431</c:v>
                </c:pt>
                <c:pt idx="21">
                  <c:v>154.9933055012923</c:v>
                </c:pt>
                <c:pt idx="22">
                  <c:v>148.84653965873562</c:v>
                </c:pt>
                <c:pt idx="23">
                  <c:v>142.71249098910911</c:v>
                </c:pt>
                <c:pt idx="24">
                  <c:v>136.58965187964165</c:v>
                </c:pt>
                <c:pt idx="25">
                  <c:v>130.47647887602361</c:v>
                </c:pt>
                <c:pt idx="26">
                  <c:v>124.37140469984179</c:v>
                </c:pt>
                <c:pt idx="27">
                  <c:v>118.27283607196378</c:v>
                </c:pt>
                <c:pt idx="28">
                  <c:v>112.17916374998953</c:v>
                </c:pt>
                <c:pt idx="29">
                  <c:v>106.08876272935932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64-414E-A97D-3FFD6D5C0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6369535"/>
        <c:axId val="536368287"/>
      </c:lineChart>
      <c:catAx>
        <c:axId val="536369535"/>
        <c:scaling>
          <c:orientation val="minMax"/>
        </c:scaling>
        <c:delete val="0"/>
        <c:axPos val="b"/>
        <c:numFmt formatCode="0.000_ ;\-0.00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6368287"/>
        <c:crosses val="autoZero"/>
        <c:auto val="1"/>
        <c:lblAlgn val="ctr"/>
        <c:lblOffset val="100"/>
        <c:noMultiLvlLbl val="0"/>
      </c:catAx>
      <c:valAx>
        <c:axId val="536368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6369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[1]Лист1!$F$12:$AJ$12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03-4F8B-A14C-5AD0BC91FA70}"/>
            </c:ext>
          </c:extLst>
        </c:ser>
        <c:ser>
          <c:idx val="1"/>
          <c:order val="1"/>
          <c:marker>
            <c:symbol val="none"/>
          </c:marker>
          <c:val>
            <c:numRef>
              <c:f>[1]Лист1!$F$13:$AJ$13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280.50947535568343</c:v>
                </c:pt>
                <c:pt idx="2">
                  <c:v>261.34019768006675</c:v>
                </c:pt>
                <c:pt idx="3">
                  <c:v>242.17092000445004</c:v>
                </c:pt>
                <c:pt idx="4">
                  <c:v>223.94348784691761</c:v>
                </c:pt>
                <c:pt idx="5">
                  <c:v>205.71605568938512</c:v>
                </c:pt>
                <c:pt idx="6">
                  <c:v>188.98798976713792</c:v>
                </c:pt>
                <c:pt idx="7">
                  <c:v>172.25992384489069</c:v>
                </c:pt>
                <c:pt idx="8">
                  <c:v>157.4917970899659</c:v>
                </c:pt>
                <c:pt idx="9">
                  <c:v>142.72367033504111</c:v>
                </c:pt>
                <c:pt idx="10">
                  <c:v>130.25585219566563</c:v>
                </c:pt>
                <c:pt idx="11">
                  <c:v>117.78803405629017</c:v>
                </c:pt>
                <c:pt idx="12">
                  <c:v>107.82942130675656</c:v>
                </c:pt>
                <c:pt idx="13">
                  <c:v>97.870808557222944</c:v>
                </c:pt>
                <c:pt idx="14">
                  <c:v>90.498936030544343</c:v>
                </c:pt>
                <c:pt idx="15">
                  <c:v>83.127063503865742</c:v>
                </c:pt>
                <c:pt idx="16">
                  <c:v>78.297409442647279</c:v>
                </c:pt>
                <c:pt idx="17">
                  <c:v>73.467755381428844</c:v>
                </c:pt>
                <c:pt idx="18">
                  <c:v>71.029173463903746</c:v>
                </c:pt>
                <c:pt idx="19">
                  <c:v>68.590591546378676</c:v>
                </c:pt>
                <c:pt idx="20">
                  <c:v>68.30369074500706</c:v>
                </c:pt>
                <c:pt idx="21">
                  <c:v>68.016789943635459</c:v>
                </c:pt>
                <c:pt idx="22">
                  <c:v>69.572608509723267</c:v>
                </c:pt>
                <c:pt idx="23">
                  <c:v>71.128427075811075</c:v>
                </c:pt>
                <c:pt idx="24">
                  <c:v>74.165635391039984</c:v>
                </c:pt>
                <c:pt idx="25">
                  <c:v>77.202843706268908</c:v>
                </c:pt>
                <c:pt idx="26">
                  <c:v>81.322660058722235</c:v>
                </c:pt>
                <c:pt idx="27">
                  <c:v>85.442476411175562</c:v>
                </c:pt>
                <c:pt idx="28">
                  <c:v>90.221256942685855</c:v>
                </c:pt>
                <c:pt idx="29">
                  <c:v>95.000037474196134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03-4F8B-A14C-5AD0BC91F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299264"/>
        <c:axId val="74300800"/>
      </c:lineChart>
      <c:catAx>
        <c:axId val="74299264"/>
        <c:scaling>
          <c:orientation val="minMax"/>
        </c:scaling>
        <c:delete val="0"/>
        <c:axPos val="b"/>
        <c:majorTickMark val="out"/>
        <c:minorTickMark val="none"/>
        <c:tickLblPos val="nextTo"/>
        <c:crossAx val="74300800"/>
        <c:crosses val="autoZero"/>
        <c:auto val="1"/>
        <c:lblAlgn val="ctr"/>
        <c:lblOffset val="100"/>
        <c:noMultiLvlLbl val="0"/>
      </c:catAx>
      <c:valAx>
        <c:axId val="74300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42992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температура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Явный!$F$22:$AJ$22</c:f>
              <c:numCache>
                <c:formatCode>0.00_ ;\-0.00\ </c:formatCode>
                <c:ptCount val="31"/>
                <c:pt idx="0">
                  <c:v>289.14551881260553</c:v>
                </c:pt>
                <c:pt idx="1">
                  <c:v>282.47885214593884</c:v>
                </c:pt>
                <c:pt idx="2">
                  <c:v>275.84295376549903</c:v>
                </c:pt>
                <c:pt idx="3">
                  <c:v>269.23773613614185</c:v>
                </c:pt>
                <c:pt idx="4">
                  <c:v>262.66302570846733</c:v>
                </c:pt>
                <c:pt idx="5">
                  <c:v>256.11856087966436</c:v>
                </c:pt>
                <c:pt idx="6">
                  <c:v>249.60399649581322</c:v>
                </c:pt>
                <c:pt idx="7">
                  <c:v>243.11889988245093</c:v>
                </c:pt>
                <c:pt idx="8">
                  <c:v>236.66275814983416</c:v>
                </c:pt>
                <c:pt idx="9">
                  <c:v>230.23497250586695</c:v>
                </c:pt>
                <c:pt idx="10">
                  <c:v>223.83486807556034</c:v>
                </c:pt>
                <c:pt idx="11">
                  <c:v>217.46168680274295</c:v>
                </c:pt>
                <c:pt idx="12">
                  <c:v>211.11459939722539</c:v>
                </c:pt>
                <c:pt idx="13">
                  <c:v>204.79269721108508</c:v>
                </c:pt>
                <c:pt idx="14">
                  <c:v>198.49500584613287</c:v>
                </c:pt>
                <c:pt idx="15">
                  <c:v>192.22047645176292</c:v>
                </c:pt>
                <c:pt idx="16">
                  <c:v>185.96800046470983</c:v>
                </c:pt>
                <c:pt idx="17">
                  <c:v>179.73640081554817</c:v>
                </c:pt>
                <c:pt idx="18">
                  <c:v>173.52444723499667</c:v>
                </c:pt>
                <c:pt idx="19">
                  <c:v>167.33084787316977</c:v>
                </c:pt>
                <c:pt idx="20">
                  <c:v>161.15426459338431</c:v>
                </c:pt>
                <c:pt idx="21">
                  <c:v>154.9933055012923</c:v>
                </c:pt>
                <c:pt idx="22">
                  <c:v>148.84653965873562</c:v>
                </c:pt>
                <c:pt idx="23">
                  <c:v>142.71249098910911</c:v>
                </c:pt>
                <c:pt idx="24">
                  <c:v>136.58965187964165</c:v>
                </c:pt>
                <c:pt idx="25">
                  <c:v>130.47647887602361</c:v>
                </c:pt>
                <c:pt idx="26">
                  <c:v>124.37140469984179</c:v>
                </c:pt>
                <c:pt idx="27">
                  <c:v>118.27283607196378</c:v>
                </c:pt>
                <c:pt idx="28">
                  <c:v>112.17916374998953</c:v>
                </c:pt>
                <c:pt idx="29">
                  <c:v>106.08876272935932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66-4714-9FC2-12A1211BD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1751487"/>
        <c:axId val="861752319"/>
      </c:lineChart>
      <c:catAx>
        <c:axId val="8617514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1752319"/>
        <c:crosses val="autoZero"/>
        <c:auto val="1"/>
        <c:lblAlgn val="ctr"/>
        <c:lblOffset val="100"/>
        <c:noMultiLvlLbl val="0"/>
      </c:catAx>
      <c:valAx>
        <c:axId val="861752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;\-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1751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31</xdr:row>
          <xdr:rowOff>95250</xdr:rowOff>
        </xdr:from>
        <xdr:to>
          <xdr:col>3</xdr:col>
          <xdr:colOff>133350</xdr:colOff>
          <xdr:row>32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29</xdr:row>
          <xdr:rowOff>123825</xdr:rowOff>
        </xdr:from>
        <xdr:to>
          <xdr:col>3</xdr:col>
          <xdr:colOff>114300</xdr:colOff>
          <xdr:row>30</xdr:row>
          <xdr:rowOff>171450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31</xdr:row>
          <xdr:rowOff>95250</xdr:rowOff>
        </xdr:from>
        <xdr:to>
          <xdr:col>2</xdr:col>
          <xdr:colOff>95250</xdr:colOff>
          <xdr:row>32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29</xdr:row>
          <xdr:rowOff>123825</xdr:rowOff>
        </xdr:from>
        <xdr:to>
          <xdr:col>2</xdr:col>
          <xdr:colOff>76200</xdr:colOff>
          <xdr:row>30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271462</xdr:colOff>
      <xdr:row>6</xdr:row>
      <xdr:rowOff>109537</xdr:rowOff>
    </xdr:from>
    <xdr:to>
      <xdr:col>49</xdr:col>
      <xdr:colOff>464342</xdr:colOff>
      <xdr:row>40</xdr:row>
      <xdr:rowOff>71439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166686</xdr:colOff>
      <xdr:row>39</xdr:row>
      <xdr:rowOff>92869</xdr:rowOff>
    </xdr:from>
    <xdr:to>
      <xdr:col>21</xdr:col>
      <xdr:colOff>226219</xdr:colOff>
      <xdr:row>56</xdr:row>
      <xdr:rowOff>154781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521494</xdr:colOff>
      <xdr:row>0</xdr:row>
      <xdr:rowOff>169067</xdr:rowOff>
    </xdr:from>
    <xdr:to>
      <xdr:col>42</xdr:col>
      <xdr:colOff>454818</xdr:colOff>
      <xdr:row>16</xdr:row>
      <xdr:rowOff>159542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85725</xdr:colOff>
      <xdr:row>35</xdr:row>
      <xdr:rowOff>123825</xdr:rowOff>
    </xdr:from>
    <xdr:to>
      <xdr:col>13</xdr:col>
      <xdr:colOff>390525</xdr:colOff>
      <xdr:row>50</xdr:row>
      <xdr:rowOff>9525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k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280.50947535568343</v>
          </cell>
          <cell r="H13">
            <v>261.34019768006675</v>
          </cell>
          <cell r="I13">
            <v>242.17092000445004</v>
          </cell>
          <cell r="J13">
            <v>223.94348784691761</v>
          </cell>
          <cell r="K13">
            <v>205.71605568938512</v>
          </cell>
          <cell r="L13">
            <v>188.98798976713792</v>
          </cell>
          <cell r="M13">
            <v>172.25992384489069</v>
          </cell>
          <cell r="N13">
            <v>157.4917970899659</v>
          </cell>
          <cell r="O13">
            <v>142.72367033504111</v>
          </cell>
          <cell r="P13">
            <v>130.25585219566563</v>
          </cell>
          <cell r="Q13">
            <v>117.78803405629017</v>
          </cell>
          <cell r="R13">
            <v>107.82942130675656</v>
          </cell>
          <cell r="S13">
            <v>97.870808557222944</v>
          </cell>
          <cell r="T13">
            <v>90.498936030544343</v>
          </cell>
          <cell r="U13">
            <v>83.127063503865742</v>
          </cell>
          <cell r="V13">
            <v>78.297409442647279</v>
          </cell>
          <cell r="W13">
            <v>73.467755381428844</v>
          </cell>
          <cell r="X13">
            <v>71.029173463903746</v>
          </cell>
          <cell r="Y13">
            <v>68.590591546378676</v>
          </cell>
          <cell r="Z13">
            <v>68.30369074500706</v>
          </cell>
          <cell r="AA13">
            <v>68.016789943635459</v>
          </cell>
          <cell r="AB13">
            <v>69.572608509723267</v>
          </cell>
          <cell r="AC13">
            <v>71.128427075811075</v>
          </cell>
          <cell r="AD13">
            <v>74.165635391039984</v>
          </cell>
          <cell r="AE13">
            <v>77.202843706268908</v>
          </cell>
          <cell r="AF13">
            <v>81.322660058722235</v>
          </cell>
          <cell r="AG13">
            <v>85.442476411175562</v>
          </cell>
          <cell r="AH13">
            <v>90.221256942685855</v>
          </cell>
          <cell r="AI13">
            <v>95.000037474196134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H104"/>
  <sheetViews>
    <sheetView tabSelected="1" topLeftCell="F1" zoomScale="85" zoomScaleNormal="85" workbookViewId="0">
      <selection activeCell="J11" sqref="J11"/>
    </sheetView>
  </sheetViews>
  <sheetFormatPr defaultRowHeight="15" x14ac:dyDescent="0.25"/>
  <sheetData>
    <row r="1" spans="1:39" x14ac:dyDescent="0.25">
      <c r="A1" s="42" t="s">
        <v>27</v>
      </c>
      <c r="B1" s="42"/>
      <c r="E1" s="51" t="s">
        <v>38</v>
      </c>
      <c r="F1" s="52"/>
      <c r="G1" s="25">
        <v>1</v>
      </c>
      <c r="H1" s="25">
        <v>2</v>
      </c>
      <c r="I1" s="25">
        <v>3</v>
      </c>
      <c r="J1" s="25">
        <v>4</v>
      </c>
      <c r="K1" s="25">
        <v>5</v>
      </c>
      <c r="L1" s="25">
        <v>6</v>
      </c>
      <c r="M1" s="25">
        <v>7</v>
      </c>
      <c r="N1" s="25">
        <v>8</v>
      </c>
      <c r="O1" s="25">
        <v>9</v>
      </c>
      <c r="P1" s="25">
        <v>10</v>
      </c>
      <c r="Q1" s="25">
        <v>11</v>
      </c>
      <c r="R1" s="25">
        <v>12</v>
      </c>
      <c r="S1" s="25">
        <v>13</v>
      </c>
      <c r="T1" s="25">
        <v>14</v>
      </c>
      <c r="U1" s="25">
        <v>15</v>
      </c>
      <c r="V1" s="25">
        <v>16</v>
      </c>
      <c r="W1" s="25">
        <v>17</v>
      </c>
      <c r="X1" s="25">
        <v>18</v>
      </c>
      <c r="Y1" s="25">
        <v>19</v>
      </c>
      <c r="Z1" s="25">
        <v>20</v>
      </c>
      <c r="AA1" s="25">
        <v>21</v>
      </c>
      <c r="AB1" s="25">
        <v>22</v>
      </c>
      <c r="AC1" s="25">
        <v>23</v>
      </c>
      <c r="AD1" s="25">
        <v>24</v>
      </c>
      <c r="AE1" s="25">
        <v>25</v>
      </c>
      <c r="AF1" s="25">
        <v>26</v>
      </c>
      <c r="AG1" s="25">
        <v>27</v>
      </c>
      <c r="AH1" s="25">
        <v>28</v>
      </c>
      <c r="AI1" s="25">
        <v>29</v>
      </c>
      <c r="AJ1" s="25">
        <v>30</v>
      </c>
      <c r="AK1" s="25">
        <v>31</v>
      </c>
      <c r="AL1" s="24"/>
      <c r="AM1" s="35"/>
    </row>
    <row r="2" spans="1:39" x14ac:dyDescent="0.25">
      <c r="A2" s="42"/>
      <c r="B2" s="42"/>
      <c r="E2" s="51" t="s">
        <v>39</v>
      </c>
      <c r="F2" s="52"/>
      <c r="G2" s="25">
        <v>0</v>
      </c>
      <c r="H2" s="26">
        <f>$B$5*(H1-1)</f>
        <v>3.3333333333333335E-3</v>
      </c>
      <c r="I2" s="26">
        <f t="shared" ref="I2:AK2" si="0">$B$5*(I1-1)</f>
        <v>6.6666666666666671E-3</v>
      </c>
      <c r="J2" s="26">
        <f t="shared" si="0"/>
        <v>0.01</v>
      </c>
      <c r="K2" s="26">
        <f t="shared" si="0"/>
        <v>1.3333333333333334E-2</v>
      </c>
      <c r="L2" s="26">
        <f t="shared" si="0"/>
        <v>1.6666666666666666E-2</v>
      </c>
      <c r="M2" s="26">
        <f t="shared" si="0"/>
        <v>0.02</v>
      </c>
      <c r="N2" s="26">
        <f t="shared" si="0"/>
        <v>2.3333333333333334E-2</v>
      </c>
      <c r="O2" s="26">
        <f t="shared" si="0"/>
        <v>2.6666666666666668E-2</v>
      </c>
      <c r="P2" s="26">
        <f t="shared" si="0"/>
        <v>3.0000000000000002E-2</v>
      </c>
      <c r="Q2" s="26">
        <f t="shared" si="0"/>
        <v>3.3333333333333333E-2</v>
      </c>
      <c r="R2" s="26">
        <f t="shared" si="0"/>
        <v>3.6666666666666667E-2</v>
      </c>
      <c r="S2" s="26">
        <f t="shared" si="0"/>
        <v>0.04</v>
      </c>
      <c r="T2" s="26">
        <f t="shared" si="0"/>
        <v>4.3333333333333335E-2</v>
      </c>
      <c r="U2" s="26">
        <f t="shared" si="0"/>
        <v>4.6666666666666669E-2</v>
      </c>
      <c r="V2" s="26">
        <f t="shared" si="0"/>
        <v>0.05</v>
      </c>
      <c r="W2" s="26">
        <f t="shared" si="0"/>
        <v>5.3333333333333337E-2</v>
      </c>
      <c r="X2" s="26">
        <f t="shared" si="0"/>
        <v>5.6666666666666671E-2</v>
      </c>
      <c r="Y2" s="26">
        <f t="shared" si="0"/>
        <v>6.0000000000000005E-2</v>
      </c>
      <c r="Z2" s="26">
        <f t="shared" si="0"/>
        <v>6.3333333333333339E-2</v>
      </c>
      <c r="AA2" s="26">
        <f t="shared" si="0"/>
        <v>6.6666666666666666E-2</v>
      </c>
      <c r="AB2" s="26">
        <f t="shared" si="0"/>
        <v>7.0000000000000007E-2</v>
      </c>
      <c r="AC2" s="26">
        <f t="shared" si="0"/>
        <v>7.3333333333333334E-2</v>
      </c>
      <c r="AD2" s="26">
        <f t="shared" si="0"/>
        <v>7.6666666666666675E-2</v>
      </c>
      <c r="AE2" s="26">
        <f t="shared" si="0"/>
        <v>0.08</v>
      </c>
      <c r="AF2" s="26">
        <f t="shared" si="0"/>
        <v>8.3333333333333343E-2</v>
      </c>
      <c r="AG2" s="26">
        <f t="shared" si="0"/>
        <v>8.666666666666667E-2</v>
      </c>
      <c r="AH2" s="26">
        <f t="shared" si="0"/>
        <v>9.0000000000000011E-2</v>
      </c>
      <c r="AI2" s="26">
        <f t="shared" si="0"/>
        <v>9.3333333333333338E-2</v>
      </c>
      <c r="AJ2" s="26">
        <f t="shared" si="0"/>
        <v>9.6666666666666679E-2</v>
      </c>
      <c r="AK2" s="26">
        <f t="shared" si="0"/>
        <v>0.1</v>
      </c>
      <c r="AL2" s="24"/>
      <c r="AM2" s="36"/>
    </row>
    <row r="3" spans="1:39" ht="17.25" customHeight="1" x14ac:dyDescent="0.25">
      <c r="A3" s="16" t="s">
        <v>0</v>
      </c>
      <c r="B3" s="17">
        <v>0.1</v>
      </c>
      <c r="E3" s="25">
        <v>31</v>
      </c>
      <c r="F3" s="26">
        <f t="shared" ref="F3:F31" si="1">$B$6*(E3-1)</f>
        <v>0.1</v>
      </c>
      <c r="G3" s="13">
        <f>$B$16</f>
        <v>300</v>
      </c>
      <c r="H3" s="13">
        <v>319.44796019916237</v>
      </c>
      <c r="I3" s="13">
        <v>324.0210665524973</v>
      </c>
      <c r="J3" s="13">
        <v>325.15645198239014</v>
      </c>
      <c r="K3" s="13">
        <v>323.4031768275471</v>
      </c>
      <c r="L3" s="13">
        <v>319.14139670823658</v>
      </c>
      <c r="M3" s="13">
        <v>312.71433864686196</v>
      </c>
      <c r="N3" s="13">
        <v>304.46912808822339</v>
      </c>
      <c r="O3" s="13">
        <v>294.75854805624243</v>
      </c>
      <c r="P3" s="13">
        <v>283.92960678372327</v>
      </c>
      <c r="Q3" s="13">
        <v>272.3105783028559</v>
      </c>
      <c r="R3" s="13">
        <v>260.20092456513453</v>
      </c>
      <c r="S3" s="13">
        <v>247.86508617222219</v>
      </c>
      <c r="T3" s="13">
        <v>235.52971210294791</v>
      </c>
      <c r="U3" s="13">
        <v>223.38346377910585</v>
      </c>
      <c r="V3" s="13">
        <v>211.57852950500646</v>
      </c>
      <c r="W3" s="13">
        <v>200.23314604384888</v>
      </c>
      <c r="X3" s="13">
        <v>189.43461585181532</v>
      </c>
      <c r="Y3" s="13">
        <v>179.24247825132528</v>
      </c>
      <c r="Z3" s="13">
        <v>169.69162458564762</v>
      </c>
      <c r="AA3" s="13">
        <v>160.79524158077641</v>
      </c>
      <c r="AB3" s="13">
        <v>152.54753023438849</v>
      </c>
      <c r="AC3" s="13">
        <v>144.9261872548762</v>
      </c>
      <c r="AD3" s="13">
        <v>137.89465928473936</v>
      </c>
      <c r="AE3" s="13">
        <v>131.40419233379026</v>
      </c>
      <c r="AF3" s="13">
        <v>125.39570405571121</v>
      </c>
      <c r="AG3" s="13">
        <v>119.80150755535833</v>
      </c>
      <c r="AH3" s="13">
        <v>114.54691421384055</v>
      </c>
      <c r="AI3" s="13">
        <v>109.5517407907827</v>
      </c>
      <c r="AJ3" s="13">
        <v>104.73174356927335</v>
      </c>
      <c r="AK3" s="13">
        <f>$B$17</f>
        <v>100</v>
      </c>
      <c r="AL3" s="26">
        <f>$B$6*(AM3-1)</f>
        <v>0.1</v>
      </c>
      <c r="AM3" s="25">
        <v>31</v>
      </c>
    </row>
    <row r="4" spans="1:39" ht="16.5" customHeight="1" x14ac:dyDescent="0.25">
      <c r="A4" s="16" t="s">
        <v>28</v>
      </c>
      <c r="B4" s="17">
        <v>0.1</v>
      </c>
      <c r="E4" s="25">
        <v>30</v>
      </c>
      <c r="F4" s="26">
        <f t="shared" si="1"/>
        <v>9.6666666666666679E-2</v>
      </c>
      <c r="G4" s="13">
        <f t="shared" ref="G4:G33" si="2">$B$16</f>
        <v>300</v>
      </c>
      <c r="H4" s="13">
        <v>319.44796019916237</v>
      </c>
      <c r="I4" s="13">
        <v>324.0210665524973</v>
      </c>
      <c r="J4" s="13">
        <v>325.15645198239014</v>
      </c>
      <c r="K4" s="13">
        <v>323.4031768275471</v>
      </c>
      <c r="L4" s="13">
        <v>319.14139670823658</v>
      </c>
      <c r="M4" s="13">
        <v>312.71433864686196</v>
      </c>
      <c r="N4" s="13">
        <v>304.46912808822344</v>
      </c>
      <c r="O4" s="13">
        <v>294.75854805624243</v>
      </c>
      <c r="P4" s="13">
        <v>283.92960678372327</v>
      </c>
      <c r="Q4" s="13">
        <v>272.3105783028559</v>
      </c>
      <c r="R4" s="13">
        <v>260.20092456513453</v>
      </c>
      <c r="S4" s="13">
        <v>247.86508617222222</v>
      </c>
      <c r="T4" s="13">
        <v>235.52971210294794</v>
      </c>
      <c r="U4" s="13">
        <v>223.38346377910585</v>
      </c>
      <c r="V4" s="13">
        <v>211.57852950500649</v>
      </c>
      <c r="W4" s="13">
        <v>200.23314604384888</v>
      </c>
      <c r="X4" s="13">
        <v>189.43461585181535</v>
      </c>
      <c r="Y4" s="13">
        <v>179.24247825132528</v>
      </c>
      <c r="Z4" s="13">
        <v>169.69162458564762</v>
      </c>
      <c r="AA4" s="13">
        <v>160.79524158077641</v>
      </c>
      <c r="AB4" s="13">
        <v>152.54753023438849</v>
      </c>
      <c r="AC4" s="13">
        <v>144.9261872548762</v>
      </c>
      <c r="AD4" s="13">
        <v>137.89465928473936</v>
      </c>
      <c r="AE4" s="13">
        <v>131.40419233379026</v>
      </c>
      <c r="AF4" s="13">
        <v>125.39570405571121</v>
      </c>
      <c r="AG4" s="13">
        <v>119.80150755535833</v>
      </c>
      <c r="AH4" s="13">
        <v>114.54691421384055</v>
      </c>
      <c r="AI4" s="13">
        <v>109.5517407907827</v>
      </c>
      <c r="AJ4" s="13">
        <v>104.73174356927336</v>
      </c>
      <c r="AK4" s="13">
        <f t="shared" ref="AK4:AK33" si="3">$B$17</f>
        <v>100</v>
      </c>
      <c r="AL4" s="26">
        <f t="shared" ref="AL4:AL33" si="4">$B$6*(AM4-1)</f>
        <v>9.6666666666666679E-2</v>
      </c>
      <c r="AM4" s="25">
        <v>30</v>
      </c>
    </row>
    <row r="5" spans="1:39" x14ac:dyDescent="0.25">
      <c r="A5" s="16" t="s">
        <v>1</v>
      </c>
      <c r="B5" s="37">
        <f>B3/30</f>
        <v>3.3333333333333335E-3</v>
      </c>
      <c r="E5" s="25">
        <v>29</v>
      </c>
      <c r="F5" s="26">
        <f t="shared" si="1"/>
        <v>9.3333333333333338E-2</v>
      </c>
      <c r="G5" s="13">
        <f t="shared" si="2"/>
        <v>300</v>
      </c>
      <c r="H5" s="13">
        <v>325.53631982966851</v>
      </c>
      <c r="I5" s="13">
        <v>328.49729804670073</v>
      </c>
      <c r="J5" s="13">
        <v>328.75056846176733</v>
      </c>
      <c r="K5" s="13">
        <v>326.47407148154343</v>
      </c>
      <c r="L5" s="13">
        <v>321.84450838757459</v>
      </c>
      <c r="M5" s="13">
        <v>315.10830421255122</v>
      </c>
      <c r="N5" s="13">
        <v>306.57480095510954</v>
      </c>
      <c r="O5" s="13">
        <v>296.58760498318719</v>
      </c>
      <c r="P5" s="13">
        <v>285.4960238902072</v>
      </c>
      <c r="Q5" s="13">
        <v>273.63351109490986</v>
      </c>
      <c r="R5" s="13">
        <v>261.3038906607668</v>
      </c>
      <c r="S5" s="13">
        <v>248.77399539374684</v>
      </c>
      <c r="T5" s="13">
        <v>236.27091399982606</v>
      </c>
      <c r="U5" s="13">
        <v>223.98224686676582</v>
      </c>
      <c r="V5" s="13">
        <v>212.05814942897297</v>
      </c>
      <c r="W5" s="13">
        <v>200.61431060643918</v>
      </c>
      <c r="X5" s="13">
        <v>189.73531072794711</v>
      </c>
      <c r="Y5" s="13">
        <v>179.47802078319333</v>
      </c>
      <c r="Z5" s="13">
        <v>169.87485422569131</v>
      </c>
      <c r="AA5" s="13">
        <v>160.93677991587282</v>
      </c>
      <c r="AB5" s="13">
        <v>152.65606502092515</v>
      </c>
      <c r="AC5" s="13">
        <v>145.0087516708785</v>
      </c>
      <c r="AD5" s="13">
        <v>137.95688971362554</v>
      </c>
      <c r="AE5" s="13">
        <v>131.45055620733677</v>
      </c>
      <c r="AF5" s="13">
        <v>125.42969452654739</v>
      </c>
      <c r="AG5" s="13">
        <v>119.8258048777197</v>
      </c>
      <c r="AH5" s="13">
        <v>114.56351535376365</v>
      </c>
      <c r="AI5" s="13">
        <v>109.562059460494</v>
      </c>
      <c r="AJ5" s="13">
        <v>104.73668293651448</v>
      </c>
      <c r="AK5" s="13">
        <f t="shared" si="3"/>
        <v>100</v>
      </c>
      <c r="AL5" s="26">
        <f t="shared" si="4"/>
        <v>9.3333333333333338E-2</v>
      </c>
      <c r="AM5" s="25">
        <v>29</v>
      </c>
    </row>
    <row r="6" spans="1:39" x14ac:dyDescent="0.25">
      <c r="A6" s="16" t="s">
        <v>29</v>
      </c>
      <c r="B6" s="37">
        <f>B4/30</f>
        <v>3.3333333333333335E-3</v>
      </c>
      <c r="C6" s="15" t="s">
        <v>34</v>
      </c>
      <c r="E6" s="25">
        <v>28</v>
      </c>
      <c r="F6" s="26">
        <f t="shared" si="1"/>
        <v>9.0000000000000011E-2</v>
      </c>
      <c r="G6" s="13">
        <v>350</v>
      </c>
      <c r="H6" s="13">
        <v>340.295928056913</v>
      </c>
      <c r="I6" s="13">
        <v>338.18030974707727</v>
      </c>
      <c r="J6" s="13">
        <v>336.08287599366452</v>
      </c>
      <c r="K6" s="13">
        <v>332.60943469517451</v>
      </c>
      <c r="L6" s="13">
        <v>327.2230388253775</v>
      </c>
      <c r="M6" s="13">
        <v>319.87420340336587</v>
      </c>
      <c r="N6" s="13">
        <v>310.76888299422433</v>
      </c>
      <c r="O6" s="13">
        <v>300.22852739576774</v>
      </c>
      <c r="P6" s="13">
        <v>288.6091139228177</v>
      </c>
      <c r="Q6" s="13">
        <v>276.25674486311772</v>
      </c>
      <c r="R6" s="13">
        <v>263.48525797591884</v>
      </c>
      <c r="S6" s="13">
        <v>250.5666778041591</v>
      </c>
      <c r="T6" s="13">
        <v>237.72886573455355</v>
      </c>
      <c r="U6" s="13">
        <v>225.15697810880027</v>
      </c>
      <c r="V6" s="13">
        <v>212.9967467703861</v>
      </c>
      <c r="W6" s="13">
        <v>201.35845704414635</v>
      </c>
      <c r="X6" s="13">
        <v>190.32101547999255</v>
      </c>
      <c r="Y6" s="13">
        <v>179.93580406814684</v>
      </c>
      <c r="Z6" s="13">
        <v>170.23019182533037</v>
      </c>
      <c r="AA6" s="13">
        <v>161.21067046957432</v>
      </c>
      <c r="AB6" s="13">
        <v>152.86563038174768</v>
      </c>
      <c r="AC6" s="13">
        <v>145.16781577821121</v>
      </c>
      <c r="AD6" s="13">
        <v>138.07650581712616</v>
      </c>
      <c r="AE6" s="13">
        <v>131.5394682682456</v>
      </c>
      <c r="AF6" s="13">
        <v>125.4947285006715</v>
      </c>
      <c r="AG6" s="13">
        <v>119.87219121956147</v>
      </c>
      <c r="AH6" s="13">
        <v>114.59514688534502</v>
      </c>
      <c r="AI6" s="13">
        <v>109.58168972962102</v>
      </c>
      <c r="AJ6" s="13">
        <v>104.74607003744779</v>
      </c>
      <c r="AK6" s="13">
        <f t="shared" si="3"/>
        <v>100</v>
      </c>
      <c r="AL6" s="26">
        <f t="shared" si="4"/>
        <v>9.0000000000000011E-2</v>
      </c>
      <c r="AM6" s="25">
        <v>28</v>
      </c>
    </row>
    <row r="7" spans="1:39" x14ac:dyDescent="0.25">
      <c r="A7" s="16" t="s">
        <v>3</v>
      </c>
      <c r="B7" s="17">
        <v>120</v>
      </c>
      <c r="C7">
        <v>121</v>
      </c>
      <c r="E7" s="25">
        <v>27</v>
      </c>
      <c r="F7" s="26">
        <f t="shared" si="1"/>
        <v>8.666666666666667E-2</v>
      </c>
      <c r="G7" s="13">
        <v>450</v>
      </c>
      <c r="H7" s="13">
        <v>352.63126648098688</v>
      </c>
      <c r="I7" s="13">
        <v>347.40495079282999</v>
      </c>
      <c r="J7" s="13">
        <v>344.37132532728219</v>
      </c>
      <c r="K7" s="13">
        <v>340.49927041908336</v>
      </c>
      <c r="L7" s="13">
        <v>334.68532362601934</v>
      </c>
      <c r="M7" s="13">
        <v>326.75112110717771</v>
      </c>
      <c r="N7" s="13">
        <v>316.93071068614978</v>
      </c>
      <c r="O7" s="13">
        <v>305.6127893178994</v>
      </c>
      <c r="P7" s="13">
        <v>293.21537180307837</v>
      </c>
      <c r="Q7" s="13">
        <v>280.12868649798747</v>
      </c>
      <c r="R7" s="13">
        <v>266.69259513132675</v>
      </c>
      <c r="S7" s="13">
        <v>253.19090527012582</v>
      </c>
      <c r="T7" s="13">
        <v>239.85344395882203</v>
      </c>
      <c r="U7" s="13">
        <v>226.86125604084771</v>
      </c>
      <c r="V7" s="13">
        <v>214.35265580767654</v>
      </c>
      <c r="W7" s="13">
        <v>202.42909066861446</v>
      </c>
      <c r="X7" s="13">
        <v>191.16040166336359</v>
      </c>
      <c r="Y7" s="13">
        <v>180.5893725388367</v>
      </c>
      <c r="Z7" s="13">
        <v>170.73559946052703</v>
      </c>
      <c r="AA7" s="13">
        <v>161.59876885497221</v>
      </c>
      <c r="AB7" s="13">
        <v>153.16144468778018</v>
      </c>
      <c r="AC7" s="13">
        <v>145.39146132179147</v>
      </c>
      <c r="AD7" s="13">
        <v>138.24400554055896</v>
      </c>
      <c r="AE7" s="13">
        <v>131.66345703814247</v>
      </c>
      <c r="AF7" s="13">
        <v>125.58504325491924</v>
      </c>
      <c r="AG7" s="13">
        <v>119.93635289146755</v>
      </c>
      <c r="AH7" s="13">
        <v>114.6387429974513</v>
      </c>
      <c r="AI7" s="13">
        <v>109.60866709980768</v>
      </c>
      <c r="AJ7" s="13">
        <v>104.75894616306898</v>
      </c>
      <c r="AK7" s="13">
        <f t="shared" si="3"/>
        <v>100</v>
      </c>
      <c r="AL7" s="26">
        <f t="shared" si="4"/>
        <v>8.666666666666667E-2</v>
      </c>
      <c r="AM7" s="25">
        <v>27</v>
      </c>
    </row>
    <row r="8" spans="1:39" x14ac:dyDescent="0.25">
      <c r="A8" s="16" t="s">
        <v>2</v>
      </c>
      <c r="B8" s="17">
        <v>1</v>
      </c>
      <c r="E8" s="25">
        <v>26</v>
      </c>
      <c r="F8" s="26">
        <f t="shared" si="1"/>
        <v>8.3333333333333343E-2</v>
      </c>
      <c r="G8" s="13">
        <f t="shared" si="2"/>
        <v>300</v>
      </c>
      <c r="H8" s="13">
        <v>332.41608374009184</v>
      </c>
      <c r="I8" s="13">
        <v>343.08947157029672</v>
      </c>
      <c r="J8" s="13">
        <v>348.1258602934609</v>
      </c>
      <c r="K8" s="13">
        <v>347.95327082679904</v>
      </c>
      <c r="L8" s="13">
        <v>343.41772367292646</v>
      </c>
      <c r="M8" s="13">
        <v>335.4604854752165</v>
      </c>
      <c r="N8" s="13">
        <v>324.96330678570956</v>
      </c>
      <c r="O8" s="13">
        <v>312.68724996755043</v>
      </c>
      <c r="P8" s="13">
        <v>299.25953891435455</v>
      </c>
      <c r="Q8" s="13">
        <v>285.18245305448943</v>
      </c>
      <c r="R8" s="13">
        <v>270.85040254017565</v>
      </c>
      <c r="S8" s="13">
        <v>256.56834142668657</v>
      </c>
      <c r="T8" s="13">
        <v>242.56852164234823</v>
      </c>
      <c r="U8" s="13">
        <v>229.02457484315315</v>
      </c>
      <c r="V8" s="13">
        <v>216.06285429911208</v>
      </c>
      <c r="W8" s="13">
        <v>203.77136177805733</v>
      </c>
      <c r="X8" s="13">
        <v>192.20670065397871</v>
      </c>
      <c r="Y8" s="13">
        <v>181.39948576187328</v>
      </c>
      <c r="Z8" s="13">
        <v>171.35858029091813</v>
      </c>
      <c r="AA8" s="13">
        <v>162.07445792961022</v>
      </c>
      <c r="AB8" s="13">
        <v>153.52192115613713</v>
      </c>
      <c r="AC8" s="13">
        <v>145.66234996652884</v>
      </c>
      <c r="AD8" s="13">
        <v>138.44561039199792</v>
      </c>
      <c r="AE8" s="13">
        <v>131.81171770851762</v>
      </c>
      <c r="AF8" s="13">
        <v>125.6923234491482</v>
      </c>
      <c r="AG8" s="13">
        <v>120.0120763406733</v>
      </c>
      <c r="AH8" s="13">
        <v>114.68989349179039</v>
      </c>
      <c r="AI8" s="13">
        <v>109.64016826351764</v>
      </c>
      <c r="AJ8" s="13">
        <v>104.77393425529092</v>
      </c>
      <c r="AK8" s="13">
        <f t="shared" si="3"/>
        <v>100</v>
      </c>
      <c r="AL8" s="26">
        <f t="shared" si="4"/>
        <v>8.3333333333333343E-2</v>
      </c>
      <c r="AM8" s="25">
        <v>26</v>
      </c>
    </row>
    <row r="9" spans="1:39" x14ac:dyDescent="0.25">
      <c r="E9" s="25">
        <v>25</v>
      </c>
      <c r="F9" s="26">
        <f t="shared" si="1"/>
        <v>0.08</v>
      </c>
      <c r="G9" s="13">
        <f t="shared" si="2"/>
        <v>300</v>
      </c>
      <c r="H9" s="13">
        <v>321.21755086484433</v>
      </c>
      <c r="I9" s="13">
        <v>345.69275465067716</v>
      </c>
      <c r="J9" s="13">
        <v>357.64255640107149</v>
      </c>
      <c r="K9" s="13">
        <v>360.24042896721255</v>
      </c>
      <c r="L9" s="13">
        <v>356.13070541548143</v>
      </c>
      <c r="M9" s="13">
        <v>347.37582875034491</v>
      </c>
      <c r="N9" s="13">
        <v>335.52760231436491</v>
      </c>
      <c r="O9" s="13">
        <v>321.72976946780074</v>
      </c>
      <c r="P9" s="13">
        <v>306.81531600852884</v>
      </c>
      <c r="Q9" s="13">
        <v>291.38672407035347</v>
      </c>
      <c r="R9" s="13">
        <v>275.87777924610521</v>
      </c>
      <c r="S9" s="13">
        <v>260.59933976761943</v>
      </c>
      <c r="T9" s="13">
        <v>245.77242518028805</v>
      </c>
      <c r="U9" s="13">
        <v>231.55178961412597</v>
      </c>
      <c r="V9" s="13">
        <v>218.04258352810302</v>
      </c>
      <c r="W9" s="13">
        <v>205.31210426166825</v>
      </c>
      <c r="X9" s="13">
        <v>193.39811102450346</v>
      </c>
      <c r="Y9" s="13">
        <v>182.3147645840811</v>
      </c>
      <c r="Z9" s="13">
        <v>172.05693971842527</v>
      </c>
      <c r="AA9" s="13">
        <v>162.60343132718268</v>
      </c>
      <c r="AB9" s="13">
        <v>153.91941332414572</v>
      </c>
      <c r="AC9" s="13">
        <v>145.95839597309441</v>
      </c>
      <c r="AD9" s="13">
        <v>138.66384862242001</v>
      </c>
      <c r="AE9" s="13">
        <v>131.97060064800999</v>
      </c>
      <c r="AF9" s="13">
        <v>125.8060964084608</v>
      </c>
      <c r="AG9" s="13">
        <v>120.09155486855904</v>
      </c>
      <c r="AH9" s="13">
        <v>114.74306755141298</v>
      </c>
      <c r="AI9" s="13">
        <v>109.67265706812273</v>
      </c>
      <c r="AJ9" s="13">
        <v>104.78931088264184</v>
      </c>
      <c r="AK9" s="13">
        <f t="shared" si="3"/>
        <v>100</v>
      </c>
      <c r="AL9" s="26">
        <f t="shared" si="4"/>
        <v>0.08</v>
      </c>
      <c r="AM9" s="25">
        <v>25</v>
      </c>
    </row>
    <row r="10" spans="1:39" x14ac:dyDescent="0.25">
      <c r="A10" s="46" t="s">
        <v>30</v>
      </c>
      <c r="B10" s="46"/>
      <c r="E10" s="25">
        <v>24</v>
      </c>
      <c r="F10" s="26">
        <f t="shared" si="1"/>
        <v>7.6666666666666675E-2</v>
      </c>
      <c r="G10" s="13">
        <v>75</v>
      </c>
      <c r="H10" s="13">
        <v>311.52558807062292</v>
      </c>
      <c r="I10" s="13">
        <v>355.35298609777738</v>
      </c>
      <c r="J10" s="13">
        <v>374.85790113396263</v>
      </c>
      <c r="K10" s="13">
        <v>379.18359717658257</v>
      </c>
      <c r="L10" s="13">
        <v>374.08170741765002</v>
      </c>
      <c r="M10" s="13">
        <v>363.21915682166468</v>
      </c>
      <c r="N10" s="13">
        <v>348.95691461167223</v>
      </c>
      <c r="O10" s="13">
        <v>332.8265988203778</v>
      </c>
      <c r="P10" s="13">
        <v>315.82778882675137</v>
      </c>
      <c r="Q10" s="13">
        <v>298.61588684054453</v>
      </c>
      <c r="R10" s="13">
        <v>281.6217908081627</v>
      </c>
      <c r="S10" s="13">
        <v>265.12850477416265</v>
      </c>
      <c r="T10" s="13">
        <v>249.32032572916188</v>
      </c>
      <c r="U10" s="13">
        <v>234.31448663417518</v>
      </c>
      <c r="V10" s="13">
        <v>220.18155601114813</v>
      </c>
      <c r="W10" s="13">
        <v>206.95863413015093</v>
      </c>
      <c r="X10" s="13">
        <v>194.65794361565364</v>
      </c>
      <c r="Y10" s="13">
        <v>183.27248635926929</v>
      </c>
      <c r="Z10" s="13">
        <v>172.77984209067941</v>
      </c>
      <c r="AA10" s="13">
        <v>163.14479900935993</v>
      </c>
      <c r="AB10" s="13">
        <v>154.32125836471221</v>
      </c>
      <c r="AC10" s="13">
        <v>146.25369450834643</v>
      </c>
      <c r="AD10" s="13">
        <v>138.87834858283216</v>
      </c>
      <c r="AE10" s="13">
        <v>132.12426752019471</v>
      </c>
      <c r="AF10" s="13">
        <v>125.91425736916884</v>
      </c>
      <c r="AG10" s="13">
        <v>120.16579271488402</v>
      </c>
      <c r="AH10" s="13">
        <v>114.79190663397097</v>
      </c>
      <c r="AI10" s="13">
        <v>109.70207470413946</v>
      </c>
      <c r="AJ10" s="13">
        <v>104.80309977185314</v>
      </c>
      <c r="AK10" s="13">
        <f t="shared" si="3"/>
        <v>100</v>
      </c>
      <c r="AL10" s="26">
        <f t="shared" si="4"/>
        <v>7.6666666666666675E-2</v>
      </c>
      <c r="AM10" s="25">
        <v>24</v>
      </c>
    </row>
    <row r="11" spans="1:39" x14ac:dyDescent="0.25">
      <c r="A11" s="18" t="s">
        <v>4</v>
      </c>
      <c r="B11" s="41">
        <v>460</v>
      </c>
      <c r="E11" s="25">
        <v>23</v>
      </c>
      <c r="F11" s="26">
        <f t="shared" si="1"/>
        <v>7.3333333333333334E-2</v>
      </c>
      <c r="G11" s="13">
        <f t="shared" si="2"/>
        <v>300</v>
      </c>
      <c r="H11" s="13">
        <v>374.47475641003882</v>
      </c>
      <c r="I11" s="13">
        <v>406.16097696793838</v>
      </c>
      <c r="J11" s="13">
        <v>416.14045319853267</v>
      </c>
      <c r="K11" s="13">
        <v>412.56524141123657</v>
      </c>
      <c r="L11" s="13">
        <v>400.85509900965849</v>
      </c>
      <c r="M11" s="13">
        <v>384.51705624087583</v>
      </c>
      <c r="N11" s="13">
        <v>365.77833599093208</v>
      </c>
      <c r="O11" s="13">
        <v>346.03365464611323</v>
      </c>
      <c r="P11" s="13">
        <v>326.14613579585858</v>
      </c>
      <c r="Q11" s="13">
        <v>306.64358900933541</v>
      </c>
      <c r="R11" s="13">
        <v>287.84386581942442</v>
      </c>
      <c r="S11" s="13">
        <v>269.9336818952994</v>
      </c>
      <c r="T11" s="13">
        <v>253.01756442345931</v>
      </c>
      <c r="U11" s="13">
        <v>237.14792057047964</v>
      </c>
      <c r="V11" s="13">
        <v>222.34332605701263</v>
      </c>
      <c r="W11" s="13">
        <v>208.59954769177983</v>
      </c>
      <c r="X11" s="13">
        <v>195.89613780149932</v>
      </c>
      <c r="Y11" s="13">
        <v>184.20036857137734</v>
      </c>
      <c r="Z11" s="13">
        <v>173.46959851052287</v>
      </c>
      <c r="AA11" s="13">
        <v>163.65273973482704</v>
      </c>
      <c r="AB11" s="13">
        <v>154.69123100166473</v>
      </c>
      <c r="AC11" s="13">
        <v>146.51975809829938</v>
      </c>
      <c r="AD11" s="13">
        <v>139.06686263884734</v>
      </c>
      <c r="AE11" s="13">
        <v>132.25551886159329</v>
      </c>
      <c r="AF11" s="13">
        <v>126.0037207878281</v>
      </c>
      <c r="AG11" s="13">
        <v>120.22509982927129</v>
      </c>
      <c r="AH11" s="13">
        <v>114.82957983251279</v>
      </c>
      <c r="AI11" s="13">
        <v>109.72406902863419</v>
      </c>
      <c r="AJ11" s="13">
        <v>104.81318417991004</v>
      </c>
      <c r="AK11" s="13">
        <f t="shared" si="3"/>
        <v>100</v>
      </c>
      <c r="AL11" s="26">
        <f t="shared" si="4"/>
        <v>7.3333333333333334E-2</v>
      </c>
      <c r="AM11" s="25">
        <v>23</v>
      </c>
    </row>
    <row r="12" spans="1:39" x14ac:dyDescent="0.25">
      <c r="A12" s="18" t="s">
        <v>5</v>
      </c>
      <c r="B12" s="41">
        <v>7800</v>
      </c>
      <c r="E12" s="25">
        <v>22</v>
      </c>
      <c r="F12" s="26">
        <f t="shared" si="1"/>
        <v>7.0000000000000007E-2</v>
      </c>
      <c r="G12" s="13">
        <f t="shared" si="2"/>
        <v>300</v>
      </c>
      <c r="H12" s="13">
        <v>456.73881269934697</v>
      </c>
      <c r="I12" s="13">
        <v>475.17001687500579</v>
      </c>
      <c r="J12" s="13">
        <v>471.30316382583197</v>
      </c>
      <c r="K12" s="13">
        <v>455.53757750534476</v>
      </c>
      <c r="L12" s="13">
        <v>433.86184242632044</v>
      </c>
      <c r="M12" s="13">
        <v>409.67785676040523</v>
      </c>
      <c r="N12" s="13">
        <v>384.88478213768406</v>
      </c>
      <c r="O12" s="13">
        <v>360.51709858292662</v>
      </c>
      <c r="P12" s="13">
        <v>337.11707952626256</v>
      </c>
      <c r="Q12" s="13">
        <v>314.95042576479244</v>
      </c>
      <c r="R12" s="13">
        <v>294.12990991587435</v>
      </c>
      <c r="S12" s="13">
        <v>274.68540661351182</v>
      </c>
      <c r="T12" s="13">
        <v>256.60288535276027</v>
      </c>
      <c r="U12" s="13">
        <v>239.84558655383887</v>
      </c>
      <c r="V12" s="13">
        <v>224.36508907356674</v>
      </c>
      <c r="W12" s="13">
        <v>210.10674189623938</v>
      </c>
      <c r="X12" s="13">
        <v>197.01203921648704</v>
      </c>
      <c r="Y12" s="13">
        <v>185.01941299266764</v>
      </c>
      <c r="Z12" s="13">
        <v>174.06427406463936</v>
      </c>
      <c r="AA12" s="13">
        <v>164.07876041881383</v>
      </c>
      <c r="AB12" s="13">
        <v>154.99143672898501</v>
      </c>
      <c r="AC12" s="13">
        <v>146.72706703424177</v>
      </c>
      <c r="AD12" s="13">
        <v>139.20651375979222</v>
      </c>
      <c r="AE12" s="13">
        <v>132.34677866031129</v>
      </c>
      <c r="AF12" s="13">
        <v>126.0611814560113</v>
      </c>
      <c r="AG12" s="13">
        <v>120.25966221677064</v>
      </c>
      <c r="AH12" s="13">
        <v>114.8491894240112</v>
      </c>
      <c r="AI12" s="13">
        <v>109.73425448259752</v>
      </c>
      <c r="AJ12" s="13">
        <v>104.81743374763529</v>
      </c>
      <c r="AK12" s="13">
        <f t="shared" si="3"/>
        <v>100</v>
      </c>
      <c r="AL12" s="26">
        <f t="shared" si="4"/>
        <v>7.0000000000000007E-2</v>
      </c>
      <c r="AM12" s="25">
        <v>22</v>
      </c>
    </row>
    <row r="13" spans="1:39" x14ac:dyDescent="0.25">
      <c r="A13" s="18" t="s">
        <v>35</v>
      </c>
      <c r="B13" s="41">
        <v>46</v>
      </c>
      <c r="E13" s="25">
        <v>21</v>
      </c>
      <c r="F13" s="26">
        <f t="shared" si="1"/>
        <v>6.6666666666666666E-2</v>
      </c>
      <c r="G13" s="13">
        <f t="shared" si="2"/>
        <v>300</v>
      </c>
      <c r="H13" s="13">
        <v>591.87155966264015</v>
      </c>
      <c r="I13" s="13">
        <v>575.78464906085571</v>
      </c>
      <c r="J13" s="13">
        <v>544.70645776806748</v>
      </c>
      <c r="K13" s="13">
        <v>508.63161402397606</v>
      </c>
      <c r="L13" s="13">
        <v>472.19254758746922</v>
      </c>
      <c r="M13" s="13">
        <v>437.40147814411148</v>
      </c>
      <c r="N13" s="13">
        <v>405.01241415955076</v>
      </c>
      <c r="O13" s="13">
        <v>375.19559814948985</v>
      </c>
      <c r="P13" s="13">
        <v>347.86827722994502</v>
      </c>
      <c r="Q13" s="13">
        <v>322.85359249884164</v>
      </c>
      <c r="R13" s="13">
        <v>299.95382280629946</v>
      </c>
      <c r="S13" s="13">
        <v>278.98140059765541</v>
      </c>
      <c r="T13" s="13">
        <v>259.76956524221737</v>
      </c>
      <c r="U13" s="13">
        <v>242.17362178372088</v>
      </c>
      <c r="V13" s="13">
        <v>226.06824826322799</v>
      </c>
      <c r="W13" s="13">
        <v>211.34349411685886</v>
      </c>
      <c r="X13" s="13">
        <v>197.9006985038003</v>
      </c>
      <c r="Y13" s="13">
        <v>185.64885154664461</v>
      </c>
      <c r="Z13" s="13">
        <v>174.50157655109109</v>
      </c>
      <c r="AA13" s="13">
        <v>164.374749566064</v>
      </c>
      <c r="AB13" s="13">
        <v>155.18470288898567</v>
      </c>
      <c r="AC13" s="13">
        <v>146.84693451099383</v>
      </c>
      <c r="AD13" s="13">
        <v>139.2752421538305</v>
      </c>
      <c r="AE13" s="13">
        <v>132.38120642765364</v>
      </c>
      <c r="AF13" s="13">
        <v>126.07395678673313</v>
      </c>
      <c r="AG13" s="13">
        <v>120.26016354737126</v>
      </c>
      <c r="AH13" s="13">
        <v>114.84420800408546</v>
      </c>
      <c r="AI13" s="13">
        <v>109.72849015611681</v>
      </c>
      <c r="AJ13" s="13">
        <v>104.81383962059726</v>
      </c>
      <c r="AK13" s="13">
        <f t="shared" si="3"/>
        <v>100</v>
      </c>
      <c r="AL13" s="26">
        <f t="shared" si="4"/>
        <v>6.6666666666666666E-2</v>
      </c>
      <c r="AM13" s="25">
        <v>21</v>
      </c>
    </row>
    <row r="14" spans="1:39" x14ac:dyDescent="0.25">
      <c r="A14" s="12"/>
      <c r="B14" s="12"/>
      <c r="E14" s="25">
        <v>20</v>
      </c>
      <c r="F14" s="26">
        <f t="shared" si="1"/>
        <v>6.3333333333333339E-2</v>
      </c>
      <c r="G14" s="13">
        <v>1100</v>
      </c>
      <c r="H14" s="13">
        <v>838.00093366137992</v>
      </c>
      <c r="I14" s="13">
        <v>727.60773322213129</v>
      </c>
      <c r="J14" s="13">
        <v>640.75017837867119</v>
      </c>
      <c r="K14" s="13">
        <v>570.83973647436665</v>
      </c>
      <c r="L14" s="13">
        <v>513.36607812478849</v>
      </c>
      <c r="M14" s="13">
        <v>465.18592384167596</v>
      </c>
      <c r="N14" s="13">
        <v>424.08064714625817</v>
      </c>
      <c r="O14" s="13">
        <v>388.46861168706846</v>
      </c>
      <c r="P14" s="13">
        <v>357.21233789797765</v>
      </c>
      <c r="Q14" s="13">
        <v>329.48658034839002</v>
      </c>
      <c r="R14" s="13">
        <v>304.68680747065736</v>
      </c>
      <c r="S14" s="13">
        <v>282.36505241559155</v>
      </c>
      <c r="T14" s="13">
        <v>262.18457180280893</v>
      </c>
      <c r="U14" s="13">
        <v>243.88756397528647</v>
      </c>
      <c r="V14" s="13">
        <v>227.27203565430915</v>
      </c>
      <c r="W14" s="13">
        <v>212.17513144035766</v>
      </c>
      <c r="X14" s="13">
        <v>198.46106863640983</v>
      </c>
      <c r="Y14" s="13">
        <v>186.01238372359569</v>
      </c>
      <c r="Z14" s="13">
        <v>174.72358291366177</v>
      </c>
      <c r="AA14" s="13">
        <v>164.49655487126131</v>
      </c>
      <c r="AB14" s="13">
        <v>155.23728744261777</v>
      </c>
      <c r="AC14" s="13">
        <v>146.85355804938266</v>
      </c>
      <c r="AD14" s="13">
        <v>139.25335691716305</v>
      </c>
      <c r="AE14" s="13">
        <v>132.34386544975939</v>
      </c>
      <c r="AF14" s="13">
        <v>126.03085694193447</v>
      </c>
      <c r="AG14" s="13">
        <v>120.21841895975325</v>
      </c>
      <c r="AH14" s="13">
        <v>114.80891986341064</v>
      </c>
      <c r="AI14" s="13">
        <v>109.70315866309809</v>
      </c>
      <c r="AJ14" s="13">
        <v>104.80064942841858</v>
      </c>
      <c r="AK14" s="13">
        <f t="shared" si="3"/>
        <v>100</v>
      </c>
      <c r="AL14" s="26">
        <f t="shared" si="4"/>
        <v>6.3333333333333339E-2</v>
      </c>
      <c r="AM14" s="25">
        <v>20</v>
      </c>
    </row>
    <row r="15" spans="1:39" x14ac:dyDescent="0.25">
      <c r="A15" s="45" t="s">
        <v>31</v>
      </c>
      <c r="B15" s="45"/>
      <c r="E15" s="25">
        <v>19</v>
      </c>
      <c r="F15" s="26">
        <f t="shared" si="1"/>
        <v>6.0000000000000005E-2</v>
      </c>
      <c r="G15" s="13">
        <v>1500</v>
      </c>
      <c r="H15" s="13">
        <v>1026.0386076624809</v>
      </c>
      <c r="I15" s="13">
        <v>844.20869440654735</v>
      </c>
      <c r="J15" s="13">
        <v>714.14541380075161</v>
      </c>
      <c r="K15" s="13">
        <v>617.78283929433826</v>
      </c>
      <c r="L15" s="13">
        <v>543.87957498093715</v>
      </c>
      <c r="M15" s="13">
        <v>485.32918224318894</v>
      </c>
      <c r="N15" s="13">
        <v>437.56420317855157</v>
      </c>
      <c r="O15" s="13">
        <v>397.59850931328049</v>
      </c>
      <c r="P15" s="13">
        <v>363.44553083724219</v>
      </c>
      <c r="Q15" s="13">
        <v>333.76004109538968</v>
      </c>
      <c r="R15" s="13">
        <v>307.6143799944241</v>
      </c>
      <c r="S15" s="13">
        <v>284.35651064982068</v>
      </c>
      <c r="T15" s="13">
        <v>263.51854730945769</v>
      </c>
      <c r="U15" s="13">
        <v>244.75685496867737</v>
      </c>
      <c r="V15" s="13">
        <v>227.8121981487555</v>
      </c>
      <c r="W15" s="13">
        <v>212.48282590988569</v>
      </c>
      <c r="X15" s="13">
        <v>198.60604364364394</v>
      </c>
      <c r="Y15" s="13">
        <v>186.0454489128764</v>
      </c>
      <c r="Z15" s="13">
        <v>174.68201383262817</v>
      </c>
      <c r="AA15" s="13">
        <v>164.40782534779504</v>
      </c>
      <c r="AB15" s="13">
        <v>155.12169326703801</v>
      </c>
      <c r="AC15" s="13">
        <v>146.72609184036241</v>
      </c>
      <c r="AD15" s="13">
        <v>139.12506731387771</v>
      </c>
      <c r="AE15" s="13">
        <v>132.22285394230852</v>
      </c>
      <c r="AF15" s="13">
        <v>125.92301463639423</v>
      </c>
      <c r="AG15" s="13">
        <v>120.12797244230458</v>
      </c>
      <c r="AH15" s="13">
        <v>114.73883340555511</v>
      </c>
      <c r="AI15" s="13">
        <v>109.65542517384273</v>
      </c>
      <c r="AJ15" s="13">
        <v>104.7764922263907</v>
      </c>
      <c r="AK15" s="13">
        <f t="shared" si="3"/>
        <v>100</v>
      </c>
      <c r="AL15" s="26">
        <f t="shared" si="4"/>
        <v>6.0000000000000005E-2</v>
      </c>
      <c r="AM15" s="25">
        <v>19</v>
      </c>
    </row>
    <row r="16" spans="1:39" x14ac:dyDescent="0.25">
      <c r="A16" s="20" t="s">
        <v>36</v>
      </c>
      <c r="B16" s="40">
        <v>300</v>
      </c>
      <c r="E16" s="25">
        <v>18</v>
      </c>
      <c r="F16" s="26">
        <f t="shared" si="1"/>
        <v>5.6666666666666671E-2</v>
      </c>
      <c r="G16" s="13">
        <v>1700</v>
      </c>
      <c r="H16" s="13">
        <v>1101.1482569935729</v>
      </c>
      <c r="I16" s="13">
        <v>890.17915151018542</v>
      </c>
      <c r="J16" s="13">
        <v>742.69175200736709</v>
      </c>
      <c r="K16" s="13">
        <v>635.74854697117087</v>
      </c>
      <c r="L16" s="13">
        <v>555.31167606012627</v>
      </c>
      <c r="M16" s="13">
        <v>492.65488034089299</v>
      </c>
      <c r="N16" s="13">
        <v>442.26252299218902</v>
      </c>
      <c r="O16" s="13">
        <v>400.58667977425057</v>
      </c>
      <c r="P16" s="13">
        <v>365.30328467381668</v>
      </c>
      <c r="Q16" s="13">
        <v>334.86118187248286</v>
      </c>
      <c r="R16" s="13">
        <v>308.20487091861929</v>
      </c>
      <c r="S16" s="13">
        <v>284.60144266791247</v>
      </c>
      <c r="T16" s="13">
        <v>263.53081201332157</v>
      </c>
      <c r="U16" s="13">
        <v>244.61493968545685</v>
      </c>
      <c r="V16" s="13">
        <v>227.57143186797691</v>
      </c>
      <c r="W16" s="13">
        <v>212.18262740494964</v>
      </c>
      <c r="X16" s="13">
        <v>198.27469194329154</v>
      </c>
      <c r="Y16" s="13">
        <v>185.70329252120703</v>
      </c>
      <c r="Z16" s="13">
        <v>174.3436781384471</v>
      </c>
      <c r="AA16" s="13">
        <v>164.08376441316744</v>
      </c>
      <c r="AB16" s="13">
        <v>154.81930336962787</v>
      </c>
      <c r="AC16" s="13">
        <v>146.45052541036262</v>
      </c>
      <c r="AD16" s="13">
        <v>138.8798371689584</v>
      </c>
      <c r="AE16" s="13">
        <v>132.01028713266368</v>
      </c>
      <c r="AF16" s="13">
        <v>125.74459570829544</v>
      </c>
      <c r="AG16" s="13">
        <v>119.98460326695712</v>
      </c>
      <c r="AH16" s="13">
        <v>114.63102832035304</v>
      </c>
      <c r="AI16" s="13">
        <v>109.58345445968729</v>
      </c>
      <c r="AJ16" s="13">
        <v>104.74048291018019</v>
      </c>
      <c r="AK16" s="13">
        <f t="shared" si="3"/>
        <v>100</v>
      </c>
      <c r="AL16" s="26">
        <f t="shared" si="4"/>
        <v>5.6666666666666671E-2</v>
      </c>
      <c r="AM16" s="25">
        <v>18</v>
      </c>
    </row>
    <row r="17" spans="1:39" x14ac:dyDescent="0.25">
      <c r="A17" s="20" t="s">
        <v>37</v>
      </c>
      <c r="B17" s="40">
        <v>100</v>
      </c>
      <c r="E17" s="25">
        <v>17</v>
      </c>
      <c r="F17" s="26">
        <f t="shared" si="1"/>
        <v>5.3333333333333337E-2</v>
      </c>
      <c r="G17" s="13">
        <v>1500</v>
      </c>
      <c r="H17" s="13">
        <v>1027.3961965883454</v>
      </c>
      <c r="I17" s="13">
        <v>845.49377437829548</v>
      </c>
      <c r="J17" s="13">
        <v>715.07045175673306</v>
      </c>
      <c r="K17" s="13">
        <v>618.24683246386644</v>
      </c>
      <c r="L17" s="13">
        <v>543.88468975156445</v>
      </c>
      <c r="M17" s="13">
        <v>484.92833145724956</v>
      </c>
      <c r="N17" s="13">
        <v>436.83029868515735</v>
      </c>
      <c r="O17" s="13">
        <v>396.60764593671541</v>
      </c>
      <c r="P17" s="13">
        <v>362.26858365490523</v>
      </c>
      <c r="Q17" s="13">
        <v>332.45907625390305</v>
      </c>
      <c r="R17" s="13">
        <v>306.24166894366175</v>
      </c>
      <c r="S17" s="13">
        <v>282.95485553469143</v>
      </c>
      <c r="T17" s="13">
        <v>262.12219539570879</v>
      </c>
      <c r="U17" s="13">
        <v>243.39261767277213</v>
      </c>
      <c r="V17" s="13">
        <v>226.50058206890463</v>
      </c>
      <c r="W17" s="13">
        <v>211.23908781390844</v>
      </c>
      <c r="X17" s="13">
        <v>197.4411358065712</v>
      </c>
      <c r="Y17" s="13">
        <v>184.96684794682801</v>
      </c>
      <c r="Z17" s="13">
        <v>173.69443822054103</v>
      </c>
      <c r="AA17" s="13">
        <v>163.51385153930943</v>
      </c>
      <c r="AB17" s="13">
        <v>154.32228131144791</v>
      </c>
      <c r="AC17" s="13">
        <v>146.02103111188802</v>
      </c>
      <c r="AD17" s="13">
        <v>138.5133518924905</v>
      </c>
      <c r="AE17" s="13">
        <v>131.70299607775615</v>
      </c>
      <c r="AF17" s="13">
        <v>125.4933036097122</v>
      </c>
      <c r="AG17" s="13">
        <v>119.78668509398651</v>
      </c>
      <c r="AH17" s="13">
        <v>114.48440162071975</v>
      </c>
      <c r="AI17" s="13">
        <v>109.48656468566523</v>
      </c>
      <c r="AJ17" s="13">
        <v>104.69229620258621</v>
      </c>
      <c r="AK17" s="13">
        <f t="shared" si="3"/>
        <v>100</v>
      </c>
      <c r="AL17" s="26">
        <f t="shared" si="4"/>
        <v>5.3333333333333337E-2</v>
      </c>
      <c r="AM17" s="25">
        <v>17</v>
      </c>
    </row>
    <row r="18" spans="1:39" x14ac:dyDescent="0.25">
      <c r="A18" s="12"/>
      <c r="B18" s="12"/>
      <c r="E18" s="25">
        <v>16</v>
      </c>
      <c r="F18" s="26">
        <f t="shared" si="1"/>
        <v>0.05</v>
      </c>
      <c r="G18" s="13">
        <v>1100</v>
      </c>
      <c r="H18" s="13">
        <v>841.26538129228709</v>
      </c>
      <c r="I18" s="13">
        <v>730.51351694574669</v>
      </c>
      <c r="J18" s="13">
        <v>642.76484201965582</v>
      </c>
      <c r="K18" s="13">
        <v>571.81776397172757</v>
      </c>
      <c r="L18" s="13">
        <v>513.35886539699618</v>
      </c>
      <c r="M18" s="13">
        <v>464.33226605126129</v>
      </c>
      <c r="N18" s="13">
        <v>422.54714226815116</v>
      </c>
      <c r="O18" s="13">
        <v>386.41942713676048</v>
      </c>
      <c r="P18" s="13">
        <v>354.79546766615118</v>
      </c>
      <c r="Q18" s="13">
        <v>326.82892806939901</v>
      </c>
      <c r="R18" s="13">
        <v>301.89372023309778</v>
      </c>
      <c r="S18" s="13">
        <v>279.52190606593189</v>
      </c>
      <c r="T18" s="13">
        <v>259.35914818382093</v>
      </c>
      <c r="U18" s="13">
        <v>241.13259394800284</v>
      </c>
      <c r="V18" s="13">
        <v>224.62762067726317</v>
      </c>
      <c r="W18" s="13">
        <v>209.67093014078893</v>
      </c>
      <c r="X18" s="13">
        <v>196.11821896587719</v>
      </c>
      <c r="Y18" s="13">
        <v>183.84516883552288</v>
      </c>
      <c r="Z18" s="13">
        <v>172.74086329441073</v>
      </c>
      <c r="AA18" s="13">
        <v>162.70299286336433</v>
      </c>
      <c r="AB18" s="13">
        <v>153.63438934989065</v>
      </c>
      <c r="AC18" s="13">
        <v>145.44055646845098</v>
      </c>
      <c r="AD18" s="13">
        <v>138.0279530845547</v>
      </c>
      <c r="AE18" s="13">
        <v>131.30284870359932</v>
      </c>
      <c r="AF18" s="13">
        <v>125.17061598553303</v>
      </c>
      <c r="AG18" s="13">
        <v>119.53535745330328</v>
      </c>
      <c r="AH18" s="13">
        <v>114.2997868929555</v>
      </c>
      <c r="AI18" s="13">
        <v>109.36530277881647</v>
      </c>
      <c r="AJ18" s="13">
        <v>104.63220315853474</v>
      </c>
      <c r="AK18" s="13">
        <f t="shared" si="3"/>
        <v>100</v>
      </c>
      <c r="AL18" s="26">
        <f t="shared" si="4"/>
        <v>0.05</v>
      </c>
      <c r="AM18" s="25">
        <v>16</v>
      </c>
    </row>
    <row r="19" spans="1:39" x14ac:dyDescent="0.25">
      <c r="A19" s="44" t="s">
        <v>32</v>
      </c>
      <c r="B19" s="44"/>
      <c r="E19" s="25">
        <v>15</v>
      </c>
      <c r="F19" s="26">
        <f t="shared" si="1"/>
        <v>4.6666666666666669E-2</v>
      </c>
      <c r="G19" s="13">
        <f t="shared" si="2"/>
        <v>300</v>
      </c>
      <c r="H19" s="13">
        <v>598.39924320869579</v>
      </c>
      <c r="I19" s="13">
        <v>581.06032003138512</v>
      </c>
      <c r="J19" s="13">
        <v>548.14241994564145</v>
      </c>
      <c r="K19" s="13">
        <v>510.20192424555859</v>
      </c>
      <c r="L19" s="13">
        <v>472.11380356106042</v>
      </c>
      <c r="M19" s="13">
        <v>435.97176942044371</v>
      </c>
      <c r="N19" s="13">
        <v>402.53479596934699</v>
      </c>
      <c r="O19" s="13">
        <v>371.94524351169946</v>
      </c>
      <c r="P19" s="13">
        <v>344.08128753143399</v>
      </c>
      <c r="Q19" s="13">
        <v>318.72593672049703</v>
      </c>
      <c r="R19" s="13">
        <v>295.64456716086494</v>
      </c>
      <c r="S19" s="13">
        <v>274.61739693634547</v>
      </c>
      <c r="T19" s="13">
        <v>255.45030827073737</v>
      </c>
      <c r="U19" s="13">
        <v>237.97574731241809</v>
      </c>
      <c r="V19" s="13">
        <v>222.04950331370776</v>
      </c>
      <c r="W19" s="13">
        <v>207.54616611164306</v>
      </c>
      <c r="X19" s="13">
        <v>194.35455016902236</v>
      </c>
      <c r="Y19" s="13">
        <v>182.37362387105412</v>
      </c>
      <c r="Z19" s="13">
        <v>171.50912014395931</v>
      </c>
      <c r="AA19" s="13">
        <v>161.67083700683133</v>
      </c>
      <c r="AB19" s="13">
        <v>152.77056619495099</v>
      </c>
      <c r="AC19" s="13">
        <v>144.72056443460755</v>
      </c>
      <c r="AD19" s="13">
        <v>137.43248000598197</v>
      </c>
      <c r="AE19" s="13">
        <v>130.8166543207889</v>
      </c>
      <c r="AF19" s="13">
        <v>124.78172827866277</v>
      </c>
      <c r="AG19" s="13">
        <v>119.23449334337835</v>
      </c>
      <c r="AH19" s="13">
        <v>114.07993641304944</v>
      </c>
      <c r="AI19" s="13">
        <v>109.22143524038539</v>
      </c>
      <c r="AJ19" s="13">
        <v>104.56106733205851</v>
      </c>
      <c r="AK19" s="13">
        <f t="shared" si="3"/>
        <v>100</v>
      </c>
      <c r="AL19" s="26">
        <f t="shared" si="4"/>
        <v>4.6666666666666669E-2</v>
      </c>
      <c r="AM19" s="25">
        <v>15</v>
      </c>
    </row>
    <row r="20" spans="1:39" x14ac:dyDescent="0.25">
      <c r="A20" s="21" t="s">
        <v>19</v>
      </c>
      <c r="B20" s="39">
        <f>B13/(B5^2)</f>
        <v>4139999.9999999991</v>
      </c>
      <c r="E20" s="25">
        <v>14</v>
      </c>
      <c r="F20" s="26">
        <f t="shared" si="1"/>
        <v>4.3333333333333335E-2</v>
      </c>
      <c r="G20" s="13">
        <f t="shared" si="2"/>
        <v>300</v>
      </c>
      <c r="H20" s="13">
        <v>469.34457390677886</v>
      </c>
      <c r="I20" s="13">
        <v>484.14377058587945</v>
      </c>
      <c r="J20" s="13">
        <v>476.64649417470389</v>
      </c>
      <c r="K20" s="13">
        <v>457.74697923623188</v>
      </c>
      <c r="L20" s="13">
        <v>433.55277319194107</v>
      </c>
      <c r="M20" s="13">
        <v>407.43501353367412</v>
      </c>
      <c r="N20" s="13">
        <v>381.21257988289557</v>
      </c>
      <c r="O20" s="13">
        <v>355.83189447446796</v>
      </c>
      <c r="P20" s="13">
        <v>331.75488836313798</v>
      </c>
      <c r="Q20" s="13">
        <v>309.17891178139325</v>
      </c>
      <c r="R20" s="13">
        <v>288.16026584485002</v>
      </c>
      <c r="S20" s="13">
        <v>268.68269676565012</v>
      </c>
      <c r="T20" s="13">
        <v>250.69462756063297</v>
      </c>
      <c r="U20" s="13">
        <v>234.12876676997422</v>
      </c>
      <c r="V20" s="13">
        <v>218.91189895632675</v>
      </c>
      <c r="W20" s="13">
        <v>204.96930780577475</v>
      </c>
      <c r="X20" s="13">
        <v>192.22635689039333</v>
      </c>
      <c r="Y20" s="13">
        <v>180.60864875290136</v>
      </c>
      <c r="Z20" s="13">
        <v>170.04155073944349</v>
      </c>
      <c r="AA20" s="13">
        <v>160.4495151504355</v>
      </c>
      <c r="AB20" s="13">
        <v>151.75541636089037</v>
      </c>
      <c r="AC20" s="13">
        <v>143.8800121850287</v>
      </c>
      <c r="AD20" s="13">
        <v>136.74157271502816</v>
      </c>
      <c r="AE20" s="13">
        <v>130.25568514626221</v>
      </c>
      <c r="AF20" s="13">
        <v>124.33522503249304</v>
      </c>
      <c r="AG20" s="13">
        <v>118.89047568617055</v>
      </c>
      <c r="AH20" s="13">
        <v>113.82937383890189</v>
      </c>
      <c r="AI20" s="13">
        <v>109.05785877847561</v>
      </c>
      <c r="AJ20" s="13">
        <v>104.48030258515632</v>
      </c>
      <c r="AK20" s="13">
        <f t="shared" si="3"/>
        <v>100</v>
      </c>
      <c r="AL20" s="26">
        <f t="shared" si="4"/>
        <v>4.3333333333333335E-2</v>
      </c>
      <c r="AM20" s="25">
        <v>14</v>
      </c>
    </row>
    <row r="21" spans="1:39" x14ac:dyDescent="0.25">
      <c r="A21" s="21" t="s">
        <v>20</v>
      </c>
      <c r="B21" s="39">
        <f>(2*B13)/(B5^2)+(B12*B11)/B8</f>
        <v>11867999.999999998</v>
      </c>
      <c r="E21" s="25">
        <v>13</v>
      </c>
      <c r="F21" s="26">
        <f t="shared" si="1"/>
        <v>0.04</v>
      </c>
      <c r="G21" s="13">
        <f t="shared" si="2"/>
        <v>300</v>
      </c>
      <c r="H21" s="13">
        <v>398.82442937201154</v>
      </c>
      <c r="I21" s="13">
        <v>421.00396286697713</v>
      </c>
      <c r="J21" s="13">
        <v>423.95427878726326</v>
      </c>
      <c r="K21" s="13">
        <v>415.29256163654856</v>
      </c>
      <c r="L21" s="13">
        <v>399.94568517524772</v>
      </c>
      <c r="M21" s="13">
        <v>381.03694349559998</v>
      </c>
      <c r="N21" s="13">
        <v>360.51304871851949</v>
      </c>
      <c r="O21" s="13">
        <v>339.56775639989581</v>
      </c>
      <c r="P21" s="13">
        <v>318.91981612461007</v>
      </c>
      <c r="Q21" s="13">
        <v>298.99164103154499</v>
      </c>
      <c r="R21" s="13">
        <v>280.02238822753736</v>
      </c>
      <c r="S21" s="13">
        <v>262.13860980918076</v>
      </c>
      <c r="T21" s="13">
        <v>245.39787135135839</v>
      </c>
      <c r="U21" s="13">
        <v>229.81535308965795</v>
      </c>
      <c r="V21" s="13">
        <v>215.37985159236052</v>
      </c>
      <c r="W21" s="13">
        <v>202.06325025422694</v>
      </c>
      <c r="X21" s="13">
        <v>189.82601611548429</v>
      </c>
      <c r="Y21" s="13">
        <v>178.6203192068553</v>
      </c>
      <c r="Z21" s="13">
        <v>168.39176348602618</v>
      </c>
      <c r="AA21" s="13">
        <v>159.08033703698663</v>
      </c>
      <c r="AB21" s="13">
        <v>150.62095062795382</v>
      </c>
      <c r="AC21" s="13">
        <v>142.94378505729836</v>
      </c>
      <c r="AD21" s="13">
        <v>135.97457546564976</v>
      </c>
      <c r="AE21" s="13">
        <v>129.6349038571544</v>
      </c>
      <c r="AF21" s="13">
        <v>123.84253620029878</v>
      </c>
      <c r="AG21" s="13">
        <v>118.5118193536195</v>
      </c>
      <c r="AH21" s="13">
        <v>113.55414046703271</v>
      </c>
      <c r="AI21" s="13">
        <v>108.87844416983438</v>
      </c>
      <c r="AJ21" s="13">
        <v>104.39179871355674</v>
      </c>
      <c r="AK21" s="13">
        <f t="shared" si="3"/>
        <v>100</v>
      </c>
      <c r="AL21" s="26">
        <f t="shared" si="4"/>
        <v>0.04</v>
      </c>
      <c r="AM21" s="25">
        <v>13</v>
      </c>
    </row>
    <row r="22" spans="1:39" x14ac:dyDescent="0.25">
      <c r="A22" s="21" t="s">
        <v>21</v>
      </c>
      <c r="B22" s="39">
        <f>B20</f>
        <v>4139999.9999999991</v>
      </c>
      <c r="E22" s="25">
        <v>12</v>
      </c>
      <c r="F22" s="26">
        <f t="shared" si="1"/>
        <v>3.6666666666666667E-2</v>
      </c>
      <c r="G22" s="13">
        <f t="shared" si="2"/>
        <v>300</v>
      </c>
      <c r="H22" s="13">
        <v>359.02660503705965</v>
      </c>
      <c r="I22" s="13">
        <v>379.42657505473522</v>
      </c>
      <c r="J22" s="13">
        <v>385.52236904210531</v>
      </c>
      <c r="K22" s="13">
        <v>381.84747445463569</v>
      </c>
      <c r="L22" s="13">
        <v>371.79039970604049</v>
      </c>
      <c r="M22" s="13">
        <v>357.7772621492245</v>
      </c>
      <c r="N22" s="13">
        <v>341.49645488366957</v>
      </c>
      <c r="O22" s="13">
        <v>324.09935621908352</v>
      </c>
      <c r="P22" s="13">
        <v>306.35877851728674</v>
      </c>
      <c r="Q22" s="13">
        <v>288.786143617378</v>
      </c>
      <c r="R22" s="13">
        <v>271.71473166700184</v>
      </c>
      <c r="S22" s="13">
        <v>255.35725212842269</v>
      </c>
      <c r="T22" s="13">
        <v>239.84489114124119</v>
      </c>
      <c r="U22" s="13">
        <v>225.2534076786265</v>
      </c>
      <c r="V22" s="13">
        <v>211.62037372169064</v>
      </c>
      <c r="W22" s="13">
        <v>198.95646220249341</v>
      </c>
      <c r="X22" s="13">
        <v>187.25279291979334</v>
      </c>
      <c r="Y22" s="13">
        <v>176.48570440385924</v>
      </c>
      <c r="Z22" s="13">
        <v>166.61987046164342</v>
      </c>
      <c r="AA22" s="13">
        <v>157.61037158156378</v>
      </c>
      <c r="AB22" s="13">
        <v>149.40412217480923</v>
      </c>
      <c r="AC22" s="13">
        <v>141.94091413639563</v>
      </c>
      <c r="AD22" s="13">
        <v>135.15424356746954</v>
      </c>
      <c r="AE22" s="13">
        <v>128.97202549414482</v>
      </c>
      <c r="AF22" s="13">
        <v>123.31726062165413</v>
      </c>
      <c r="AG22" s="13">
        <v>118.10869150772143</v>
      </c>
      <c r="AH22" s="13">
        <v>113.26146826780803</v>
      </c>
      <c r="AI22" s="13">
        <v>108.68783285004824</v>
      </c>
      <c r="AJ22" s="13">
        <v>104.29782391345726</v>
      </c>
      <c r="AK22" s="13">
        <f t="shared" si="3"/>
        <v>100</v>
      </c>
      <c r="AL22" s="26">
        <f t="shared" si="4"/>
        <v>3.6666666666666667E-2</v>
      </c>
      <c r="AM22" s="25">
        <v>12</v>
      </c>
    </row>
    <row r="23" spans="1:39" x14ac:dyDescent="0.25">
      <c r="A23" s="12"/>
      <c r="B23" s="12"/>
      <c r="E23" s="25">
        <v>11</v>
      </c>
      <c r="F23" s="26">
        <f t="shared" si="1"/>
        <v>3.3333333333333333E-2</v>
      </c>
      <c r="G23" s="13">
        <f t="shared" si="2"/>
        <v>300</v>
      </c>
      <c r="H23" s="13">
        <v>335.7464391497133</v>
      </c>
      <c r="I23" s="13">
        <v>351.64097803380378</v>
      </c>
      <c r="J23" s="13">
        <v>357.5484732209776</v>
      </c>
      <c r="K23" s="13">
        <v>355.87898929080421</v>
      </c>
      <c r="L23" s="13">
        <v>348.75890656509114</v>
      </c>
      <c r="M23" s="13">
        <v>337.90791404972015</v>
      </c>
      <c r="N23" s="13">
        <v>324.64888368400773</v>
      </c>
      <c r="O23" s="13">
        <v>309.96748299200539</v>
      </c>
      <c r="P23" s="13">
        <v>294.58225920409154</v>
      </c>
      <c r="Q23" s="13">
        <v>279.00860810410268</v>
      </c>
      <c r="R23" s="13">
        <v>263.61117231212336</v>
      </c>
      <c r="S23" s="13">
        <v>248.64426765097227</v>
      </c>
      <c r="T23" s="13">
        <v>234.28192347858237</v>
      </c>
      <c r="U23" s="13">
        <v>220.63965011446135</v>
      </c>
      <c r="V23" s="13">
        <v>207.78994146460514</v>
      </c>
      <c r="W23" s="13">
        <v>195.77319100857625</v>
      </c>
      <c r="X23" s="13">
        <v>184.60533176905656</v>
      </c>
      <c r="Y23" s="13">
        <v>174.28318209800966</v>
      </c>
      <c r="Z23" s="13">
        <v>164.78821231471363</v>
      </c>
      <c r="AA23" s="13">
        <v>156.08924222031953</v>
      </c>
      <c r="AB23" s="13">
        <v>148.14442730364971</v>
      </c>
      <c r="AC23" s="13">
        <v>140.90278105979834</v>
      </c>
      <c r="AD23" s="13">
        <v>134.30540212570259</v>
      </c>
      <c r="AE23" s="13">
        <v>128.28651953597731</v>
      </c>
      <c r="AF23" s="13">
        <v>122.774430831373</v>
      </c>
      <c r="AG23" s="13">
        <v>117.69238115889738</v>
      </c>
      <c r="AH23" s="13">
        <v>112.95941334353428</v>
      </c>
      <c r="AI23" s="13">
        <v>108.49120664290027</v>
      </c>
      <c r="AJ23" s="13">
        <v>104.20091371715631</v>
      </c>
      <c r="AK23" s="13">
        <f t="shared" si="3"/>
        <v>100</v>
      </c>
      <c r="AL23" s="26">
        <f t="shared" si="4"/>
        <v>3.3333333333333333E-2</v>
      </c>
      <c r="AM23" s="25">
        <v>11</v>
      </c>
    </row>
    <row r="24" spans="1:39" x14ac:dyDescent="0.25">
      <c r="A24" s="43" t="s">
        <v>33</v>
      </c>
      <c r="B24" s="43"/>
      <c r="E24" s="25">
        <v>10</v>
      </c>
      <c r="F24" s="26">
        <f t="shared" si="1"/>
        <v>3.0000000000000002E-2</v>
      </c>
      <c r="G24" s="13">
        <f t="shared" si="2"/>
        <v>300</v>
      </c>
      <c r="H24" s="13">
        <v>321.60114475905465</v>
      </c>
      <c r="I24" s="13">
        <v>332.75485230805805</v>
      </c>
      <c r="J24" s="13">
        <v>337.1327067978275</v>
      </c>
      <c r="K24" s="13">
        <v>335.86832558557569</v>
      </c>
      <c r="L24" s="13">
        <v>330.20552640947608</v>
      </c>
      <c r="M24" s="13">
        <v>321.29297284414417</v>
      </c>
      <c r="N24" s="13">
        <v>310.10600558130784</v>
      </c>
      <c r="O24" s="13">
        <v>297.43319103897954</v>
      </c>
      <c r="P24" s="13">
        <v>283.89227716853952</v>
      </c>
      <c r="Q24" s="13">
        <v>269.95668374610796</v>
      </c>
      <c r="R24" s="13">
        <v>255.9831660561992</v>
      </c>
      <c r="S24" s="13">
        <v>242.23654815890742</v>
      </c>
      <c r="T24" s="13">
        <v>228.91017252269501</v>
      </c>
      <c r="U24" s="13">
        <v>216.14204386037204</v>
      </c>
      <c r="V24" s="13">
        <v>204.02720642394945</v>
      </c>
      <c r="W24" s="13">
        <v>192.62706064618749</v>
      </c>
      <c r="X24" s="13">
        <v>181.97630530664674</v>
      </c>
      <c r="Y24" s="13">
        <v>172.08809641562561</v>
      </c>
      <c r="Z24" s="13">
        <v>162.95789964021918</v>
      </c>
      <c r="AA24" s="13">
        <v>154.56640503920215</v>
      </c>
      <c r="AB24" s="13">
        <v>146.88178099648195</v>
      </c>
      <c r="AC24" s="13">
        <v>139.86147060422303</v>
      </c>
      <c r="AD24" s="13">
        <v>133.453676915024</v>
      </c>
      <c r="AE24" s="13">
        <v>127.59864076678718</v>
      </c>
      <c r="AF24" s="13">
        <v>122.22978341196769</v>
      </c>
      <c r="AG24" s="13">
        <v>117.27476336771829</v>
      </c>
      <c r="AH24" s="13">
        <v>112.65648059959582</v>
      </c>
      <c r="AI24" s="13">
        <v>108.29404966517504</v>
      </c>
      <c r="AJ24" s="13">
        <v>104.10375548306477</v>
      </c>
      <c r="AK24" s="13">
        <f t="shared" si="3"/>
        <v>100</v>
      </c>
      <c r="AL24" s="26">
        <f t="shared" si="4"/>
        <v>3.0000000000000002E-2</v>
      </c>
      <c r="AM24" s="25">
        <v>10</v>
      </c>
    </row>
    <row r="25" spans="1:39" x14ac:dyDescent="0.25">
      <c r="A25" s="38" t="s">
        <v>19</v>
      </c>
      <c r="B25" s="38">
        <f>B13/(B6^2)</f>
        <v>4139999.9999999991</v>
      </c>
      <c r="E25" s="25">
        <v>9</v>
      </c>
      <c r="F25" s="26">
        <f t="shared" si="1"/>
        <v>2.6666666666666668E-2</v>
      </c>
      <c r="G25" s="13">
        <f t="shared" si="2"/>
        <v>300</v>
      </c>
      <c r="H25" s="13">
        <v>312.67534551453275</v>
      </c>
      <c r="I25" s="13">
        <v>319.69487454645878</v>
      </c>
      <c r="J25" s="13">
        <v>322.16372349838747</v>
      </c>
      <c r="K25" s="13">
        <v>320.51371004561042</v>
      </c>
      <c r="L25" s="13">
        <v>315.42260182926213</v>
      </c>
      <c r="M25" s="13">
        <v>307.6236457191236</v>
      </c>
      <c r="N25" s="13">
        <v>297.80731119270797</v>
      </c>
      <c r="O25" s="13">
        <v>286.57819748938181</v>
      </c>
      <c r="P25" s="13">
        <v>274.44277209586608</v>
      </c>
      <c r="Q25" s="13">
        <v>261.81287335427072</v>
      </c>
      <c r="R25" s="13">
        <v>249.01614940186712</v>
      </c>
      <c r="S25" s="13">
        <v>236.30857410866491</v>
      </c>
      <c r="T25" s="13">
        <v>223.8865840121619</v>
      </c>
      <c r="U25" s="13">
        <v>211.89776567732588</v>
      </c>
      <c r="V25" s="13">
        <v>200.44977619809563</v>
      </c>
      <c r="W25" s="13">
        <v>189.61755658904275</v>
      </c>
      <c r="X25" s="13">
        <v>179.44906076662292</v>
      </c>
      <c r="Y25" s="13">
        <v>169.96977054698363</v>
      </c>
      <c r="Z25" s="13">
        <v>161.18625761647922</v>
      </c>
      <c r="AA25" s="13">
        <v>153.08901942115989</v>
      </c>
      <c r="AB25" s="13">
        <v>145.6547747999264</v>
      </c>
      <c r="AC25" s="13">
        <v>138.84836554343067</v>
      </c>
      <c r="AD25" s="13">
        <v>132.62437556022928</v>
      </c>
      <c r="AE25" s="13">
        <v>126.92855102694955</v>
      </c>
      <c r="AF25" s="13">
        <v>121.69908256656717</v>
      </c>
      <c r="AG25" s="13">
        <v>116.86779337399858</v>
      </c>
      <c r="AH25" s="13">
        <v>112.36126437442972</v>
      </c>
      <c r="AI25" s="13">
        <v>108.10191807823286</v>
      </c>
      <c r="AJ25" s="13">
        <v>104.00907602760238</v>
      </c>
      <c r="AK25" s="13">
        <f t="shared" si="3"/>
        <v>100</v>
      </c>
      <c r="AL25" s="26">
        <f t="shared" si="4"/>
        <v>2.6666666666666668E-2</v>
      </c>
      <c r="AM25" s="25">
        <v>9</v>
      </c>
    </row>
    <row r="26" spans="1:39" x14ac:dyDescent="0.25">
      <c r="A26" s="38" t="s">
        <v>20</v>
      </c>
      <c r="B26" s="38">
        <f>(2*B13)/(B6^2)+(B12*B11)/B8</f>
        <v>11867999.999999998</v>
      </c>
      <c r="D26" t="s">
        <v>48</v>
      </c>
      <c r="E26" s="25">
        <v>8</v>
      </c>
      <c r="F26" s="26">
        <f t="shared" si="1"/>
        <v>2.3333333333333334E-2</v>
      </c>
      <c r="G26" s="13">
        <f t="shared" si="2"/>
        <v>300</v>
      </c>
      <c r="H26" s="13">
        <v>306.84464325666022</v>
      </c>
      <c r="I26" s="13">
        <v>310.52404698164469</v>
      </c>
      <c r="J26" s="13">
        <v>311.14208655930338</v>
      </c>
      <c r="K26" s="13">
        <v>308.77461869848474</v>
      </c>
      <c r="L26" s="13">
        <v>303.75721162012087</v>
      </c>
      <c r="M26" s="13">
        <v>296.53937950487898</v>
      </c>
      <c r="N26" s="13">
        <v>287.59604661504574</v>
      </c>
      <c r="O26" s="13">
        <v>277.37832151791099</v>
      </c>
      <c r="P26" s="13">
        <v>266.28950270771384</v>
      </c>
      <c r="Q26" s="13">
        <v>254.67627385826273</v>
      </c>
      <c r="R26" s="13">
        <v>242.82839305901348</v>
      </c>
      <c r="S26" s="13">
        <v>230.98265648989894</v>
      </c>
      <c r="T26" s="13">
        <v>219.32862238700193</v>
      </c>
      <c r="U26" s="13">
        <v>208.01469340761923</v>
      </c>
      <c r="V26" s="13">
        <v>197.15384665959454</v>
      </c>
      <c r="W26" s="13">
        <v>186.82870922431914</v>
      </c>
      <c r="X26" s="13">
        <v>177.09590437822598</v>
      </c>
      <c r="Y26" s="13">
        <v>167.98970973250513</v>
      </c>
      <c r="Z26" s="13">
        <v>159.52511909455657</v>
      </c>
      <c r="AA26" s="13">
        <v>151.70041406105051</v>
      </c>
      <c r="AB26" s="13">
        <v>144.49934688382615</v>
      </c>
      <c r="AC26" s="13">
        <v>137.89302336135853</v>
      </c>
      <c r="AD26" s="13">
        <v>131.84155915869417</v>
      </c>
      <c r="AE26" s="13">
        <v>126.29556802542571</v>
      </c>
      <c r="AF26" s="13">
        <v>121.19752722176085</v>
      </c>
      <c r="AG26" s="13">
        <v>116.48305453333965</v>
      </c>
      <c r="AH26" s="13">
        <v>112.08212254471491</v>
      </c>
      <c r="AI26" s="13">
        <v>107.92022912280618</v>
      </c>
      <c r="AJ26" s="13">
        <v>103.91953803549956</v>
      </c>
      <c r="AK26" s="13">
        <f t="shared" si="3"/>
        <v>100</v>
      </c>
      <c r="AL26" s="26">
        <f t="shared" si="4"/>
        <v>2.3333333333333334E-2</v>
      </c>
      <c r="AM26" s="25">
        <v>8</v>
      </c>
    </row>
    <row r="27" spans="1:39" x14ac:dyDescent="0.25">
      <c r="A27" s="38" t="s">
        <v>21</v>
      </c>
      <c r="B27" s="38">
        <f>B25</f>
        <v>4139999.9999999991</v>
      </c>
      <c r="E27" s="25">
        <v>7</v>
      </c>
      <c r="F27" s="26">
        <f t="shared" si="1"/>
        <v>0.02</v>
      </c>
      <c r="G27" s="13">
        <f t="shared" si="2"/>
        <v>300</v>
      </c>
      <c r="H27" s="13">
        <v>302.92727710022012</v>
      </c>
      <c r="I27" s="13">
        <v>304.01334252175661</v>
      </c>
      <c r="J27" s="13">
        <v>303.01745885694578</v>
      </c>
      <c r="K27" s="13">
        <v>299.85190616666296</v>
      </c>
      <c r="L27" s="13">
        <v>294.65520423771216</v>
      </c>
      <c r="M27" s="13">
        <v>287.69140957888828</v>
      </c>
      <c r="N27" s="13">
        <v>279.28057714116528</v>
      </c>
      <c r="O27" s="13">
        <v>269.75409638189086</v>
      </c>
      <c r="P27" s="13">
        <v>259.42813411205594</v>
      </c>
      <c r="Q27" s="13">
        <v>248.58940401811049</v>
      </c>
      <c r="R27" s="13">
        <v>237.48885386040217</v>
      </c>
      <c r="S27" s="13">
        <v>226.34014334360546</v>
      </c>
      <c r="T27" s="13">
        <v>215.32081581601912</v>
      </c>
      <c r="U27" s="13">
        <v>204.57482671055453</v>
      </c>
      <c r="V27" s="13">
        <v>194.21561961100397</v>
      </c>
      <c r="W27" s="13">
        <v>184.32929056465397</v>
      </c>
      <c r="X27" s="13">
        <v>174.97760293462278</v>
      </c>
      <c r="Y27" s="13">
        <v>166.20074920583141</v>
      </c>
      <c r="Z27" s="13">
        <v>158.01983285828311</v>
      </c>
      <c r="AA27" s="13">
        <v>150.43908390612228</v>
      </c>
      <c r="AB27" s="13">
        <v>143.44784027772155</v>
      </c>
      <c r="AC27" s="13">
        <v>137.02233319012578</v>
      </c>
      <c r="AD27" s="13">
        <v>131.12731390198707</v>
      </c>
      <c r="AE27" s="13">
        <v>125.71755525686513</v>
      </c>
      <c r="AF27" s="13">
        <v>120.73925630652965</v>
      </c>
      <c r="AG27" s="13">
        <v>116.13137315054698</v>
      </c>
      <c r="AH27" s="13">
        <v>111.82689449710361</v>
      </c>
      <c r="AI27" s="13">
        <v>107.75407656558173</v>
      </c>
      <c r="AJ27" s="13">
        <v>103.83764885974128</v>
      </c>
      <c r="AK27" s="13">
        <f t="shared" si="3"/>
        <v>100</v>
      </c>
      <c r="AL27" s="26">
        <f t="shared" si="4"/>
        <v>0.02</v>
      </c>
      <c r="AM27" s="25">
        <v>7</v>
      </c>
    </row>
    <row r="28" spans="1:39" x14ac:dyDescent="0.25">
      <c r="E28" s="25">
        <v>6</v>
      </c>
      <c r="F28" s="26">
        <f t="shared" si="1"/>
        <v>1.6666666666666666E-2</v>
      </c>
      <c r="G28" s="13">
        <f t="shared" si="2"/>
        <v>300</v>
      </c>
      <c r="H28" s="13">
        <v>300.24871919004846</v>
      </c>
      <c r="I28" s="13">
        <v>299.37677184066007</v>
      </c>
      <c r="J28" s="13">
        <v>297.06035593437372</v>
      </c>
      <c r="K28" s="13">
        <v>293.1479238739534</v>
      </c>
      <c r="L28" s="13">
        <v>287.66973459142173</v>
      </c>
      <c r="M28" s="13">
        <v>280.77277450674183</v>
      </c>
      <c r="N28" s="13">
        <v>272.67005409754358</v>
      </c>
      <c r="O28" s="13">
        <v>263.60401498520366</v>
      </c>
      <c r="P28" s="13">
        <v>253.82175735278571</v>
      </c>
      <c r="Q28" s="13">
        <v>243.55931920889338</v>
      </c>
      <c r="R28" s="13">
        <v>233.0324680991047</v>
      </c>
      <c r="S28" s="13">
        <v>222.43194812821466</v>
      </c>
      <c r="T28" s="13">
        <v>211.92163657374402</v>
      </c>
      <c r="U28" s="13">
        <v>201.6385097095567</v>
      </c>
      <c r="V28" s="13">
        <v>191.69366834869808</v>
      </c>
      <c r="W28" s="13">
        <v>182.17393298074671</v>
      </c>
      <c r="X28" s="13">
        <v>173.14370126140193</v>
      </c>
      <c r="Y28" s="13">
        <v>164.64688461918416</v>
      </c>
      <c r="Z28" s="13">
        <v>156.70882184821423</v>
      </c>
      <c r="AA28" s="13">
        <v>149.3381186679114</v>
      </c>
      <c r="AB28" s="13">
        <v>142.52839309649372</v>
      </c>
      <c r="AC28" s="13">
        <v>136.25992412337843</v>
      </c>
      <c r="AD28" s="13">
        <v>130.50121044842911</v>
      </c>
      <c r="AE28" s="13">
        <v>125.21045026317341</v>
      </c>
      <c r="AF28" s="13">
        <v>120.33695432533169</v>
      </c>
      <c r="AG28" s="13">
        <v>115.82250428483012</v>
      </c>
      <c r="AH28" s="13">
        <v>111.60266719303584</v>
      </c>
      <c r="AI28" s="13">
        <v>107.60807586018645</v>
      </c>
      <c r="AJ28" s="13">
        <v>103.76568349423754</v>
      </c>
      <c r="AK28" s="13">
        <f t="shared" si="3"/>
        <v>100</v>
      </c>
      <c r="AL28" s="26">
        <f t="shared" si="4"/>
        <v>1.6666666666666666E-2</v>
      </c>
      <c r="AM28" s="25">
        <v>6</v>
      </c>
    </row>
    <row r="29" spans="1:39" x14ac:dyDescent="0.25">
      <c r="E29" s="25">
        <v>5</v>
      </c>
      <c r="F29" s="26">
        <f t="shared" si="1"/>
        <v>1.3333333333333334E-2</v>
      </c>
      <c r="G29" s="13">
        <f t="shared" si="2"/>
        <v>300</v>
      </c>
      <c r="H29" s="13">
        <v>298.41470297231791</v>
      </c>
      <c r="I29" s="13">
        <v>296.10871942529809</v>
      </c>
      <c r="J29" s="13">
        <v>292.76838019880358</v>
      </c>
      <c r="K29" s="13">
        <v>288.22566810968431</v>
      </c>
      <c r="L29" s="13">
        <v>282.45434974673657</v>
      </c>
      <c r="M29" s="13">
        <v>275.52987110807243</v>
      </c>
      <c r="N29" s="13">
        <v>267.59383811483468</v>
      </c>
      <c r="O29" s="13">
        <v>258.82543715149848</v>
      </c>
      <c r="P29" s="13">
        <v>249.41993828855317</v>
      </c>
      <c r="Q29" s="13">
        <v>239.57340907912362</v>
      </c>
      <c r="R29" s="13">
        <v>229.47242982108023</v>
      </c>
      <c r="S29" s="13">
        <v>219.2876117254097</v>
      </c>
      <c r="T29" s="13">
        <v>209.16988229092365</v>
      </c>
      <c r="U29" s="13">
        <v>199.2487103681016</v>
      </c>
      <c r="V29" s="13">
        <v>189.63164386968404</v>
      </c>
      <c r="W29" s="13">
        <v>180.40470375193132</v>
      </c>
      <c r="X29" s="13">
        <v>171.63331311046937</v>
      </c>
      <c r="Y29" s="13">
        <v>163.36354225703604</v>
      </c>
      <c r="Z29" s="13">
        <v>155.6235248182262</v>
      </c>
      <c r="AA29" s="13">
        <v>148.42495219865742</v>
      </c>
      <c r="AB29" s="13">
        <v>141.76458963239651</v>
      </c>
      <c r="AC29" s="13">
        <v>135.62578102121441</v>
      </c>
      <c r="AD29" s="13">
        <v>129.97992534462085</v>
      </c>
      <c r="AE29" s="13">
        <v>124.78791725567501</v>
      </c>
      <c r="AF29" s="13">
        <v>120.00155045398785</v>
      </c>
      <c r="AG29" s="13">
        <v>115.56488589719959</v>
      </c>
      <c r="AH29" s="13">
        <v>111.41558880002208</v>
      </c>
      <c r="AI29" s="13">
        <v>107.48623929828332</v>
      </c>
      <c r="AJ29" s="13">
        <v>103.70562203320941</v>
      </c>
      <c r="AK29" s="13">
        <f t="shared" si="3"/>
        <v>100</v>
      </c>
      <c r="AL29" s="26">
        <f t="shared" si="4"/>
        <v>1.3333333333333334E-2</v>
      </c>
      <c r="AM29" s="25">
        <v>5</v>
      </c>
    </row>
    <row r="30" spans="1:39" x14ac:dyDescent="0.25">
      <c r="E30" s="25">
        <v>4</v>
      </c>
      <c r="F30" s="26">
        <f t="shared" si="1"/>
        <v>0.01</v>
      </c>
      <c r="G30" s="13">
        <f t="shared" si="2"/>
        <v>300</v>
      </c>
      <c r="H30" s="13">
        <v>297.19099806499946</v>
      </c>
      <c r="I30" s="13">
        <v>293.88449124756079</v>
      </c>
      <c r="J30" s="13">
        <v>289.80063628928883</v>
      </c>
      <c r="K30" s="13">
        <v>284.7741024040397</v>
      </c>
      <c r="L30" s="13">
        <v>278.75095845818669</v>
      </c>
      <c r="M30" s="13">
        <v>271.76462670193462</v>
      </c>
      <c r="N30" s="13">
        <v>263.91117658367489</v>
      </c>
      <c r="O30" s="13">
        <v>255.32717612615704</v>
      </c>
      <c r="P30" s="13">
        <v>246.17141859075087</v>
      </c>
      <c r="Q30" s="13">
        <v>236.61073920919003</v>
      </c>
      <c r="R30" s="13">
        <v>226.80956791190937</v>
      </c>
      <c r="S30" s="13">
        <v>216.92262644861142</v>
      </c>
      <c r="T30" s="13">
        <v>207.09013017376196</v>
      </c>
      <c r="U30" s="13">
        <v>197.43490377944863</v>
      </c>
      <c r="V30" s="13">
        <v>188.06091028565953</v>
      </c>
      <c r="W30" s="13">
        <v>179.0527919630411</v>
      </c>
      <c r="X30" s="13">
        <v>170.47611440856812</v>
      </c>
      <c r="Y30" s="13">
        <v>162.37808385486824</v>
      </c>
      <c r="Z30" s="13">
        <v>154.78857129583849</v>
      </c>
      <c r="AA30" s="13">
        <v>147.72132611668462</v>
      </c>
      <c r="AB30" s="13">
        <v>141.17529871220904</v>
      </c>
      <c r="AC30" s="13">
        <v>135.13601843704595</v>
      </c>
      <c r="AD30" s="13">
        <v>129.57699239359053</v>
      </c>
      <c r="AE30" s="13">
        <v>124.46110394809999</v>
      </c>
      <c r="AF30" s="13">
        <v>119.74199902758332</v>
      </c>
      <c r="AG30" s="13">
        <v>115.36545439743648</v>
      </c>
      <c r="AH30" s="13">
        <v>111.27072616100691</v>
      </c>
      <c r="AI30" s="13">
        <v>107.39187932272915</v>
      </c>
      <c r="AJ30" s="13">
        <v>103.65910089135872</v>
      </c>
      <c r="AK30" s="13">
        <f t="shared" si="3"/>
        <v>100</v>
      </c>
      <c r="AL30" s="26">
        <f t="shared" si="4"/>
        <v>0.01</v>
      </c>
      <c r="AM30" s="25">
        <v>4</v>
      </c>
    </row>
    <row r="31" spans="1:39" x14ac:dyDescent="0.25">
      <c r="E31" s="25">
        <v>3</v>
      </c>
      <c r="F31" s="26">
        <f t="shared" si="1"/>
        <v>6.6666666666666671E-3</v>
      </c>
      <c r="G31" s="13">
        <f t="shared" si="2"/>
        <v>300</v>
      </c>
      <c r="H31" s="13">
        <v>296.43887114319205</v>
      </c>
      <c r="I31" s="13">
        <v>292.49989864310498</v>
      </c>
      <c r="J31" s="13">
        <v>287.93343434435252</v>
      </c>
      <c r="K31" s="13">
        <v>282.58150314371653</v>
      </c>
      <c r="L31" s="13">
        <v>276.37771972631157</v>
      </c>
      <c r="M31" s="13">
        <v>269.33255554537357</v>
      </c>
      <c r="N31" s="13">
        <v>261.51539465561729</v>
      </c>
      <c r="O31" s="13">
        <v>253.03672443631763</v>
      </c>
      <c r="P31" s="13">
        <v>244.0322736160133</v>
      </c>
      <c r="Q31" s="13">
        <v>234.64987333314295</v>
      </c>
      <c r="R31" s="13">
        <v>225.03917791262222</v>
      </c>
      <c r="S31" s="13">
        <v>215.34402956277873</v>
      </c>
      <c r="T31" s="13">
        <v>205.69708907865319</v>
      </c>
      <c r="U31" s="13">
        <v>196.21630933892578</v>
      </c>
      <c r="V31" s="13">
        <v>187.00284824366545</v>
      </c>
      <c r="W31" s="13">
        <v>178.14006891027441</v>
      </c>
      <c r="X31" s="13">
        <v>169.6933367383233</v>
      </c>
      <c r="Y31" s="13">
        <v>161.71038374779675</v>
      </c>
      <c r="Z31" s="13">
        <v>154.22206464145074</v>
      </c>
      <c r="AA31" s="13">
        <v>147.24337417038765</v>
      </c>
      <c r="AB31" s="13">
        <v>140.77463144362457</v>
      </c>
      <c r="AC31" s="13">
        <v>134.80276468933212</v>
      </c>
      <c r="AD31" s="13">
        <v>129.3026509328331</v>
      </c>
      <c r="AE31" s="13">
        <v>124.23848045795197</v>
      </c>
      <c r="AF31" s="13">
        <v>119.56512700839644</v>
      </c>
      <c r="AG31" s="13">
        <v>115.22951252417812</v>
      </c>
      <c r="AH31" s="13">
        <v>111.17196065157214</v>
      </c>
      <c r="AI31" s="13">
        <v>107.32753698032272</v>
      </c>
      <c r="AJ31" s="13">
        <v>103.6273764505172</v>
      </c>
      <c r="AK31" s="13">
        <f t="shared" si="3"/>
        <v>100</v>
      </c>
      <c r="AL31" s="26">
        <f t="shared" si="4"/>
        <v>6.6666666666666671E-3</v>
      </c>
      <c r="AM31" s="25">
        <v>3</v>
      </c>
    </row>
    <row r="32" spans="1:39" x14ac:dyDescent="0.25">
      <c r="C32">
        <v>0</v>
      </c>
      <c r="E32" s="25">
        <v>2</v>
      </c>
      <c r="F32" s="26">
        <f>$B$6*(E32-1)</f>
        <v>3.3333333333333335E-3</v>
      </c>
      <c r="G32" s="13">
        <f t="shared" si="2"/>
        <v>300</v>
      </c>
      <c r="H32" s="13">
        <v>296.08037625352841</v>
      </c>
      <c r="I32" s="13">
        <v>291.83526338775778</v>
      </c>
      <c r="J32" s="13">
        <v>287.03163835624434</v>
      </c>
      <c r="K32" s="13">
        <v>281.5165873967369</v>
      </c>
      <c r="L32" s="13">
        <v>275.21911624951076</v>
      </c>
      <c r="M32" s="13">
        <v>268.13964447805677</v>
      </c>
      <c r="N32" s="13">
        <v>260.33528098402599</v>
      </c>
      <c r="O32" s="13">
        <v>251.90417404944492</v>
      </c>
      <c r="P32" s="13">
        <v>242.97091462070651</v>
      </c>
      <c r="Q32" s="13">
        <v>233.67400027401317</v>
      </c>
      <c r="R32" s="13">
        <v>224.15571655335003</v>
      </c>
      <c r="S32" s="13">
        <v>214.55439725927704</v>
      </c>
      <c r="T32" s="13">
        <v>204.99881447415112</v>
      </c>
      <c r="U32" s="13">
        <v>195.60436066942424</v>
      </c>
      <c r="V32" s="13">
        <v>186.47067147255697</v>
      </c>
      <c r="W32" s="13">
        <v>177.6803648503778</v>
      </c>
      <c r="X32" s="13">
        <v>169.29861838946027</v>
      </c>
      <c r="Y32" s="13">
        <v>161.37335744171554</v>
      </c>
      <c r="Z32" s="13">
        <v>153.93587557840931</v>
      </c>
      <c r="AA32" s="13">
        <v>147.00175140649134</v>
      </c>
      <c r="AB32" s="13">
        <v>140.57196109869483</v>
      </c>
      <c r="AC32" s="13">
        <v>134.63411408123474</v>
      </c>
      <c r="AD32" s="13">
        <v>129.16376099492979</v>
      </c>
      <c r="AE32" s="13">
        <v>124.12573934229709</v>
      </c>
      <c r="AF32" s="13">
        <v>119.47553422248539</v>
      </c>
      <c r="AG32" s="13">
        <v>115.160640206647</v>
      </c>
      <c r="AH32" s="13">
        <v>111.12191653738026</v>
      </c>
      <c r="AI32" s="13">
        <v>107.29493210595584</v>
      </c>
      <c r="AJ32" s="13">
        <v>103.61129957974315</v>
      </c>
      <c r="AK32" s="13">
        <f t="shared" si="3"/>
        <v>100</v>
      </c>
      <c r="AL32" s="26">
        <f t="shared" si="4"/>
        <v>3.3333333333333335E-3</v>
      </c>
      <c r="AM32" s="25">
        <v>2</v>
      </c>
    </row>
    <row r="33" spans="4:138" x14ac:dyDescent="0.25">
      <c r="E33" s="25">
        <v>1</v>
      </c>
      <c r="F33" s="26">
        <v>0</v>
      </c>
      <c r="G33" s="13">
        <f t="shared" si="2"/>
        <v>300</v>
      </c>
      <c r="H33" s="13">
        <v>296.08037625352841</v>
      </c>
      <c r="I33" s="13">
        <v>291.83526338775778</v>
      </c>
      <c r="J33" s="13">
        <v>287.03163835624434</v>
      </c>
      <c r="K33" s="13">
        <v>281.5165873967369</v>
      </c>
      <c r="L33" s="13">
        <v>275.21911624951076</v>
      </c>
      <c r="M33" s="13">
        <v>268.13964447805677</v>
      </c>
      <c r="N33" s="13">
        <v>260.33528098402599</v>
      </c>
      <c r="O33" s="13">
        <v>251.90417404944492</v>
      </c>
      <c r="P33" s="13">
        <v>242.97091462070651</v>
      </c>
      <c r="Q33" s="13">
        <v>233.67400027401317</v>
      </c>
      <c r="R33" s="13">
        <v>224.15571655335003</v>
      </c>
      <c r="S33" s="13">
        <v>214.55439725927704</v>
      </c>
      <c r="T33" s="13">
        <v>204.99881447415112</v>
      </c>
      <c r="U33" s="13">
        <v>195.60436066942424</v>
      </c>
      <c r="V33" s="13">
        <v>186.47067147255697</v>
      </c>
      <c r="W33" s="13">
        <v>177.6803648503778</v>
      </c>
      <c r="X33" s="13">
        <v>169.29861838946027</v>
      </c>
      <c r="Y33" s="13">
        <v>161.37335744171554</v>
      </c>
      <c r="Z33" s="13">
        <v>153.93587557840931</v>
      </c>
      <c r="AA33" s="13">
        <v>147.00175140649134</v>
      </c>
      <c r="AB33" s="13">
        <v>140.57196109869483</v>
      </c>
      <c r="AC33" s="13">
        <v>134.63411408123474</v>
      </c>
      <c r="AD33" s="13">
        <v>129.16376099492979</v>
      </c>
      <c r="AE33" s="13">
        <v>124.12573934229709</v>
      </c>
      <c r="AF33" s="13">
        <v>119.47553422248539</v>
      </c>
      <c r="AG33" s="13">
        <v>115.160640206647</v>
      </c>
      <c r="AH33" s="13">
        <v>111.12191653738026</v>
      </c>
      <c r="AI33" s="13">
        <v>107.29493210595584</v>
      </c>
      <c r="AJ33" s="13">
        <v>103.61129957974315</v>
      </c>
      <c r="AK33" s="13">
        <f t="shared" si="3"/>
        <v>100</v>
      </c>
      <c r="AL33" s="26">
        <f t="shared" si="4"/>
        <v>0</v>
      </c>
      <c r="AM33" s="25">
        <v>1</v>
      </c>
    </row>
    <row r="34" spans="4:138" x14ac:dyDescent="0.25">
      <c r="E34" s="32"/>
      <c r="F34" s="29"/>
      <c r="G34" s="25">
        <v>0</v>
      </c>
      <c r="H34" s="26">
        <f>$B$5*(H35-1)</f>
        <v>3.3333333333333335E-3</v>
      </c>
      <c r="I34" s="26">
        <f t="shared" ref="I34:AK34" si="5">$B$5*(I35-1)</f>
        <v>6.6666666666666671E-3</v>
      </c>
      <c r="J34" s="26">
        <f t="shared" si="5"/>
        <v>0.01</v>
      </c>
      <c r="K34" s="26">
        <f t="shared" si="5"/>
        <v>1.3333333333333334E-2</v>
      </c>
      <c r="L34" s="26">
        <f t="shared" si="5"/>
        <v>1.6666666666666666E-2</v>
      </c>
      <c r="M34" s="26">
        <f t="shared" si="5"/>
        <v>0.02</v>
      </c>
      <c r="N34" s="26">
        <f t="shared" si="5"/>
        <v>2.3333333333333334E-2</v>
      </c>
      <c r="O34" s="26">
        <f t="shared" si="5"/>
        <v>2.6666666666666668E-2</v>
      </c>
      <c r="P34" s="26">
        <f t="shared" si="5"/>
        <v>3.0000000000000002E-2</v>
      </c>
      <c r="Q34" s="26">
        <f t="shared" si="5"/>
        <v>3.3333333333333333E-2</v>
      </c>
      <c r="R34" s="26">
        <f t="shared" si="5"/>
        <v>3.6666666666666667E-2</v>
      </c>
      <c r="S34" s="26">
        <f t="shared" si="5"/>
        <v>0.04</v>
      </c>
      <c r="T34" s="26">
        <f t="shared" si="5"/>
        <v>4.3333333333333335E-2</v>
      </c>
      <c r="U34" s="26">
        <f t="shared" si="5"/>
        <v>4.6666666666666669E-2</v>
      </c>
      <c r="V34" s="26">
        <f t="shared" si="5"/>
        <v>0.05</v>
      </c>
      <c r="W34" s="26">
        <f t="shared" si="5"/>
        <v>5.3333333333333337E-2</v>
      </c>
      <c r="X34" s="26">
        <f t="shared" si="5"/>
        <v>5.6666666666666671E-2</v>
      </c>
      <c r="Y34" s="26">
        <f t="shared" si="5"/>
        <v>6.0000000000000005E-2</v>
      </c>
      <c r="Z34" s="26">
        <f t="shared" si="5"/>
        <v>6.3333333333333339E-2</v>
      </c>
      <c r="AA34" s="26">
        <f t="shared" si="5"/>
        <v>6.6666666666666666E-2</v>
      </c>
      <c r="AB34" s="26">
        <f t="shared" si="5"/>
        <v>7.0000000000000007E-2</v>
      </c>
      <c r="AC34" s="26">
        <f t="shared" si="5"/>
        <v>7.3333333333333334E-2</v>
      </c>
      <c r="AD34" s="26">
        <f t="shared" si="5"/>
        <v>7.6666666666666675E-2</v>
      </c>
      <c r="AE34" s="26">
        <f t="shared" si="5"/>
        <v>0.08</v>
      </c>
      <c r="AF34" s="26">
        <f t="shared" si="5"/>
        <v>8.3333333333333343E-2</v>
      </c>
      <c r="AG34" s="26">
        <f t="shared" si="5"/>
        <v>8.666666666666667E-2</v>
      </c>
      <c r="AH34" s="26">
        <f t="shared" si="5"/>
        <v>9.0000000000000011E-2</v>
      </c>
      <c r="AI34" s="26">
        <f t="shared" si="5"/>
        <v>9.3333333333333338E-2</v>
      </c>
      <c r="AJ34" s="26">
        <f t="shared" si="5"/>
        <v>9.6666666666666679E-2</v>
      </c>
      <c r="AK34" s="26">
        <f t="shared" si="5"/>
        <v>0.1</v>
      </c>
      <c r="AL34" s="24"/>
      <c r="AM34" s="29"/>
      <c r="AN34" s="28"/>
    </row>
    <row r="35" spans="4:138" x14ac:dyDescent="0.25">
      <c r="E35" s="33"/>
      <c r="F35" s="30"/>
      <c r="G35" s="25">
        <v>1</v>
      </c>
      <c r="H35" s="25">
        <v>2</v>
      </c>
      <c r="I35" s="25">
        <v>3</v>
      </c>
      <c r="J35" s="25">
        <v>4</v>
      </c>
      <c r="K35" s="25">
        <v>5</v>
      </c>
      <c r="L35" s="25">
        <v>6</v>
      </c>
      <c r="M35" s="25">
        <v>7</v>
      </c>
      <c r="N35" s="25">
        <v>8</v>
      </c>
      <c r="O35" s="25">
        <v>9</v>
      </c>
      <c r="P35" s="25">
        <v>10</v>
      </c>
      <c r="Q35" s="25">
        <v>11</v>
      </c>
      <c r="R35" s="25">
        <v>12</v>
      </c>
      <c r="S35" s="25">
        <v>13</v>
      </c>
      <c r="T35" s="25">
        <v>14</v>
      </c>
      <c r="U35" s="25">
        <v>15</v>
      </c>
      <c r="V35" s="25">
        <v>16</v>
      </c>
      <c r="W35" s="25">
        <v>17</v>
      </c>
      <c r="X35" s="25">
        <v>18</v>
      </c>
      <c r="Y35" s="25">
        <v>19</v>
      </c>
      <c r="Z35" s="25">
        <v>20</v>
      </c>
      <c r="AA35" s="25">
        <v>21</v>
      </c>
      <c r="AB35" s="25">
        <v>22</v>
      </c>
      <c r="AC35" s="25">
        <v>23</v>
      </c>
      <c r="AD35" s="25">
        <v>24</v>
      </c>
      <c r="AE35" s="25">
        <v>25</v>
      </c>
      <c r="AF35" s="25">
        <v>26</v>
      </c>
      <c r="AG35" s="25">
        <v>27</v>
      </c>
      <c r="AH35" s="25">
        <v>28</v>
      </c>
      <c r="AI35" s="25">
        <v>29</v>
      </c>
      <c r="AJ35" s="25">
        <v>30</v>
      </c>
      <c r="AK35" s="25">
        <v>31</v>
      </c>
      <c r="AL35" s="34"/>
      <c r="AM35" s="30"/>
      <c r="AN35" s="28"/>
    </row>
    <row r="36" spans="4:138" x14ac:dyDescent="0.25"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28"/>
      <c r="AM36" s="31"/>
    </row>
    <row r="37" spans="4:138" x14ac:dyDescent="0.25">
      <c r="AL37" s="28"/>
      <c r="AM37" s="31"/>
    </row>
    <row r="38" spans="4:138" x14ac:dyDescent="0.25">
      <c r="E38" s="48" t="s">
        <v>40</v>
      </c>
      <c r="F38" s="25" t="s">
        <v>39</v>
      </c>
      <c r="G38" s="25">
        <v>0</v>
      </c>
      <c r="H38" s="26">
        <v>3.3333333333333335E-3</v>
      </c>
      <c r="I38" s="26">
        <v>6.6666666666666671E-3</v>
      </c>
      <c r="J38" s="26">
        <v>0.01</v>
      </c>
      <c r="K38" s="26">
        <v>1.3333333333333334E-2</v>
      </c>
      <c r="L38" s="26">
        <v>1.6666666666666666E-2</v>
      </c>
      <c r="M38" s="26">
        <v>0.02</v>
      </c>
      <c r="N38" s="26">
        <v>2.3333333333333334E-2</v>
      </c>
      <c r="O38" s="26">
        <v>2.6666666666666668E-2</v>
      </c>
      <c r="P38" s="26">
        <v>3.0000000000000002E-2</v>
      </c>
      <c r="Q38" s="26">
        <v>3.3333333333333333E-2</v>
      </c>
      <c r="R38" s="26">
        <v>3.6666666666666667E-2</v>
      </c>
      <c r="S38" s="26">
        <v>0.04</v>
      </c>
      <c r="T38" s="26">
        <v>4.3333333333333335E-2</v>
      </c>
      <c r="U38" s="26">
        <v>4.6666666666666669E-2</v>
      </c>
      <c r="V38" s="26">
        <v>0.05</v>
      </c>
      <c r="W38" s="26">
        <v>5.3333333333333337E-2</v>
      </c>
      <c r="X38" s="26">
        <v>5.6666666666666671E-2</v>
      </c>
      <c r="Y38" s="26">
        <v>6.0000000000000005E-2</v>
      </c>
      <c r="Z38" s="26">
        <v>6.3333333333333339E-2</v>
      </c>
      <c r="AA38" s="26">
        <v>6.6666666666666666E-2</v>
      </c>
      <c r="AB38" s="26">
        <v>7.0000000000000007E-2</v>
      </c>
      <c r="AC38" s="26">
        <v>7.3333333333333334E-2</v>
      </c>
      <c r="AD38" s="26">
        <v>7.6666666666666675E-2</v>
      </c>
      <c r="AE38" s="26">
        <v>0.08</v>
      </c>
      <c r="AF38" s="26">
        <v>8.3333333333333343E-2</v>
      </c>
      <c r="AG38" s="26">
        <v>8.666666666666667E-2</v>
      </c>
      <c r="AH38" s="26">
        <v>9.0000000000000011E-2</v>
      </c>
      <c r="AI38" s="26">
        <v>9.3333333333333338E-2</v>
      </c>
      <c r="AJ38" s="26">
        <v>9.6666666666666679E-2</v>
      </c>
      <c r="AK38" s="26">
        <v>0.1</v>
      </c>
      <c r="AL38" s="47" t="s">
        <v>41</v>
      </c>
      <c r="AM38" s="25" t="s">
        <v>39</v>
      </c>
      <c r="AN38" s="25">
        <v>0</v>
      </c>
      <c r="AO38" s="26">
        <v>3.3333333333333335E-3</v>
      </c>
      <c r="AP38" s="26">
        <v>6.6666666666666671E-3</v>
      </c>
      <c r="AQ38" s="26">
        <v>0.01</v>
      </c>
      <c r="AR38" s="26">
        <v>1.3333333333333334E-2</v>
      </c>
      <c r="AS38" s="26">
        <v>1.6666666666666666E-2</v>
      </c>
      <c r="AT38" s="26">
        <v>0.02</v>
      </c>
      <c r="AU38" s="26">
        <v>2.3333333333333334E-2</v>
      </c>
      <c r="AV38" s="26">
        <v>2.6666666666666668E-2</v>
      </c>
      <c r="AW38" s="26">
        <v>3.0000000000000002E-2</v>
      </c>
      <c r="AX38" s="26">
        <v>3.3333333333333333E-2</v>
      </c>
      <c r="AY38" s="26">
        <v>3.6666666666666667E-2</v>
      </c>
      <c r="AZ38" s="26">
        <v>0.04</v>
      </c>
      <c r="BA38" s="26">
        <v>4.3333333333333335E-2</v>
      </c>
      <c r="BB38" s="26">
        <v>4.6666666666666669E-2</v>
      </c>
      <c r="BC38" s="26">
        <v>0.05</v>
      </c>
      <c r="BD38" s="26">
        <v>5.3333333333333337E-2</v>
      </c>
      <c r="BE38" s="26">
        <v>5.6666666666666671E-2</v>
      </c>
      <c r="BF38" s="26">
        <v>6.0000000000000005E-2</v>
      </c>
      <c r="BG38" s="26">
        <v>6.3333333333333339E-2</v>
      </c>
      <c r="BH38" s="26">
        <v>6.6666666666666666E-2</v>
      </c>
      <c r="BI38" s="26">
        <v>7.0000000000000007E-2</v>
      </c>
      <c r="BJ38" s="26">
        <v>7.3333333333333334E-2</v>
      </c>
      <c r="BK38" s="26">
        <v>7.6666666666666675E-2</v>
      </c>
      <c r="BL38" s="26">
        <v>0.08</v>
      </c>
      <c r="BM38" s="26">
        <v>8.3333333333333343E-2</v>
      </c>
      <c r="BN38" s="26">
        <v>8.666666666666667E-2</v>
      </c>
      <c r="BO38" s="26">
        <v>9.0000000000000011E-2</v>
      </c>
      <c r="BP38" s="26">
        <v>9.3333333333333338E-2</v>
      </c>
      <c r="BQ38" s="26">
        <v>9.6666666666666679E-2</v>
      </c>
      <c r="BR38" s="26">
        <v>0.1</v>
      </c>
      <c r="BT38" s="47" t="s">
        <v>43</v>
      </c>
      <c r="BU38" s="25" t="s">
        <v>39</v>
      </c>
      <c r="BV38" s="25">
        <v>0</v>
      </c>
      <c r="BW38" s="26">
        <v>3.3333333333333335E-3</v>
      </c>
      <c r="BX38" s="26">
        <v>6.6666666666666671E-3</v>
      </c>
      <c r="BY38" s="26">
        <v>0.01</v>
      </c>
      <c r="BZ38" s="26">
        <v>1.3333333333333334E-2</v>
      </c>
      <c r="CA38" s="26">
        <v>1.6666666666666666E-2</v>
      </c>
      <c r="CB38" s="26">
        <v>0.02</v>
      </c>
      <c r="CC38" s="26">
        <v>2.3333333333333334E-2</v>
      </c>
      <c r="CD38" s="26">
        <v>2.6666666666666668E-2</v>
      </c>
      <c r="CE38" s="26">
        <v>3.0000000000000002E-2</v>
      </c>
      <c r="CF38" s="26">
        <v>3.3333333333333333E-2</v>
      </c>
      <c r="CG38" s="26">
        <v>3.6666666666666667E-2</v>
      </c>
      <c r="CH38" s="26">
        <v>0.04</v>
      </c>
      <c r="CI38" s="26">
        <v>4.3333333333333335E-2</v>
      </c>
      <c r="CJ38" s="26">
        <v>4.6666666666666669E-2</v>
      </c>
      <c r="CK38" s="26">
        <v>0.05</v>
      </c>
      <c r="CL38" s="26">
        <v>5.3333333333333337E-2</v>
      </c>
      <c r="CM38" s="26">
        <v>5.6666666666666671E-2</v>
      </c>
      <c r="CN38" s="26">
        <v>6.0000000000000005E-2</v>
      </c>
      <c r="CO38" s="26">
        <v>6.3333333333333339E-2</v>
      </c>
      <c r="CP38" s="26">
        <v>6.6666666666666666E-2</v>
      </c>
      <c r="CQ38" s="26">
        <v>7.0000000000000007E-2</v>
      </c>
      <c r="CR38" s="26">
        <v>7.3333333333333334E-2</v>
      </c>
      <c r="CS38" s="26">
        <v>7.6666666666666675E-2</v>
      </c>
      <c r="CT38" s="26">
        <v>0.08</v>
      </c>
      <c r="CU38" s="26">
        <v>8.3333333333333343E-2</v>
      </c>
      <c r="CV38" s="26">
        <v>8.666666666666667E-2</v>
      </c>
      <c r="CW38" s="26">
        <v>9.0000000000000011E-2</v>
      </c>
      <c r="CX38" s="26">
        <v>9.3333333333333338E-2</v>
      </c>
      <c r="CY38" s="26">
        <v>9.6666666666666679E-2</v>
      </c>
      <c r="CZ38" s="26">
        <v>0.1</v>
      </c>
      <c r="DB38" s="47" t="s">
        <v>42</v>
      </c>
      <c r="DC38" s="25" t="s">
        <v>39</v>
      </c>
      <c r="DD38" s="25">
        <v>0</v>
      </c>
      <c r="DE38" s="26">
        <v>3.3333333333333335E-3</v>
      </c>
      <c r="DF38" s="26">
        <v>6.6666666666666671E-3</v>
      </c>
      <c r="DG38" s="26">
        <v>0.01</v>
      </c>
      <c r="DH38" s="26">
        <v>1.3333333333333334E-2</v>
      </c>
      <c r="DI38" s="26">
        <v>1.6666666666666666E-2</v>
      </c>
      <c r="DJ38" s="26">
        <v>0.02</v>
      </c>
      <c r="DK38" s="26">
        <v>2.3333333333333334E-2</v>
      </c>
      <c r="DL38" s="26">
        <v>2.6666666666666668E-2</v>
      </c>
      <c r="DM38" s="26">
        <v>3.0000000000000002E-2</v>
      </c>
      <c r="DN38" s="26">
        <v>3.3333333333333333E-2</v>
      </c>
      <c r="DO38" s="26">
        <v>3.6666666666666667E-2</v>
      </c>
      <c r="DP38" s="26">
        <v>0.04</v>
      </c>
      <c r="DQ38" s="26">
        <v>4.3333333333333335E-2</v>
      </c>
      <c r="DR38" s="26">
        <v>4.6666666666666669E-2</v>
      </c>
      <c r="DS38" s="26">
        <v>0.05</v>
      </c>
      <c r="DT38" s="26">
        <v>5.3333333333333337E-2</v>
      </c>
      <c r="DU38" s="26">
        <v>5.6666666666666671E-2</v>
      </c>
      <c r="DV38" s="26">
        <v>6.0000000000000005E-2</v>
      </c>
      <c r="DW38" s="26">
        <v>6.3333333333333339E-2</v>
      </c>
      <c r="DX38" s="26">
        <v>6.6666666666666666E-2</v>
      </c>
      <c r="DY38" s="26">
        <v>7.0000000000000007E-2</v>
      </c>
      <c r="DZ38" s="26">
        <v>7.3333333333333334E-2</v>
      </c>
      <c r="EA38" s="26">
        <v>7.6666666666666675E-2</v>
      </c>
      <c r="EB38" s="26">
        <v>0.08</v>
      </c>
      <c r="EC38" s="26">
        <v>8.3333333333333343E-2</v>
      </c>
      <c r="ED38" s="26">
        <v>8.666666666666667E-2</v>
      </c>
      <c r="EE38" s="26">
        <v>9.0000000000000011E-2</v>
      </c>
      <c r="EF38" s="26">
        <v>9.3333333333333338E-2</v>
      </c>
      <c r="EG38" s="26">
        <v>9.6666666666666679E-2</v>
      </c>
      <c r="EH38" s="26">
        <v>0.1</v>
      </c>
    </row>
    <row r="39" spans="4:138" x14ac:dyDescent="0.25">
      <c r="E39" s="49"/>
      <c r="F39" s="26">
        <v>0.1</v>
      </c>
      <c r="G39">
        <f>$B$16</f>
        <v>300</v>
      </c>
      <c r="H39">
        <f>BW39*I39+DE39</f>
        <v>312.53525061136929</v>
      </c>
      <c r="I39">
        <f t="shared" ref="I39:AI48" si="6">BX39*J39+DF39</f>
        <v>319.0794862466513</v>
      </c>
      <c r="J39">
        <f t="shared" si="6"/>
        <v>321.34101895020012</v>
      </c>
      <c r="K39">
        <f t="shared" si="6"/>
        <v>320.2958430258509</v>
      </c>
      <c r="L39">
        <f t="shared" si="6"/>
        <v>316.55764447336514</v>
      </c>
      <c r="M39">
        <f t="shared" si="6"/>
        <v>310.5801939839908</v>
      </c>
      <c r="N39">
        <f t="shared" si="6"/>
        <v>302.75315145346144</v>
      </c>
      <c r="O39">
        <f t="shared" si="6"/>
        <v>293.43892917280499</v>
      </c>
      <c r="P39">
        <f t="shared" si="6"/>
        <v>282.98103719316947</v>
      </c>
      <c r="Q39">
        <f t="shared" si="6"/>
        <v>271.70105156838736</v>
      </c>
      <c r="R39">
        <f t="shared" si="6"/>
        <v>259.89280944039916</v>
      </c>
      <c r="S39">
        <f t="shared" si="6"/>
        <v>247.8175342043069</v>
      </c>
      <c r="T39">
        <f t="shared" si="6"/>
        <v>235.70104726268815</v>
      </c>
      <c r="U39">
        <f t="shared" si="6"/>
        <v>223.7330507928443</v>
      </c>
      <c r="V39">
        <f t="shared" si="6"/>
        <v>212.06802973490704</v>
      </c>
      <c r="W39">
        <f t="shared" si="6"/>
        <v>200.82724220955029</v>
      </c>
      <c r="X39">
        <f t="shared" si="6"/>
        <v>190.10133802780149</v>
      </c>
      <c r="Y39">
        <f t="shared" si="6"/>
        <v>179.95325973190739</v>
      </c>
      <c r="Z39">
        <f t="shared" si="6"/>
        <v>170.42119205251788</v>
      </c>
      <c r="AA39">
        <f t="shared" si="6"/>
        <v>161.52141617774922</v>
      </c>
      <c r="AB39">
        <f t="shared" si="6"/>
        <v>153.25099162035698</v>
      </c>
      <c r="AC39">
        <f t="shared" si="6"/>
        <v>145.59023359747081</v>
      </c>
      <c r="AD39">
        <f t="shared" si="6"/>
        <v>138.50498240483336</v>
      </c>
      <c r="AE39">
        <f t="shared" si="6"/>
        <v>131.94867791627738</v>
      </c>
      <c r="AF39">
        <f t="shared" si="6"/>
        <v>125.8642609325436</v>
      </c>
      <c r="AG39">
        <f t="shared" si="6"/>
        <v>120.18592657539797</v>
      </c>
      <c r="AH39">
        <f t="shared" si="6"/>
        <v>114.84075536895344</v>
      </c>
      <c r="AI39">
        <f t="shared" si="6"/>
        <v>109.75024649694015</v>
      </c>
      <c r="AJ39">
        <f>CY39*AK39+EG39</f>
        <v>104.83177590359665</v>
      </c>
      <c r="AK39">
        <f>$B$17</f>
        <v>100</v>
      </c>
      <c r="AL39" s="47"/>
      <c r="AM39" s="26">
        <v>0.1</v>
      </c>
      <c r="AN39" s="27">
        <f>-($B$12*$B$11)/$B$8*G3</f>
        <v>-1076400000</v>
      </c>
      <c r="AO39" s="27">
        <f t="shared" ref="AO39:BR47" si="7">-($B$12*$B$11)/$B$8*H3</f>
        <v>-1146179281.1945946</v>
      </c>
      <c r="AP39" s="27">
        <f t="shared" si="7"/>
        <v>-1162587586.7903602</v>
      </c>
      <c r="AQ39" s="27">
        <f t="shared" si="7"/>
        <v>-1166661349.7128158</v>
      </c>
      <c r="AR39" s="27">
        <f t="shared" si="7"/>
        <v>-1160370598.4572389</v>
      </c>
      <c r="AS39" s="27">
        <f t="shared" si="7"/>
        <v>-1145079331.3891528</v>
      </c>
      <c r="AT39" s="27">
        <f t="shared" si="7"/>
        <v>-1122019047.0649407</v>
      </c>
      <c r="AU39" s="27">
        <f t="shared" si="7"/>
        <v>-1092435231.5805454</v>
      </c>
      <c r="AV39" s="27">
        <f t="shared" si="7"/>
        <v>-1057593670.4257978</v>
      </c>
      <c r="AW39" s="27">
        <f t="shared" si="7"/>
        <v>-1018739429.1399992</v>
      </c>
      <c r="AX39" s="27">
        <f t="shared" si="7"/>
        <v>-977050354.950647</v>
      </c>
      <c r="AY39" s="27">
        <f t="shared" si="7"/>
        <v>-933600917.33970273</v>
      </c>
      <c r="AZ39" s="27">
        <f t="shared" si="7"/>
        <v>-889339929.18593323</v>
      </c>
      <c r="BA39" s="27">
        <f t="shared" si="7"/>
        <v>-845080607.02537715</v>
      </c>
      <c r="BB39" s="27">
        <f t="shared" si="7"/>
        <v>-801499868.03943181</v>
      </c>
      <c r="BC39" s="27">
        <f t="shared" si="7"/>
        <v>-759143763.86396313</v>
      </c>
      <c r="BD39" s="27">
        <f t="shared" si="7"/>
        <v>-718436528.00532973</v>
      </c>
      <c r="BE39" s="27">
        <f t="shared" si="7"/>
        <v>-679691401.6763134</v>
      </c>
      <c r="BF39" s="27">
        <f t="shared" si="7"/>
        <v>-643122011.96575511</v>
      </c>
      <c r="BG39" s="27">
        <f t="shared" si="7"/>
        <v>-608853549.01330364</v>
      </c>
      <c r="BH39" s="27">
        <f t="shared" si="7"/>
        <v>-576933326.79182577</v>
      </c>
      <c r="BI39" s="27">
        <f t="shared" si="7"/>
        <v>-547340538.48098588</v>
      </c>
      <c r="BJ39" s="27">
        <f t="shared" si="7"/>
        <v>-519995159.8704958</v>
      </c>
      <c r="BK39" s="27">
        <f t="shared" si="7"/>
        <v>-494766037.51364481</v>
      </c>
      <c r="BL39" s="27">
        <f t="shared" si="7"/>
        <v>-471478242.09363949</v>
      </c>
      <c r="BM39" s="27">
        <f t="shared" si="7"/>
        <v>-449919786.15189183</v>
      </c>
      <c r="BN39" s="27">
        <f t="shared" si="7"/>
        <v>-429847809.10862565</v>
      </c>
      <c r="BO39" s="27">
        <f t="shared" si="7"/>
        <v>-410994328.19925988</v>
      </c>
      <c r="BP39" s="27">
        <f t="shared" si="7"/>
        <v>-393071645.95732832</v>
      </c>
      <c r="BQ39" s="27">
        <f t="shared" si="7"/>
        <v>-375777495.92655277</v>
      </c>
      <c r="BR39" s="27">
        <f t="shared" si="7"/>
        <v>-358800000</v>
      </c>
      <c r="BT39" s="47"/>
      <c r="BU39" s="26">
        <v>0.1</v>
      </c>
      <c r="BV39" s="13">
        <v>0</v>
      </c>
      <c r="BW39" s="13">
        <f>$B$20/($B$21-$B$22*BV39)</f>
        <v>0.34883720930232553</v>
      </c>
      <c r="BX39" s="13">
        <f t="shared" ref="BX39:CY39" si="8">$B$20/($B$21-$B$22*BW39)</f>
        <v>0.39716748768472904</v>
      </c>
      <c r="BY39" s="13">
        <f t="shared" si="8"/>
        <v>0.40494040593779607</v>
      </c>
      <c r="BZ39" s="13">
        <f t="shared" si="8"/>
        <v>0.4062190081621499</v>
      </c>
      <c r="CA39" s="13">
        <f t="shared" si="8"/>
        <v>0.40643010492156101</v>
      </c>
      <c r="CB39" s="13">
        <f t="shared" si="8"/>
        <v>0.40646497802255066</v>
      </c>
      <c r="CC39" s="13">
        <f t="shared" si="8"/>
        <v>0.40647073962099717</v>
      </c>
      <c r="CD39" s="13">
        <f t="shared" si="8"/>
        <v>0.40647169154566137</v>
      </c>
      <c r="CE39" s="13">
        <f t="shared" si="8"/>
        <v>0.40647184882198806</v>
      </c>
      <c r="CF39" s="13">
        <f t="shared" si="8"/>
        <v>0.40647187480708435</v>
      </c>
      <c r="CG39" s="13">
        <f t="shared" si="8"/>
        <v>0.40647187910032606</v>
      </c>
      <c r="CH39" s="13">
        <f t="shared" si="8"/>
        <v>0.40647187980965277</v>
      </c>
      <c r="CI39" s="13">
        <f t="shared" si="8"/>
        <v>0.4064718799268473</v>
      </c>
      <c r="CJ39" s="13">
        <f t="shared" si="8"/>
        <v>0.40647187994621015</v>
      </c>
      <c r="CK39" s="13">
        <f t="shared" si="8"/>
        <v>0.40647187994940925</v>
      </c>
      <c r="CL39" s="13">
        <f t="shared" si="8"/>
        <v>0.40647187994993778</v>
      </c>
      <c r="CM39" s="13">
        <f t="shared" si="8"/>
        <v>0.40647187995002515</v>
      </c>
      <c r="CN39" s="13">
        <f t="shared" si="8"/>
        <v>0.40647187995003953</v>
      </c>
      <c r="CO39" s="13">
        <f t="shared" si="8"/>
        <v>0.40647187995004191</v>
      </c>
      <c r="CP39" s="13">
        <f t="shared" si="8"/>
        <v>0.40647187995004236</v>
      </c>
      <c r="CQ39" s="13">
        <f t="shared" si="8"/>
        <v>0.40647187995004236</v>
      </c>
      <c r="CR39" s="13">
        <f t="shared" si="8"/>
        <v>0.40647187995004236</v>
      </c>
      <c r="CS39" s="13">
        <f t="shared" si="8"/>
        <v>0.40647187995004236</v>
      </c>
      <c r="CT39" s="13">
        <f t="shared" si="8"/>
        <v>0.40647187995004236</v>
      </c>
      <c r="CU39" s="13">
        <f t="shared" si="8"/>
        <v>0.40647187995004236</v>
      </c>
      <c r="CV39" s="13">
        <f t="shared" si="8"/>
        <v>0.40647187995004236</v>
      </c>
      <c r="CW39" s="13">
        <f t="shared" si="8"/>
        <v>0.40647187995004236</v>
      </c>
      <c r="CX39" s="13">
        <f t="shared" si="8"/>
        <v>0.40647187995004236</v>
      </c>
      <c r="CY39" s="13">
        <f t="shared" si="8"/>
        <v>0.40647187995004236</v>
      </c>
      <c r="CZ39" s="13">
        <f>$B$17</f>
        <v>100</v>
      </c>
      <c r="DB39" s="47"/>
      <c r="DC39" s="26">
        <v>0.1</v>
      </c>
      <c r="DD39" s="13">
        <f>G3</f>
        <v>300</v>
      </c>
      <c r="DE39" s="13">
        <f>(DD39*$B$22-AO39)/($B$21-$B$22*BV39)</f>
        <v>201.22845308346771</v>
      </c>
      <c r="DF39" s="13">
        <f t="shared" ref="DF39:EH47" si="9">(DE39*$B$22-AP39)/($B$21-$B$22*BW39)</f>
        <v>191.45328106014944</v>
      </c>
      <c r="DG39" s="13">
        <f t="shared" si="9"/>
        <v>191.64029025512343</v>
      </c>
      <c r="DH39" s="13">
        <f t="shared" si="9"/>
        <v>191.70411066173406</v>
      </c>
      <c r="DI39" s="13">
        <f t="shared" si="9"/>
        <v>190.32850364589297</v>
      </c>
      <c r="DJ39" s="13">
        <f t="shared" si="9"/>
        <v>187.52164093220165</v>
      </c>
      <c r="DK39" s="13">
        <f t="shared" si="9"/>
        <v>183.47881287899801</v>
      </c>
      <c r="DL39" s="13">
        <f t="shared" si="9"/>
        <v>178.41514830955168</v>
      </c>
      <c r="DM39" s="13">
        <f t="shared" si="9"/>
        <v>172.54220843528876</v>
      </c>
      <c r="DN39" s="13">
        <f t="shared" si="9"/>
        <v>166.06193406626798</v>
      </c>
      <c r="DO39" s="13">
        <f t="shared" si="9"/>
        <v>159.1619506383652</v>
      </c>
      <c r="DP39" s="13">
        <f t="shared" si="9"/>
        <v>152.01168645033823</v>
      </c>
      <c r="DQ39" s="13">
        <f t="shared" si="9"/>
        <v>144.75985350515191</v>
      </c>
      <c r="DR39" s="13">
        <f t="shared" si="9"/>
        <v>137.53336007000783</v>
      </c>
      <c r="DS39" s="13">
        <f t="shared" si="9"/>
        <v>130.43740304893578</v>
      </c>
      <c r="DT39" s="13">
        <f t="shared" si="9"/>
        <v>123.55639396039122</v>
      </c>
      <c r="DU39" s="13">
        <f t="shared" si="9"/>
        <v>116.95539824143795</v>
      </c>
      <c r="DV39" s="13">
        <f t="shared" si="9"/>
        <v>110.68183741499374</v>
      </c>
      <c r="DW39" s="13">
        <f t="shared" si="9"/>
        <v>104.76727836655503</v>
      </c>
      <c r="DX39" s="13">
        <f t="shared" si="9"/>
        <v>99.229197509614522</v>
      </c>
      <c r="DY39" s="13">
        <f t="shared" si="9"/>
        <v>94.072655667627203</v>
      </c>
      <c r="DZ39" s="13">
        <f t="shared" si="9"/>
        <v>89.291853016930659</v>
      </c>
      <c r="EA39" s="13">
        <f t="shared" si="9"/>
        <v>84.871555235281448</v>
      </c>
      <c r="EB39" s="13">
        <f t="shared" si="9"/>
        <v>80.788395156503711</v>
      </c>
      <c r="EC39" s="13">
        <f t="shared" si="9"/>
        <v>77.012061413903837</v>
      </c>
      <c r="ED39" s="13">
        <f t="shared" si="9"/>
        <v>73.506388845696549</v>
      </c>
      <c r="EE39" s="13">
        <f t="shared" si="9"/>
        <v>70.230366350361635</v>
      </c>
      <c r="EF39" s="13">
        <f t="shared" si="9"/>
        <v>67.139077466903672</v>
      </c>
      <c r="EG39" s="13">
        <f t="shared" si="9"/>
        <v>64.184587908592405</v>
      </c>
      <c r="EH39" s="13">
        <f t="shared" si="9"/>
        <v>61.316793040027989</v>
      </c>
    </row>
    <row r="40" spans="4:138" x14ac:dyDescent="0.25">
      <c r="E40" s="49"/>
      <c r="F40" s="26">
        <v>9.6666666666666679E-2</v>
      </c>
      <c r="G40">
        <f t="shared" ref="G40:G69" si="10">$B$16</f>
        <v>300</v>
      </c>
      <c r="H40">
        <f>BW40*I40+DE40</f>
        <v>312.53525061136929</v>
      </c>
      <c r="I40">
        <f t="shared" si="6"/>
        <v>319.0794862466513</v>
      </c>
      <c r="J40">
        <f t="shared" si="6"/>
        <v>321.34101895020012</v>
      </c>
      <c r="K40">
        <f t="shared" si="6"/>
        <v>320.2958430258509</v>
      </c>
      <c r="L40">
        <f t="shared" si="6"/>
        <v>316.55764447336514</v>
      </c>
      <c r="M40">
        <f t="shared" si="6"/>
        <v>310.5801939839908</v>
      </c>
      <c r="N40">
        <f t="shared" si="6"/>
        <v>302.75315145346144</v>
      </c>
      <c r="O40">
        <f t="shared" si="6"/>
        <v>293.43892917280499</v>
      </c>
      <c r="P40">
        <f t="shared" si="6"/>
        <v>282.98103719316947</v>
      </c>
      <c r="Q40">
        <f t="shared" si="6"/>
        <v>271.70105156838736</v>
      </c>
      <c r="R40">
        <f t="shared" si="6"/>
        <v>259.89280944039916</v>
      </c>
      <c r="S40">
        <f t="shared" si="6"/>
        <v>247.81753420430692</v>
      </c>
      <c r="T40">
        <f t="shared" si="6"/>
        <v>235.70104726268815</v>
      </c>
      <c r="U40">
        <f t="shared" si="6"/>
        <v>223.7330507928443</v>
      </c>
      <c r="V40">
        <f t="shared" si="6"/>
        <v>212.06802973490704</v>
      </c>
      <c r="W40">
        <f t="shared" si="6"/>
        <v>200.82724220955029</v>
      </c>
      <c r="X40">
        <f t="shared" si="6"/>
        <v>190.10133802780149</v>
      </c>
      <c r="Y40">
        <f t="shared" si="6"/>
        <v>179.95325973190739</v>
      </c>
      <c r="Z40">
        <f t="shared" si="6"/>
        <v>170.42119205251788</v>
      </c>
      <c r="AA40">
        <f t="shared" si="6"/>
        <v>161.52141617774922</v>
      </c>
      <c r="AB40">
        <f t="shared" si="6"/>
        <v>153.25099162035698</v>
      </c>
      <c r="AC40">
        <f t="shared" si="6"/>
        <v>145.59023359747081</v>
      </c>
      <c r="AD40">
        <f t="shared" si="6"/>
        <v>138.50498240483336</v>
      </c>
      <c r="AE40">
        <f t="shared" si="6"/>
        <v>131.94867791627738</v>
      </c>
      <c r="AF40">
        <f t="shared" si="6"/>
        <v>125.8642609325436</v>
      </c>
      <c r="AG40">
        <f t="shared" si="6"/>
        <v>120.18592657539797</v>
      </c>
      <c r="AH40">
        <f t="shared" si="6"/>
        <v>114.84075536895344</v>
      </c>
      <c r="AI40">
        <f t="shared" si="6"/>
        <v>109.75024649694015</v>
      </c>
      <c r="AJ40">
        <f>CY40*AK40+EG40</f>
        <v>104.83177590359665</v>
      </c>
      <c r="AK40">
        <f t="shared" ref="AK40:AK69" si="11">$B$17</f>
        <v>100</v>
      </c>
      <c r="AL40" s="47"/>
      <c r="AM40" s="26">
        <v>9.6666666666666679E-2</v>
      </c>
      <c r="AN40" s="27">
        <f t="shared" ref="AN40:BC69" si="12">-($B$12*$B$11)/$B$8*G4</f>
        <v>-1076400000</v>
      </c>
      <c r="AO40" s="27">
        <f>-($B$12*$B$11)/$B$8*H4</f>
        <v>-1146179281.1945946</v>
      </c>
      <c r="AP40" s="27">
        <f t="shared" si="7"/>
        <v>-1162587586.7903602</v>
      </c>
      <c r="AQ40" s="27">
        <f t="shared" si="7"/>
        <v>-1166661349.7128158</v>
      </c>
      <c r="AR40" s="27">
        <f t="shared" si="7"/>
        <v>-1160370598.4572389</v>
      </c>
      <c r="AS40" s="27">
        <f t="shared" si="7"/>
        <v>-1145079331.3891528</v>
      </c>
      <c r="AT40" s="27">
        <f t="shared" si="7"/>
        <v>-1122019047.0649407</v>
      </c>
      <c r="AU40" s="27">
        <f t="shared" si="7"/>
        <v>-1092435231.5805457</v>
      </c>
      <c r="AV40" s="27">
        <f t="shared" si="7"/>
        <v>-1057593670.4257978</v>
      </c>
      <c r="AW40" s="27">
        <f t="shared" si="7"/>
        <v>-1018739429.1399992</v>
      </c>
      <c r="AX40" s="27">
        <f t="shared" si="7"/>
        <v>-977050354.950647</v>
      </c>
      <c r="AY40" s="27">
        <f t="shared" si="7"/>
        <v>-933600917.33970273</v>
      </c>
      <c r="AZ40" s="27">
        <f t="shared" si="7"/>
        <v>-889339929.18593335</v>
      </c>
      <c r="BA40" s="27">
        <f t="shared" si="7"/>
        <v>-845080607.02537715</v>
      </c>
      <c r="BB40" s="27">
        <f t="shared" si="7"/>
        <v>-801499868.03943181</v>
      </c>
      <c r="BC40" s="27">
        <f t="shared" si="7"/>
        <v>-759143763.86396325</v>
      </c>
      <c r="BD40" s="27">
        <f t="shared" si="7"/>
        <v>-718436528.00532973</v>
      </c>
      <c r="BE40" s="27">
        <f t="shared" si="7"/>
        <v>-679691401.67631352</v>
      </c>
      <c r="BF40" s="27">
        <f t="shared" si="7"/>
        <v>-643122011.96575511</v>
      </c>
      <c r="BG40" s="27">
        <f t="shared" si="7"/>
        <v>-608853549.01330364</v>
      </c>
      <c r="BH40" s="27">
        <f t="shared" si="7"/>
        <v>-576933326.79182577</v>
      </c>
      <c r="BI40" s="27">
        <f t="shared" si="7"/>
        <v>-547340538.48098588</v>
      </c>
      <c r="BJ40" s="27">
        <f t="shared" si="7"/>
        <v>-519995159.8704958</v>
      </c>
      <c r="BK40" s="27">
        <f t="shared" si="7"/>
        <v>-494766037.51364481</v>
      </c>
      <c r="BL40" s="27">
        <f t="shared" si="7"/>
        <v>-471478242.09363949</v>
      </c>
      <c r="BM40" s="27">
        <f t="shared" si="7"/>
        <v>-449919786.15189183</v>
      </c>
      <c r="BN40" s="27">
        <f t="shared" si="7"/>
        <v>-429847809.10862565</v>
      </c>
      <c r="BO40" s="27">
        <f t="shared" si="7"/>
        <v>-410994328.19925988</v>
      </c>
      <c r="BP40" s="27">
        <f t="shared" si="7"/>
        <v>-393071645.95732832</v>
      </c>
      <c r="BQ40" s="27">
        <f t="shared" si="7"/>
        <v>-375777495.92655283</v>
      </c>
      <c r="BR40" s="27">
        <f t="shared" si="7"/>
        <v>-358800000</v>
      </c>
      <c r="BT40" s="47"/>
      <c r="BU40" s="26">
        <v>9.6666666666666679E-2</v>
      </c>
      <c r="BV40" s="13">
        <v>0</v>
      </c>
      <c r="BW40" s="13">
        <f t="shared" ref="BW40:CY48" si="13">$B$20/($B$21-$B$22*BV40)</f>
        <v>0.34883720930232553</v>
      </c>
      <c r="BX40" s="13">
        <f t="shared" si="13"/>
        <v>0.39716748768472904</v>
      </c>
      <c r="BY40" s="13">
        <f t="shared" si="13"/>
        <v>0.40494040593779607</v>
      </c>
      <c r="BZ40" s="13">
        <f t="shared" si="13"/>
        <v>0.4062190081621499</v>
      </c>
      <c r="CA40" s="13">
        <f t="shared" si="13"/>
        <v>0.40643010492156101</v>
      </c>
      <c r="CB40" s="13">
        <f t="shared" si="13"/>
        <v>0.40646497802255066</v>
      </c>
      <c r="CC40" s="13">
        <f t="shared" si="13"/>
        <v>0.40647073962099717</v>
      </c>
      <c r="CD40" s="13">
        <f t="shared" si="13"/>
        <v>0.40647169154566137</v>
      </c>
      <c r="CE40" s="13">
        <f t="shared" si="13"/>
        <v>0.40647184882198806</v>
      </c>
      <c r="CF40" s="13">
        <f t="shared" si="13"/>
        <v>0.40647187480708435</v>
      </c>
      <c r="CG40" s="13">
        <f t="shared" si="13"/>
        <v>0.40647187910032606</v>
      </c>
      <c r="CH40" s="13">
        <f t="shared" si="13"/>
        <v>0.40647187980965277</v>
      </c>
      <c r="CI40" s="13">
        <f t="shared" si="13"/>
        <v>0.4064718799268473</v>
      </c>
      <c r="CJ40" s="13">
        <f t="shared" si="13"/>
        <v>0.40647187994621015</v>
      </c>
      <c r="CK40" s="13">
        <f t="shared" si="13"/>
        <v>0.40647187994940925</v>
      </c>
      <c r="CL40" s="13">
        <f t="shared" si="13"/>
        <v>0.40647187994993778</v>
      </c>
      <c r="CM40" s="13">
        <f t="shared" si="13"/>
        <v>0.40647187995002515</v>
      </c>
      <c r="CN40" s="13">
        <f t="shared" si="13"/>
        <v>0.40647187995003953</v>
      </c>
      <c r="CO40" s="13">
        <f t="shared" si="13"/>
        <v>0.40647187995004191</v>
      </c>
      <c r="CP40" s="13">
        <f t="shared" si="13"/>
        <v>0.40647187995004236</v>
      </c>
      <c r="CQ40" s="13">
        <f t="shared" si="13"/>
        <v>0.40647187995004236</v>
      </c>
      <c r="CR40" s="13">
        <f t="shared" si="13"/>
        <v>0.40647187995004236</v>
      </c>
      <c r="CS40" s="13">
        <f t="shared" si="13"/>
        <v>0.40647187995004236</v>
      </c>
      <c r="CT40" s="13">
        <f t="shared" si="13"/>
        <v>0.40647187995004236</v>
      </c>
      <c r="CU40" s="13">
        <f t="shared" si="13"/>
        <v>0.40647187995004236</v>
      </c>
      <c r="CV40" s="13">
        <f t="shared" si="13"/>
        <v>0.40647187995004236</v>
      </c>
      <c r="CW40" s="13">
        <f t="shared" si="13"/>
        <v>0.40647187995004236</v>
      </c>
      <c r="CX40" s="13">
        <f t="shared" si="13"/>
        <v>0.40647187995004236</v>
      </c>
      <c r="CY40" s="13">
        <f t="shared" si="13"/>
        <v>0.40647187995004236</v>
      </c>
      <c r="CZ40" s="13">
        <f t="shared" ref="CZ40:CZ69" si="14">$B$17</f>
        <v>100</v>
      </c>
      <c r="DB40" s="47"/>
      <c r="DC40" s="26">
        <v>9.6666666666666679E-2</v>
      </c>
      <c r="DD40" s="13">
        <f t="shared" ref="DD40:DD69" si="15">G4</f>
        <v>300</v>
      </c>
      <c r="DE40" s="13">
        <f t="shared" ref="DE40:DT69" si="16">(DD40*$B$22-AO40)/($B$21-$B$22*BV40)</f>
        <v>201.22845308346771</v>
      </c>
      <c r="DF40" s="13">
        <f t="shared" si="9"/>
        <v>191.45328106014944</v>
      </c>
      <c r="DG40" s="13">
        <f t="shared" si="9"/>
        <v>191.64029025512343</v>
      </c>
      <c r="DH40" s="13">
        <f t="shared" si="9"/>
        <v>191.70411066173406</v>
      </c>
      <c r="DI40" s="13">
        <f t="shared" si="9"/>
        <v>190.32850364589297</v>
      </c>
      <c r="DJ40" s="13">
        <f t="shared" si="9"/>
        <v>187.52164093220165</v>
      </c>
      <c r="DK40" s="13">
        <f t="shared" si="9"/>
        <v>183.47881287899801</v>
      </c>
      <c r="DL40" s="13">
        <f t="shared" si="9"/>
        <v>178.41514830955168</v>
      </c>
      <c r="DM40" s="13">
        <f t="shared" si="9"/>
        <v>172.54220843528876</v>
      </c>
      <c r="DN40" s="13">
        <f t="shared" si="9"/>
        <v>166.06193406626798</v>
      </c>
      <c r="DO40" s="13">
        <f t="shared" si="9"/>
        <v>159.1619506383652</v>
      </c>
      <c r="DP40" s="13">
        <f t="shared" si="9"/>
        <v>152.01168645033826</v>
      </c>
      <c r="DQ40" s="13">
        <f t="shared" si="9"/>
        <v>144.75985350515191</v>
      </c>
      <c r="DR40" s="13">
        <f t="shared" si="9"/>
        <v>137.53336007000783</v>
      </c>
      <c r="DS40" s="13">
        <f t="shared" si="9"/>
        <v>130.43740304893578</v>
      </c>
      <c r="DT40" s="13">
        <f t="shared" si="9"/>
        <v>123.55639396039122</v>
      </c>
      <c r="DU40" s="13">
        <f t="shared" si="9"/>
        <v>116.95539824143795</v>
      </c>
      <c r="DV40" s="13">
        <f t="shared" si="9"/>
        <v>110.68183741499374</v>
      </c>
      <c r="DW40" s="13">
        <f t="shared" si="9"/>
        <v>104.76727836655503</v>
      </c>
      <c r="DX40" s="13">
        <f t="shared" si="9"/>
        <v>99.229197509614522</v>
      </c>
      <c r="DY40" s="13">
        <f t="shared" si="9"/>
        <v>94.072655667627203</v>
      </c>
      <c r="DZ40" s="13">
        <f t="shared" si="9"/>
        <v>89.291853016930659</v>
      </c>
      <c r="EA40" s="13">
        <f t="shared" si="9"/>
        <v>84.871555235281448</v>
      </c>
      <c r="EB40" s="13">
        <f t="shared" si="9"/>
        <v>80.788395156503711</v>
      </c>
      <c r="EC40" s="13">
        <f t="shared" si="9"/>
        <v>77.012061413903837</v>
      </c>
      <c r="ED40" s="13">
        <f t="shared" si="9"/>
        <v>73.506388845696549</v>
      </c>
      <c r="EE40" s="13">
        <f t="shared" si="9"/>
        <v>70.230366350361635</v>
      </c>
      <c r="EF40" s="13">
        <f t="shared" si="9"/>
        <v>67.139077466903672</v>
      </c>
      <c r="EG40" s="13">
        <f t="shared" si="9"/>
        <v>64.184587908592405</v>
      </c>
      <c r="EH40" s="13">
        <f t="shared" si="9"/>
        <v>61.316793040027989</v>
      </c>
    </row>
    <row r="41" spans="4:138" x14ac:dyDescent="0.25">
      <c r="E41" s="49"/>
      <c r="F41" s="26">
        <v>9.3333333333333338E-2</v>
      </c>
      <c r="G41">
        <f t="shared" si="10"/>
        <v>300</v>
      </c>
      <c r="H41">
        <f t="shared" ref="H41:W64" si="17">BW41*I41+DE41</f>
        <v>315.64332345615878</v>
      </c>
      <c r="I41">
        <f t="shared" si="6"/>
        <v>322.71271672194268</v>
      </c>
      <c r="J41">
        <f t="shared" si="6"/>
        <v>324.76880617293625</v>
      </c>
      <c r="K41">
        <f t="shared" si="6"/>
        <v>323.37403497360958</v>
      </c>
      <c r="L41">
        <f t="shared" si="6"/>
        <v>319.29256546740703</v>
      </c>
      <c r="M41">
        <f t="shared" si="6"/>
        <v>312.99941209705923</v>
      </c>
      <c r="N41">
        <f t="shared" si="6"/>
        <v>304.87855222661841</v>
      </c>
      <c r="O41">
        <f t="shared" si="6"/>
        <v>295.28761012481851</v>
      </c>
      <c r="P41">
        <f t="shared" si="6"/>
        <v>284.5700058124325</v>
      </c>
      <c r="Q41">
        <f t="shared" si="6"/>
        <v>273.04985249930837</v>
      </c>
      <c r="R41">
        <f t="shared" si="6"/>
        <v>261.02386173666287</v>
      </c>
      <c r="S41">
        <f t="shared" si="6"/>
        <v>248.75517923979385</v>
      </c>
      <c r="T41">
        <f t="shared" si="6"/>
        <v>236.470189409499</v>
      </c>
      <c r="U41">
        <f t="shared" si="6"/>
        <v>224.35790493425407</v>
      </c>
      <c r="V41">
        <f t="shared" si="6"/>
        <v>212.57119078416565</v>
      </c>
      <c r="W41">
        <f t="shared" si="6"/>
        <v>201.22911247524411</v>
      </c>
      <c r="X41">
        <f t="shared" si="6"/>
        <v>190.41986245262024</v>
      </c>
      <c r="Y41">
        <f t="shared" si="6"/>
        <v>180.20389059137969</v>
      </c>
      <c r="Z41">
        <f t="shared" si="6"/>
        <v>170.61700589723404</v>
      </c>
      <c r="AA41">
        <f t="shared" si="6"/>
        <v>161.67331931842546</v>
      </c>
      <c r="AB41">
        <f t="shared" si="6"/>
        <v>153.3679668884958</v>
      </c>
      <c r="AC41">
        <f t="shared" si="6"/>
        <v>145.67959607712743</v>
      </c>
      <c r="AD41">
        <f t="shared" si="6"/>
        <v>138.57262375117486</v>
      </c>
      <c r="AE41">
        <f t="shared" si="6"/>
        <v>131.99928759109838</v>
      </c>
      <c r="AF41">
        <f t="shared" si="6"/>
        <v>125.90151863028197</v>
      </c>
      <c r="AG41">
        <f t="shared" si="6"/>
        <v>120.21266389270221</v>
      </c>
      <c r="AH41">
        <f t="shared" si="6"/>
        <v>114.85908696810729</v>
      </c>
      <c r="AI41">
        <f t="shared" ref="AI41:AJ55" si="18">CX41*AJ41+EF41</f>
        <v>109.76167210927687</v>
      </c>
      <c r="AJ41">
        <f t="shared" si="18"/>
        <v>104.83725487939165</v>
      </c>
      <c r="AK41">
        <f t="shared" si="11"/>
        <v>100</v>
      </c>
      <c r="AL41" s="47"/>
      <c r="AM41" s="26">
        <v>9.3333333333333338E-2</v>
      </c>
      <c r="AN41" s="27">
        <f t="shared" si="12"/>
        <v>-1076400000</v>
      </c>
      <c r="AO41" s="27">
        <f t="shared" si="12"/>
        <v>-1168024315.5488505</v>
      </c>
      <c r="AP41" s="27">
        <f t="shared" si="7"/>
        <v>-1178648305.3915622</v>
      </c>
      <c r="AQ41" s="27">
        <f t="shared" si="7"/>
        <v>-1179557039.6408212</v>
      </c>
      <c r="AR41" s="27">
        <f t="shared" si="7"/>
        <v>-1171388968.4757779</v>
      </c>
      <c r="AS41" s="27">
        <f t="shared" si="7"/>
        <v>-1154778096.0946176</v>
      </c>
      <c r="AT41" s="27">
        <f t="shared" si="7"/>
        <v>-1130608595.5146337</v>
      </c>
      <c r="AU41" s="27">
        <f t="shared" si="7"/>
        <v>-1099990385.8269329</v>
      </c>
      <c r="AV41" s="27">
        <f t="shared" si="7"/>
        <v>-1064156326.6796757</v>
      </c>
      <c r="AW41" s="27">
        <f t="shared" si="7"/>
        <v>-1024359733.7180635</v>
      </c>
      <c r="AX41" s="27">
        <f t="shared" si="7"/>
        <v>-981797037.80853665</v>
      </c>
      <c r="AY41" s="27">
        <f t="shared" si="7"/>
        <v>-937558359.6908313</v>
      </c>
      <c r="AZ41" s="27">
        <f t="shared" si="7"/>
        <v>-892601095.47276366</v>
      </c>
      <c r="BA41" s="27">
        <f t="shared" si="7"/>
        <v>-847740039.43137586</v>
      </c>
      <c r="BB41" s="27">
        <f t="shared" si="7"/>
        <v>-803648301.75795579</v>
      </c>
      <c r="BC41" s="27">
        <f t="shared" si="7"/>
        <v>-760864640.15115499</v>
      </c>
      <c r="BD41" s="27">
        <f t="shared" si="7"/>
        <v>-719804146.45590377</v>
      </c>
      <c r="BE41" s="27">
        <f t="shared" si="7"/>
        <v>-680770294.89187419</v>
      </c>
      <c r="BF41" s="27">
        <f t="shared" si="7"/>
        <v>-643967138.57009768</v>
      </c>
      <c r="BG41" s="27">
        <f t="shared" si="7"/>
        <v>-609510976.96178043</v>
      </c>
      <c r="BH41" s="27">
        <f t="shared" si="7"/>
        <v>-577441166.33815169</v>
      </c>
      <c r="BI41" s="27">
        <f t="shared" si="7"/>
        <v>-547729961.29507947</v>
      </c>
      <c r="BJ41" s="27">
        <f t="shared" si="7"/>
        <v>-520291400.99511206</v>
      </c>
      <c r="BK41" s="27">
        <f t="shared" si="7"/>
        <v>-494989320.29248846</v>
      </c>
      <c r="BL41" s="27">
        <f t="shared" si="7"/>
        <v>-471644595.67192435</v>
      </c>
      <c r="BM41" s="27">
        <f t="shared" si="7"/>
        <v>-450041743.96125203</v>
      </c>
      <c r="BN41" s="27">
        <f t="shared" si="7"/>
        <v>-429934987.90125829</v>
      </c>
      <c r="BO41" s="27">
        <f t="shared" si="7"/>
        <v>-411053893.08930397</v>
      </c>
      <c r="BP41" s="27">
        <f t="shared" si="7"/>
        <v>-393108669.34425247</v>
      </c>
      <c r="BQ41" s="27">
        <f t="shared" si="7"/>
        <v>-375795218.37621397</v>
      </c>
      <c r="BR41" s="27">
        <f t="shared" si="7"/>
        <v>-358800000</v>
      </c>
      <c r="BT41" s="47"/>
      <c r="BU41" s="26">
        <v>9.3333333333333338E-2</v>
      </c>
      <c r="BV41" s="13">
        <v>0</v>
      </c>
      <c r="BW41" s="13">
        <f t="shared" si="13"/>
        <v>0.34883720930232553</v>
      </c>
      <c r="BX41" s="13">
        <f t="shared" si="13"/>
        <v>0.39716748768472904</v>
      </c>
      <c r="BY41" s="13">
        <f t="shared" si="13"/>
        <v>0.40494040593779607</v>
      </c>
      <c r="BZ41" s="13">
        <f t="shared" si="13"/>
        <v>0.4062190081621499</v>
      </c>
      <c r="CA41" s="13">
        <f t="shared" si="13"/>
        <v>0.40643010492156101</v>
      </c>
      <c r="CB41" s="13">
        <f t="shared" si="13"/>
        <v>0.40646497802255066</v>
      </c>
      <c r="CC41" s="13">
        <f t="shared" si="13"/>
        <v>0.40647073962099717</v>
      </c>
      <c r="CD41" s="13">
        <f t="shared" si="13"/>
        <v>0.40647169154566137</v>
      </c>
      <c r="CE41" s="13">
        <f t="shared" si="13"/>
        <v>0.40647184882198806</v>
      </c>
      <c r="CF41" s="13">
        <f t="shared" si="13"/>
        <v>0.40647187480708435</v>
      </c>
      <c r="CG41" s="13">
        <f t="shared" si="13"/>
        <v>0.40647187910032606</v>
      </c>
      <c r="CH41" s="13">
        <f t="shared" si="13"/>
        <v>0.40647187980965277</v>
      </c>
      <c r="CI41" s="13">
        <f t="shared" si="13"/>
        <v>0.4064718799268473</v>
      </c>
      <c r="CJ41" s="13">
        <f t="shared" si="13"/>
        <v>0.40647187994621015</v>
      </c>
      <c r="CK41" s="13">
        <f t="shared" si="13"/>
        <v>0.40647187994940925</v>
      </c>
      <c r="CL41" s="13">
        <f t="shared" si="13"/>
        <v>0.40647187994993778</v>
      </c>
      <c r="CM41" s="13">
        <f t="shared" si="13"/>
        <v>0.40647187995002515</v>
      </c>
      <c r="CN41" s="13">
        <f t="shared" si="13"/>
        <v>0.40647187995003953</v>
      </c>
      <c r="CO41" s="13">
        <f t="shared" si="13"/>
        <v>0.40647187995004191</v>
      </c>
      <c r="CP41" s="13">
        <f t="shared" si="13"/>
        <v>0.40647187995004236</v>
      </c>
      <c r="CQ41" s="13">
        <f t="shared" si="13"/>
        <v>0.40647187995004236</v>
      </c>
      <c r="CR41" s="13">
        <f t="shared" si="13"/>
        <v>0.40647187995004236</v>
      </c>
      <c r="CS41" s="13">
        <f t="shared" si="13"/>
        <v>0.40647187995004236</v>
      </c>
      <c r="CT41" s="13">
        <f t="shared" si="13"/>
        <v>0.40647187995004236</v>
      </c>
      <c r="CU41" s="13">
        <f t="shared" si="13"/>
        <v>0.40647187995004236</v>
      </c>
      <c r="CV41" s="13">
        <f t="shared" si="13"/>
        <v>0.40647187995004236</v>
      </c>
      <c r="CW41" s="13">
        <f t="shared" si="13"/>
        <v>0.40647187995004236</v>
      </c>
      <c r="CX41" s="13">
        <f t="shared" si="13"/>
        <v>0.40647187995004236</v>
      </c>
      <c r="CY41" s="13">
        <f t="shared" si="13"/>
        <v>0.40647187995004236</v>
      </c>
      <c r="CZ41" s="13">
        <f t="shared" si="14"/>
        <v>100</v>
      </c>
      <c r="DB41" s="47"/>
      <c r="DC41" s="26">
        <v>9.3333333333333338E-2</v>
      </c>
      <c r="DD41" s="13">
        <f t="shared" si="15"/>
        <v>300</v>
      </c>
      <c r="DE41" s="13">
        <f t="shared" si="16"/>
        <v>203.06911994850441</v>
      </c>
      <c r="DF41" s="13">
        <f t="shared" si="9"/>
        <v>193.72510589586886</v>
      </c>
      <c r="DG41" s="13">
        <f t="shared" si="9"/>
        <v>193.82159318097976</v>
      </c>
      <c r="DH41" s="13">
        <f t="shared" si="9"/>
        <v>193.67132571589121</v>
      </c>
      <c r="DI41" s="13">
        <f t="shared" si="9"/>
        <v>192.08018156841231</v>
      </c>
      <c r="DJ41" s="13">
        <f t="shared" si="9"/>
        <v>189.07695806671973</v>
      </c>
      <c r="DK41" s="13">
        <f t="shared" si="9"/>
        <v>184.85277893826677</v>
      </c>
      <c r="DL41" s="13">
        <f t="shared" si="9"/>
        <v>179.61795849908037</v>
      </c>
      <c r="DM41" s="13">
        <f t="shared" si="9"/>
        <v>173.58292744646749</v>
      </c>
      <c r="DN41" s="13">
        <f t="shared" si="9"/>
        <v>166.95099404982182</v>
      </c>
      <c r="DO41" s="13">
        <f t="shared" si="9"/>
        <v>159.91187659512542</v>
      </c>
      <c r="DP41" s="13">
        <f t="shared" si="9"/>
        <v>152.63669683157016</v>
      </c>
      <c r="DQ41" s="13">
        <f t="shared" si="9"/>
        <v>145.27501001442386</v>
      </c>
      <c r="DR41" s="13">
        <f t="shared" si="9"/>
        <v>137.95369339380977</v>
      </c>
      <c r="DS41" s="13">
        <f t="shared" si="9"/>
        <v>130.77721513580204</v>
      </c>
      <c r="DT41" s="13">
        <f t="shared" si="9"/>
        <v>123.82879300431898</v>
      </c>
      <c r="DU41" s="13">
        <f t="shared" si="9"/>
        <v>117.17204826963346</v>
      </c>
      <c r="DV41" s="13">
        <f t="shared" si="9"/>
        <v>110.85287545288399</v>
      </c>
      <c r="DW41" s="13">
        <f t="shared" si="9"/>
        <v>104.90134785611022</v>
      </c>
      <c r="DX41" s="13">
        <f t="shared" si="9"/>
        <v>99.333553493142716</v>
      </c>
      <c r="DY41" s="13">
        <f t="shared" si="9"/>
        <v>94.153307600663013</v>
      </c>
      <c r="DZ41" s="13">
        <f t="shared" si="9"/>
        <v>89.353721191377502</v>
      </c>
      <c r="EA41" s="13">
        <f t="shared" si="9"/>
        <v>84.918625171954801</v>
      </c>
      <c r="EB41" s="13">
        <f t="shared" si="9"/>
        <v>80.823860624882386</v>
      </c>
      <c r="EC41" s="13">
        <f t="shared" si="9"/>
        <v>77.038451144012726</v>
      </c>
      <c r="ED41" s="13">
        <f t="shared" si="9"/>
        <v>73.525674883430227</v>
      </c>
      <c r="EE41" s="13">
        <f t="shared" si="9"/>
        <v>70.244053759389388</v>
      </c>
      <c r="EF41" s="13">
        <f t="shared" si="9"/>
        <v>67.148276029648798</v>
      </c>
      <c r="EG41" s="13">
        <f t="shared" si="9"/>
        <v>64.190066884387406</v>
      </c>
      <c r="EH41" s="13">
        <f t="shared" si="9"/>
        <v>61.319020089619592</v>
      </c>
    </row>
    <row r="42" spans="4:138" x14ac:dyDescent="0.25">
      <c r="E42" s="49"/>
      <c r="F42" s="26">
        <v>9.0000000000000011E-2</v>
      </c>
      <c r="G42">
        <f t="shared" si="10"/>
        <v>300</v>
      </c>
      <c r="H42">
        <f t="shared" si="17"/>
        <v>343.2053925264965</v>
      </c>
      <c r="I42">
        <f t="shared" si="6"/>
        <v>338.93232092663197</v>
      </c>
      <c r="J42">
        <f t="shared" si="6"/>
        <v>335.31099234904821</v>
      </c>
      <c r="K42">
        <f t="shared" si="6"/>
        <v>331.02069794613033</v>
      </c>
      <c r="L42">
        <f t="shared" si="6"/>
        <v>325.35349836070759</v>
      </c>
      <c r="M42">
        <f t="shared" si="6"/>
        <v>318.06603037257105</v>
      </c>
      <c r="N42">
        <f t="shared" si="6"/>
        <v>309.2114790910789</v>
      </c>
      <c r="O42">
        <f t="shared" si="6"/>
        <v>299.007177760194</v>
      </c>
      <c r="P42">
        <f t="shared" si="6"/>
        <v>287.74437341181198</v>
      </c>
      <c r="Q42">
        <f t="shared" si="6"/>
        <v>275.73212728722496</v>
      </c>
      <c r="R42">
        <f t="shared" si="6"/>
        <v>263.26521259686422</v>
      </c>
      <c r="S42">
        <f t="shared" si="6"/>
        <v>250.60759191132277</v>
      </c>
      <c r="T42">
        <f t="shared" si="6"/>
        <v>237.98543011865661</v>
      </c>
      <c r="U42">
        <f t="shared" si="6"/>
        <v>225.58562412554647</v>
      </c>
      <c r="V42">
        <f t="shared" si="6"/>
        <v>213.55731134694969</v>
      </c>
      <c r="W42">
        <f t="shared" si="6"/>
        <v>202.01482120137462</v>
      </c>
      <c r="X42">
        <f t="shared" si="6"/>
        <v>191.04117999206409</v>
      </c>
      <c r="Y42">
        <f t="shared" si="6"/>
        <v>180.69168135988224</v>
      </c>
      <c r="Z42">
        <f t="shared" si="6"/>
        <v>170.99727638053781</v>
      </c>
      <c r="AA42">
        <f t="shared" si="6"/>
        <v>161.96767801570653</v>
      </c>
      <c r="AB42">
        <f t="shared" si="6"/>
        <v>153.59415285752311</v>
      </c>
      <c r="AC42">
        <f t="shared" si="6"/>
        <v>145.85201384501181</v>
      </c>
      <c r="AD42">
        <f t="shared" si="6"/>
        <v>138.70284649039439</v>
      </c>
      <c r="AE42">
        <f t="shared" si="6"/>
        <v>132.09650771927613</v>
      </c>
      <c r="AF42">
        <f t="shared" si="6"/>
        <v>125.97293647238436</v>
      </c>
      <c r="AG42">
        <f t="shared" si="6"/>
        <v>120.26381213431043</v>
      </c>
      <c r="AH42">
        <f t="shared" si="6"/>
        <v>114.89409258901892</v>
      </c>
      <c r="AI42">
        <f t="shared" si="18"/>
        <v>109.78345932024487</v>
      </c>
      <c r="AJ42">
        <f t="shared" si="18"/>
        <v>104.8476930300115</v>
      </c>
      <c r="AK42">
        <f t="shared" si="11"/>
        <v>100</v>
      </c>
      <c r="AL42" s="47"/>
      <c r="AM42" s="26">
        <v>9.0000000000000011E-2</v>
      </c>
      <c r="AN42" s="27">
        <f t="shared" si="12"/>
        <v>-1255800000</v>
      </c>
      <c r="AO42" s="27">
        <f t="shared" si="12"/>
        <v>-1220981789.8682039</v>
      </c>
      <c r="AP42" s="27">
        <f t="shared" si="7"/>
        <v>-1213390951.3725133</v>
      </c>
      <c r="AQ42" s="27">
        <f t="shared" si="7"/>
        <v>-1205865359.0652683</v>
      </c>
      <c r="AR42" s="27">
        <f t="shared" si="7"/>
        <v>-1193402651.6862862</v>
      </c>
      <c r="AS42" s="27">
        <f t="shared" si="7"/>
        <v>-1174076263.3054545</v>
      </c>
      <c r="AT42" s="27">
        <f t="shared" si="7"/>
        <v>-1147708641.8112767</v>
      </c>
      <c r="AU42" s="27">
        <f t="shared" si="7"/>
        <v>-1115038752.1832769</v>
      </c>
      <c r="AV42" s="27">
        <f t="shared" si="7"/>
        <v>-1077219956.2960145</v>
      </c>
      <c r="AW42" s="27">
        <f t="shared" si="7"/>
        <v>-1035529500.7550699</v>
      </c>
      <c r="AX42" s="27">
        <f t="shared" si="7"/>
        <v>-991209200.56886637</v>
      </c>
      <c r="AY42" s="27">
        <f t="shared" si="7"/>
        <v>-945385105.61759675</v>
      </c>
      <c r="AZ42" s="27">
        <f t="shared" si="7"/>
        <v>-899033239.9613229</v>
      </c>
      <c r="BA42" s="27">
        <f t="shared" si="7"/>
        <v>-852971170.25557816</v>
      </c>
      <c r="BB42" s="27">
        <f t="shared" si="7"/>
        <v>-807863237.45437539</v>
      </c>
      <c r="BC42" s="27">
        <f t="shared" si="7"/>
        <v>-764232327.41214526</v>
      </c>
      <c r="BD42" s="27">
        <f t="shared" si="7"/>
        <v>-722474143.87439704</v>
      </c>
      <c r="BE42" s="27">
        <f t="shared" si="7"/>
        <v>-682871803.54221332</v>
      </c>
      <c r="BF42" s="27">
        <f t="shared" si="7"/>
        <v>-645609664.99651086</v>
      </c>
      <c r="BG42" s="27">
        <f t="shared" si="7"/>
        <v>-610785928.26928532</v>
      </c>
      <c r="BH42" s="27">
        <f t="shared" si="7"/>
        <v>-578423885.64483273</v>
      </c>
      <c r="BI42" s="27">
        <f t="shared" si="7"/>
        <v>-548481881.80971062</v>
      </c>
      <c r="BJ42" s="27">
        <f t="shared" si="7"/>
        <v>-520862123.01222181</v>
      </c>
      <c r="BK42" s="27">
        <f t="shared" si="7"/>
        <v>-495418502.87184864</v>
      </c>
      <c r="BL42" s="27">
        <f t="shared" si="7"/>
        <v>-471963612.14646518</v>
      </c>
      <c r="BM42" s="27">
        <f t="shared" si="7"/>
        <v>-450275085.86040932</v>
      </c>
      <c r="BN42" s="27">
        <f t="shared" si="7"/>
        <v>-430101422.09578657</v>
      </c>
      <c r="BO42" s="27">
        <f t="shared" si="7"/>
        <v>-411167387.02461791</v>
      </c>
      <c r="BP42" s="27">
        <f t="shared" si="7"/>
        <v>-393179102.74988019</v>
      </c>
      <c r="BQ42" s="27">
        <f t="shared" si="7"/>
        <v>-375828899.29436266</v>
      </c>
      <c r="BR42" s="27">
        <f t="shared" si="7"/>
        <v>-358800000</v>
      </c>
      <c r="BT42" s="47"/>
      <c r="BU42" s="26">
        <v>9.0000000000000011E-2</v>
      </c>
      <c r="BV42" s="13">
        <v>0</v>
      </c>
      <c r="BW42" s="13">
        <f t="shared" si="13"/>
        <v>0.34883720930232553</v>
      </c>
      <c r="BX42" s="13">
        <f t="shared" si="13"/>
        <v>0.39716748768472904</v>
      </c>
      <c r="BY42" s="13">
        <f t="shared" si="13"/>
        <v>0.40494040593779607</v>
      </c>
      <c r="BZ42" s="13">
        <f t="shared" si="13"/>
        <v>0.4062190081621499</v>
      </c>
      <c r="CA42" s="13">
        <f t="shared" si="13"/>
        <v>0.40643010492156101</v>
      </c>
      <c r="CB42" s="13">
        <f t="shared" si="13"/>
        <v>0.40646497802255066</v>
      </c>
      <c r="CC42" s="13">
        <f t="shared" si="13"/>
        <v>0.40647073962099717</v>
      </c>
      <c r="CD42" s="13">
        <f t="shared" si="13"/>
        <v>0.40647169154566137</v>
      </c>
      <c r="CE42" s="13">
        <f t="shared" si="13"/>
        <v>0.40647184882198806</v>
      </c>
      <c r="CF42" s="13">
        <f t="shared" si="13"/>
        <v>0.40647187480708435</v>
      </c>
      <c r="CG42" s="13">
        <f t="shared" si="13"/>
        <v>0.40647187910032606</v>
      </c>
      <c r="CH42" s="13">
        <f t="shared" si="13"/>
        <v>0.40647187980965277</v>
      </c>
      <c r="CI42" s="13">
        <f t="shared" si="13"/>
        <v>0.4064718799268473</v>
      </c>
      <c r="CJ42" s="13">
        <f t="shared" si="13"/>
        <v>0.40647187994621015</v>
      </c>
      <c r="CK42" s="13">
        <f t="shared" si="13"/>
        <v>0.40647187994940925</v>
      </c>
      <c r="CL42" s="13">
        <f t="shared" si="13"/>
        <v>0.40647187994993778</v>
      </c>
      <c r="CM42" s="13">
        <f t="shared" si="13"/>
        <v>0.40647187995002515</v>
      </c>
      <c r="CN42" s="13">
        <f t="shared" si="13"/>
        <v>0.40647187995003953</v>
      </c>
      <c r="CO42" s="13">
        <f t="shared" si="13"/>
        <v>0.40647187995004191</v>
      </c>
      <c r="CP42" s="13">
        <f t="shared" si="13"/>
        <v>0.40647187995004236</v>
      </c>
      <c r="CQ42" s="13">
        <f t="shared" si="13"/>
        <v>0.40647187995004236</v>
      </c>
      <c r="CR42" s="13">
        <f t="shared" si="13"/>
        <v>0.40647187995004236</v>
      </c>
      <c r="CS42" s="13">
        <f t="shared" si="13"/>
        <v>0.40647187995004236</v>
      </c>
      <c r="CT42" s="13">
        <f t="shared" si="13"/>
        <v>0.40647187995004236</v>
      </c>
      <c r="CU42" s="13">
        <f t="shared" si="13"/>
        <v>0.40647187995004236</v>
      </c>
      <c r="CV42" s="13">
        <f t="shared" si="13"/>
        <v>0.40647187995004236</v>
      </c>
      <c r="CW42" s="13">
        <f t="shared" si="13"/>
        <v>0.40647187995004236</v>
      </c>
      <c r="CX42" s="13">
        <f t="shared" si="13"/>
        <v>0.40647187995004236</v>
      </c>
      <c r="CY42" s="13">
        <f t="shared" si="13"/>
        <v>0.40647187995004236</v>
      </c>
      <c r="CZ42" s="13">
        <f t="shared" si="14"/>
        <v>100</v>
      </c>
      <c r="DB42" s="47"/>
      <c r="DC42" s="26">
        <v>9.0000000000000011E-2</v>
      </c>
      <c r="DD42" s="13">
        <f t="shared" si="15"/>
        <v>350</v>
      </c>
      <c r="DE42" s="13">
        <f t="shared" si="16"/>
        <v>224.97318755209</v>
      </c>
      <c r="DF42" s="13">
        <f t="shared" si="9"/>
        <v>205.75769650228713</v>
      </c>
      <c r="DG42" s="13">
        <f t="shared" si="9"/>
        <v>201.26733654892965</v>
      </c>
      <c r="DH42" s="13">
        <f t="shared" si="9"/>
        <v>198.85592253995804</v>
      </c>
      <c r="DI42" s="13">
        <f t="shared" si="9"/>
        <v>196.08188826439917</v>
      </c>
      <c r="DJ42" s="13">
        <f t="shared" si="9"/>
        <v>192.38239331949529</v>
      </c>
      <c r="DK42" s="13">
        <f t="shared" si="9"/>
        <v>187.67381039490587</v>
      </c>
      <c r="DL42" s="13">
        <f t="shared" si="9"/>
        <v>182.04723556674836</v>
      </c>
      <c r="DM42" s="13">
        <f t="shared" si="9"/>
        <v>175.6670258537539</v>
      </c>
      <c r="DN42" s="13">
        <f t="shared" si="9"/>
        <v>168.7222227514919</v>
      </c>
      <c r="DO42" s="13">
        <f t="shared" si="9"/>
        <v>161.40027379586115</v>
      </c>
      <c r="DP42" s="13">
        <f t="shared" si="9"/>
        <v>153.87320676368367</v>
      </c>
      <c r="DQ42" s="13">
        <f t="shared" si="9"/>
        <v>146.29121739587458</v>
      </c>
      <c r="DR42" s="13">
        <f t="shared" si="9"/>
        <v>138.78058230609372</v>
      </c>
      <c r="DS42" s="13">
        <f t="shared" si="9"/>
        <v>131.44396719558316</v>
      </c>
      <c r="DT42" s="13">
        <f t="shared" si="9"/>
        <v>124.36195362214589</v>
      </c>
      <c r="DU42" s="13">
        <f t="shared" si="9"/>
        <v>117.59509257838184</v>
      </c>
      <c r="DV42" s="13">
        <f t="shared" si="9"/>
        <v>111.18609696314856</v>
      </c>
      <c r="DW42" s="13">
        <f t="shared" si="9"/>
        <v>105.16196980635051</v>
      </c>
      <c r="DX42" s="13">
        <f t="shared" si="9"/>
        <v>99.535973954374938</v>
      </c>
      <c r="DY42" s="13">
        <f t="shared" si="9"/>
        <v>94.309410595441562</v>
      </c>
      <c r="DZ42" s="13">
        <f t="shared" si="9"/>
        <v>89.473207077639074</v>
      </c>
      <c r="EA42" s="13">
        <f t="shared" si="9"/>
        <v>85.009330662904929</v>
      </c>
      <c r="EB42" s="13">
        <f t="shared" si="9"/>
        <v>80.892051408518796</v>
      </c>
      <c r="EC42" s="13">
        <f t="shared" si="9"/>
        <v>77.089078664192485</v>
      </c>
      <c r="ED42" s="13">
        <f t="shared" si="9"/>
        <v>73.562594324497667</v>
      </c>
      <c r="EE42" s="13">
        <f t="shared" si="9"/>
        <v>70.270203491700002</v>
      </c>
      <c r="EF42" s="13">
        <f t="shared" si="9"/>
        <v>67.165820425911136</v>
      </c>
      <c r="EG42" s="13">
        <f t="shared" si="9"/>
        <v>64.200505035007254</v>
      </c>
      <c r="EH42" s="13">
        <f t="shared" si="9"/>
        <v>61.323262904325233</v>
      </c>
    </row>
    <row r="43" spans="4:138" x14ac:dyDescent="0.25">
      <c r="D43" t="s">
        <v>49</v>
      </c>
      <c r="E43" s="49"/>
      <c r="F43" s="26">
        <v>8.666666666666667E-2</v>
      </c>
      <c r="G43">
        <f t="shared" si="10"/>
        <v>300</v>
      </c>
      <c r="H43">
        <f t="shared" si="17"/>
        <v>390.30170010080224</v>
      </c>
      <c r="I43">
        <f t="shared" si="6"/>
        <v>363.25110933877784</v>
      </c>
      <c r="J43">
        <f t="shared" si="6"/>
        <v>349.93385598324147</v>
      </c>
      <c r="K43">
        <f t="shared" si="6"/>
        <v>341.43746252953656</v>
      </c>
      <c r="L43">
        <f t="shared" si="6"/>
        <v>333.75416890489112</v>
      </c>
      <c r="M43">
        <f t="shared" si="6"/>
        <v>325.26387452193467</v>
      </c>
      <c r="N43">
        <f t="shared" si="6"/>
        <v>315.48463309843413</v>
      </c>
      <c r="O43">
        <f t="shared" si="6"/>
        <v>304.45212443224659</v>
      </c>
      <c r="P43">
        <f t="shared" si="6"/>
        <v>292.4137061984934</v>
      </c>
      <c r="Q43">
        <f t="shared" si="6"/>
        <v>279.68051110743318</v>
      </c>
      <c r="R43">
        <f t="shared" si="6"/>
        <v>266.5588973445594</v>
      </c>
      <c r="S43">
        <f t="shared" si="6"/>
        <v>253.32141216648728</v>
      </c>
      <c r="T43">
        <f t="shared" si="6"/>
        <v>240.19703296526183</v>
      </c>
      <c r="U43">
        <f t="shared" si="6"/>
        <v>227.37043090295083</v>
      </c>
      <c r="V43">
        <f t="shared" si="6"/>
        <v>214.98511372112915</v>
      </c>
      <c r="W43">
        <f t="shared" si="6"/>
        <v>203.14792673096645</v>
      </c>
      <c r="X43">
        <f t="shared" si="6"/>
        <v>191.93373099484211</v>
      </c>
      <c r="Y43">
        <f t="shared" si="6"/>
        <v>181.38975401266583</v>
      </c>
      <c r="Z43">
        <f t="shared" si="6"/>
        <v>171.53944097447487</v>
      </c>
      <c r="AA43">
        <f t="shared" si="6"/>
        <v>162.38579058170541</v>
      </c>
      <c r="AB43">
        <f t="shared" si="6"/>
        <v>153.914225685438</v>
      </c>
      <c r="AC43">
        <f t="shared" si="6"/>
        <v>146.09507098714079</v>
      </c>
      <c r="AD43">
        <f t="shared" si="6"/>
        <v>138.88571133214634</v>
      </c>
      <c r="AE43">
        <f t="shared" si="6"/>
        <v>132.23249669652765</v>
      </c>
      <c r="AF43">
        <f t="shared" si="6"/>
        <v>126.07244976484279</v>
      </c>
      <c r="AG43">
        <f t="shared" si="6"/>
        <v>120.334821808425</v>
      </c>
      <c r="AH43">
        <f t="shared" si="6"/>
        <v>114.94253358003704</v>
      </c>
      <c r="AI43">
        <f t="shared" si="18"/>
        <v>109.81353052322339</v>
      </c>
      <c r="AJ43">
        <f t="shared" si="18"/>
        <v>104.86207576670341</v>
      </c>
      <c r="AK43">
        <f t="shared" si="11"/>
        <v>100</v>
      </c>
      <c r="AL43" s="47"/>
      <c r="AM43" s="26">
        <v>8.666666666666667E-2</v>
      </c>
      <c r="AN43" s="27">
        <f t="shared" si="12"/>
        <v>-1614600000</v>
      </c>
      <c r="AO43" s="27">
        <f t="shared" si="12"/>
        <v>-1265240984.133781</v>
      </c>
      <c r="AP43" s="27">
        <f t="shared" si="7"/>
        <v>-1246488963.444674</v>
      </c>
      <c r="AQ43" s="27">
        <f t="shared" si="7"/>
        <v>-1235604315.2742884</v>
      </c>
      <c r="AR43" s="27">
        <f t="shared" si="7"/>
        <v>-1221711382.2636712</v>
      </c>
      <c r="AS43" s="27">
        <f t="shared" si="7"/>
        <v>-1200850941.1701574</v>
      </c>
      <c r="AT43" s="27">
        <f t="shared" si="7"/>
        <v>-1172383022.5325537</v>
      </c>
      <c r="AU43" s="27">
        <f t="shared" si="7"/>
        <v>-1137147389.9419055</v>
      </c>
      <c r="AV43" s="27">
        <f t="shared" si="7"/>
        <v>-1096538688.072623</v>
      </c>
      <c r="AW43" s="27">
        <f t="shared" si="7"/>
        <v>-1052056754.0294452</v>
      </c>
      <c r="AX43" s="27">
        <f t="shared" si="7"/>
        <v>-1005101727.1547791</v>
      </c>
      <c r="AY43" s="27">
        <f t="shared" si="7"/>
        <v>-956893031.33120036</v>
      </c>
      <c r="AZ43" s="27">
        <f t="shared" si="7"/>
        <v>-908448968.10921144</v>
      </c>
      <c r="BA43" s="27">
        <f t="shared" si="7"/>
        <v>-860594156.92425346</v>
      </c>
      <c r="BB43" s="27">
        <f t="shared" si="7"/>
        <v>-813978186.67456162</v>
      </c>
      <c r="BC43" s="27">
        <f t="shared" si="7"/>
        <v>-769097329.03794348</v>
      </c>
      <c r="BD43" s="27">
        <f t="shared" si="7"/>
        <v>-726315577.31898868</v>
      </c>
      <c r="BE43" s="27">
        <f t="shared" si="7"/>
        <v>-685883521.16814852</v>
      </c>
      <c r="BF43" s="27">
        <f t="shared" si="7"/>
        <v>-647954668.66934609</v>
      </c>
      <c r="BG43" s="27">
        <f t="shared" si="7"/>
        <v>-612599330.86437094</v>
      </c>
      <c r="BH43" s="27">
        <f t="shared" si="7"/>
        <v>-579816382.6516403</v>
      </c>
      <c r="BI43" s="27">
        <f t="shared" si="7"/>
        <v>-549543263.53975523</v>
      </c>
      <c r="BJ43" s="27">
        <f t="shared" si="7"/>
        <v>-521664563.22258776</v>
      </c>
      <c r="BK43" s="27">
        <f t="shared" si="7"/>
        <v>-496019491.87952554</v>
      </c>
      <c r="BL43" s="27">
        <f t="shared" si="7"/>
        <v>-472408483.85285515</v>
      </c>
      <c r="BM43" s="27">
        <f t="shared" si="7"/>
        <v>-450599135.19865024</v>
      </c>
      <c r="BN43" s="27">
        <f t="shared" si="7"/>
        <v>-430331634.17458558</v>
      </c>
      <c r="BO43" s="27">
        <f t="shared" si="7"/>
        <v>-411323809.87485528</v>
      </c>
      <c r="BP43" s="27">
        <f t="shared" si="7"/>
        <v>-393275897.55410993</v>
      </c>
      <c r="BQ43" s="27">
        <f t="shared" si="7"/>
        <v>-375875098.8330915</v>
      </c>
      <c r="BR43" s="27">
        <f t="shared" si="7"/>
        <v>-358800000</v>
      </c>
      <c r="BT43" s="47"/>
      <c r="BU43" s="26">
        <v>8.666666666666667E-2</v>
      </c>
      <c r="BV43" s="13">
        <v>0</v>
      </c>
      <c r="BW43" s="13">
        <f t="shared" si="13"/>
        <v>0.34883720930232553</v>
      </c>
      <c r="BX43" s="13">
        <f t="shared" si="13"/>
        <v>0.39716748768472904</v>
      </c>
      <c r="BY43" s="13">
        <f t="shared" si="13"/>
        <v>0.40494040593779607</v>
      </c>
      <c r="BZ43" s="13">
        <f t="shared" si="13"/>
        <v>0.4062190081621499</v>
      </c>
      <c r="CA43" s="13">
        <f t="shared" si="13"/>
        <v>0.40643010492156101</v>
      </c>
      <c r="CB43" s="13">
        <f t="shared" si="13"/>
        <v>0.40646497802255066</v>
      </c>
      <c r="CC43" s="13">
        <f t="shared" si="13"/>
        <v>0.40647073962099717</v>
      </c>
      <c r="CD43" s="13">
        <f t="shared" si="13"/>
        <v>0.40647169154566137</v>
      </c>
      <c r="CE43" s="13">
        <f t="shared" si="13"/>
        <v>0.40647184882198806</v>
      </c>
      <c r="CF43" s="13">
        <f t="shared" si="13"/>
        <v>0.40647187480708435</v>
      </c>
      <c r="CG43" s="13">
        <f t="shared" si="13"/>
        <v>0.40647187910032606</v>
      </c>
      <c r="CH43" s="13">
        <f t="shared" si="13"/>
        <v>0.40647187980965277</v>
      </c>
      <c r="CI43" s="13">
        <f t="shared" si="13"/>
        <v>0.4064718799268473</v>
      </c>
      <c r="CJ43" s="13">
        <f t="shared" si="13"/>
        <v>0.40647187994621015</v>
      </c>
      <c r="CK43" s="13">
        <f t="shared" si="13"/>
        <v>0.40647187994940925</v>
      </c>
      <c r="CL43" s="13">
        <f t="shared" si="13"/>
        <v>0.40647187994993778</v>
      </c>
      <c r="CM43" s="13">
        <f t="shared" si="13"/>
        <v>0.40647187995002515</v>
      </c>
      <c r="CN43" s="13">
        <f t="shared" si="13"/>
        <v>0.40647187995003953</v>
      </c>
      <c r="CO43" s="13">
        <f t="shared" si="13"/>
        <v>0.40647187995004191</v>
      </c>
      <c r="CP43" s="13">
        <f t="shared" si="13"/>
        <v>0.40647187995004236</v>
      </c>
      <c r="CQ43" s="13">
        <f t="shared" si="13"/>
        <v>0.40647187995004236</v>
      </c>
      <c r="CR43" s="13">
        <f t="shared" si="13"/>
        <v>0.40647187995004236</v>
      </c>
      <c r="CS43" s="13">
        <f t="shared" si="13"/>
        <v>0.40647187995004236</v>
      </c>
      <c r="CT43" s="13">
        <f t="shared" si="13"/>
        <v>0.40647187995004236</v>
      </c>
      <c r="CU43" s="13">
        <f t="shared" si="13"/>
        <v>0.40647187995004236</v>
      </c>
      <c r="CV43" s="13">
        <f t="shared" si="13"/>
        <v>0.40647187995004236</v>
      </c>
      <c r="CW43" s="13">
        <f t="shared" si="13"/>
        <v>0.40647187995004236</v>
      </c>
      <c r="CX43" s="13">
        <f t="shared" si="13"/>
        <v>0.40647187995004236</v>
      </c>
      <c r="CY43" s="13">
        <f t="shared" si="13"/>
        <v>0.40647187995004236</v>
      </c>
      <c r="CZ43" s="13">
        <f t="shared" si="14"/>
        <v>100</v>
      </c>
      <c r="DB43" s="47"/>
      <c r="DC43" s="26">
        <v>8.666666666666667E-2</v>
      </c>
      <c r="DD43" s="13">
        <f t="shared" si="15"/>
        <v>450</v>
      </c>
      <c r="DE43" s="13">
        <f t="shared" si="16"/>
        <v>263.58619684308906</v>
      </c>
      <c r="DF43" s="13">
        <f t="shared" si="9"/>
        <v>224.26875890208402</v>
      </c>
      <c r="DG43" s="13">
        <f t="shared" si="9"/>
        <v>211.6720313041599</v>
      </c>
      <c r="DH43" s="13">
        <f t="shared" si="9"/>
        <v>205.86017506700904</v>
      </c>
      <c r="DI43" s="13">
        <f t="shared" si="9"/>
        <v>201.55713825574779</v>
      </c>
      <c r="DJ43" s="13">
        <f t="shared" si="9"/>
        <v>197.03042006312717</v>
      </c>
      <c r="DK43" s="13">
        <f t="shared" si="9"/>
        <v>191.73375290127498</v>
      </c>
      <c r="DL43" s="13">
        <f t="shared" si="9"/>
        <v>185.59423064260895</v>
      </c>
      <c r="DM43" s="13">
        <f t="shared" si="9"/>
        <v>178.73145176917646</v>
      </c>
      <c r="DN43" s="13">
        <f t="shared" si="9"/>
        <v>171.33181635728101</v>
      </c>
      <c r="DO43" s="13">
        <f t="shared" si="9"/>
        <v>163.59086692489913</v>
      </c>
      <c r="DP43" s="13">
        <f t="shared" si="9"/>
        <v>155.68807265239619</v>
      </c>
      <c r="DQ43" s="13">
        <f t="shared" si="9"/>
        <v>147.77734647636206</v>
      </c>
      <c r="DR43" s="13">
        <f t="shared" si="9"/>
        <v>139.98502756827367</v>
      </c>
      <c r="DS43" s="13">
        <f t="shared" si="9"/>
        <v>132.41119403496839</v>
      </c>
      <c r="DT43" s="13">
        <f t="shared" si="9"/>
        <v>125.13226226768734</v>
      </c>
      <c r="DU43" s="13">
        <f t="shared" si="9"/>
        <v>118.20389667764121</v>
      </c>
      <c r="DV43" s="13">
        <f t="shared" si="9"/>
        <v>111.66379495419221</v>
      </c>
      <c r="DW43" s="13">
        <f t="shared" si="9"/>
        <v>105.53418339955527</v>
      </c>
      <c r="DX43" s="13">
        <f t="shared" si="9"/>
        <v>99.823985916290326</v>
      </c>
      <c r="DY43" s="13">
        <f t="shared" si="9"/>
        <v>94.530687529860003</v>
      </c>
      <c r="DZ43" s="13">
        <f t="shared" si="9"/>
        <v>89.641934803764357</v>
      </c>
      <c r="EA43" s="13">
        <f t="shared" si="9"/>
        <v>85.136919809420974</v>
      </c>
      <c r="EB43" s="13">
        <f t="shared" si="9"/>
        <v>80.987591030704721</v>
      </c>
      <c r="EC43" s="13">
        <f t="shared" si="9"/>
        <v>77.159728520918918</v>
      </c>
      <c r="ED43" s="13">
        <f t="shared" si="9"/>
        <v>73.613914097926468</v>
      </c>
      <c r="EE43" s="13">
        <f t="shared" si="9"/>
        <v>70.306421384311065</v>
      </c>
      <c r="EF43" s="13">
        <f t="shared" si="9"/>
        <v>67.190045450867672</v>
      </c>
      <c r="EG43" s="13">
        <f t="shared" si="9"/>
        <v>64.214887771699182</v>
      </c>
      <c r="EH43" s="13">
        <f t="shared" si="9"/>
        <v>61.32910908234723</v>
      </c>
    </row>
    <row r="44" spans="4:138" x14ac:dyDescent="0.25">
      <c r="E44" s="49"/>
      <c r="F44" s="26">
        <v>8.3333333333333343E-2</v>
      </c>
      <c r="G44">
        <f t="shared" si="10"/>
        <v>300</v>
      </c>
      <c r="H44">
        <f t="shared" si="17"/>
        <v>322.12427767817343</v>
      </c>
      <c r="I44">
        <f t="shared" si="6"/>
        <v>335.32899010268432</v>
      </c>
      <c r="J44">
        <f t="shared" si="6"/>
        <v>341.80795192193114</v>
      </c>
      <c r="K44">
        <f t="shared" si="6"/>
        <v>342.8113931525188</v>
      </c>
      <c r="L44">
        <f t="shared" si="6"/>
        <v>339.35854039873021</v>
      </c>
      <c r="M44">
        <f t="shared" si="6"/>
        <v>332.38772880730494</v>
      </c>
      <c r="N44">
        <f t="shared" si="6"/>
        <v>322.75386143702298</v>
      </c>
      <c r="O44">
        <f t="shared" si="6"/>
        <v>311.20514143121255</v>
      </c>
      <c r="P44">
        <f t="shared" si="6"/>
        <v>298.37192736057602</v>
      </c>
      <c r="Q44">
        <f t="shared" si="6"/>
        <v>284.76944994333144</v>
      </c>
      <c r="R44">
        <f t="shared" si="6"/>
        <v>270.80903649641658</v>
      </c>
      <c r="S44">
        <f t="shared" si="6"/>
        <v>256.8127724782438</v>
      </c>
      <c r="T44">
        <f t="shared" si="6"/>
        <v>243.02834870475408</v>
      </c>
      <c r="U44">
        <f t="shared" si="6"/>
        <v>229.64244171868273</v>
      </c>
      <c r="V44">
        <f t="shared" si="6"/>
        <v>216.79201935807035</v>
      </c>
      <c r="W44">
        <f t="shared" si="6"/>
        <v>204.57354004855517</v>
      </c>
      <c r="X44">
        <f t="shared" si="6"/>
        <v>193.05028190680486</v>
      </c>
      <c r="Y44">
        <f t="shared" si="6"/>
        <v>182.25812751750385</v>
      </c>
      <c r="Z44">
        <f t="shared" si="6"/>
        <v>172.21012931641604</v>
      </c>
      <c r="AA44">
        <f t="shared" si="6"/>
        <v>162.90014027075983</v>
      </c>
      <c r="AB44">
        <f t="shared" si="6"/>
        <v>154.30574258743323</v>
      </c>
      <c r="AC44">
        <f t="shared" si="6"/>
        <v>146.39065681122997</v>
      </c>
      <c r="AD44">
        <f t="shared" si="6"/>
        <v>139.10677030043436</v>
      </c>
      <c r="AE44">
        <f t="shared" si="6"/>
        <v>132.39588904361705</v>
      </c>
      <c r="AF44">
        <f t="shared" si="6"/>
        <v>126.19128961055257</v>
      </c>
      <c r="AG44">
        <f t="shared" si="6"/>
        <v>120.41912751737192</v>
      </c>
      <c r="AH44">
        <f t="shared" si="6"/>
        <v>114.99974311066342</v>
      </c>
      <c r="AI44">
        <f t="shared" si="18"/>
        <v>109.84889504031156</v>
      </c>
      <c r="AJ44">
        <f t="shared" si="18"/>
        <v>104.8789435098478</v>
      </c>
      <c r="AK44">
        <f t="shared" si="11"/>
        <v>100</v>
      </c>
      <c r="AL44" s="47"/>
      <c r="AM44" s="26">
        <v>8.3333333333333343E-2</v>
      </c>
      <c r="AN44" s="27">
        <f t="shared" si="12"/>
        <v>-1076400000</v>
      </c>
      <c r="AO44" s="27">
        <f t="shared" si="12"/>
        <v>-1192708908.4594495</v>
      </c>
      <c r="AP44" s="27">
        <f t="shared" si="7"/>
        <v>-1231005023.9942245</v>
      </c>
      <c r="AQ44" s="27">
        <f t="shared" si="7"/>
        <v>-1249075586.7329378</v>
      </c>
      <c r="AR44" s="27">
        <f t="shared" si="7"/>
        <v>-1248456335.7265549</v>
      </c>
      <c r="AS44" s="27">
        <f t="shared" si="7"/>
        <v>-1232182792.53846</v>
      </c>
      <c r="AT44" s="27">
        <f t="shared" si="7"/>
        <v>-1203632221.8850768</v>
      </c>
      <c r="AU44" s="27">
        <f t="shared" si="7"/>
        <v>-1165968344.7471259</v>
      </c>
      <c r="AV44" s="27">
        <f t="shared" si="7"/>
        <v>-1121921852.8835709</v>
      </c>
      <c r="AW44" s="27">
        <f t="shared" si="7"/>
        <v>-1073743225.6247041</v>
      </c>
      <c r="AX44" s="27">
        <f t="shared" si="7"/>
        <v>-1023234641.5595081</v>
      </c>
      <c r="AY44" s="27">
        <f t="shared" si="7"/>
        <v>-971811244.31415021</v>
      </c>
      <c r="AZ44" s="27">
        <f t="shared" si="7"/>
        <v>-920567209.0389514</v>
      </c>
      <c r="BA44" s="27">
        <f t="shared" si="7"/>
        <v>-870335855.65274549</v>
      </c>
      <c r="BB44" s="27">
        <f t="shared" si="7"/>
        <v>-821740174.53723347</v>
      </c>
      <c r="BC44" s="27">
        <f t="shared" si="7"/>
        <v>-775233521.22521412</v>
      </c>
      <c r="BD44" s="27">
        <f t="shared" si="7"/>
        <v>-731131646.05966973</v>
      </c>
      <c r="BE44" s="27">
        <f t="shared" si="7"/>
        <v>-689637641.94647563</v>
      </c>
      <c r="BF44" s="27">
        <f t="shared" si="7"/>
        <v>-650861354.91360128</v>
      </c>
      <c r="BG44" s="27">
        <f t="shared" si="7"/>
        <v>-614834586.08381426</v>
      </c>
      <c r="BH44" s="27">
        <f t="shared" si="7"/>
        <v>-581523155.05144143</v>
      </c>
      <c r="BI44" s="27">
        <f t="shared" si="7"/>
        <v>-550836653.10821998</v>
      </c>
      <c r="BJ44" s="27">
        <f t="shared" si="7"/>
        <v>-522636511.67990547</v>
      </c>
      <c r="BK44" s="27">
        <f t="shared" si="7"/>
        <v>-496742850.08648854</v>
      </c>
      <c r="BL44" s="27">
        <f t="shared" si="7"/>
        <v>-472940443.13816124</v>
      </c>
      <c r="BM44" s="27">
        <f t="shared" si="7"/>
        <v>-450984056.53554374</v>
      </c>
      <c r="BN44" s="27">
        <f t="shared" si="7"/>
        <v>-430603329.91033584</v>
      </c>
      <c r="BO44" s="27">
        <f t="shared" si="7"/>
        <v>-411507337.84854388</v>
      </c>
      <c r="BP44" s="27">
        <f t="shared" si="7"/>
        <v>-393388923.72950131</v>
      </c>
      <c r="BQ44" s="27">
        <f t="shared" si="7"/>
        <v>-375928876.10798383</v>
      </c>
      <c r="BR44" s="27">
        <f t="shared" si="7"/>
        <v>-358800000</v>
      </c>
      <c r="BT44" s="47"/>
      <c r="BU44" s="26">
        <v>8.3333333333333343E-2</v>
      </c>
      <c r="BV44" s="13">
        <v>0</v>
      </c>
      <c r="BW44" s="13">
        <f t="shared" si="13"/>
        <v>0.34883720930232553</v>
      </c>
      <c r="BX44" s="13">
        <f t="shared" si="13"/>
        <v>0.39716748768472904</v>
      </c>
      <c r="BY44" s="13">
        <f t="shared" si="13"/>
        <v>0.40494040593779607</v>
      </c>
      <c r="BZ44" s="13">
        <f t="shared" si="13"/>
        <v>0.4062190081621499</v>
      </c>
      <c r="CA44" s="13">
        <f t="shared" si="13"/>
        <v>0.40643010492156101</v>
      </c>
      <c r="CB44" s="13">
        <f t="shared" si="13"/>
        <v>0.40646497802255066</v>
      </c>
      <c r="CC44" s="13">
        <f t="shared" si="13"/>
        <v>0.40647073962099717</v>
      </c>
      <c r="CD44" s="13">
        <f t="shared" si="13"/>
        <v>0.40647169154566137</v>
      </c>
      <c r="CE44" s="13">
        <f t="shared" si="13"/>
        <v>0.40647184882198806</v>
      </c>
      <c r="CF44" s="13">
        <f t="shared" si="13"/>
        <v>0.40647187480708435</v>
      </c>
      <c r="CG44" s="13">
        <f t="shared" si="13"/>
        <v>0.40647187910032606</v>
      </c>
      <c r="CH44" s="13">
        <f t="shared" si="13"/>
        <v>0.40647187980965277</v>
      </c>
      <c r="CI44" s="13">
        <f t="shared" si="13"/>
        <v>0.4064718799268473</v>
      </c>
      <c r="CJ44" s="13">
        <f t="shared" si="13"/>
        <v>0.40647187994621015</v>
      </c>
      <c r="CK44" s="13">
        <f t="shared" si="13"/>
        <v>0.40647187994940925</v>
      </c>
      <c r="CL44" s="13">
        <f t="shared" si="13"/>
        <v>0.40647187994993778</v>
      </c>
      <c r="CM44" s="13">
        <f t="shared" si="13"/>
        <v>0.40647187995002515</v>
      </c>
      <c r="CN44" s="13">
        <f t="shared" si="13"/>
        <v>0.40647187995003953</v>
      </c>
      <c r="CO44" s="13">
        <f t="shared" si="13"/>
        <v>0.40647187995004191</v>
      </c>
      <c r="CP44" s="13">
        <f t="shared" si="13"/>
        <v>0.40647187995004236</v>
      </c>
      <c r="CQ44" s="13">
        <f t="shared" si="13"/>
        <v>0.40647187995004236</v>
      </c>
      <c r="CR44" s="13">
        <f t="shared" si="13"/>
        <v>0.40647187995004236</v>
      </c>
      <c r="CS44" s="13">
        <f t="shared" si="13"/>
        <v>0.40647187995004236</v>
      </c>
      <c r="CT44" s="13">
        <f t="shared" si="13"/>
        <v>0.40647187995004236</v>
      </c>
      <c r="CU44" s="13">
        <f t="shared" si="13"/>
        <v>0.40647187995004236</v>
      </c>
      <c r="CV44" s="13">
        <f t="shared" si="13"/>
        <v>0.40647187995004236</v>
      </c>
      <c r="CW44" s="13">
        <f t="shared" si="13"/>
        <v>0.40647187995004236</v>
      </c>
      <c r="CX44" s="13">
        <f t="shared" si="13"/>
        <v>0.40647187995004236</v>
      </c>
      <c r="CY44" s="13">
        <f t="shared" si="13"/>
        <v>0.40647187995004236</v>
      </c>
      <c r="CZ44" s="13">
        <f t="shared" si="14"/>
        <v>100</v>
      </c>
      <c r="DB44" s="47"/>
      <c r="DC44" s="26">
        <v>8.3333333333333343E-2</v>
      </c>
      <c r="DD44" s="13">
        <f t="shared" si="15"/>
        <v>300</v>
      </c>
      <c r="DE44" s="13">
        <f t="shared" si="16"/>
        <v>205.14904857258591</v>
      </c>
      <c r="DF44" s="13">
        <f t="shared" si="9"/>
        <v>199.57398456718832</v>
      </c>
      <c r="DG44" s="13">
        <f t="shared" si="9"/>
        <v>202.98976721864881</v>
      </c>
      <c r="DH44" s="13">
        <f t="shared" si="9"/>
        <v>204.95750346039171</v>
      </c>
      <c r="DI44" s="13">
        <f t="shared" si="9"/>
        <v>204.26616090493789</v>
      </c>
      <c r="DJ44" s="13">
        <f t="shared" si="9"/>
        <v>201.19958761161203</v>
      </c>
      <c r="DK44" s="13">
        <f t="shared" si="9"/>
        <v>196.25807742562097</v>
      </c>
      <c r="DL44" s="13">
        <f t="shared" si="9"/>
        <v>189.92539940722</v>
      </c>
      <c r="DM44" s="13">
        <f t="shared" si="9"/>
        <v>182.62116255408952</v>
      </c>
      <c r="DN44" s="13">
        <f t="shared" si="9"/>
        <v>174.69319316393285</v>
      </c>
      <c r="DO44" s="13">
        <f t="shared" si="9"/>
        <v>166.42186629022032</v>
      </c>
      <c r="DP44" s="13">
        <f t="shared" si="9"/>
        <v>158.02858273318665</v>
      </c>
      <c r="DQ44" s="13">
        <f t="shared" si="9"/>
        <v>149.68515370836963</v>
      </c>
      <c r="DR44" s="13">
        <f t="shared" si="9"/>
        <v>141.52258205287268</v>
      </c>
      <c r="DS44" s="13">
        <f t="shared" si="9"/>
        <v>133.63862794662836</v>
      </c>
      <c r="DT44" s="13">
        <f t="shared" si="9"/>
        <v>126.10402903703074</v>
      </c>
      <c r="DU44" s="13">
        <f t="shared" si="9"/>
        <v>118.96747817859367</v>
      </c>
      <c r="DV44" s="13">
        <f t="shared" si="9"/>
        <v>112.25955250782081</v>
      </c>
      <c r="DW44" s="13">
        <f t="shared" si="9"/>
        <v>105.99580305643478</v>
      </c>
      <c r="DX44" s="13">
        <f t="shared" si="9"/>
        <v>100.17919499415852</v>
      </c>
      <c r="DY44" s="13">
        <f t="shared" si="9"/>
        <v>94.802057106251112</v>
      </c>
      <c r="DZ44" s="13">
        <f t="shared" si="9"/>
        <v>89.847666373433682</v>
      </c>
      <c r="EA44" s="13">
        <f t="shared" si="9"/>
        <v>85.29156438321813</v>
      </c>
      <c r="EB44" s="13">
        <f t="shared" si="9"/>
        <v>81.102678322295489</v>
      </c>
      <c r="EC44" s="13">
        <f t="shared" si="9"/>
        <v>77.244300466622533</v>
      </c>
      <c r="ED44" s="13">
        <f t="shared" si="9"/>
        <v>73.674965741408627</v>
      </c>
      <c r="EE44" s="13">
        <f t="shared" si="9"/>
        <v>70.349256233193088</v>
      </c>
      <c r="EF44" s="13">
        <f t="shared" si="9"/>
        <v>67.218553704689441</v>
      </c>
      <c r="EG44" s="13">
        <f t="shared" si="9"/>
        <v>64.231755514843556</v>
      </c>
      <c r="EH44" s="13">
        <f t="shared" si="9"/>
        <v>61.335965345613644</v>
      </c>
    </row>
    <row r="45" spans="4:138" x14ac:dyDescent="0.25">
      <c r="E45" s="49"/>
      <c r="F45" s="26">
        <v>0.08</v>
      </c>
      <c r="G45">
        <f t="shared" si="10"/>
        <v>300</v>
      </c>
      <c r="H45">
        <f t="shared" si="17"/>
        <v>319.59107386223172</v>
      </c>
      <c r="I45">
        <f t="shared" si="6"/>
        <v>337.77253432219925</v>
      </c>
      <c r="J45">
        <f t="shared" si="6"/>
        <v>349.08980383081916</v>
      </c>
      <c r="K45">
        <f t="shared" si="6"/>
        <v>352.99468777855384</v>
      </c>
      <c r="L45">
        <f t="shared" si="6"/>
        <v>350.61992936278432</v>
      </c>
      <c r="M45">
        <f t="shared" si="6"/>
        <v>343.46916503467736</v>
      </c>
      <c r="N45">
        <f t="shared" si="6"/>
        <v>332.93262548632515</v>
      </c>
      <c r="O45">
        <f t="shared" si="6"/>
        <v>320.14710602033836</v>
      </c>
      <c r="P45">
        <f t="shared" si="6"/>
        <v>305.98994489988422</v>
      </c>
      <c r="Q45">
        <f t="shared" si="6"/>
        <v>291.11746215193801</v>
      </c>
      <c r="R45">
        <f t="shared" si="6"/>
        <v>276.0116190746985</v>
      </c>
      <c r="S45">
        <f t="shared" si="6"/>
        <v>261.02177051557311</v>
      </c>
      <c r="T45">
        <f t="shared" si="6"/>
        <v>246.39802860467435</v>
      </c>
      <c r="U45">
        <f t="shared" si="6"/>
        <v>232.31647632824377</v>
      </c>
      <c r="V45">
        <f t="shared" si="6"/>
        <v>218.89765253738202</v>
      </c>
      <c r="W45">
        <f t="shared" si="6"/>
        <v>206.21988855456203</v>
      </c>
      <c r="X45">
        <f t="shared" si="6"/>
        <v>194.3288709589167</v>
      </c>
      <c r="Y45">
        <f t="shared" si="6"/>
        <v>183.24451197309611</v>
      </c>
      <c r="Z45">
        <f t="shared" si="6"/>
        <v>172.96593405775522</v>
      </c>
      <c r="AA45">
        <f t="shared" si="6"/>
        <v>163.47515123650032</v>
      </c>
      <c r="AB45">
        <f t="shared" si="6"/>
        <v>154.73985900332067</v>
      </c>
      <c r="AC45">
        <f t="shared" si="6"/>
        <v>146.71561969209267</v>
      </c>
      <c r="AD45">
        <f t="shared" si="6"/>
        <v>139.34764093732988</v>
      </c>
      <c r="AE45">
        <f t="shared" si="6"/>
        <v>132.57228218882233</v>
      </c>
      <c r="AF45">
        <f t="shared" si="6"/>
        <v>126.31838077568554</v>
      </c>
      <c r="AG45">
        <f t="shared" si="6"/>
        <v>120.50845914747688</v>
      </c>
      <c r="AH45">
        <f t="shared" si="6"/>
        <v>115.05985456099711</v>
      </c>
      <c r="AI45">
        <f t="shared" si="18"/>
        <v>109.88579871615693</v>
      </c>
      <c r="AJ45">
        <f t="shared" si="18"/>
        <v>104.89646563294644</v>
      </c>
      <c r="AK45">
        <f t="shared" si="11"/>
        <v>100</v>
      </c>
      <c r="AL45" s="47"/>
      <c r="AM45" s="26">
        <v>0.08</v>
      </c>
      <c r="AN45" s="27">
        <f t="shared" si="12"/>
        <v>-1076400000</v>
      </c>
      <c r="AO45" s="27">
        <f t="shared" si="12"/>
        <v>-1152528572.5030615</v>
      </c>
      <c r="AP45" s="27">
        <f t="shared" si="7"/>
        <v>-1240345603.6866295</v>
      </c>
      <c r="AQ45" s="27">
        <f t="shared" si="7"/>
        <v>-1283221492.3670444</v>
      </c>
      <c r="AR45" s="27">
        <f t="shared" si="7"/>
        <v>-1292542659.1343586</v>
      </c>
      <c r="AS45" s="27">
        <f t="shared" si="7"/>
        <v>-1277796971.0307474</v>
      </c>
      <c r="AT45" s="27">
        <f t="shared" si="7"/>
        <v>-1246384473.5562375</v>
      </c>
      <c r="AU45" s="27">
        <f t="shared" si="7"/>
        <v>-1203873037.1039412</v>
      </c>
      <c r="AV45" s="27">
        <f t="shared" si="7"/>
        <v>-1154366412.8504691</v>
      </c>
      <c r="AW45" s="27">
        <f t="shared" si="7"/>
        <v>-1100853353.8386016</v>
      </c>
      <c r="AX45" s="27">
        <f t="shared" si="7"/>
        <v>-1045495565.9644282</v>
      </c>
      <c r="AY45" s="27">
        <f t="shared" si="7"/>
        <v>-989849471.93502545</v>
      </c>
      <c r="AZ45" s="27">
        <f t="shared" si="7"/>
        <v>-935030431.08621848</v>
      </c>
      <c r="BA45" s="27">
        <f t="shared" si="7"/>
        <v>-881831461.54687357</v>
      </c>
      <c r="BB45" s="27">
        <f t="shared" si="7"/>
        <v>-830807821.13548398</v>
      </c>
      <c r="BC45" s="27">
        <f t="shared" si="7"/>
        <v>-782336789.6988337</v>
      </c>
      <c r="BD45" s="27">
        <f t="shared" si="7"/>
        <v>-736659830.09086573</v>
      </c>
      <c r="BE45" s="27">
        <f t="shared" si="7"/>
        <v>-693912422.35591841</v>
      </c>
      <c r="BF45" s="27">
        <f t="shared" si="7"/>
        <v>-654145375.32768297</v>
      </c>
      <c r="BG45" s="27">
        <f t="shared" si="7"/>
        <v>-617340299.70970988</v>
      </c>
      <c r="BH45" s="27">
        <f t="shared" si="7"/>
        <v>-583421111.60193145</v>
      </c>
      <c r="BI45" s="27">
        <f t="shared" si="7"/>
        <v>-552262855.0070349</v>
      </c>
      <c r="BJ45" s="27">
        <f t="shared" si="7"/>
        <v>-523698724.75146276</v>
      </c>
      <c r="BK45" s="27">
        <f t="shared" si="7"/>
        <v>-497525888.857243</v>
      </c>
      <c r="BL45" s="27">
        <f t="shared" si="7"/>
        <v>-473510515.12505984</v>
      </c>
      <c r="BM45" s="27">
        <f t="shared" si="7"/>
        <v>-451392273.91355735</v>
      </c>
      <c r="BN45" s="27">
        <f t="shared" si="7"/>
        <v>-430888498.86838984</v>
      </c>
      <c r="BO45" s="27">
        <f t="shared" si="7"/>
        <v>-411698126.37446976</v>
      </c>
      <c r="BP45" s="27">
        <f t="shared" si="7"/>
        <v>-393505493.56042439</v>
      </c>
      <c r="BQ45" s="27">
        <f t="shared" si="7"/>
        <v>-375984047.4469189</v>
      </c>
      <c r="BR45" s="27">
        <f t="shared" si="7"/>
        <v>-358800000</v>
      </c>
      <c r="BT45" s="47"/>
      <c r="BU45" s="26">
        <v>0.08</v>
      </c>
      <c r="BV45" s="13">
        <v>0</v>
      </c>
      <c r="BW45" s="13">
        <f t="shared" si="13"/>
        <v>0.34883720930232553</v>
      </c>
      <c r="BX45" s="13">
        <f t="shared" si="13"/>
        <v>0.39716748768472904</v>
      </c>
      <c r="BY45" s="13">
        <f t="shared" si="13"/>
        <v>0.40494040593779607</v>
      </c>
      <c r="BZ45" s="13">
        <f t="shared" si="13"/>
        <v>0.4062190081621499</v>
      </c>
      <c r="CA45" s="13">
        <f t="shared" si="13"/>
        <v>0.40643010492156101</v>
      </c>
      <c r="CB45" s="13">
        <f t="shared" si="13"/>
        <v>0.40646497802255066</v>
      </c>
      <c r="CC45" s="13">
        <f t="shared" si="13"/>
        <v>0.40647073962099717</v>
      </c>
      <c r="CD45" s="13">
        <f t="shared" si="13"/>
        <v>0.40647169154566137</v>
      </c>
      <c r="CE45" s="13">
        <f t="shared" si="13"/>
        <v>0.40647184882198806</v>
      </c>
      <c r="CF45" s="13">
        <f t="shared" si="13"/>
        <v>0.40647187480708435</v>
      </c>
      <c r="CG45" s="13">
        <f t="shared" si="13"/>
        <v>0.40647187910032606</v>
      </c>
      <c r="CH45" s="13">
        <f t="shared" si="13"/>
        <v>0.40647187980965277</v>
      </c>
      <c r="CI45" s="13">
        <f t="shared" si="13"/>
        <v>0.4064718799268473</v>
      </c>
      <c r="CJ45" s="13">
        <f t="shared" si="13"/>
        <v>0.40647187994621015</v>
      </c>
      <c r="CK45" s="13">
        <f t="shared" si="13"/>
        <v>0.40647187994940925</v>
      </c>
      <c r="CL45" s="13">
        <f t="shared" si="13"/>
        <v>0.40647187994993778</v>
      </c>
      <c r="CM45" s="13">
        <f t="shared" si="13"/>
        <v>0.40647187995002515</v>
      </c>
      <c r="CN45" s="13">
        <f t="shared" si="13"/>
        <v>0.40647187995003953</v>
      </c>
      <c r="CO45" s="13">
        <f t="shared" si="13"/>
        <v>0.40647187995004191</v>
      </c>
      <c r="CP45" s="13">
        <f t="shared" si="13"/>
        <v>0.40647187995004236</v>
      </c>
      <c r="CQ45" s="13">
        <f t="shared" si="13"/>
        <v>0.40647187995004236</v>
      </c>
      <c r="CR45" s="13">
        <f t="shared" si="13"/>
        <v>0.40647187995004236</v>
      </c>
      <c r="CS45" s="13">
        <f t="shared" si="13"/>
        <v>0.40647187995004236</v>
      </c>
      <c r="CT45" s="13">
        <f t="shared" si="13"/>
        <v>0.40647187995004236</v>
      </c>
      <c r="CU45" s="13">
        <f t="shared" si="13"/>
        <v>0.40647187995004236</v>
      </c>
      <c r="CV45" s="13">
        <f t="shared" si="13"/>
        <v>0.40647187995004236</v>
      </c>
      <c r="CW45" s="13">
        <f t="shared" si="13"/>
        <v>0.40647187995004236</v>
      </c>
      <c r="CX45" s="13">
        <f t="shared" si="13"/>
        <v>0.40647187995004236</v>
      </c>
      <c r="CY45" s="13">
        <f t="shared" si="13"/>
        <v>0.40647187995004236</v>
      </c>
      <c r="CZ45" s="13">
        <f t="shared" si="14"/>
        <v>100</v>
      </c>
      <c r="DB45" s="47"/>
      <c r="DC45" s="26">
        <v>0.08</v>
      </c>
      <c r="DD45" s="13">
        <f t="shared" si="15"/>
        <v>300</v>
      </c>
      <c r="DE45" s="13">
        <f t="shared" si="16"/>
        <v>201.7634456103018</v>
      </c>
      <c r="DF45" s="13">
        <f t="shared" si="9"/>
        <v>199.12541395835791</v>
      </c>
      <c r="DG45" s="13">
        <f t="shared" si="9"/>
        <v>206.14799166788603</v>
      </c>
      <c r="DH45" s="13">
        <f t="shared" si="9"/>
        <v>210.56620783092055</v>
      </c>
      <c r="DI45" s="13">
        <f t="shared" si="9"/>
        <v>211.02372058041948</v>
      </c>
      <c r="DJ45" s="13">
        <f t="shared" si="9"/>
        <v>208.14371273338813</v>
      </c>
      <c r="DK45" s="13">
        <f t="shared" si="9"/>
        <v>202.8021945147164</v>
      </c>
      <c r="DL45" s="13">
        <f t="shared" si="9"/>
        <v>195.7708555209187</v>
      </c>
      <c r="DM45" s="13">
        <f t="shared" si="9"/>
        <v>187.65889183462082</v>
      </c>
      <c r="DN45" s="13">
        <f t="shared" si="9"/>
        <v>178.92650187810651</v>
      </c>
      <c r="DO45" s="13">
        <f t="shared" si="9"/>
        <v>169.91360952713941</v>
      </c>
      <c r="DP45" s="13">
        <f t="shared" si="9"/>
        <v>160.86790064723854</v>
      </c>
      <c r="DQ45" s="13">
        <f t="shared" si="9"/>
        <v>151.96791373355219</v>
      </c>
      <c r="DR45" s="13">
        <f t="shared" si="9"/>
        <v>143.34073598556182</v>
      </c>
      <c r="DS45" s="13">
        <f t="shared" si="9"/>
        <v>135.07506675365153</v>
      </c>
      <c r="DT45" s="13">
        <f t="shared" si="9"/>
        <v>127.23066704734231</v>
      </c>
      <c r="DU45" s="13">
        <f t="shared" si="9"/>
        <v>119.84512968668741</v>
      </c>
      <c r="DV45" s="13">
        <f t="shared" si="9"/>
        <v>112.93872358932578</v>
      </c>
      <c r="DW45" s="13">
        <f t="shared" si="9"/>
        <v>106.51788200953752</v>
      </c>
      <c r="DX45" s="13">
        <f t="shared" si="9"/>
        <v>100.57774984421607</v>
      </c>
      <c r="DY45" s="13">
        <f t="shared" si="9"/>
        <v>95.10408524904031</v>
      </c>
      <c r="DZ45" s="13">
        <f t="shared" si="9"/>
        <v>90.074722113692729</v>
      </c>
      <c r="EA45" s="13">
        <f t="shared" si="9"/>
        <v>85.460736166771753</v>
      </c>
      <c r="EB45" s="13">
        <f t="shared" si="9"/>
        <v>81.227412482684144</v>
      </c>
      <c r="EC45" s="13">
        <f t="shared" si="9"/>
        <v>77.33508083612773</v>
      </c>
      <c r="ED45" s="13">
        <f t="shared" si="9"/>
        <v>73.739863757289939</v>
      </c>
      <c r="EE45" s="13">
        <f t="shared" si="9"/>
        <v>70.394367377028843</v>
      </c>
      <c r="EF45" s="13">
        <f t="shared" si="9"/>
        <v>67.24833513021818</v>
      </c>
      <c r="EG45" s="13">
        <f t="shared" si="9"/>
        <v>64.249277637942214</v>
      </c>
      <c r="EH45" s="13">
        <f t="shared" si="9"/>
        <v>61.343087595930271</v>
      </c>
    </row>
    <row r="46" spans="4:138" x14ac:dyDescent="0.25">
      <c r="E46" s="49"/>
      <c r="F46" s="26">
        <v>7.6666666666666675E-2</v>
      </c>
      <c r="G46">
        <f t="shared" si="10"/>
        <v>300</v>
      </c>
      <c r="H46">
        <f t="shared" si="17"/>
        <v>227.82059645463767</v>
      </c>
      <c r="I46">
        <f t="shared" si="6"/>
        <v>308.09686684208805</v>
      </c>
      <c r="J46">
        <f t="shared" si="6"/>
        <v>347.4178338746076</v>
      </c>
      <c r="K46">
        <f t="shared" si="6"/>
        <v>362.95740928235284</v>
      </c>
      <c r="L46">
        <f t="shared" si="6"/>
        <v>364.43428851509884</v>
      </c>
      <c r="M46">
        <f t="shared" si="6"/>
        <v>357.55007136563393</v>
      </c>
      <c r="N46">
        <f t="shared" si="6"/>
        <v>345.75264682094229</v>
      </c>
      <c r="O46">
        <f t="shared" si="6"/>
        <v>331.17819019095134</v>
      </c>
      <c r="P46">
        <f t="shared" si="6"/>
        <v>315.17511274879081</v>
      </c>
      <c r="Q46">
        <f t="shared" si="6"/>
        <v>298.60638270573099</v>
      </c>
      <c r="R46">
        <f t="shared" si="6"/>
        <v>282.02941574583281</v>
      </c>
      <c r="S46">
        <f t="shared" si="6"/>
        <v>265.80572373191535</v>
      </c>
      <c r="T46">
        <f t="shared" si="6"/>
        <v>250.16895481471687</v>
      </c>
      <c r="U46">
        <f t="shared" si="6"/>
        <v>235.26766443833276</v>
      </c>
      <c r="V46">
        <f t="shared" si="6"/>
        <v>221.19246149221863</v>
      </c>
      <c r="W46">
        <f t="shared" si="6"/>
        <v>207.9933766296989</v>
      </c>
      <c r="X46">
        <f t="shared" si="6"/>
        <v>195.69106860012081</v>
      </c>
      <c r="Y46">
        <f t="shared" si="6"/>
        <v>184.2841355570809</v>
      </c>
      <c r="Z46">
        <f t="shared" si="6"/>
        <v>173.75396515214445</v>
      </c>
      <c r="AA46">
        <f t="shared" si="6"/>
        <v>164.06803473381103</v>
      </c>
      <c r="AB46">
        <f t="shared" si="6"/>
        <v>155.18224194333516</v>
      </c>
      <c r="AC46">
        <f t="shared" si="6"/>
        <v>147.04263492099926</v>
      </c>
      <c r="AD46">
        <f t="shared" si="6"/>
        <v>139.58677625629579</v>
      </c>
      <c r="AE46">
        <f t="shared" si="6"/>
        <v>132.7448882419275</v>
      </c>
      <c r="AF46">
        <f t="shared" si="6"/>
        <v>126.44087151972765</v>
      </c>
      <c r="AG46">
        <f t="shared" si="6"/>
        <v>120.59325372801214</v>
      </c>
      <c r="AH46">
        <f t="shared" si="6"/>
        <v>115.1161021476744</v>
      </c>
      <c r="AI46">
        <f t="shared" si="18"/>
        <v>109.91992001254636</v>
      </c>
      <c r="AJ46">
        <f t="shared" si="18"/>
        <v>104.91253714470432</v>
      </c>
      <c r="AK46">
        <f t="shared" si="11"/>
        <v>100</v>
      </c>
      <c r="AL46" s="47"/>
      <c r="AM46" s="26">
        <v>7.6666666666666675E-2</v>
      </c>
      <c r="AN46" s="27">
        <f t="shared" si="12"/>
        <v>-269100000</v>
      </c>
      <c r="AO46" s="27">
        <f t="shared" si="12"/>
        <v>-1117753809.997395</v>
      </c>
      <c r="AP46" s="27">
        <f t="shared" si="7"/>
        <v>-1275006514.1188252</v>
      </c>
      <c r="AQ46" s="27">
        <f t="shared" si="7"/>
        <v>-1344990149.2686579</v>
      </c>
      <c r="AR46" s="27">
        <f t="shared" si="7"/>
        <v>-1360510746.6695783</v>
      </c>
      <c r="AS46" s="27">
        <f t="shared" si="7"/>
        <v>-1342205166.2145283</v>
      </c>
      <c r="AT46" s="27">
        <f t="shared" si="7"/>
        <v>-1303230334.6761329</v>
      </c>
      <c r="AU46" s="27">
        <f t="shared" si="7"/>
        <v>-1252057409.6266799</v>
      </c>
      <c r="AV46" s="27">
        <f t="shared" si="7"/>
        <v>-1194181836.5675156</v>
      </c>
      <c r="AW46" s="27">
        <f t="shared" si="7"/>
        <v>-1133190106.310384</v>
      </c>
      <c r="AX46" s="27">
        <f t="shared" si="7"/>
        <v>-1071433801.9838738</v>
      </c>
      <c r="AY46" s="27">
        <f t="shared" si="7"/>
        <v>-1010458985.4196877</v>
      </c>
      <c r="AZ46" s="27">
        <f t="shared" si="7"/>
        <v>-951281075.12969553</v>
      </c>
      <c r="BA46" s="27">
        <f t="shared" si="7"/>
        <v>-894561328.71623278</v>
      </c>
      <c r="BB46" s="27">
        <f t="shared" si="7"/>
        <v>-840720378.04342055</v>
      </c>
      <c r="BC46" s="27">
        <f t="shared" si="7"/>
        <v>-790011422.96799946</v>
      </c>
      <c r="BD46" s="27">
        <f t="shared" si="7"/>
        <v>-742567579.25898147</v>
      </c>
      <c r="BE46" s="27">
        <f t="shared" si="7"/>
        <v>-698432701.69296527</v>
      </c>
      <c r="BF46" s="27">
        <f t="shared" si="7"/>
        <v>-657581681.05705822</v>
      </c>
      <c r="BG46" s="27">
        <f t="shared" si="7"/>
        <v>-619934073.42135775</v>
      </c>
      <c r="BH46" s="27">
        <f t="shared" si="7"/>
        <v>-585363538.84558344</v>
      </c>
      <c r="BI46" s="27">
        <f t="shared" si="7"/>
        <v>-553704675.01258743</v>
      </c>
      <c r="BJ46" s="27">
        <f t="shared" si="7"/>
        <v>-524758255.89594698</v>
      </c>
      <c r="BK46" s="27">
        <f t="shared" si="7"/>
        <v>-498295514.7152018</v>
      </c>
      <c r="BL46" s="27">
        <f t="shared" si="7"/>
        <v>-474061871.86245859</v>
      </c>
      <c r="BM46" s="27">
        <f t="shared" si="7"/>
        <v>-451780355.44057781</v>
      </c>
      <c r="BN46" s="27">
        <f t="shared" si="7"/>
        <v>-431154864.26100385</v>
      </c>
      <c r="BO46" s="27">
        <f t="shared" si="7"/>
        <v>-411873361.00268781</v>
      </c>
      <c r="BP46" s="27">
        <f t="shared" si="7"/>
        <v>-393611044.03845239</v>
      </c>
      <c r="BQ46" s="27">
        <f t="shared" si="7"/>
        <v>-376033521.98140907</v>
      </c>
      <c r="BR46" s="27">
        <f t="shared" si="7"/>
        <v>-358800000</v>
      </c>
      <c r="BT46" s="47"/>
      <c r="BU46" s="26">
        <v>7.6666666666666675E-2</v>
      </c>
      <c r="BV46" s="13">
        <v>0</v>
      </c>
      <c r="BW46" s="13">
        <f t="shared" si="13"/>
        <v>0.34883720930232553</v>
      </c>
      <c r="BX46" s="13">
        <f t="shared" si="13"/>
        <v>0.39716748768472904</v>
      </c>
      <c r="BY46" s="13">
        <f t="shared" si="13"/>
        <v>0.40494040593779607</v>
      </c>
      <c r="BZ46" s="13">
        <f t="shared" si="13"/>
        <v>0.4062190081621499</v>
      </c>
      <c r="CA46" s="13">
        <f t="shared" si="13"/>
        <v>0.40643010492156101</v>
      </c>
      <c r="CB46" s="13">
        <f t="shared" si="13"/>
        <v>0.40646497802255066</v>
      </c>
      <c r="CC46" s="13">
        <f t="shared" si="13"/>
        <v>0.40647073962099717</v>
      </c>
      <c r="CD46" s="13">
        <f t="shared" si="13"/>
        <v>0.40647169154566137</v>
      </c>
      <c r="CE46" s="13">
        <f t="shared" si="13"/>
        <v>0.40647184882198806</v>
      </c>
      <c r="CF46" s="13">
        <f t="shared" si="13"/>
        <v>0.40647187480708435</v>
      </c>
      <c r="CG46" s="13">
        <f t="shared" si="13"/>
        <v>0.40647187910032606</v>
      </c>
      <c r="CH46" s="13">
        <f t="shared" si="13"/>
        <v>0.40647187980965277</v>
      </c>
      <c r="CI46" s="13">
        <f t="shared" si="13"/>
        <v>0.4064718799268473</v>
      </c>
      <c r="CJ46" s="13">
        <f t="shared" si="13"/>
        <v>0.40647187994621015</v>
      </c>
      <c r="CK46" s="13">
        <f t="shared" si="13"/>
        <v>0.40647187994940925</v>
      </c>
      <c r="CL46" s="13">
        <f t="shared" si="13"/>
        <v>0.40647187994993778</v>
      </c>
      <c r="CM46" s="13">
        <f t="shared" si="13"/>
        <v>0.40647187995002515</v>
      </c>
      <c r="CN46" s="13">
        <f t="shared" si="13"/>
        <v>0.40647187995003953</v>
      </c>
      <c r="CO46" s="13">
        <f t="shared" si="13"/>
        <v>0.40647187995004191</v>
      </c>
      <c r="CP46" s="13">
        <f t="shared" si="13"/>
        <v>0.40647187995004236</v>
      </c>
      <c r="CQ46" s="13">
        <f t="shared" si="13"/>
        <v>0.40647187995004236</v>
      </c>
      <c r="CR46" s="13">
        <f t="shared" si="13"/>
        <v>0.40647187995004236</v>
      </c>
      <c r="CS46" s="13">
        <f t="shared" si="13"/>
        <v>0.40647187995004236</v>
      </c>
      <c r="CT46" s="13">
        <f t="shared" si="13"/>
        <v>0.40647187995004236</v>
      </c>
      <c r="CU46" s="13">
        <f t="shared" si="13"/>
        <v>0.40647187995004236</v>
      </c>
      <c r="CV46" s="13">
        <f t="shared" si="13"/>
        <v>0.40647187995004236</v>
      </c>
      <c r="CW46" s="13">
        <f t="shared" si="13"/>
        <v>0.40647187995004236</v>
      </c>
      <c r="CX46" s="13">
        <f t="shared" si="13"/>
        <v>0.40647187995004236</v>
      </c>
      <c r="CY46" s="13">
        <f t="shared" si="13"/>
        <v>0.40647187995004236</v>
      </c>
      <c r="CZ46" s="13">
        <f t="shared" si="14"/>
        <v>100</v>
      </c>
      <c r="DB46" s="47"/>
      <c r="DC46" s="26">
        <v>7.6666666666666675E-2</v>
      </c>
      <c r="DD46" s="13">
        <f t="shared" si="15"/>
        <v>75</v>
      </c>
      <c r="DE46" s="13">
        <f t="shared" si="16"/>
        <v>120.34494523065347</v>
      </c>
      <c r="DF46" s="13">
        <f t="shared" si="9"/>
        <v>170.11379858523958</v>
      </c>
      <c r="DG46" s="13">
        <f t="shared" si="9"/>
        <v>200.44171322168089</v>
      </c>
      <c r="DH46" s="13">
        <f t="shared" si="9"/>
        <v>214.91727406147058</v>
      </c>
      <c r="DI46" s="13">
        <f t="shared" si="9"/>
        <v>219.11517549525263</v>
      </c>
      <c r="DJ46" s="13">
        <f t="shared" si="9"/>
        <v>217.01372937432089</v>
      </c>
      <c r="DK46" s="13">
        <f t="shared" si="9"/>
        <v>211.13840290768303</v>
      </c>
      <c r="DL46" s="13">
        <f t="shared" si="9"/>
        <v>203.06842897885579</v>
      </c>
      <c r="DM46" s="13">
        <f t="shared" si="9"/>
        <v>193.80002430034619</v>
      </c>
      <c r="DN46" s="13">
        <f t="shared" si="9"/>
        <v>183.96935733677569</v>
      </c>
      <c r="DO46" s="13">
        <f t="shared" si="9"/>
        <v>173.98686374489904</v>
      </c>
      <c r="DP46" s="13">
        <f t="shared" si="9"/>
        <v>164.11907839836127</v>
      </c>
      <c r="DQ46" s="13">
        <f t="shared" si="9"/>
        <v>154.53926496446906</v>
      </c>
      <c r="DR46" s="13">
        <f t="shared" si="9"/>
        <v>145.35914878566098</v>
      </c>
      <c r="DS46" s="13">
        <f t="shared" si="9"/>
        <v>136.64900267651939</v>
      </c>
      <c r="DT46" s="13">
        <f t="shared" si="9"/>
        <v>128.45046008639557</v>
      </c>
      <c r="DU46" s="13">
        <f t="shared" si="9"/>
        <v>120.78474957526886</v>
      </c>
      <c r="DV46" s="13">
        <f t="shared" si="9"/>
        <v>113.65803469291511</v>
      </c>
      <c r="DW46" s="13">
        <f t="shared" si="9"/>
        <v>107.0649226341835</v>
      </c>
      <c r="DX46" s="13">
        <f t="shared" si="9"/>
        <v>100.99081711624126</v>
      </c>
      <c r="DY46" s="13">
        <f t="shared" si="9"/>
        <v>95.413545694188855</v>
      </c>
      <c r="DZ46" s="13">
        <f t="shared" si="9"/>
        <v>90.304535559936767</v>
      </c>
      <c r="EA46" s="13">
        <f t="shared" si="9"/>
        <v>85.629711978841243</v>
      </c>
      <c r="EB46" s="13">
        <f t="shared" si="9"/>
        <v>81.35022949278202</v>
      </c>
      <c r="EC46" s="13">
        <f t="shared" si="9"/>
        <v>77.423104967610101</v>
      </c>
      <c r="ED46" s="13">
        <f t="shared" si="9"/>
        <v>73.801795275525819</v>
      </c>
      <c r="EE46" s="13">
        <f t="shared" si="9"/>
        <v>70.436745616216399</v>
      </c>
      <c r="EF46" s="13">
        <f t="shared" si="9"/>
        <v>67.27592380900974</v>
      </c>
      <c r="EG46" s="13">
        <f t="shared" si="9"/>
        <v>64.265349149700072</v>
      </c>
      <c r="EH46" s="13">
        <f t="shared" si="9"/>
        <v>61.349620213528127</v>
      </c>
    </row>
    <row r="47" spans="4:138" x14ac:dyDescent="0.25">
      <c r="E47" s="49"/>
      <c r="F47" s="26">
        <v>7.3333333333333334E-2</v>
      </c>
      <c r="G47">
        <f t="shared" si="10"/>
        <v>300</v>
      </c>
      <c r="H47">
        <f t="shared" si="17"/>
        <v>352.29984441997544</v>
      </c>
      <c r="I47">
        <f t="shared" si="6"/>
        <v>385.38143178189591</v>
      </c>
      <c r="J47">
        <f t="shared" si="6"/>
        <v>400.45407998257951</v>
      </c>
      <c r="K47">
        <f t="shared" si="6"/>
        <v>401.9318713961037</v>
      </c>
      <c r="L47">
        <f t="shared" si="6"/>
        <v>394.1940754631795</v>
      </c>
      <c r="M47">
        <f t="shared" si="6"/>
        <v>380.68339245664015</v>
      </c>
      <c r="N47">
        <f t="shared" si="6"/>
        <v>363.85020083709651</v>
      </c>
      <c r="O47">
        <f t="shared" si="6"/>
        <v>345.34595875089531</v>
      </c>
      <c r="P47">
        <f t="shared" si="6"/>
        <v>326.24571355550529</v>
      </c>
      <c r="Q47">
        <f t="shared" si="6"/>
        <v>307.23176908514233</v>
      </c>
      <c r="R47">
        <f t="shared" si="6"/>
        <v>288.7275806804787</v>
      </c>
      <c r="S47">
        <f t="shared" si="6"/>
        <v>270.9892784887287</v>
      </c>
      <c r="T47">
        <f t="shared" si="6"/>
        <v>254.16582667795089</v>
      </c>
      <c r="U47">
        <f t="shared" si="6"/>
        <v>238.33753548773248</v>
      </c>
      <c r="V47">
        <f t="shared" si="6"/>
        <v>223.54024389246655</v>
      </c>
      <c r="W47">
        <f t="shared" si="6"/>
        <v>209.78028108792739</v>
      </c>
      <c r="X47">
        <f t="shared" si="6"/>
        <v>197.04362056004953</v>
      </c>
      <c r="Y47">
        <f t="shared" si="6"/>
        <v>185.30144508958179</v>
      </c>
      <c r="Z47">
        <f t="shared" si="6"/>
        <v>174.51353593489125</v>
      </c>
      <c r="AA47">
        <f t="shared" si="6"/>
        <v>164.63037254798661</v>
      </c>
      <c r="AB47">
        <f t="shared" si="6"/>
        <v>155.59449093248691</v>
      </c>
      <c r="AC47">
        <f t="shared" si="6"/>
        <v>147.3414345903665</v>
      </c>
      <c r="AD47">
        <f t="shared" si="6"/>
        <v>139.80049787470432</v>
      </c>
      <c r="AE47">
        <f t="shared" si="6"/>
        <v>132.89537836345158</v>
      </c>
      <c r="AF47">
        <f t="shared" si="6"/>
        <v>126.54480375380942</v>
      </c>
      <c r="AG47">
        <f t="shared" si="6"/>
        <v>120.66316771468443</v>
      </c>
      <c r="AH47">
        <f t="shared" si="6"/>
        <v>115.1611905095842</v>
      </c>
      <c r="AI47">
        <f t="shared" si="18"/>
        <v>109.94660922461254</v>
      </c>
      <c r="AJ47">
        <f t="shared" si="18"/>
        <v>104.9248961094888</v>
      </c>
      <c r="AK47">
        <f t="shared" si="11"/>
        <v>100</v>
      </c>
      <c r="AL47" s="47"/>
      <c r="AM47" s="26">
        <v>7.3333333333333334E-2</v>
      </c>
      <c r="AN47" s="27">
        <f t="shared" si="12"/>
        <v>-1076400000</v>
      </c>
      <c r="AO47" s="27">
        <f t="shared" si="12"/>
        <v>-1343615425.9992192</v>
      </c>
      <c r="AP47" s="27">
        <f t="shared" si="7"/>
        <v>-1457305585.3609629</v>
      </c>
      <c r="AQ47" s="27">
        <f t="shared" si="7"/>
        <v>-1493111946.0763352</v>
      </c>
      <c r="AR47" s="27">
        <f t="shared" si="7"/>
        <v>-1480284086.1835167</v>
      </c>
      <c r="AS47" s="27">
        <f t="shared" si="7"/>
        <v>-1438268095.2466547</v>
      </c>
      <c r="AT47" s="27">
        <f t="shared" si="7"/>
        <v>-1379647197.7922626</v>
      </c>
      <c r="AU47" s="27">
        <f t="shared" si="7"/>
        <v>-1312412669.5354643</v>
      </c>
      <c r="AV47" s="27">
        <f t="shared" si="7"/>
        <v>-1241568752.8702543</v>
      </c>
      <c r="AW47" s="27">
        <f t="shared" si="7"/>
        <v>-1170212335.2355406</v>
      </c>
      <c r="AX47" s="27">
        <f t="shared" si="7"/>
        <v>-1100237197.3654954</v>
      </c>
      <c r="AY47" s="27">
        <f t="shared" si="7"/>
        <v>-1032783790.5600948</v>
      </c>
      <c r="AZ47" s="27">
        <f t="shared" si="7"/>
        <v>-968522050.64033425</v>
      </c>
      <c r="BA47" s="27">
        <f t="shared" si="7"/>
        <v>-907827021.15137196</v>
      </c>
      <c r="BB47" s="27">
        <f t="shared" si="7"/>
        <v>-850886739.006881</v>
      </c>
      <c r="BC47" s="27">
        <f t="shared" si="7"/>
        <v>-797767853.89256132</v>
      </c>
      <c r="BD47" s="27">
        <f t="shared" si="7"/>
        <v>-748455177.11810601</v>
      </c>
      <c r="BE47" s="27">
        <f t="shared" si="7"/>
        <v>-702875342.43177962</v>
      </c>
      <c r="BF47" s="27">
        <f t="shared" si="7"/>
        <v>-660910922.43410194</v>
      </c>
      <c r="BG47" s="27">
        <f t="shared" si="7"/>
        <v>-622408919.45575607</v>
      </c>
      <c r="BH47" s="27">
        <f t="shared" si="7"/>
        <v>-587186030.16855943</v>
      </c>
      <c r="BI47" s="27">
        <f t="shared" si="7"/>
        <v>-555032136.83397305</v>
      </c>
      <c r="BJ47" s="27">
        <f t="shared" si="7"/>
        <v>-525712892.05669814</v>
      </c>
      <c r="BK47" s="27">
        <f t="shared" si="7"/>
        <v>-498971903.14818424</v>
      </c>
      <c r="BL47" s="27">
        <f t="shared" ref="BL47:BR76" si="19">-($B$12*$B$11)/$B$8*AE11</f>
        <v>-474532801.67539674</v>
      </c>
      <c r="BM47" s="27">
        <f t="shared" si="19"/>
        <v>-452101350.18672723</v>
      </c>
      <c r="BN47" s="27">
        <f t="shared" si="19"/>
        <v>-431367658.18742537</v>
      </c>
      <c r="BO47" s="27">
        <f t="shared" si="19"/>
        <v>-412008532.43905592</v>
      </c>
      <c r="BP47" s="27">
        <f t="shared" si="19"/>
        <v>-393689959.67473948</v>
      </c>
      <c r="BQ47" s="27">
        <f t="shared" si="19"/>
        <v>-376069704.8375172</v>
      </c>
      <c r="BR47" s="27">
        <f t="shared" si="19"/>
        <v>-358800000</v>
      </c>
      <c r="BT47" s="47"/>
      <c r="BU47" s="26">
        <v>7.3333333333333334E-2</v>
      </c>
      <c r="BV47" s="13">
        <v>0</v>
      </c>
      <c r="BW47" s="13">
        <f t="shared" si="13"/>
        <v>0.34883720930232553</v>
      </c>
      <c r="BX47" s="13">
        <f t="shared" si="13"/>
        <v>0.39716748768472904</v>
      </c>
      <c r="BY47" s="13">
        <f t="shared" si="13"/>
        <v>0.40494040593779607</v>
      </c>
      <c r="BZ47" s="13">
        <f t="shared" si="13"/>
        <v>0.4062190081621499</v>
      </c>
      <c r="CA47" s="13">
        <f t="shared" si="13"/>
        <v>0.40643010492156101</v>
      </c>
      <c r="CB47" s="13">
        <f t="shared" si="13"/>
        <v>0.40646497802255066</v>
      </c>
      <c r="CC47" s="13">
        <f t="shared" si="13"/>
        <v>0.40647073962099717</v>
      </c>
      <c r="CD47" s="13">
        <f t="shared" si="13"/>
        <v>0.40647169154566137</v>
      </c>
      <c r="CE47" s="13">
        <f t="shared" si="13"/>
        <v>0.40647184882198806</v>
      </c>
      <c r="CF47" s="13">
        <f t="shared" si="13"/>
        <v>0.40647187480708435</v>
      </c>
      <c r="CG47" s="13">
        <f t="shared" si="13"/>
        <v>0.40647187910032606</v>
      </c>
      <c r="CH47" s="13">
        <f t="shared" si="13"/>
        <v>0.40647187980965277</v>
      </c>
      <c r="CI47" s="13">
        <f t="shared" si="13"/>
        <v>0.4064718799268473</v>
      </c>
      <c r="CJ47" s="13">
        <f t="shared" si="13"/>
        <v>0.40647187994621015</v>
      </c>
      <c r="CK47" s="13">
        <f t="shared" si="13"/>
        <v>0.40647187994940925</v>
      </c>
      <c r="CL47" s="13">
        <f t="shared" si="13"/>
        <v>0.40647187994993778</v>
      </c>
      <c r="CM47" s="13">
        <f t="shared" si="13"/>
        <v>0.40647187995002515</v>
      </c>
      <c r="CN47" s="13">
        <f t="shared" si="13"/>
        <v>0.40647187995003953</v>
      </c>
      <c r="CO47" s="13">
        <f t="shared" si="13"/>
        <v>0.40647187995004191</v>
      </c>
      <c r="CP47" s="13">
        <f t="shared" si="13"/>
        <v>0.40647187995004236</v>
      </c>
      <c r="CQ47" s="13">
        <f t="shared" si="13"/>
        <v>0.40647187995004236</v>
      </c>
      <c r="CR47" s="13">
        <f t="shared" si="13"/>
        <v>0.40647187995004236</v>
      </c>
      <c r="CS47" s="13">
        <f t="shared" si="13"/>
        <v>0.40647187995004236</v>
      </c>
      <c r="CT47" s="13">
        <f t="shared" si="13"/>
        <v>0.40647187995004236</v>
      </c>
      <c r="CU47" s="13">
        <f t="shared" si="13"/>
        <v>0.40647187995004236</v>
      </c>
      <c r="CV47" s="13">
        <f t="shared" si="13"/>
        <v>0.40647187995004236</v>
      </c>
      <c r="CW47" s="13">
        <f t="shared" si="13"/>
        <v>0.40647187995004236</v>
      </c>
      <c r="CX47" s="13">
        <f t="shared" si="13"/>
        <v>0.40647187995004236</v>
      </c>
      <c r="CY47" s="13">
        <f t="shared" si="13"/>
        <v>0.40647187995004236</v>
      </c>
      <c r="CZ47" s="13">
        <f t="shared" si="14"/>
        <v>100</v>
      </c>
      <c r="DB47" s="47"/>
      <c r="DC47" s="26">
        <v>7.3333333333333334E-2</v>
      </c>
      <c r="DD47" s="13">
        <f t="shared" si="15"/>
        <v>300</v>
      </c>
      <c r="DE47" s="13">
        <f t="shared" si="16"/>
        <v>217.86446124024431</v>
      </c>
      <c r="DF47" s="13">
        <f t="shared" si="9"/>
        <v>226.33409090211524</v>
      </c>
      <c r="DG47" s="13">
        <f t="shared" si="9"/>
        <v>237.69562482010321</v>
      </c>
      <c r="DH47" s="13">
        <f t="shared" si="9"/>
        <v>241.80274503805524</v>
      </c>
      <c r="DI47" s="13">
        <f t="shared" si="9"/>
        <v>239.47288432513142</v>
      </c>
      <c r="DJ47" s="13">
        <f t="shared" si="9"/>
        <v>232.79102856988908</v>
      </c>
      <c r="DK47" s="13">
        <f t="shared" si="9"/>
        <v>223.47717355849775</v>
      </c>
      <c r="DL47" s="13">
        <f t="shared" si="9"/>
        <v>212.73631170246779</v>
      </c>
      <c r="DM47" s="13">
        <f t="shared" si="9"/>
        <v>201.36464835861736</v>
      </c>
      <c r="DN47" s="13">
        <f t="shared" si="9"/>
        <v>189.87212805743442</v>
      </c>
      <c r="DO47" s="13">
        <f t="shared" si="9"/>
        <v>178.57805943712356</v>
      </c>
      <c r="DP47" s="13">
        <f t="shared" si="9"/>
        <v>167.67801713556761</v>
      </c>
      <c r="DQ47" s="13">
        <f t="shared" si="9"/>
        <v>157.28832057112058</v>
      </c>
      <c r="DR47" s="13">
        <f t="shared" si="9"/>
        <v>147.47471230912728</v>
      </c>
      <c r="DS47" s="13">
        <f t="shared" si="9"/>
        <v>138.27045866234121</v>
      </c>
      <c r="DT47" s="13">
        <f t="shared" si="9"/>
        <v>129.68759020674185</v>
      </c>
      <c r="DU47" s="13">
        <f t="shared" si="9"/>
        <v>121.72379381703085</v>
      </c>
      <c r="DV47" s="13">
        <f t="shared" si="9"/>
        <v>114.36660006139776</v>
      </c>
      <c r="DW47" s="13">
        <f t="shared" si="9"/>
        <v>107.59591890843535</v>
      </c>
      <c r="DX47" s="13">
        <f t="shared" si="9"/>
        <v>101.38558730878884</v>
      </c>
      <c r="DY47" s="13">
        <f t="shared" si="9"/>
        <v>95.704341020004449</v>
      </c>
      <c r="DZ47" s="13">
        <f t="shared" si="9"/>
        <v>90.516463401283545</v>
      </c>
      <c r="EA47" s="13">
        <f t="shared" si="9"/>
        <v>85.782263594639986</v>
      </c>
      <c r="EB47" s="13">
        <f t="shared" si="9"/>
        <v>81.458474083731502</v>
      </c>
      <c r="EC47" s="13">
        <f t="shared" ref="EC47:EH76" si="20">(EB47*$B$22-BM47)/($B$21-$B$22*CT47)</f>
        <v>77.49861913209439</v>
      </c>
      <c r="ED47" s="13">
        <f t="shared" si="20"/>
        <v>73.853382110968766</v>
      </c>
      <c r="EE47" s="13">
        <f t="shared" si="20"/>
        <v>70.470985563923279</v>
      </c>
      <c r="EF47" s="13">
        <f t="shared" si="20"/>
        <v>67.297589449425743</v>
      </c>
      <c r="EG47" s="13">
        <f t="shared" si="20"/>
        <v>64.277708114484554</v>
      </c>
      <c r="EH47" s="13">
        <f t="shared" si="20"/>
        <v>61.354643785178311</v>
      </c>
    </row>
    <row r="48" spans="4:138" x14ac:dyDescent="0.25">
      <c r="E48" s="49"/>
      <c r="F48" s="26">
        <v>7.0000000000000007E-2</v>
      </c>
      <c r="G48">
        <f t="shared" si="10"/>
        <v>300</v>
      </c>
      <c r="H48">
        <f t="shared" si="17"/>
        <v>395.84774905140807</v>
      </c>
      <c r="I48">
        <f t="shared" si="6"/>
        <v>438.92324294126911</v>
      </c>
      <c r="J48">
        <f t="shared" si="6"/>
        <v>450.58486608855833</v>
      </c>
      <c r="K48">
        <f t="shared" si="6"/>
        <v>444.29063119687692</v>
      </c>
      <c r="L48">
        <f t="shared" si="6"/>
        <v>428.2490428378569</v>
      </c>
      <c r="M48">
        <f t="shared" si="6"/>
        <v>407.34302816883525</v>
      </c>
      <c r="N48">
        <f t="shared" si="6"/>
        <v>384.41349538711938</v>
      </c>
      <c r="O48">
        <f t="shared" si="6"/>
        <v>361.07551408824742</v>
      </c>
      <c r="P48">
        <f t="shared" si="6"/>
        <v>338.22149289398692</v>
      </c>
      <c r="Q48">
        <f t="shared" si="6"/>
        <v>316.32462995175422</v>
      </c>
      <c r="R48">
        <f t="shared" si="6"/>
        <v>295.61874397155503</v>
      </c>
      <c r="S48">
        <f t="shared" si="6"/>
        <v>276.2031808396124</v>
      </c>
      <c r="T48">
        <f t="shared" si="6"/>
        <v>258.10302203695693</v>
      </c>
      <c r="U48">
        <f t="shared" si="6"/>
        <v>241.30298169393868</v>
      </c>
      <c r="V48">
        <f t="shared" si="6"/>
        <v>225.76601713900689</v>
      </c>
      <c r="W48">
        <f t="shared" si="6"/>
        <v>211.44319024078987</v>
      </c>
      <c r="X48">
        <f t="shared" si="6"/>
        <v>198.27861857451671</v>
      </c>
      <c r="Y48">
        <f t="shared" si="6"/>
        <v>186.21174901853595</v>
      </c>
      <c r="Z48">
        <f t="shared" si="6"/>
        <v>175.17823735164103</v>
      </c>
      <c r="AA48">
        <f t="shared" si="6"/>
        <v>165.11016053348089</v>
      </c>
      <c r="AB48">
        <f t="shared" ref="AB48:AJ77" si="21">CQ48*AC48+DY48</f>
        <v>155.93596381469885</v>
      </c>
      <c r="AC48">
        <f t="shared" si="21"/>
        <v>147.58035723686882</v>
      </c>
      <c r="AD48">
        <f t="shared" si="21"/>
        <v>139.96426883464895</v>
      </c>
      <c r="AE48">
        <f t="shared" si="21"/>
        <v>133.00490149730493</v>
      </c>
      <c r="AF48">
        <f t="shared" si="21"/>
        <v>126.61590728535548</v>
      </c>
      <c r="AG48">
        <f t="shared" si="21"/>
        <v>120.70767545883766</v>
      </c>
      <c r="AH48">
        <f t="shared" si="21"/>
        <v>115.18772177544461</v>
      </c>
      <c r="AI48">
        <f t="shared" si="18"/>
        <v>109.96116279662724</v>
      </c>
      <c r="AJ48">
        <f t="shared" si="18"/>
        <v>104.93125768996899</v>
      </c>
      <c r="AK48">
        <f t="shared" si="11"/>
        <v>100</v>
      </c>
      <c r="AL48" s="47"/>
      <c r="AM48" s="26">
        <v>7.0000000000000007E-2</v>
      </c>
      <c r="AN48" s="27">
        <f t="shared" si="12"/>
        <v>-1076400000</v>
      </c>
      <c r="AO48" s="27">
        <f t="shared" si="12"/>
        <v>-1638778859.9652569</v>
      </c>
      <c r="AP48" s="27">
        <f t="shared" si="12"/>
        <v>-1704910020.5475209</v>
      </c>
      <c r="AQ48" s="27">
        <f t="shared" si="12"/>
        <v>-1691035751.807085</v>
      </c>
      <c r="AR48" s="27">
        <f t="shared" si="12"/>
        <v>-1634468828.0891769</v>
      </c>
      <c r="AS48" s="27">
        <f t="shared" si="12"/>
        <v>-1556696290.6256378</v>
      </c>
      <c r="AT48" s="27">
        <f t="shared" si="12"/>
        <v>-1469924150.056334</v>
      </c>
      <c r="AU48" s="27">
        <f t="shared" si="12"/>
        <v>-1380966598.3100104</v>
      </c>
      <c r="AV48" s="27">
        <f t="shared" si="12"/>
        <v>-1293535349.7155406</v>
      </c>
      <c r="AW48" s="27">
        <f t="shared" si="12"/>
        <v>-1209576081.34023</v>
      </c>
      <c r="AX48" s="27">
        <f t="shared" si="12"/>
        <v>-1130042127.6440754</v>
      </c>
      <c r="AY48" s="27">
        <f t="shared" si="12"/>
        <v>-1055338116.7781571</v>
      </c>
      <c r="AZ48" s="27">
        <f t="shared" si="12"/>
        <v>-985571238.9292804</v>
      </c>
      <c r="BA48" s="27">
        <f t="shared" si="12"/>
        <v>-920691152.64570379</v>
      </c>
      <c r="BB48" s="27">
        <f t="shared" si="12"/>
        <v>-860565964.55517387</v>
      </c>
      <c r="BC48" s="27">
        <f t="shared" si="12"/>
        <v>-805021939.5959574</v>
      </c>
      <c r="BD48" s="27">
        <f t="shared" ref="BD48:BK77" si="22">-($B$12*$B$11)/$B$8*W12</f>
        <v>-753862989.92370689</v>
      </c>
      <c r="BE48" s="27">
        <f t="shared" si="22"/>
        <v>-706879196.70875549</v>
      </c>
      <c r="BF48" s="27">
        <f t="shared" si="22"/>
        <v>-663849653.81769145</v>
      </c>
      <c r="BG48" s="27">
        <f t="shared" si="22"/>
        <v>-624542615.34392607</v>
      </c>
      <c r="BH48" s="27">
        <f t="shared" si="22"/>
        <v>-588714592.38270402</v>
      </c>
      <c r="BI48" s="27">
        <f t="shared" si="22"/>
        <v>-556109274.98359823</v>
      </c>
      <c r="BJ48" s="27">
        <f t="shared" si="22"/>
        <v>-526456716.51885945</v>
      </c>
      <c r="BK48" s="27">
        <f t="shared" si="22"/>
        <v>-499472971.37013447</v>
      </c>
      <c r="BL48" s="27">
        <f t="shared" si="19"/>
        <v>-474860241.83319688</v>
      </c>
      <c r="BM48" s="27">
        <f t="shared" si="19"/>
        <v>-452307519.06416851</v>
      </c>
      <c r="BN48" s="27">
        <f t="shared" si="19"/>
        <v>-431491668.03377306</v>
      </c>
      <c r="BO48" s="27">
        <f t="shared" si="19"/>
        <v>-412078891.6533522</v>
      </c>
      <c r="BP48" s="27">
        <f t="shared" si="19"/>
        <v>-393726505.08355993</v>
      </c>
      <c r="BQ48" s="27">
        <f t="shared" si="19"/>
        <v>-376084952.28651541</v>
      </c>
      <c r="BR48" s="27">
        <f t="shared" si="19"/>
        <v>-358800000</v>
      </c>
      <c r="BT48" s="47"/>
      <c r="BU48" s="26">
        <v>7.0000000000000007E-2</v>
      </c>
      <c r="BV48" s="13">
        <v>0</v>
      </c>
      <c r="BW48" s="13">
        <f t="shared" si="13"/>
        <v>0.34883720930232553</v>
      </c>
      <c r="BX48" s="13">
        <f t="shared" si="13"/>
        <v>0.39716748768472904</v>
      </c>
      <c r="BY48" s="13">
        <f t="shared" si="13"/>
        <v>0.40494040593779607</v>
      </c>
      <c r="BZ48" s="13">
        <f t="shared" si="13"/>
        <v>0.4062190081621499</v>
      </c>
      <c r="CA48" s="13">
        <f t="shared" si="13"/>
        <v>0.40643010492156101</v>
      </c>
      <c r="CB48" s="13">
        <f t="shared" si="13"/>
        <v>0.40646497802255066</v>
      </c>
      <c r="CC48" s="13">
        <f t="shared" si="13"/>
        <v>0.40647073962099717</v>
      </c>
      <c r="CD48" s="13">
        <f t="shared" si="13"/>
        <v>0.40647169154566137</v>
      </c>
      <c r="CE48" s="13">
        <f t="shared" si="13"/>
        <v>0.40647184882198806</v>
      </c>
      <c r="CF48" s="13">
        <f t="shared" si="13"/>
        <v>0.40647187480708435</v>
      </c>
      <c r="CG48" s="13">
        <f t="shared" si="13"/>
        <v>0.40647187910032606</v>
      </c>
      <c r="CH48" s="13">
        <f t="shared" si="13"/>
        <v>0.40647187980965277</v>
      </c>
      <c r="CI48" s="13">
        <f t="shared" si="13"/>
        <v>0.4064718799268473</v>
      </c>
      <c r="CJ48" s="13">
        <f t="shared" si="13"/>
        <v>0.40647187994621015</v>
      </c>
      <c r="CK48" s="13">
        <f t="shared" si="13"/>
        <v>0.40647187994940925</v>
      </c>
      <c r="CL48" s="13">
        <f t="shared" si="13"/>
        <v>0.40647187994993778</v>
      </c>
      <c r="CM48" s="13">
        <f t="shared" si="13"/>
        <v>0.40647187995002515</v>
      </c>
      <c r="CN48" s="13">
        <f t="shared" si="13"/>
        <v>0.40647187995003953</v>
      </c>
      <c r="CO48" s="13">
        <f t="shared" si="13"/>
        <v>0.40647187995004191</v>
      </c>
      <c r="CP48" s="13">
        <f t="shared" si="13"/>
        <v>0.40647187995004236</v>
      </c>
      <c r="CQ48" s="13">
        <f t="shared" si="13"/>
        <v>0.40647187995004236</v>
      </c>
      <c r="CR48" s="13">
        <f t="shared" si="13"/>
        <v>0.40647187995004236</v>
      </c>
      <c r="CS48" s="13">
        <f t="shared" si="13"/>
        <v>0.40647187995004236</v>
      </c>
      <c r="CT48" s="13">
        <f t="shared" ref="CT48:CY48" si="23">$B$20/($B$21-$B$22*CS48)</f>
        <v>0.40647187995004236</v>
      </c>
      <c r="CU48" s="13">
        <f t="shared" si="23"/>
        <v>0.40647187995004236</v>
      </c>
      <c r="CV48" s="13">
        <f t="shared" si="23"/>
        <v>0.40647187995004236</v>
      </c>
      <c r="CW48" s="13">
        <f t="shared" si="23"/>
        <v>0.40647187995004236</v>
      </c>
      <c r="CX48" s="13">
        <f t="shared" si="23"/>
        <v>0.40647187995004236</v>
      </c>
      <c r="CY48" s="13">
        <f t="shared" si="23"/>
        <v>0.40647187995004236</v>
      </c>
      <c r="CZ48" s="13">
        <f t="shared" si="14"/>
        <v>100</v>
      </c>
      <c r="DB48" s="47"/>
      <c r="DC48" s="26">
        <v>7.0000000000000007E-2</v>
      </c>
      <c r="DD48" s="13">
        <f t="shared" si="15"/>
        <v>300</v>
      </c>
      <c r="DE48" s="13">
        <f t="shared" si="16"/>
        <v>242.7349898858491</v>
      </c>
      <c r="DF48" s="13">
        <f t="shared" si="16"/>
        <v>259.96558368811634</v>
      </c>
      <c r="DG48" s="13">
        <f t="shared" si="16"/>
        <v>270.67363753733531</v>
      </c>
      <c r="DH48" s="13">
        <f t="shared" si="16"/>
        <v>270.32772976889265</v>
      </c>
      <c r="DI48" s="13">
        <f t="shared" si="16"/>
        <v>262.69257316013085</v>
      </c>
      <c r="DJ48" s="13">
        <f t="shared" si="16"/>
        <v>251.09240521473788</v>
      </c>
      <c r="DK48" s="13">
        <f t="shared" si="16"/>
        <v>237.64686411663769</v>
      </c>
      <c r="DL48" s="13">
        <f t="shared" si="16"/>
        <v>223.59805175452968</v>
      </c>
      <c r="DM48" s="13">
        <f t="shared" si="16"/>
        <v>209.6444357295662</v>
      </c>
      <c r="DN48" s="13">
        <f t="shared" si="16"/>
        <v>196.1639248615208</v>
      </c>
      <c r="DO48" s="13">
        <f t="shared" si="16"/>
        <v>183.34991804219061</v>
      </c>
      <c r="DP48" s="13">
        <f t="shared" si="16"/>
        <v>171.29156028769827</v>
      </c>
      <c r="DQ48" s="13">
        <f t="shared" si="16"/>
        <v>160.02014543586807</v>
      </c>
      <c r="DR48" s="13">
        <f t="shared" si="16"/>
        <v>149.53544427947824</v>
      </c>
      <c r="DS48" s="13">
        <f t="shared" si="16"/>
        <v>139.82030609933244</v>
      </c>
      <c r="DT48" s="13">
        <f t="shared" si="16"/>
        <v>130.84850739492941</v>
      </c>
      <c r="DU48" s="13">
        <f t="shared" ref="DU48:EB77" si="24">(DT48*$B$22-BE48)/($B$21-$B$22*CL48)</f>
        <v>122.58877888217016</v>
      </c>
      <c r="DV48" s="13">
        <f t="shared" si="24"/>
        <v>115.00672155588018</v>
      </c>
      <c r="DW48" s="13">
        <f t="shared" si="24"/>
        <v>108.06560000074383</v>
      </c>
      <c r="DX48" s="13">
        <f t="shared" si="24"/>
        <v>101.72657616989848</v>
      </c>
      <c r="DY48" s="13">
        <f t="shared" si="24"/>
        <v>95.948698564929941</v>
      </c>
      <c r="DZ48" s="13">
        <f t="shared" si="24"/>
        <v>90.68881775781594</v>
      </c>
      <c r="EA48" s="13">
        <f t="shared" si="24"/>
        <v>85.901516480469212</v>
      </c>
      <c r="EB48" s="13">
        <f t="shared" si="24"/>
        <v>81.53909563144623</v>
      </c>
      <c r="EC48" s="13">
        <f t="shared" si="20"/>
        <v>77.551631517202139</v>
      </c>
      <c r="ED48" s="13">
        <f t="shared" si="20"/>
        <v>73.887105641610248</v>
      </c>
      <c r="EE48" s="13">
        <f t="shared" si="20"/>
        <v>70.491601212006884</v>
      </c>
      <c r="EF48" s="13">
        <f t="shared" si="20"/>
        <v>67.309557217863201</v>
      </c>
      <c r="EG48" s="13">
        <f t="shared" si="20"/>
        <v>64.284069694964757</v>
      </c>
      <c r="EH48" s="13">
        <f t="shared" si="20"/>
        <v>61.357229588755544</v>
      </c>
    </row>
    <row r="49" spans="5:138" x14ac:dyDescent="0.25">
      <c r="E49" s="49"/>
      <c r="F49" s="26">
        <v>6.6666666666666666E-2</v>
      </c>
      <c r="G49">
        <f t="shared" si="10"/>
        <v>300</v>
      </c>
      <c r="H49">
        <f t="shared" si="17"/>
        <v>463.90955217092676</v>
      </c>
      <c r="I49">
        <f t="shared" si="17"/>
        <v>516.9186978490352</v>
      </c>
      <c r="J49">
        <f t="shared" si="17"/>
        <v>518.91068581023251</v>
      </c>
      <c r="K49">
        <f t="shared" si="17"/>
        <v>498.54633807463938</v>
      </c>
      <c r="L49">
        <f t="shared" si="17"/>
        <v>469.4414178496213</v>
      </c>
      <c r="M49">
        <f t="shared" si="17"/>
        <v>437.95218518513508</v>
      </c>
      <c r="N49">
        <f t="shared" si="17"/>
        <v>406.94023195620252</v>
      </c>
      <c r="O49">
        <f t="shared" si="17"/>
        <v>377.59905415103481</v>
      </c>
      <c r="P49">
        <f t="shared" si="17"/>
        <v>350.34087154720601</v>
      </c>
      <c r="Q49">
        <f t="shared" si="17"/>
        <v>325.22560401833687</v>
      </c>
      <c r="R49">
        <f t="shared" si="17"/>
        <v>302.16607980636354</v>
      </c>
      <c r="S49">
        <f t="shared" si="17"/>
        <v>281.02384499444571</v>
      </c>
      <c r="T49">
        <f t="shared" si="17"/>
        <v>261.65172865974625</v>
      </c>
      <c r="U49">
        <f t="shared" si="17"/>
        <v>243.91082062023855</v>
      </c>
      <c r="V49">
        <f t="shared" si="17"/>
        <v>227.67548490571286</v>
      </c>
      <c r="W49">
        <f t="shared" si="17"/>
        <v>212.83308761467404</v>
      </c>
      <c r="X49">
        <f t="shared" ref="X49:AA78" si="25">CM49*Y49+DU49</f>
        <v>199.2816713550751</v>
      </c>
      <c r="Y49">
        <f t="shared" si="25"/>
        <v>186.92709823324765</v>
      </c>
      <c r="Z49">
        <f t="shared" si="25"/>
        <v>175.68033890647618</v>
      </c>
      <c r="AA49">
        <f t="shared" si="25"/>
        <v>165.45517362103854</v>
      </c>
      <c r="AB49">
        <f t="shared" si="21"/>
        <v>156.16637584991213</v>
      </c>
      <c r="AC49">
        <f t="shared" si="21"/>
        <v>147.72836131158869</v>
      </c>
      <c r="AD49">
        <f t="shared" si="21"/>
        <v>140.0542500004475</v>
      </c>
      <c r="AE49">
        <f t="shared" si="21"/>
        <v>133.05527882304111</v>
      </c>
      <c r="AF49">
        <f t="shared" si="21"/>
        <v>126.64050372163724</v>
      </c>
      <c r="AG49">
        <f t="shared" si="21"/>
        <v>120.71673596381696</v>
      </c>
      <c r="AH49">
        <f t="shared" si="21"/>
        <v>115.18866430024966</v>
      </c>
      <c r="AI49">
        <f t="shared" si="18"/>
        <v>109.95912142669135</v>
      </c>
      <c r="AJ49">
        <f t="shared" si="18"/>
        <v>104.92945898763102</v>
      </c>
      <c r="AK49">
        <f t="shared" si="11"/>
        <v>100</v>
      </c>
      <c r="AL49" s="47"/>
      <c r="AM49" s="26">
        <v>6.6666666666666666E-2</v>
      </c>
      <c r="AN49" s="27">
        <f t="shared" si="12"/>
        <v>-1076400000</v>
      </c>
      <c r="AO49" s="27">
        <f t="shared" si="12"/>
        <v>-2123635156.0695529</v>
      </c>
      <c r="AP49" s="27">
        <f t="shared" si="12"/>
        <v>-2065915320.8303504</v>
      </c>
      <c r="AQ49" s="27">
        <f t="shared" si="12"/>
        <v>-1954406770.4718261</v>
      </c>
      <c r="AR49" s="27">
        <f t="shared" si="12"/>
        <v>-1824970231.118026</v>
      </c>
      <c r="AS49" s="27">
        <f t="shared" si="12"/>
        <v>-1694226860.7438395</v>
      </c>
      <c r="AT49" s="27">
        <f t="shared" si="12"/>
        <v>-1569396503.5810721</v>
      </c>
      <c r="AU49" s="27">
        <f t="shared" si="12"/>
        <v>-1453184542.0044682</v>
      </c>
      <c r="AV49" s="27">
        <f t="shared" si="12"/>
        <v>-1346201806.1603696</v>
      </c>
      <c r="AW49" s="27">
        <f t="shared" si="12"/>
        <v>-1248151378.7010427</v>
      </c>
      <c r="AX49" s="27">
        <f t="shared" si="12"/>
        <v>-1158398689.8858438</v>
      </c>
      <c r="AY49" s="27">
        <f t="shared" si="12"/>
        <v>-1076234316.2290025</v>
      </c>
      <c r="AZ49" s="27">
        <f t="shared" si="12"/>
        <v>-1000985265.3443877</v>
      </c>
      <c r="BA49" s="27">
        <f t="shared" si="12"/>
        <v>-932053200.08907592</v>
      </c>
      <c r="BB49" s="27">
        <f t="shared" si="12"/>
        <v>-868918954.9599905</v>
      </c>
      <c r="BC49" s="27">
        <f t="shared" si="12"/>
        <v>-811132874.76846206</v>
      </c>
      <c r="BD49" s="27">
        <f t="shared" si="22"/>
        <v>-758300456.89128959</v>
      </c>
      <c r="BE49" s="27">
        <f t="shared" si="22"/>
        <v>-710067706.23163545</v>
      </c>
      <c r="BF49" s="27">
        <f t="shared" si="22"/>
        <v>-666108079.34936082</v>
      </c>
      <c r="BG49" s="27">
        <f t="shared" si="22"/>
        <v>-626111656.66531479</v>
      </c>
      <c r="BH49" s="27">
        <f t="shared" si="22"/>
        <v>-589776601.44303763</v>
      </c>
      <c r="BI49" s="27">
        <f t="shared" si="22"/>
        <v>-556802713.9656806</v>
      </c>
      <c r="BJ49" s="27">
        <f t="shared" si="22"/>
        <v>-526886801.02544588</v>
      </c>
      <c r="BK49" s="27">
        <f t="shared" si="22"/>
        <v>-499719568.84794384</v>
      </c>
      <c r="BL49" s="27">
        <f t="shared" si="19"/>
        <v>-474983768.66242123</v>
      </c>
      <c r="BM49" s="27">
        <f t="shared" si="19"/>
        <v>-452353356.95079851</v>
      </c>
      <c r="BN49" s="27">
        <f t="shared" si="19"/>
        <v>-431493466.80796808</v>
      </c>
      <c r="BO49" s="27">
        <f t="shared" si="19"/>
        <v>-412061018.31865865</v>
      </c>
      <c r="BP49" s="27">
        <f t="shared" si="19"/>
        <v>-393705822.68014711</v>
      </c>
      <c r="BQ49" s="27">
        <f t="shared" si="19"/>
        <v>-376072056.55870301</v>
      </c>
      <c r="BR49" s="27">
        <f t="shared" si="19"/>
        <v>-358800000</v>
      </c>
      <c r="BT49" s="47"/>
      <c r="BU49" s="26">
        <v>6.6666666666666666E-2</v>
      </c>
      <c r="BV49" s="13">
        <v>0</v>
      </c>
      <c r="BW49" s="13">
        <f t="shared" ref="BW49:CY57" si="26">$B$20/($B$21-$B$22*BV49)</f>
        <v>0.34883720930232553</v>
      </c>
      <c r="BX49" s="13">
        <f t="shared" si="26"/>
        <v>0.39716748768472904</v>
      </c>
      <c r="BY49" s="13">
        <f t="shared" si="26"/>
        <v>0.40494040593779607</v>
      </c>
      <c r="BZ49" s="13">
        <f t="shared" si="26"/>
        <v>0.4062190081621499</v>
      </c>
      <c r="CA49" s="13">
        <f t="shared" si="26"/>
        <v>0.40643010492156101</v>
      </c>
      <c r="CB49" s="13">
        <f t="shared" si="26"/>
        <v>0.40646497802255066</v>
      </c>
      <c r="CC49" s="13">
        <f t="shared" si="26"/>
        <v>0.40647073962099717</v>
      </c>
      <c r="CD49" s="13">
        <f t="shared" si="26"/>
        <v>0.40647169154566137</v>
      </c>
      <c r="CE49" s="13">
        <f t="shared" si="26"/>
        <v>0.40647184882198806</v>
      </c>
      <c r="CF49" s="13">
        <f t="shared" si="26"/>
        <v>0.40647187480708435</v>
      </c>
      <c r="CG49" s="13">
        <f t="shared" si="26"/>
        <v>0.40647187910032606</v>
      </c>
      <c r="CH49" s="13">
        <f t="shared" si="26"/>
        <v>0.40647187980965277</v>
      </c>
      <c r="CI49" s="13">
        <f t="shared" si="26"/>
        <v>0.4064718799268473</v>
      </c>
      <c r="CJ49" s="13">
        <f t="shared" si="26"/>
        <v>0.40647187994621015</v>
      </c>
      <c r="CK49" s="13">
        <f t="shared" si="26"/>
        <v>0.40647187994940925</v>
      </c>
      <c r="CL49" s="13">
        <f t="shared" si="26"/>
        <v>0.40647187994993778</v>
      </c>
      <c r="CM49" s="13">
        <f t="shared" si="26"/>
        <v>0.40647187995002515</v>
      </c>
      <c r="CN49" s="13">
        <f t="shared" si="26"/>
        <v>0.40647187995003953</v>
      </c>
      <c r="CO49" s="13">
        <f t="shared" si="26"/>
        <v>0.40647187995004191</v>
      </c>
      <c r="CP49" s="13">
        <f t="shared" si="26"/>
        <v>0.40647187995004236</v>
      </c>
      <c r="CQ49" s="13">
        <f t="shared" si="26"/>
        <v>0.40647187995004236</v>
      </c>
      <c r="CR49" s="13">
        <f t="shared" si="26"/>
        <v>0.40647187995004236</v>
      </c>
      <c r="CS49" s="13">
        <f t="shared" si="26"/>
        <v>0.40647187995004236</v>
      </c>
      <c r="CT49" s="13">
        <f t="shared" si="26"/>
        <v>0.40647187995004236</v>
      </c>
      <c r="CU49" s="13">
        <f t="shared" si="26"/>
        <v>0.40647187995004236</v>
      </c>
      <c r="CV49" s="13">
        <f t="shared" si="26"/>
        <v>0.40647187995004236</v>
      </c>
      <c r="CW49" s="13">
        <f t="shared" si="26"/>
        <v>0.40647187995004236</v>
      </c>
      <c r="CX49" s="13">
        <f t="shared" si="26"/>
        <v>0.40647187995004236</v>
      </c>
      <c r="CY49" s="13">
        <f t="shared" si="26"/>
        <v>0.40647187995004236</v>
      </c>
      <c r="CZ49" s="13">
        <f t="shared" si="14"/>
        <v>100</v>
      </c>
      <c r="DB49" s="47"/>
      <c r="DC49" s="26">
        <v>6.6666666666666666E-2</v>
      </c>
      <c r="DD49" s="13">
        <f t="shared" si="15"/>
        <v>300</v>
      </c>
      <c r="DE49" s="13">
        <f t="shared" si="16"/>
        <v>283.58907617707729</v>
      </c>
      <c r="DF49" s="13">
        <f t="shared" si="16"/>
        <v>310.8242444330254</v>
      </c>
      <c r="DG49" s="13">
        <f t="shared" si="16"/>
        <v>317.0291292914863</v>
      </c>
      <c r="DH49" s="13">
        <f t="shared" si="16"/>
        <v>307.85031092553288</v>
      </c>
      <c r="DI49" s="13">
        <f t="shared" si="16"/>
        <v>291.44446527419996</v>
      </c>
      <c r="DJ49" s="13">
        <f t="shared" si="16"/>
        <v>272.54523274656555</v>
      </c>
      <c r="DK49" s="13">
        <f t="shared" si="16"/>
        <v>253.45726513524247</v>
      </c>
      <c r="DL49" s="13">
        <f t="shared" si="16"/>
        <v>235.19540747566069</v>
      </c>
      <c r="DM49" s="13">
        <f t="shared" si="16"/>
        <v>218.14581899762487</v>
      </c>
      <c r="DN49" s="13">
        <f t="shared" si="16"/>
        <v>202.40359105633718</v>
      </c>
      <c r="DO49" s="13">
        <f t="shared" si="16"/>
        <v>187.93778945947241</v>
      </c>
      <c r="DP49" s="13">
        <f t="shared" si="16"/>
        <v>174.66977499067346</v>
      </c>
      <c r="DQ49" s="13">
        <f t="shared" si="16"/>
        <v>162.50883886773786</v>
      </c>
      <c r="DR49" s="13">
        <f t="shared" si="16"/>
        <v>151.36713825294845</v>
      </c>
      <c r="DS49" s="13">
        <f t="shared" si="16"/>
        <v>141.16481966753898</v>
      </c>
      <c r="DT49" s="13">
        <f t="shared" si="16"/>
        <v>131.830692019411</v>
      </c>
      <c r="DU49" s="13">
        <f t="shared" si="24"/>
        <v>123.30106232260391</v>
      </c>
      <c r="DV49" s="13">
        <f t="shared" si="24"/>
        <v>115.5179806076722</v>
      </c>
      <c r="DW49" s="13">
        <f t="shared" si="24"/>
        <v>108.42746343727207</v>
      </c>
      <c r="DX49" s="13">
        <f t="shared" si="24"/>
        <v>101.97793324433987</v>
      </c>
      <c r="DY49" s="13">
        <f t="shared" si="24"/>
        <v>96.118951105651576</v>
      </c>
      <c r="DZ49" s="13">
        <f t="shared" si="24"/>
        <v>90.800247018913566</v>
      </c>
      <c r="EA49" s="13">
        <f t="shared" si="24"/>
        <v>85.971020679968916</v>
      </c>
      <c r="EB49" s="13">
        <f t="shared" si="24"/>
        <v>81.579475197486886</v>
      </c>
      <c r="EC49" s="13">
        <f t="shared" si="20"/>
        <v>77.572545112991676</v>
      </c>
      <c r="ED49" s="13">
        <f t="shared" si="20"/>
        <v>73.89578303676015</v>
      </c>
      <c r="EE49" s="13">
        <f t="shared" si="20"/>
        <v>70.493373496287433</v>
      </c>
      <c r="EF49" s="13">
        <f t="shared" si="20"/>
        <v>67.308246969848099</v>
      </c>
      <c r="EG49" s="13">
        <f t="shared" si="20"/>
        <v>64.282270992626792</v>
      </c>
      <c r="EH49" s="13">
        <f t="shared" si="20"/>
        <v>61.356498466834765</v>
      </c>
    </row>
    <row r="50" spans="5:138" x14ac:dyDescent="0.25">
      <c r="E50" s="49"/>
      <c r="F50" s="26">
        <v>6.3333333333333339E-2</v>
      </c>
      <c r="G50">
        <f t="shared" si="10"/>
        <v>300</v>
      </c>
      <c r="H50">
        <f t="shared" si="17"/>
        <v>905.14057350446558</v>
      </c>
      <c r="I50">
        <f t="shared" si="17"/>
        <v>768.46883487293894</v>
      </c>
      <c r="J50">
        <f t="shared" si="17"/>
        <v>667.21005100544551</v>
      </c>
      <c r="K50">
        <f t="shared" si="17"/>
        <v>588.88315674782314</v>
      </c>
      <c r="L50">
        <f t="shared" si="17"/>
        <v>526.19389339386316</v>
      </c>
      <c r="M50">
        <f t="shared" si="17"/>
        <v>474.62206993976781</v>
      </c>
      <c r="N50">
        <f t="shared" si="17"/>
        <v>431.22823977068538</v>
      </c>
      <c r="O50">
        <f t="shared" si="17"/>
        <v>394.02898987610655</v>
      </c>
      <c r="P50">
        <f t="shared" si="17"/>
        <v>361.64873441202747</v>
      </c>
      <c r="Q50">
        <f t="shared" si="17"/>
        <v>333.11335592679166</v>
      </c>
      <c r="R50">
        <f t="shared" si="17"/>
        <v>307.72118294283734</v>
      </c>
      <c r="S50">
        <f t="shared" si="17"/>
        <v>284.95880203477225</v>
      </c>
      <c r="T50">
        <f t="shared" si="17"/>
        <v>264.44433746333038</v>
      </c>
      <c r="U50">
        <f t="shared" si="17"/>
        <v>245.88833646434057</v>
      </c>
      <c r="V50">
        <f t="shared" si="17"/>
        <v>229.06633828919763</v>
      </c>
      <c r="W50">
        <f t="shared" si="17"/>
        <v>213.7994023976247</v>
      </c>
      <c r="X50">
        <f t="shared" si="25"/>
        <v>199.94016800234994</v>
      </c>
      <c r="Y50">
        <f t="shared" si="25"/>
        <v>187.36281972422321</v>
      </c>
      <c r="Z50">
        <f t="shared" si="25"/>
        <v>175.95584931330706</v>
      </c>
      <c r="AA50">
        <f t="shared" si="25"/>
        <v>165.61684311541683</v>
      </c>
      <c r="AB50">
        <f t="shared" si="21"/>
        <v>156.24875339579467</v>
      </c>
      <c r="AC50">
        <f t="shared" si="21"/>
        <v>147.75726750225928</v>
      </c>
      <c r="AD50">
        <f t="shared" si="21"/>
        <v>140.04899646788368</v>
      </c>
      <c r="AE50">
        <f t="shared" si="21"/>
        <v>133.03027971079931</v>
      </c>
      <c r="AF50">
        <f t="shared" si="21"/>
        <v>126.60645531328289</v>
      </c>
      <c r="AG50">
        <f t="shared" si="21"/>
        <v>120.68148283760181</v>
      </c>
      <c r="AH50">
        <f t="shared" si="21"/>
        <v>115.15783238938953</v>
      </c>
      <c r="AI50">
        <f t="shared" si="18"/>
        <v>109.93657279702566</v>
      </c>
      <c r="AJ50">
        <f t="shared" si="18"/>
        <v>104.91760545406572</v>
      </c>
      <c r="AK50">
        <f t="shared" si="11"/>
        <v>100</v>
      </c>
      <c r="AL50" s="47"/>
      <c r="AM50" s="26">
        <v>6.3333333333333339E-2</v>
      </c>
      <c r="AN50" s="27">
        <f t="shared" si="12"/>
        <v>-3946800000</v>
      </c>
      <c r="AO50" s="27">
        <f t="shared" si="12"/>
        <v>-3006747349.9770312</v>
      </c>
      <c r="AP50" s="27">
        <f t="shared" si="12"/>
        <v>-2610656546.8010073</v>
      </c>
      <c r="AQ50" s="27">
        <f t="shared" si="12"/>
        <v>-2299011640.0226722</v>
      </c>
      <c r="AR50" s="27">
        <f t="shared" si="12"/>
        <v>-2048172974.4700274</v>
      </c>
      <c r="AS50" s="27">
        <f t="shared" si="12"/>
        <v>-1841957488.3117411</v>
      </c>
      <c r="AT50" s="27">
        <f t="shared" si="12"/>
        <v>-1669087094.7439334</v>
      </c>
      <c r="AU50" s="27">
        <f t="shared" si="12"/>
        <v>-1521601361.9607744</v>
      </c>
      <c r="AV50" s="27">
        <f t="shared" si="12"/>
        <v>-1393825378.7332017</v>
      </c>
      <c r="AW50" s="27">
        <f t="shared" si="12"/>
        <v>-1281677868.3779438</v>
      </c>
      <c r="AX50" s="27">
        <f t="shared" si="12"/>
        <v>-1182197850.2900233</v>
      </c>
      <c r="AY50" s="27">
        <f t="shared" si="12"/>
        <v>-1093216265.2047186</v>
      </c>
      <c r="AZ50" s="27">
        <f t="shared" si="12"/>
        <v>-1013125808.0671425</v>
      </c>
      <c r="BA50" s="27">
        <f t="shared" si="12"/>
        <v>-940718243.62847841</v>
      </c>
      <c r="BB50" s="27">
        <f t="shared" si="12"/>
        <v>-875068579.54332781</v>
      </c>
      <c r="BC50" s="27">
        <f t="shared" si="12"/>
        <v>-815452063.92766118</v>
      </c>
      <c r="BD50" s="27">
        <f t="shared" si="22"/>
        <v>-761284371.60800326</v>
      </c>
      <c r="BE50" s="27">
        <f t="shared" si="22"/>
        <v>-712078314.26743853</v>
      </c>
      <c r="BF50" s="27">
        <f t="shared" si="22"/>
        <v>-667412432.80026138</v>
      </c>
      <c r="BG50" s="27">
        <f t="shared" si="22"/>
        <v>-626908215.49421847</v>
      </c>
      <c r="BH50" s="27">
        <f t="shared" si="22"/>
        <v>-590213638.87808561</v>
      </c>
      <c r="BI50" s="27">
        <f t="shared" si="22"/>
        <v>-556991387.34411252</v>
      </c>
      <c r="BJ50" s="27">
        <f t="shared" si="22"/>
        <v>-526910566.28118497</v>
      </c>
      <c r="BK50" s="27">
        <f t="shared" si="22"/>
        <v>-499641044.61878103</v>
      </c>
      <c r="BL50" s="27">
        <f t="shared" si="19"/>
        <v>-474849789.23373669</v>
      </c>
      <c r="BM50" s="27">
        <f t="shared" si="19"/>
        <v>-452198714.70766091</v>
      </c>
      <c r="BN50" s="27">
        <f t="shared" si="19"/>
        <v>-431343687.22759467</v>
      </c>
      <c r="BO50" s="27">
        <f t="shared" si="19"/>
        <v>-411934404.46991736</v>
      </c>
      <c r="BP50" s="27">
        <f t="shared" si="19"/>
        <v>-393614933.28319597</v>
      </c>
      <c r="BQ50" s="27">
        <f t="shared" si="19"/>
        <v>-376024730.14916587</v>
      </c>
      <c r="BR50" s="27">
        <f t="shared" si="19"/>
        <v>-358800000</v>
      </c>
      <c r="BT50" s="47"/>
      <c r="BU50" s="26">
        <v>6.3333333333333339E-2</v>
      </c>
      <c r="BV50" s="13">
        <v>0</v>
      </c>
      <c r="BW50" s="13">
        <f t="shared" si="26"/>
        <v>0.34883720930232553</v>
      </c>
      <c r="BX50" s="13">
        <f t="shared" si="26"/>
        <v>0.39716748768472904</v>
      </c>
      <c r="BY50" s="13">
        <f t="shared" si="26"/>
        <v>0.40494040593779607</v>
      </c>
      <c r="BZ50" s="13">
        <f t="shared" si="26"/>
        <v>0.4062190081621499</v>
      </c>
      <c r="CA50" s="13">
        <f t="shared" si="26"/>
        <v>0.40643010492156101</v>
      </c>
      <c r="CB50" s="13">
        <f t="shared" si="26"/>
        <v>0.40646497802255066</v>
      </c>
      <c r="CC50" s="13">
        <f t="shared" si="26"/>
        <v>0.40647073962099717</v>
      </c>
      <c r="CD50" s="13">
        <f t="shared" si="26"/>
        <v>0.40647169154566137</v>
      </c>
      <c r="CE50" s="13">
        <f t="shared" si="26"/>
        <v>0.40647184882198806</v>
      </c>
      <c r="CF50" s="13">
        <f t="shared" si="26"/>
        <v>0.40647187480708435</v>
      </c>
      <c r="CG50" s="13">
        <f t="shared" si="26"/>
        <v>0.40647187910032606</v>
      </c>
      <c r="CH50" s="13">
        <f t="shared" si="26"/>
        <v>0.40647187980965277</v>
      </c>
      <c r="CI50" s="13">
        <f t="shared" si="26"/>
        <v>0.4064718799268473</v>
      </c>
      <c r="CJ50" s="13">
        <f t="shared" si="26"/>
        <v>0.40647187994621015</v>
      </c>
      <c r="CK50" s="13">
        <f t="shared" si="26"/>
        <v>0.40647187994940925</v>
      </c>
      <c r="CL50" s="13">
        <f t="shared" si="26"/>
        <v>0.40647187994993778</v>
      </c>
      <c r="CM50" s="13">
        <f t="shared" si="26"/>
        <v>0.40647187995002515</v>
      </c>
      <c r="CN50" s="13">
        <f t="shared" si="26"/>
        <v>0.40647187995003953</v>
      </c>
      <c r="CO50" s="13">
        <f t="shared" si="26"/>
        <v>0.40647187995004191</v>
      </c>
      <c r="CP50" s="13">
        <f t="shared" si="26"/>
        <v>0.40647187995004236</v>
      </c>
      <c r="CQ50" s="13">
        <f t="shared" si="26"/>
        <v>0.40647187995004236</v>
      </c>
      <c r="CR50" s="13">
        <f t="shared" si="26"/>
        <v>0.40647187995004236</v>
      </c>
      <c r="CS50" s="13">
        <f t="shared" si="26"/>
        <v>0.40647187995004236</v>
      </c>
      <c r="CT50" s="13">
        <f t="shared" si="26"/>
        <v>0.40647187995004236</v>
      </c>
      <c r="CU50" s="13">
        <f t="shared" si="26"/>
        <v>0.40647187995004236</v>
      </c>
      <c r="CV50" s="13">
        <f t="shared" si="26"/>
        <v>0.40647187995004236</v>
      </c>
      <c r="CW50" s="13">
        <f t="shared" si="26"/>
        <v>0.40647187995004236</v>
      </c>
      <c r="CX50" s="13">
        <f t="shared" si="26"/>
        <v>0.40647187995004236</v>
      </c>
      <c r="CY50" s="13">
        <f t="shared" si="26"/>
        <v>0.40647187995004236</v>
      </c>
      <c r="CZ50" s="13">
        <f t="shared" si="14"/>
        <v>100</v>
      </c>
      <c r="DB50" s="47"/>
      <c r="DC50" s="26">
        <v>6.3333333333333339E-2</v>
      </c>
      <c r="DD50" s="13">
        <f t="shared" si="15"/>
        <v>1100</v>
      </c>
      <c r="DE50" s="13">
        <f t="shared" si="16"/>
        <v>637.07004971157994</v>
      </c>
      <c r="DF50" s="13">
        <f t="shared" si="16"/>
        <v>503.47469515710617</v>
      </c>
      <c r="DG50" s="13">
        <f t="shared" si="16"/>
        <v>428.74746646205119</v>
      </c>
      <c r="DH50" s="13">
        <f t="shared" si="16"/>
        <v>375.13319527238798</v>
      </c>
      <c r="DI50" s="13">
        <f t="shared" si="16"/>
        <v>333.29319571015481</v>
      </c>
      <c r="DJ50" s="13">
        <f t="shared" si="16"/>
        <v>299.342892938673</v>
      </c>
      <c r="DK50" s="13">
        <f t="shared" si="16"/>
        <v>271.06698482362998</v>
      </c>
      <c r="DL50" s="13">
        <f t="shared" si="16"/>
        <v>247.0290170543021</v>
      </c>
      <c r="DM50" s="13">
        <f t="shared" si="16"/>
        <v>226.24753276116755</v>
      </c>
      <c r="DN50" s="13">
        <f t="shared" si="16"/>
        <v>208.0333497781628</v>
      </c>
      <c r="DO50" s="13">
        <f t="shared" si="16"/>
        <v>191.89344321358564</v>
      </c>
      <c r="DP50" s="13">
        <f t="shared" si="16"/>
        <v>177.46961508103414</v>
      </c>
      <c r="DQ50" s="13">
        <f t="shared" si="16"/>
        <v>164.49764308858474</v>
      </c>
      <c r="DR50" s="13">
        <f t="shared" si="16"/>
        <v>152.77931130753586</v>
      </c>
      <c r="DS50" s="13">
        <f t="shared" si="16"/>
        <v>142.16289326457488</v>
      </c>
      <c r="DT50" s="13">
        <f t="shared" si="16"/>
        <v>132.52934643220314</v>
      </c>
      <c r="DU50" s="13">
        <f t="shared" si="24"/>
        <v>123.78245043630727</v>
      </c>
      <c r="DV50" s="13">
        <f t="shared" si="24"/>
        <v>115.84171486563743</v>
      </c>
      <c r="DW50" s="13">
        <f t="shared" si="24"/>
        <v>108.63725974079242</v>
      </c>
      <c r="DX50" s="13">
        <f t="shared" si="24"/>
        <v>102.1061185827776</v>
      </c>
      <c r="DY50" s="13">
        <f t="shared" si="24"/>
        <v>96.189579097870052</v>
      </c>
      <c r="DZ50" s="13">
        <f t="shared" si="24"/>
        <v>90.831288622841768</v>
      </c>
      <c r="EA50" s="13">
        <f t="shared" si="24"/>
        <v>85.975928583555103</v>
      </c>
      <c r="EB50" s="13">
        <f t="shared" si="24"/>
        <v>81.568315805798179</v>
      </c>
      <c r="EC50" s="13">
        <f t="shared" si="20"/>
        <v>77.552826109124112</v>
      </c>
      <c r="ED50" s="13">
        <f t="shared" si="20"/>
        <v>73.873062215314775</v>
      </c>
      <c r="EE50" s="13">
        <f t="shared" si="20"/>
        <v>70.471706969317822</v>
      </c>
      <c r="EF50" s="13">
        <f t="shared" si="20"/>
        <v>67.290516468254751</v>
      </c>
      <c r="EG50" s="13">
        <f t="shared" si="20"/>
        <v>64.270417459061477</v>
      </c>
      <c r="EH50" s="13">
        <f t="shared" si="20"/>
        <v>61.351680338762428</v>
      </c>
    </row>
    <row r="51" spans="5:138" x14ac:dyDescent="0.25">
      <c r="E51" s="49"/>
      <c r="F51" s="26">
        <v>6.0000000000000005E-2</v>
      </c>
      <c r="G51">
        <f t="shared" si="10"/>
        <v>300</v>
      </c>
      <c r="H51">
        <f t="shared" si="17"/>
        <v>1156.4506434104351</v>
      </c>
      <c r="I51">
        <f t="shared" si="17"/>
        <v>925.92505113576362</v>
      </c>
      <c r="J51">
        <f t="shared" si="17"/>
        <v>766.22030135974637</v>
      </c>
      <c r="K51">
        <f t="shared" si="17"/>
        <v>651.64712080152458</v>
      </c>
      <c r="L51">
        <f t="shared" si="17"/>
        <v>566.42298421619773</v>
      </c>
      <c r="M51">
        <f t="shared" si="17"/>
        <v>500.73646896809669</v>
      </c>
      <c r="N51">
        <f t="shared" si="17"/>
        <v>448.40293554824899</v>
      </c>
      <c r="O51">
        <f t="shared" si="17"/>
        <v>405.46297018213886</v>
      </c>
      <c r="P51">
        <f t="shared" si="17"/>
        <v>369.33887090237272</v>
      </c>
      <c r="Q51">
        <f t="shared" si="17"/>
        <v>338.32233301238625</v>
      </c>
      <c r="R51">
        <f t="shared" si="17"/>
        <v>311.25978145046355</v>
      </c>
      <c r="S51">
        <f t="shared" si="17"/>
        <v>287.3565778171083</v>
      </c>
      <c r="T51">
        <f t="shared" si="17"/>
        <v>266.05343239540241</v>
      </c>
      <c r="U51">
        <f t="shared" si="17"/>
        <v>246.94718738151533</v>
      </c>
      <c r="V51">
        <f t="shared" si="17"/>
        <v>229.73923045875455</v>
      </c>
      <c r="W51">
        <f t="shared" si="17"/>
        <v>214.20136820465964</v>
      </c>
      <c r="X51">
        <f t="shared" si="25"/>
        <v>200.15290927270223</v>
      </c>
      <c r="Y51">
        <f t="shared" si="25"/>
        <v>187.44506721926189</v>
      </c>
      <c r="Z51">
        <f t="shared" si="25"/>
        <v>175.95022769802239</v>
      </c>
      <c r="AA51">
        <f t="shared" si="25"/>
        <v>165.55450686012452</v>
      </c>
      <c r="AB51">
        <f t="shared" si="21"/>
        <v>156.15257666624552</v>
      </c>
      <c r="AC51">
        <f t="shared" si="21"/>
        <v>147.64407875167979</v>
      </c>
      <c r="AD51">
        <f t="shared" si="21"/>
        <v>139.9311694935891</v>
      </c>
      <c r="AE51">
        <f t="shared" si="21"/>
        <v>132.91688212458172</v>
      </c>
      <c r="AF51">
        <f t="shared" si="21"/>
        <v>126.50408584687781</v>
      </c>
      <c r="AG51">
        <f t="shared" si="21"/>
        <v>120.59488461825973</v>
      </c>
      <c r="AH51">
        <f t="shared" si="21"/>
        <v>115.09034060880279</v>
      </c>
      <c r="AI51">
        <f t="shared" si="18"/>
        <v>109.89043617549387</v>
      </c>
      <c r="AJ51">
        <f t="shared" si="18"/>
        <v>104.89420794361598</v>
      </c>
      <c r="AK51">
        <f t="shared" si="11"/>
        <v>100</v>
      </c>
      <c r="AL51" s="47"/>
      <c r="AM51" s="26">
        <v>6.0000000000000005E-2</v>
      </c>
      <c r="AN51" s="27">
        <f t="shared" si="12"/>
        <v>-5382000000</v>
      </c>
      <c r="AO51" s="27">
        <f t="shared" si="12"/>
        <v>-3681426524.2929816</v>
      </c>
      <c r="AP51" s="27">
        <f t="shared" si="12"/>
        <v>-3029020795.5306921</v>
      </c>
      <c r="AQ51" s="27">
        <f t="shared" si="12"/>
        <v>-2562353744.7170968</v>
      </c>
      <c r="AR51" s="27">
        <f t="shared" si="12"/>
        <v>-2216604827.3880858</v>
      </c>
      <c r="AS51" s="27">
        <f t="shared" si="12"/>
        <v>-1951439915.0316024</v>
      </c>
      <c r="AT51" s="27">
        <f t="shared" si="12"/>
        <v>-1741361105.888562</v>
      </c>
      <c r="AU51" s="27">
        <f t="shared" si="12"/>
        <v>-1569980361.004643</v>
      </c>
      <c r="AV51" s="27">
        <f t="shared" si="12"/>
        <v>-1426583451.4160504</v>
      </c>
      <c r="AW51" s="27">
        <f t="shared" si="12"/>
        <v>-1304042564.6440251</v>
      </c>
      <c r="AX51" s="27">
        <f t="shared" si="12"/>
        <v>-1197531027.4502583</v>
      </c>
      <c r="AY51" s="27">
        <f t="shared" si="12"/>
        <v>-1103720395.4199936</v>
      </c>
      <c r="AZ51" s="27">
        <f t="shared" si="12"/>
        <v>-1020271160.2115566</v>
      </c>
      <c r="BA51" s="27">
        <f t="shared" si="12"/>
        <v>-945504547.7463342</v>
      </c>
      <c r="BB51" s="27">
        <f t="shared" si="12"/>
        <v>-878187595.62761438</v>
      </c>
      <c r="BC51" s="27">
        <f t="shared" si="12"/>
        <v>-817390166.9577347</v>
      </c>
      <c r="BD51" s="27">
        <f t="shared" si="22"/>
        <v>-762388379.3646698</v>
      </c>
      <c r="BE51" s="27">
        <f t="shared" si="22"/>
        <v>-712598484.59339452</v>
      </c>
      <c r="BF51" s="27">
        <f t="shared" si="22"/>
        <v>-667531070.69940054</v>
      </c>
      <c r="BG51" s="27">
        <f t="shared" si="22"/>
        <v>-626759065.63146985</v>
      </c>
      <c r="BH51" s="27">
        <f t="shared" si="22"/>
        <v>-589895277.34788859</v>
      </c>
      <c r="BI51" s="27">
        <f t="shared" si="22"/>
        <v>-556576635.44213235</v>
      </c>
      <c r="BJ51" s="27">
        <f t="shared" si="22"/>
        <v>-526453217.52322036</v>
      </c>
      <c r="BK51" s="27">
        <f t="shared" si="22"/>
        <v>-499180741.52219319</v>
      </c>
      <c r="BL51" s="27">
        <f t="shared" si="19"/>
        <v>-474415599.94500297</v>
      </c>
      <c r="BM51" s="27">
        <f t="shared" si="19"/>
        <v>-451811776.51538247</v>
      </c>
      <c r="BN51" s="27">
        <f t="shared" si="19"/>
        <v>-431019165.12298882</v>
      </c>
      <c r="BO51" s="27">
        <f t="shared" si="19"/>
        <v>-411682934.25913173</v>
      </c>
      <c r="BP51" s="27">
        <f t="shared" si="19"/>
        <v>-393443665.52374774</v>
      </c>
      <c r="BQ51" s="27">
        <f t="shared" si="19"/>
        <v>-375938054.10828984</v>
      </c>
      <c r="BR51" s="27">
        <f t="shared" si="19"/>
        <v>-358800000</v>
      </c>
      <c r="BT51" s="47"/>
      <c r="BU51" s="26">
        <v>6.0000000000000005E-2</v>
      </c>
      <c r="BV51" s="13">
        <v>0</v>
      </c>
      <c r="BW51" s="13">
        <f t="shared" si="26"/>
        <v>0.34883720930232553</v>
      </c>
      <c r="BX51" s="13">
        <f t="shared" si="26"/>
        <v>0.39716748768472904</v>
      </c>
      <c r="BY51" s="13">
        <f t="shared" si="26"/>
        <v>0.40494040593779607</v>
      </c>
      <c r="BZ51" s="13">
        <f t="shared" si="26"/>
        <v>0.4062190081621499</v>
      </c>
      <c r="CA51" s="13">
        <f t="shared" si="26"/>
        <v>0.40643010492156101</v>
      </c>
      <c r="CB51" s="13">
        <f t="shared" si="26"/>
        <v>0.40646497802255066</v>
      </c>
      <c r="CC51" s="13">
        <f t="shared" si="26"/>
        <v>0.40647073962099717</v>
      </c>
      <c r="CD51" s="13">
        <f t="shared" si="26"/>
        <v>0.40647169154566137</v>
      </c>
      <c r="CE51" s="13">
        <f t="shared" si="26"/>
        <v>0.40647184882198806</v>
      </c>
      <c r="CF51" s="13">
        <f t="shared" si="26"/>
        <v>0.40647187480708435</v>
      </c>
      <c r="CG51" s="13">
        <f t="shared" si="26"/>
        <v>0.40647187910032606</v>
      </c>
      <c r="CH51" s="13">
        <f t="shared" si="26"/>
        <v>0.40647187980965277</v>
      </c>
      <c r="CI51" s="13">
        <f t="shared" si="26"/>
        <v>0.4064718799268473</v>
      </c>
      <c r="CJ51" s="13">
        <f t="shared" si="26"/>
        <v>0.40647187994621015</v>
      </c>
      <c r="CK51" s="13">
        <f t="shared" si="26"/>
        <v>0.40647187994940925</v>
      </c>
      <c r="CL51" s="13">
        <f t="shared" si="26"/>
        <v>0.40647187994993778</v>
      </c>
      <c r="CM51" s="13">
        <f t="shared" si="26"/>
        <v>0.40647187995002515</v>
      </c>
      <c r="CN51" s="13">
        <f t="shared" si="26"/>
        <v>0.40647187995003953</v>
      </c>
      <c r="CO51" s="13">
        <f t="shared" si="26"/>
        <v>0.40647187995004191</v>
      </c>
      <c r="CP51" s="13">
        <f t="shared" si="26"/>
        <v>0.40647187995004236</v>
      </c>
      <c r="CQ51" s="13">
        <f t="shared" si="26"/>
        <v>0.40647187995004236</v>
      </c>
      <c r="CR51" s="13">
        <f t="shared" si="26"/>
        <v>0.40647187995004236</v>
      </c>
      <c r="CS51" s="13">
        <f t="shared" si="26"/>
        <v>0.40647187995004236</v>
      </c>
      <c r="CT51" s="13">
        <f t="shared" si="26"/>
        <v>0.40647187995004236</v>
      </c>
      <c r="CU51" s="13">
        <f t="shared" si="26"/>
        <v>0.40647187995004236</v>
      </c>
      <c r="CV51" s="13">
        <f t="shared" si="26"/>
        <v>0.40647187995004236</v>
      </c>
      <c r="CW51" s="13">
        <f t="shared" si="26"/>
        <v>0.40647187995004236</v>
      </c>
      <c r="CX51" s="13">
        <f t="shared" si="26"/>
        <v>0.40647187995004236</v>
      </c>
      <c r="CY51" s="13">
        <f t="shared" si="26"/>
        <v>0.40647187995004236</v>
      </c>
      <c r="CZ51" s="13">
        <f t="shared" si="14"/>
        <v>100</v>
      </c>
      <c r="DB51" s="47"/>
      <c r="DC51" s="26">
        <v>6.0000000000000005E-2</v>
      </c>
      <c r="DD51" s="13">
        <f t="shared" si="15"/>
        <v>1500</v>
      </c>
      <c r="DE51" s="13">
        <f t="shared" si="16"/>
        <v>833.4535325491222</v>
      </c>
      <c r="DF51" s="13">
        <f t="shared" si="16"/>
        <v>621.60725903167724</v>
      </c>
      <c r="DG51" s="13">
        <f t="shared" si="16"/>
        <v>502.34205173418104</v>
      </c>
      <c r="DH51" s="13">
        <f t="shared" si="16"/>
        <v>421.55533795297566</v>
      </c>
      <c r="DI51" s="13">
        <f t="shared" si="16"/>
        <v>362.90860859544222</v>
      </c>
      <c r="DJ51" s="13">
        <f t="shared" si="16"/>
        <v>318.47637962523049</v>
      </c>
      <c r="DK51" s="13">
        <f t="shared" si="16"/>
        <v>283.59410216938869</v>
      </c>
      <c r="DL51" s="13">
        <f t="shared" si="16"/>
        <v>255.33717457288677</v>
      </c>
      <c r="DM51" s="13">
        <f t="shared" si="16"/>
        <v>231.82036670505974</v>
      </c>
      <c r="DN51" s="13">
        <f t="shared" si="16"/>
        <v>211.80398609417298</v>
      </c>
      <c r="DO51" s="13">
        <f t="shared" si="16"/>
        <v>194.45741329330446</v>
      </c>
      <c r="DP51" s="13">
        <f t="shared" si="16"/>
        <v>179.2133390215387</v>
      </c>
      <c r="DQ51" s="13">
        <f t="shared" si="16"/>
        <v>165.67634489779044</v>
      </c>
      <c r="DR51" s="13">
        <f t="shared" si="16"/>
        <v>153.56465047954975</v>
      </c>
      <c r="DS51" s="13">
        <f t="shared" si="16"/>
        <v>142.67239763687093</v>
      </c>
      <c r="DT51" s="13">
        <f t="shared" si="16"/>
        <v>132.84483889513504</v>
      </c>
      <c r="DU51" s="13">
        <f t="shared" si="24"/>
        <v>123.96176041273</v>
      </c>
      <c r="DV51" s="13">
        <f t="shared" si="24"/>
        <v>115.92624738920922</v>
      </c>
      <c r="DW51" s="13">
        <f t="shared" si="24"/>
        <v>108.65697606038545</v>
      </c>
      <c r="DX51" s="13">
        <f t="shared" si="24"/>
        <v>102.08287546355258</v>
      </c>
      <c r="DY51" s="13">
        <f t="shared" si="24"/>
        <v>96.139410412558149</v>
      </c>
      <c r="DZ51" s="13">
        <f t="shared" si="24"/>
        <v>90.765993224012604</v>
      </c>
      <c r="EA51" s="13">
        <f t="shared" si="24"/>
        <v>85.904194539312201</v>
      </c>
      <c r="EB51" s="13">
        <f t="shared" si="24"/>
        <v>81.49652852903975</v>
      </c>
      <c r="EC51" s="13">
        <f t="shared" si="20"/>
        <v>77.485656383735346</v>
      </c>
      <c r="ED51" s="13">
        <f t="shared" si="20"/>
        <v>73.813897506908958</v>
      </c>
      <c r="EE51" s="13">
        <f t="shared" si="20"/>
        <v>70.422968428019644</v>
      </c>
      <c r="EF51" s="13">
        <f t="shared" si="20"/>
        <v>67.253890276781618</v>
      </c>
      <c r="EG51" s="13">
        <f t="shared" si="20"/>
        <v>64.247019948611737</v>
      </c>
      <c r="EH51" s="13">
        <f t="shared" si="20"/>
        <v>61.342169908703767</v>
      </c>
    </row>
    <row r="52" spans="5:138" x14ac:dyDescent="0.25">
      <c r="E52" s="49"/>
      <c r="F52" s="26">
        <v>5.6666666666666671E-2</v>
      </c>
      <c r="G52">
        <f t="shared" si="10"/>
        <v>300</v>
      </c>
      <c r="H52">
        <f t="shared" si="17"/>
        <v>1273.0219355175777</v>
      </c>
      <c r="I52">
        <f t="shared" si="17"/>
        <v>995.00105908929299</v>
      </c>
      <c r="J52">
        <f t="shared" si="17"/>
        <v>807.82583589623482</v>
      </c>
      <c r="K52">
        <f t="shared" si="17"/>
        <v>677.10015207352853</v>
      </c>
      <c r="L52">
        <f t="shared" si="17"/>
        <v>582.21252600619914</v>
      </c>
      <c r="M52">
        <f t="shared" si="17"/>
        <v>510.63896989213288</v>
      </c>
      <c r="N52">
        <f t="shared" si="17"/>
        <v>454.65162472247442</v>
      </c>
      <c r="O52">
        <f t="shared" si="17"/>
        <v>409.4015010523965</v>
      </c>
      <c r="P52">
        <f t="shared" si="17"/>
        <v>371.79088915671178</v>
      </c>
      <c r="Q52">
        <f t="shared" si="17"/>
        <v>339.80286781286952</v>
      </c>
      <c r="R52">
        <f t="shared" si="17"/>
        <v>312.09764095069579</v>
      </c>
      <c r="S52">
        <f t="shared" si="17"/>
        <v>287.76614811632174</v>
      </c>
      <c r="T52">
        <f t="shared" si="17"/>
        <v>266.17740000390239</v>
      </c>
      <c r="U52">
        <f t="shared" si="17"/>
        <v>246.88236148331981</v>
      </c>
      <c r="V52">
        <f t="shared" si="17"/>
        <v>229.55242185421844</v>
      </c>
      <c r="W52">
        <f t="shared" si="17"/>
        <v>213.93934021319305</v>
      </c>
      <c r="X52">
        <f t="shared" si="25"/>
        <v>199.84874300597863</v>
      </c>
      <c r="Y52">
        <f t="shared" si="25"/>
        <v>187.12232338642639</v>
      </c>
      <c r="Z52">
        <f t="shared" si="25"/>
        <v>175.62573051673098</v>
      </c>
      <c r="AA52">
        <f t="shared" si="25"/>
        <v>165.240249708215</v>
      </c>
      <c r="AB52">
        <f t="shared" si="21"/>
        <v>155.85705615540684</v>
      </c>
      <c r="AC52">
        <f t="shared" si="21"/>
        <v>147.3732483502738</v>
      </c>
      <c r="AD52">
        <f t="shared" si="21"/>
        <v>139.68913375973054</v>
      </c>
      <c r="AE52">
        <f t="shared" si="21"/>
        <v>132.70640954785651</v>
      </c>
      <c r="AF52">
        <f t="shared" si="21"/>
        <v>126.32699142914967</v>
      </c>
      <c r="AG52">
        <f t="shared" si="21"/>
        <v>120.45231626851653</v>
      </c>
      <c r="AH52">
        <f t="shared" si="21"/>
        <v>114.98299237590156</v>
      </c>
      <c r="AI52">
        <f t="shared" si="18"/>
        <v>109.81870399809532</v>
      </c>
      <c r="AJ52">
        <f t="shared" si="18"/>
        <v>104.85829855357608</v>
      </c>
      <c r="AK52">
        <f t="shared" si="11"/>
        <v>100</v>
      </c>
      <c r="AL52" s="47"/>
      <c r="AM52" s="26">
        <v>5.6666666666666671E-2</v>
      </c>
      <c r="AN52" s="27">
        <f t="shared" si="12"/>
        <v>-6099600000</v>
      </c>
      <c r="AO52" s="27">
        <f t="shared" si="12"/>
        <v>-3950919946.0929394</v>
      </c>
      <c r="AP52" s="27">
        <f t="shared" si="12"/>
        <v>-3193962795.6185451</v>
      </c>
      <c r="AQ52" s="27">
        <f t="shared" si="12"/>
        <v>-2664778006.2024331</v>
      </c>
      <c r="AR52" s="27">
        <f t="shared" si="12"/>
        <v>-2281065786.5325613</v>
      </c>
      <c r="AS52" s="27">
        <f t="shared" si="12"/>
        <v>-1992458293.703733</v>
      </c>
      <c r="AT52" s="27">
        <f t="shared" si="12"/>
        <v>-1767645710.6631241</v>
      </c>
      <c r="AU52" s="27">
        <f t="shared" si="12"/>
        <v>-1586837932.4959743</v>
      </c>
      <c r="AV52" s="27">
        <f t="shared" si="12"/>
        <v>-1437305007.0300109</v>
      </c>
      <c r="AW52" s="27">
        <f t="shared" si="12"/>
        <v>-1310708185.4096541</v>
      </c>
      <c r="AX52" s="27">
        <f t="shared" si="12"/>
        <v>-1201481920.5584686</v>
      </c>
      <c r="AY52" s="27">
        <f t="shared" si="12"/>
        <v>-1105839076.8560059</v>
      </c>
      <c r="AZ52" s="27">
        <f t="shared" si="12"/>
        <v>-1021149976.29247</v>
      </c>
      <c r="BA52" s="27">
        <f t="shared" si="12"/>
        <v>-945548553.50379777</v>
      </c>
      <c r="BB52" s="27">
        <f t="shared" si="12"/>
        <v>-877678403.59141922</v>
      </c>
      <c r="BC52" s="27">
        <f t="shared" si="12"/>
        <v>-816526297.54230118</v>
      </c>
      <c r="BD52" s="27">
        <f t="shared" si="22"/>
        <v>-761311267.1289593</v>
      </c>
      <c r="BE52" s="27">
        <f t="shared" si="22"/>
        <v>-711409594.69253004</v>
      </c>
      <c r="BF52" s="27">
        <f t="shared" si="22"/>
        <v>-666303413.56609082</v>
      </c>
      <c r="BG52" s="27">
        <f t="shared" si="22"/>
        <v>-625545117.16074824</v>
      </c>
      <c r="BH52" s="27">
        <f t="shared" si="22"/>
        <v>-588732546.71444476</v>
      </c>
      <c r="BI52" s="27">
        <f t="shared" si="22"/>
        <v>-555491660.49022484</v>
      </c>
      <c r="BJ52" s="27">
        <f t="shared" si="22"/>
        <v>-525464485.17238104</v>
      </c>
      <c r="BK52" s="27">
        <f t="shared" si="22"/>
        <v>-498300855.76222277</v>
      </c>
      <c r="BL52" s="27">
        <f t="shared" si="19"/>
        <v>-473652910.23199725</v>
      </c>
      <c r="BM52" s="27">
        <f t="shared" si="19"/>
        <v>-451171609.40136403</v>
      </c>
      <c r="BN52" s="27">
        <f t="shared" si="19"/>
        <v>-430504756.52184218</v>
      </c>
      <c r="BO52" s="27">
        <f t="shared" si="19"/>
        <v>-411296129.61342669</v>
      </c>
      <c r="BP52" s="27">
        <f t="shared" si="19"/>
        <v>-393185434.601358</v>
      </c>
      <c r="BQ52" s="27">
        <f t="shared" si="19"/>
        <v>-375808852.68172652</v>
      </c>
      <c r="BR52" s="27">
        <f t="shared" si="19"/>
        <v>-358800000</v>
      </c>
      <c r="BT52" s="47"/>
      <c r="BU52" s="26">
        <v>5.6666666666666671E-2</v>
      </c>
      <c r="BV52" s="13">
        <v>0</v>
      </c>
      <c r="BW52" s="13">
        <f t="shared" si="26"/>
        <v>0.34883720930232553</v>
      </c>
      <c r="BX52" s="13">
        <f t="shared" si="26"/>
        <v>0.39716748768472904</v>
      </c>
      <c r="BY52" s="13">
        <f t="shared" si="26"/>
        <v>0.40494040593779607</v>
      </c>
      <c r="BZ52" s="13">
        <f t="shared" si="26"/>
        <v>0.4062190081621499</v>
      </c>
      <c r="CA52" s="13">
        <f t="shared" si="26"/>
        <v>0.40643010492156101</v>
      </c>
      <c r="CB52" s="13">
        <f t="shared" si="26"/>
        <v>0.40646497802255066</v>
      </c>
      <c r="CC52" s="13">
        <f t="shared" si="26"/>
        <v>0.40647073962099717</v>
      </c>
      <c r="CD52" s="13">
        <f t="shared" si="26"/>
        <v>0.40647169154566137</v>
      </c>
      <c r="CE52" s="13">
        <f t="shared" si="26"/>
        <v>0.40647184882198806</v>
      </c>
      <c r="CF52" s="13">
        <f t="shared" si="26"/>
        <v>0.40647187480708435</v>
      </c>
      <c r="CG52" s="13">
        <f t="shared" si="26"/>
        <v>0.40647187910032606</v>
      </c>
      <c r="CH52" s="13">
        <f t="shared" si="26"/>
        <v>0.40647187980965277</v>
      </c>
      <c r="CI52" s="13">
        <f t="shared" si="26"/>
        <v>0.4064718799268473</v>
      </c>
      <c r="CJ52" s="13">
        <f t="shared" si="26"/>
        <v>0.40647187994621015</v>
      </c>
      <c r="CK52" s="13">
        <f t="shared" si="26"/>
        <v>0.40647187994940925</v>
      </c>
      <c r="CL52" s="13">
        <f t="shared" si="26"/>
        <v>0.40647187994993778</v>
      </c>
      <c r="CM52" s="13">
        <f t="shared" si="26"/>
        <v>0.40647187995002515</v>
      </c>
      <c r="CN52" s="13">
        <f t="shared" si="26"/>
        <v>0.40647187995003953</v>
      </c>
      <c r="CO52" s="13">
        <f t="shared" si="26"/>
        <v>0.40647187995004191</v>
      </c>
      <c r="CP52" s="13">
        <f t="shared" si="26"/>
        <v>0.40647187995004236</v>
      </c>
      <c r="CQ52" s="13">
        <f t="shared" si="26"/>
        <v>0.40647187995004236</v>
      </c>
      <c r="CR52" s="13">
        <f t="shared" si="26"/>
        <v>0.40647187995004236</v>
      </c>
      <c r="CS52" s="13">
        <f t="shared" si="26"/>
        <v>0.40647187995004236</v>
      </c>
      <c r="CT52" s="13">
        <f t="shared" si="26"/>
        <v>0.40647187995004236</v>
      </c>
      <c r="CU52" s="13">
        <f t="shared" si="26"/>
        <v>0.40647187995004236</v>
      </c>
      <c r="CV52" s="13">
        <f t="shared" si="26"/>
        <v>0.40647187995004236</v>
      </c>
      <c r="CW52" s="13">
        <f t="shared" si="26"/>
        <v>0.40647187995004236</v>
      </c>
      <c r="CX52" s="13">
        <f t="shared" si="26"/>
        <v>0.40647187995004236</v>
      </c>
      <c r="CY52" s="13">
        <f t="shared" si="26"/>
        <v>0.40647187995004236</v>
      </c>
      <c r="CZ52" s="13">
        <f t="shared" si="14"/>
        <v>100</v>
      </c>
      <c r="DB52" s="47"/>
      <c r="DC52" s="26">
        <v>5.6666666666666671E-2</v>
      </c>
      <c r="DD52" s="13">
        <f t="shared" si="15"/>
        <v>1700</v>
      </c>
      <c r="DE52" s="13">
        <f t="shared" si="16"/>
        <v>925.92854281201039</v>
      </c>
      <c r="DF52" s="13">
        <f t="shared" si="16"/>
        <v>674.1589013595692</v>
      </c>
      <c r="DG52" s="13">
        <f t="shared" si="16"/>
        <v>533.64062545503668</v>
      </c>
      <c r="DH52" s="13">
        <f t="shared" si="16"/>
        <v>440.59435721971045</v>
      </c>
      <c r="DI52" s="13">
        <f t="shared" si="16"/>
        <v>374.67347589590173</v>
      </c>
      <c r="DJ52" s="13">
        <f t="shared" si="16"/>
        <v>325.83900724139539</v>
      </c>
      <c r="DK52" s="13">
        <f t="shared" si="16"/>
        <v>288.24189378776038</v>
      </c>
      <c r="DL52" s="13">
        <f t="shared" si="16"/>
        <v>258.27902943560235</v>
      </c>
      <c r="DM52" s="13">
        <f t="shared" si="16"/>
        <v>233.67058924180108</v>
      </c>
      <c r="DN52" s="13">
        <f t="shared" si="16"/>
        <v>212.94395457277193</v>
      </c>
      <c r="DO52" s="13">
        <f t="shared" si="16"/>
        <v>195.12879398439176</v>
      </c>
      <c r="DP52" s="13">
        <f t="shared" si="16"/>
        <v>179.57251997388965</v>
      </c>
      <c r="DQ52" s="13">
        <f t="shared" si="16"/>
        <v>165.8266624109979</v>
      </c>
      <c r="DR52" s="13">
        <f t="shared" si="16"/>
        <v>153.57575702603015</v>
      </c>
      <c r="DS52" s="13">
        <f t="shared" si="16"/>
        <v>142.59209604262563</v>
      </c>
      <c r="DT52" s="13">
        <f t="shared" si="16"/>
        <v>132.70644593792093</v>
      </c>
      <c r="DU52" s="13">
        <f t="shared" si="24"/>
        <v>123.78878043848135</v>
      </c>
      <c r="DV52" s="13">
        <f t="shared" si="24"/>
        <v>115.73540253569173</v>
      </c>
      <c r="DW52" s="13">
        <f t="shared" si="24"/>
        <v>108.46021557441848</v>
      </c>
      <c r="DX52" s="13">
        <f t="shared" si="24"/>
        <v>101.88873908924745</v>
      </c>
      <c r="DY52" s="13">
        <f t="shared" si="24"/>
        <v>95.953974844126563</v>
      </c>
      <c r="DZ52" s="13">
        <f t="shared" si="24"/>
        <v>90.593543542363207</v>
      </c>
      <c r="EA52" s="13">
        <f t="shared" si="24"/>
        <v>85.747709989393059</v>
      </c>
      <c r="EB52" s="13">
        <f t="shared" si="24"/>
        <v>81.358039853217164</v>
      </c>
      <c r="EC52" s="13">
        <f t="shared" si="20"/>
        <v>77.366511991148684</v>
      </c>
      <c r="ED52" s="13">
        <f t="shared" si="20"/>
        <v>73.714963195202429</v>
      </c>
      <c r="EE52" s="13">
        <f t="shared" si="20"/>
        <v>70.344777308118523</v>
      </c>
      <c r="EF52" s="13">
        <f t="shared" si="20"/>
        <v>67.196754256660441</v>
      </c>
      <c r="EG52" s="13">
        <f t="shared" si="20"/>
        <v>64.211110558571846</v>
      </c>
      <c r="EH52" s="13">
        <f t="shared" si="20"/>
        <v>61.327573751426392</v>
      </c>
    </row>
    <row r="53" spans="5:138" x14ac:dyDescent="0.25">
      <c r="E53" s="49"/>
      <c r="F53" s="26">
        <v>5.3333333333333337E-2</v>
      </c>
      <c r="G53">
        <f t="shared" si="10"/>
        <v>300</v>
      </c>
      <c r="H53">
        <f t="shared" si="17"/>
        <v>1157.1738444584662</v>
      </c>
      <c r="I53">
        <f t="shared" si="17"/>
        <v>926.82165040437008</v>
      </c>
      <c r="J53">
        <f t="shared" si="17"/>
        <v>766.95361557287174</v>
      </c>
      <c r="K53">
        <f t="shared" si="17"/>
        <v>652.05098938202684</v>
      </c>
      <c r="L53">
        <f t="shared" si="17"/>
        <v>566.44529918692115</v>
      </c>
      <c r="M53">
        <f t="shared" si="17"/>
        <v>500.39213716912468</v>
      </c>
      <c r="N53">
        <f t="shared" si="17"/>
        <v>447.74094010161997</v>
      </c>
      <c r="O53">
        <f t="shared" si="17"/>
        <v>404.54563226171604</v>
      </c>
      <c r="P53">
        <f t="shared" si="17"/>
        <v>368.22991257014604</v>
      </c>
      <c r="Q53">
        <f t="shared" si="17"/>
        <v>337.0806779384514</v>
      </c>
      <c r="R53">
        <f t="shared" si="17"/>
        <v>309.93683143336534</v>
      </c>
      <c r="S53">
        <f t="shared" si="17"/>
        <v>285.99545908602238</v>
      </c>
      <c r="T53">
        <f t="shared" si="17"/>
        <v>264.68927648316634</v>
      </c>
      <c r="U53">
        <f t="shared" si="17"/>
        <v>245.60789748944023</v>
      </c>
      <c r="V53">
        <f t="shared" si="17"/>
        <v>228.44642767015978</v>
      </c>
      <c r="W53">
        <f t="shared" si="17"/>
        <v>212.97135737196706</v>
      </c>
      <c r="X53">
        <f t="shared" si="25"/>
        <v>198.99758735742518</v>
      </c>
      <c r="Y53">
        <f t="shared" si="25"/>
        <v>186.37274202029005</v>
      </c>
      <c r="Z53">
        <f t="shared" si="25"/>
        <v>174.96633821348865</v>
      </c>
      <c r="AA53">
        <f t="shared" si="25"/>
        <v>164.6622477339086</v>
      </c>
      <c r="AB53">
        <f t="shared" si="21"/>
        <v>155.35343395631449</v>
      </c>
      <c r="AC53">
        <f t="shared" si="21"/>
        <v>146.93828580427146</v>
      </c>
      <c r="AD53">
        <f t="shared" si="21"/>
        <v>139.31809171896077</v>
      </c>
      <c r="AE53">
        <f t="shared" si="21"/>
        <v>132.39533881659105</v>
      </c>
      <c r="AF53">
        <f t="shared" si="21"/>
        <v>126.0726162878783</v>
      </c>
      <c r="AG53">
        <f t="shared" si="21"/>
        <v>120.25196474690952</v>
      </c>
      <c r="AH53">
        <f t="shared" si="21"/>
        <v>114.83455557180739</v>
      </c>
      <c r="AI53">
        <f t="shared" si="18"/>
        <v>109.72061315431461</v>
      </c>
      <c r="AJ53">
        <f t="shared" si="18"/>
        <v>104.80951274298465</v>
      </c>
      <c r="AK53">
        <f t="shared" si="11"/>
        <v>100</v>
      </c>
      <c r="AL53" s="47"/>
      <c r="AM53" s="26">
        <v>5.3333333333333337E-2</v>
      </c>
      <c r="AN53" s="27">
        <f t="shared" si="12"/>
        <v>-5382000000</v>
      </c>
      <c r="AO53" s="27">
        <f t="shared" si="12"/>
        <v>-3686297553.3589835</v>
      </c>
      <c r="AP53" s="27">
        <f t="shared" si="12"/>
        <v>-3033631662.4693241</v>
      </c>
      <c r="AQ53" s="27">
        <f t="shared" si="12"/>
        <v>-2565672780.9031582</v>
      </c>
      <c r="AR53" s="27">
        <f t="shared" si="12"/>
        <v>-2218269634.880353</v>
      </c>
      <c r="AS53" s="27">
        <f t="shared" si="12"/>
        <v>-1951458266.8286133</v>
      </c>
      <c r="AT53" s="27">
        <f t="shared" si="12"/>
        <v>-1739922853.2686114</v>
      </c>
      <c r="AU53" s="27">
        <f t="shared" si="12"/>
        <v>-1567347111.6823444</v>
      </c>
      <c r="AV53" s="27">
        <f t="shared" si="12"/>
        <v>-1423028233.620935</v>
      </c>
      <c r="AW53" s="27">
        <f t="shared" si="12"/>
        <v>-1299819678.1538</v>
      </c>
      <c r="AX53" s="27">
        <f t="shared" si="12"/>
        <v>-1192863165.599004</v>
      </c>
      <c r="AY53" s="27">
        <f t="shared" si="12"/>
        <v>-1098795108.1698585</v>
      </c>
      <c r="AZ53" s="27">
        <f t="shared" si="12"/>
        <v>-1015242021.6584729</v>
      </c>
      <c r="BA53" s="27">
        <f t="shared" si="12"/>
        <v>-940494437.07980311</v>
      </c>
      <c r="BB53" s="27">
        <f t="shared" si="12"/>
        <v>-873292712.20990646</v>
      </c>
      <c r="BC53" s="27">
        <f t="shared" si="12"/>
        <v>-812684088.46322978</v>
      </c>
      <c r="BD53" s="27">
        <f t="shared" si="22"/>
        <v>-757925847.07630348</v>
      </c>
      <c r="BE53" s="27">
        <f t="shared" si="22"/>
        <v>-708418795.2739774</v>
      </c>
      <c r="BF53" s="27">
        <f t="shared" si="22"/>
        <v>-663661050.43321896</v>
      </c>
      <c r="BG53" s="27">
        <f t="shared" si="22"/>
        <v>-623215644.33530116</v>
      </c>
      <c r="BH53" s="27">
        <f t="shared" si="22"/>
        <v>-586687699.32304227</v>
      </c>
      <c r="BI53" s="27">
        <f t="shared" si="22"/>
        <v>-553708345.34547508</v>
      </c>
      <c r="BJ53" s="27">
        <f t="shared" si="22"/>
        <v>-523923459.6294542</v>
      </c>
      <c r="BK53" s="27">
        <f t="shared" si="22"/>
        <v>-496985906.59025592</v>
      </c>
      <c r="BL53" s="27">
        <f t="shared" si="19"/>
        <v>-472550349.92698908</v>
      </c>
      <c r="BM53" s="27">
        <f t="shared" si="19"/>
        <v>-450269973.35164738</v>
      </c>
      <c r="BN53" s="27">
        <f t="shared" si="19"/>
        <v>-429794626.11722356</v>
      </c>
      <c r="BO53" s="27">
        <f t="shared" si="19"/>
        <v>-410770033.01514244</v>
      </c>
      <c r="BP53" s="27">
        <f t="shared" si="19"/>
        <v>-392837794.09216684</v>
      </c>
      <c r="BQ53" s="27">
        <f t="shared" si="19"/>
        <v>-375635958.77487934</v>
      </c>
      <c r="BR53" s="27">
        <f t="shared" si="19"/>
        <v>-358800000</v>
      </c>
      <c r="BT53" s="47"/>
      <c r="BU53" s="26">
        <v>5.3333333333333337E-2</v>
      </c>
      <c r="BV53" s="13">
        <v>0</v>
      </c>
      <c r="BW53" s="13">
        <f t="shared" si="26"/>
        <v>0.34883720930232553</v>
      </c>
      <c r="BX53" s="13">
        <f t="shared" si="26"/>
        <v>0.39716748768472904</v>
      </c>
      <c r="BY53" s="13">
        <f t="shared" si="26"/>
        <v>0.40494040593779607</v>
      </c>
      <c r="BZ53" s="13">
        <f t="shared" si="26"/>
        <v>0.4062190081621499</v>
      </c>
      <c r="CA53" s="13">
        <f t="shared" si="26"/>
        <v>0.40643010492156101</v>
      </c>
      <c r="CB53" s="13">
        <f t="shared" si="26"/>
        <v>0.40646497802255066</v>
      </c>
      <c r="CC53" s="13">
        <f t="shared" si="26"/>
        <v>0.40647073962099717</v>
      </c>
      <c r="CD53" s="13">
        <f t="shared" si="26"/>
        <v>0.40647169154566137</v>
      </c>
      <c r="CE53" s="13">
        <f t="shared" si="26"/>
        <v>0.40647184882198806</v>
      </c>
      <c r="CF53" s="13">
        <f t="shared" si="26"/>
        <v>0.40647187480708435</v>
      </c>
      <c r="CG53" s="13">
        <f t="shared" si="26"/>
        <v>0.40647187910032606</v>
      </c>
      <c r="CH53" s="13">
        <f t="shared" si="26"/>
        <v>0.40647187980965277</v>
      </c>
      <c r="CI53" s="13">
        <f t="shared" si="26"/>
        <v>0.4064718799268473</v>
      </c>
      <c r="CJ53" s="13">
        <f t="shared" si="26"/>
        <v>0.40647187994621015</v>
      </c>
      <c r="CK53" s="13">
        <f t="shared" si="26"/>
        <v>0.40647187994940925</v>
      </c>
      <c r="CL53" s="13">
        <f t="shared" si="26"/>
        <v>0.40647187994993778</v>
      </c>
      <c r="CM53" s="13">
        <f t="shared" si="26"/>
        <v>0.40647187995002515</v>
      </c>
      <c r="CN53" s="13">
        <f t="shared" si="26"/>
        <v>0.40647187995003953</v>
      </c>
      <c r="CO53" s="13">
        <f t="shared" si="26"/>
        <v>0.40647187995004191</v>
      </c>
      <c r="CP53" s="13">
        <f t="shared" si="26"/>
        <v>0.40647187995004236</v>
      </c>
      <c r="CQ53" s="13">
        <f t="shared" si="26"/>
        <v>0.40647187995004236</v>
      </c>
      <c r="CR53" s="13">
        <f t="shared" si="26"/>
        <v>0.40647187995004236</v>
      </c>
      <c r="CS53" s="13">
        <f t="shared" si="26"/>
        <v>0.40647187995004236</v>
      </c>
      <c r="CT53" s="13">
        <f t="shared" si="26"/>
        <v>0.40647187995004236</v>
      </c>
      <c r="CU53" s="13">
        <f t="shared" si="26"/>
        <v>0.40647187995004236</v>
      </c>
      <c r="CV53" s="13">
        <f t="shared" si="26"/>
        <v>0.40647187995004236</v>
      </c>
      <c r="CW53" s="13">
        <f t="shared" si="26"/>
        <v>0.40647187995004236</v>
      </c>
      <c r="CX53" s="13">
        <f t="shared" si="26"/>
        <v>0.40647187995004236</v>
      </c>
      <c r="CY53" s="13">
        <f t="shared" si="26"/>
        <v>0.40647187995004236</v>
      </c>
      <c r="CZ53" s="13">
        <f t="shared" si="14"/>
        <v>100</v>
      </c>
      <c r="DB53" s="47"/>
      <c r="DC53" s="26">
        <v>5.3333333333333337E-2</v>
      </c>
      <c r="DD53" s="13">
        <f t="shared" si="15"/>
        <v>1500</v>
      </c>
      <c r="DE53" s="13">
        <f t="shared" si="16"/>
        <v>833.86396641043007</v>
      </c>
      <c r="DF53" s="13">
        <f t="shared" si="16"/>
        <v>622.21260973657309</v>
      </c>
      <c r="DG53" s="13">
        <f t="shared" si="16"/>
        <v>502.9118232403722</v>
      </c>
      <c r="DH53" s="13">
        <f t="shared" si="16"/>
        <v>421.95014176820348</v>
      </c>
      <c r="DI53" s="13">
        <f t="shared" si="16"/>
        <v>363.07087037534967</v>
      </c>
      <c r="DJ53" s="13">
        <f t="shared" si="16"/>
        <v>318.40112579092357</v>
      </c>
      <c r="DK53" s="13">
        <f t="shared" si="16"/>
        <v>283.30497774575633</v>
      </c>
      <c r="DL53" s="13">
        <f t="shared" si="16"/>
        <v>254.8705968216178</v>
      </c>
      <c r="DM53" s="13">
        <f t="shared" si="16"/>
        <v>231.21610620633459</v>
      </c>
      <c r="DN53" s="13">
        <f t="shared" si="16"/>
        <v>211.10007299396412</v>
      </c>
      <c r="DO53" s="13">
        <f t="shared" si="16"/>
        <v>193.68771976450941</v>
      </c>
      <c r="DP53" s="13">
        <f t="shared" si="16"/>
        <v>178.40671130845286</v>
      </c>
      <c r="DQ53" s="13">
        <f t="shared" si="16"/>
        <v>164.85657266575316</v>
      </c>
      <c r="DR53" s="13">
        <f t="shared" si="16"/>
        <v>152.75084856735447</v>
      </c>
      <c r="DS53" s="13">
        <f t="shared" si="16"/>
        <v>141.87955966379883</v>
      </c>
      <c r="DT53" s="13">
        <f t="shared" si="16"/>
        <v>132.08443393329247</v>
      </c>
      <c r="DU53" s="13">
        <f t="shared" si="24"/>
        <v>123.24230853699682</v>
      </c>
      <c r="DV53" s="13">
        <f t="shared" si="24"/>
        <v>115.25384559867886</v>
      </c>
      <c r="DW53" s="13">
        <f t="shared" si="24"/>
        <v>108.0357648202873</v>
      </c>
      <c r="DX53" s="13">
        <f t="shared" si="24"/>
        <v>101.51544537699071</v>
      </c>
      <c r="DY53" s="13">
        <f t="shared" si="24"/>
        <v>95.627152688815656</v>
      </c>
      <c r="DZ53" s="13">
        <f t="shared" si="24"/>
        <v>90.309399152213032</v>
      </c>
      <c r="EA53" s="13">
        <f t="shared" si="24"/>
        <v>85.50310945355821</v>
      </c>
      <c r="EB53" s="13">
        <f t="shared" si="24"/>
        <v>81.150365463836835</v>
      </c>
      <c r="EC53" s="13">
        <f t="shared" si="20"/>
        <v>77.193574109515765</v>
      </c>
      <c r="ED53" s="13">
        <f t="shared" si="20"/>
        <v>73.574947060409357</v>
      </c>
      <c r="EE53" s="13">
        <f t="shared" si="20"/>
        <v>70.236211673701789</v>
      </c>
      <c r="EF53" s="13">
        <f t="shared" si="20"/>
        <v>67.118493473025723</v>
      </c>
      <c r="EG53" s="13">
        <f t="shared" si="20"/>
        <v>64.162324747980406</v>
      </c>
      <c r="EH53" s="13">
        <f t="shared" si="20"/>
        <v>61.307743691280407</v>
      </c>
    </row>
    <row r="54" spans="5:138" x14ac:dyDescent="0.25">
      <c r="E54" s="49"/>
      <c r="F54" s="26">
        <v>0.05</v>
      </c>
      <c r="G54">
        <f t="shared" si="10"/>
        <v>300</v>
      </c>
      <c r="H54">
        <f t="shared" si="17"/>
        <v>906.83874694997576</v>
      </c>
      <c r="I54">
        <f t="shared" si="17"/>
        <v>770.5077441366152</v>
      </c>
      <c r="J54">
        <f t="shared" si="17"/>
        <v>668.83840488867384</v>
      </c>
      <c r="K54">
        <f t="shared" si="17"/>
        <v>589.76615346054814</v>
      </c>
      <c r="L54">
        <f t="shared" si="17"/>
        <v>526.24917292273381</v>
      </c>
      <c r="M54">
        <f t="shared" si="17"/>
        <v>473.90379224055857</v>
      </c>
      <c r="N54">
        <f t="shared" si="17"/>
        <v>429.85373425577438</v>
      </c>
      <c r="O54">
        <f t="shared" si="17"/>
        <v>392.13605599359687</v>
      </c>
      <c r="P54">
        <f t="shared" si="17"/>
        <v>359.37278940734416</v>
      </c>
      <c r="Q54">
        <f t="shared" si="17"/>
        <v>330.57653499679191</v>
      </c>
      <c r="R54">
        <f t="shared" si="17"/>
        <v>305.02820658998019</v>
      </c>
      <c r="S54">
        <f t="shared" si="17"/>
        <v>282.19643302579988</v>
      </c>
      <c r="T54">
        <f t="shared" si="17"/>
        <v>261.68258282683848</v>
      </c>
      <c r="U54">
        <f t="shared" si="17"/>
        <v>243.18237598515901</v>
      </c>
      <c r="V54">
        <f t="shared" si="17"/>
        <v>226.45864690901487</v>
      </c>
      <c r="W54">
        <f t="shared" si="17"/>
        <v>211.32180723372221</v>
      </c>
      <c r="X54">
        <f t="shared" si="25"/>
        <v>197.61572770563845</v>
      </c>
      <c r="Y54">
        <f t="shared" si="25"/>
        <v>185.20748908534773</v>
      </c>
      <c r="Z54">
        <f t="shared" si="25"/>
        <v>173.9799280149052</v>
      </c>
      <c r="AA54">
        <f t="shared" si="25"/>
        <v>163.82622303555789</v>
      </c>
      <c r="AB54">
        <f t="shared" si="21"/>
        <v>154.64598420544493</v>
      </c>
      <c r="AC54">
        <f t="shared" si="21"/>
        <v>146.34246091681237</v>
      </c>
      <c r="AD54">
        <f t="shared" si="21"/>
        <v>138.82058815009307</v>
      </c>
      <c r="AE54">
        <f t="shared" si="21"/>
        <v>131.98566577350709</v>
      </c>
      <c r="AF54">
        <f t="shared" si="21"/>
        <v>125.74251819084121</v>
      </c>
      <c r="AG54">
        <f t="shared" si="21"/>
        <v>119.99501918610915</v>
      </c>
      <c r="AH54">
        <f t="shared" si="21"/>
        <v>114.64589368314219</v>
      </c>
      <c r="AI54">
        <f t="shared" si="18"/>
        <v>109.59672739833707</v>
      </c>
      <c r="AJ54">
        <f t="shared" si="18"/>
        <v>104.74812911711643</v>
      </c>
      <c r="AK54">
        <f t="shared" si="11"/>
        <v>100</v>
      </c>
      <c r="AL54" s="47"/>
      <c r="AM54" s="26">
        <v>0.05</v>
      </c>
      <c r="AN54" s="27">
        <f t="shared" si="12"/>
        <v>-3946800000</v>
      </c>
      <c r="AO54" s="27">
        <f t="shared" si="12"/>
        <v>-3018460188.076726</v>
      </c>
      <c r="AP54" s="27">
        <f t="shared" si="12"/>
        <v>-2621082498.8013391</v>
      </c>
      <c r="AQ54" s="27">
        <f t="shared" si="12"/>
        <v>-2306240253.1665249</v>
      </c>
      <c r="AR54" s="27">
        <f t="shared" si="12"/>
        <v>-2051682137.1305585</v>
      </c>
      <c r="AS54" s="27">
        <f t="shared" si="12"/>
        <v>-1841931609.0444224</v>
      </c>
      <c r="AT54" s="27">
        <f t="shared" si="12"/>
        <v>-1666024170.5919254</v>
      </c>
      <c r="AU54" s="27">
        <f t="shared" si="12"/>
        <v>-1516099146.4581263</v>
      </c>
      <c r="AV54" s="27">
        <f t="shared" si="12"/>
        <v>-1386472904.5666966</v>
      </c>
      <c r="AW54" s="27">
        <f t="shared" si="12"/>
        <v>-1273006137.9861505</v>
      </c>
      <c r="AX54" s="27">
        <f t="shared" si="12"/>
        <v>-1172662193.9130037</v>
      </c>
      <c r="AY54" s="27">
        <f t="shared" si="12"/>
        <v>-1083194668.1963549</v>
      </c>
      <c r="AZ54" s="27">
        <f t="shared" si="12"/>
        <v>-1002924598.9645636</v>
      </c>
      <c r="BA54" s="27">
        <f t="shared" si="12"/>
        <v>-930580623.68354952</v>
      </c>
      <c r="BB54" s="27">
        <f t="shared" si="12"/>
        <v>-865183747.0854342</v>
      </c>
      <c r="BC54" s="27">
        <f t="shared" si="12"/>
        <v>-805963902.99002028</v>
      </c>
      <c r="BD54" s="27">
        <f t="shared" si="22"/>
        <v>-752299297.34515071</v>
      </c>
      <c r="BE54" s="27">
        <f t="shared" si="22"/>
        <v>-703672169.64956737</v>
      </c>
      <c r="BF54" s="27">
        <f t="shared" si="22"/>
        <v>-659636465.78185606</v>
      </c>
      <c r="BG54" s="27">
        <f t="shared" si="22"/>
        <v>-619794217.50034571</v>
      </c>
      <c r="BH54" s="27">
        <f t="shared" si="22"/>
        <v>-583778338.39375126</v>
      </c>
      <c r="BI54" s="27">
        <f t="shared" si="22"/>
        <v>-551240188.98740768</v>
      </c>
      <c r="BJ54" s="27">
        <f t="shared" si="22"/>
        <v>-521840716.60880214</v>
      </c>
      <c r="BK54" s="27">
        <f t="shared" si="22"/>
        <v>-495244295.66738224</v>
      </c>
      <c r="BL54" s="27">
        <f t="shared" si="19"/>
        <v>-471114621.14851439</v>
      </c>
      <c r="BM54" s="27">
        <f t="shared" si="19"/>
        <v>-449112170.15609252</v>
      </c>
      <c r="BN54" s="27">
        <f t="shared" si="19"/>
        <v>-428892862.54245216</v>
      </c>
      <c r="BO54" s="27">
        <f t="shared" si="19"/>
        <v>-410107635.37192434</v>
      </c>
      <c r="BP54" s="27">
        <f t="shared" si="19"/>
        <v>-392402706.37039351</v>
      </c>
      <c r="BQ54" s="27">
        <f t="shared" si="19"/>
        <v>-375420344.93282264</v>
      </c>
      <c r="BR54" s="27">
        <f t="shared" si="19"/>
        <v>-358800000</v>
      </c>
      <c r="BT54" s="47"/>
      <c r="BU54" s="26">
        <v>0.05</v>
      </c>
      <c r="BV54" s="13">
        <v>0</v>
      </c>
      <c r="BW54" s="13">
        <f t="shared" si="26"/>
        <v>0.34883720930232553</v>
      </c>
      <c r="BX54" s="13">
        <f t="shared" si="26"/>
        <v>0.39716748768472904</v>
      </c>
      <c r="BY54" s="13">
        <f t="shared" si="26"/>
        <v>0.40494040593779607</v>
      </c>
      <c r="BZ54" s="13">
        <f t="shared" si="26"/>
        <v>0.4062190081621499</v>
      </c>
      <c r="CA54" s="13">
        <f t="shared" si="26"/>
        <v>0.40643010492156101</v>
      </c>
      <c r="CB54" s="13">
        <f t="shared" si="26"/>
        <v>0.40646497802255066</v>
      </c>
      <c r="CC54" s="13">
        <f t="shared" si="26"/>
        <v>0.40647073962099717</v>
      </c>
      <c r="CD54" s="13">
        <f t="shared" si="26"/>
        <v>0.40647169154566137</v>
      </c>
      <c r="CE54" s="13">
        <f t="shared" si="26"/>
        <v>0.40647184882198806</v>
      </c>
      <c r="CF54" s="13">
        <f t="shared" si="26"/>
        <v>0.40647187480708435</v>
      </c>
      <c r="CG54" s="13">
        <f t="shared" si="26"/>
        <v>0.40647187910032606</v>
      </c>
      <c r="CH54" s="13">
        <f t="shared" si="26"/>
        <v>0.40647187980965277</v>
      </c>
      <c r="CI54" s="13">
        <f t="shared" si="26"/>
        <v>0.4064718799268473</v>
      </c>
      <c r="CJ54" s="13">
        <f t="shared" si="26"/>
        <v>0.40647187994621015</v>
      </c>
      <c r="CK54" s="13">
        <f t="shared" si="26"/>
        <v>0.40647187994940925</v>
      </c>
      <c r="CL54" s="13">
        <f t="shared" si="26"/>
        <v>0.40647187994993778</v>
      </c>
      <c r="CM54" s="13">
        <f t="shared" si="26"/>
        <v>0.40647187995002515</v>
      </c>
      <c r="CN54" s="13">
        <f t="shared" si="26"/>
        <v>0.40647187995003953</v>
      </c>
      <c r="CO54" s="13">
        <f t="shared" si="26"/>
        <v>0.40647187995004191</v>
      </c>
      <c r="CP54" s="13">
        <f t="shared" si="26"/>
        <v>0.40647187995004236</v>
      </c>
      <c r="CQ54" s="13">
        <f t="shared" si="26"/>
        <v>0.40647187995004236</v>
      </c>
      <c r="CR54" s="13">
        <f t="shared" si="26"/>
        <v>0.40647187995004236</v>
      </c>
      <c r="CS54" s="13">
        <f t="shared" si="26"/>
        <v>0.40647187995004236</v>
      </c>
      <c r="CT54" s="13">
        <f t="shared" si="26"/>
        <v>0.40647187995004236</v>
      </c>
      <c r="CU54" s="13">
        <f t="shared" si="26"/>
        <v>0.40647187995004236</v>
      </c>
      <c r="CV54" s="13">
        <f t="shared" si="26"/>
        <v>0.40647187995004236</v>
      </c>
      <c r="CW54" s="13">
        <f t="shared" si="26"/>
        <v>0.40647187995004236</v>
      </c>
      <c r="CX54" s="13">
        <f t="shared" si="26"/>
        <v>0.40647187995004236</v>
      </c>
      <c r="CY54" s="13">
        <f t="shared" si="26"/>
        <v>0.40647187995004236</v>
      </c>
      <c r="CZ54" s="13">
        <f t="shared" si="14"/>
        <v>100</v>
      </c>
      <c r="DB54" s="47"/>
      <c r="DC54" s="26">
        <v>0.05</v>
      </c>
      <c r="DD54" s="13">
        <f t="shared" si="15"/>
        <v>1100</v>
      </c>
      <c r="DE54" s="13">
        <f t="shared" si="16"/>
        <v>638.05697573952864</v>
      </c>
      <c r="DF54" s="13">
        <f t="shared" si="16"/>
        <v>504.86687519991904</v>
      </c>
      <c r="DG54" s="13">
        <f t="shared" si="16"/>
        <v>430.01825929798696</v>
      </c>
      <c r="DH54" s="13">
        <f t="shared" si="16"/>
        <v>375.99373638972355</v>
      </c>
      <c r="DI54" s="13">
        <f t="shared" si="16"/>
        <v>333.64040491967791</v>
      </c>
      <c r="DJ54" s="13">
        <f t="shared" si="16"/>
        <v>299.18330359337392</v>
      </c>
      <c r="DK54" s="13">
        <f t="shared" si="16"/>
        <v>270.46190154399631</v>
      </c>
      <c r="DL54" s="13">
        <f t="shared" si="16"/>
        <v>246.06119038771092</v>
      </c>
      <c r="DM54" s="13">
        <f t="shared" si="16"/>
        <v>225.00273405003151</v>
      </c>
      <c r="DN54" s="13">
        <f t="shared" si="16"/>
        <v>206.59114799512</v>
      </c>
      <c r="DO54" s="13">
        <f t="shared" si="16"/>
        <v>190.32329218257402</v>
      </c>
      <c r="DP54" s="13">
        <f t="shared" si="16"/>
        <v>175.82982167072967</v>
      </c>
      <c r="DQ54" s="13">
        <f t="shared" si="16"/>
        <v>162.83578529507349</v>
      </c>
      <c r="DR54" s="13">
        <f t="shared" si="16"/>
        <v>151.13330404597673</v>
      </c>
      <c r="DS54" s="13">
        <f t="shared" si="16"/>
        <v>140.56227464841714</v>
      </c>
      <c r="DT54" s="13">
        <f t="shared" si="16"/>
        <v>130.99657088553636</v>
      </c>
      <c r="DU54" s="13">
        <f t="shared" si="24"/>
        <v>122.33409143629339</v>
      </c>
      <c r="DV54" s="13">
        <f t="shared" si="24"/>
        <v>114.48954067155665</v>
      </c>
      <c r="DW54" s="13">
        <f t="shared" si="24"/>
        <v>107.38917515252712</v>
      </c>
      <c r="DX54" s="13">
        <f t="shared" si="24"/>
        <v>100.96697910884612</v>
      </c>
      <c r="DY54" s="13">
        <f t="shared" si="24"/>
        <v>95.161889000072605</v>
      </c>
      <c r="DZ54" s="13">
        <f t="shared" si="24"/>
        <v>89.915795475673477</v>
      </c>
      <c r="EA54" s="13">
        <f t="shared" si="24"/>
        <v>85.172126456677688</v>
      </c>
      <c r="EB54" s="13">
        <f t="shared" si="24"/>
        <v>80.874868014823463</v>
      </c>
      <c r="EC54" s="13">
        <f t="shared" si="20"/>
        <v>76.967917157622026</v>
      </c>
      <c r="ED54" s="13">
        <f t="shared" si="20"/>
        <v>73.394687252169646</v>
      </c>
      <c r="EE54" s="13">
        <f t="shared" si="20"/>
        <v>70.097905861167803</v>
      </c>
      <c r="EF54" s="13">
        <f t="shared" si="20"/>
        <v>67.019558434852968</v>
      </c>
      <c r="EG54" s="13">
        <f t="shared" si="20"/>
        <v>64.100941122112204</v>
      </c>
      <c r="EH54" s="13">
        <f t="shared" si="20"/>
        <v>61.282792973475601</v>
      </c>
    </row>
    <row r="55" spans="5:138" x14ac:dyDescent="0.25">
      <c r="E55" s="49"/>
      <c r="F55" s="26">
        <v>4.6666666666666669E-2</v>
      </c>
      <c r="G55">
        <f t="shared" si="10"/>
        <v>300</v>
      </c>
      <c r="H55">
        <f t="shared" si="17"/>
        <v>467.18752239335879</v>
      </c>
      <c r="I55">
        <f t="shared" si="17"/>
        <v>520.65822008009229</v>
      </c>
      <c r="J55">
        <f t="shared" si="17"/>
        <v>521.78043114237198</v>
      </c>
      <c r="K55">
        <f t="shared" si="17"/>
        <v>500.05558524181811</v>
      </c>
      <c r="L55">
        <f t="shared" si="17"/>
        <v>469.53724553802255</v>
      </c>
      <c r="M55">
        <f t="shared" si="17"/>
        <v>436.78588888092759</v>
      </c>
      <c r="N55">
        <f t="shared" si="17"/>
        <v>404.74010242291843</v>
      </c>
      <c r="O55">
        <f t="shared" si="17"/>
        <v>374.60558155800436</v>
      </c>
      <c r="P55">
        <f t="shared" si="17"/>
        <v>346.77668699988794</v>
      </c>
      <c r="Q55">
        <f t="shared" si="17"/>
        <v>321.28380531443167</v>
      </c>
      <c r="R55">
        <f t="shared" si="17"/>
        <v>298.00774307705211</v>
      </c>
      <c r="S55">
        <f t="shared" si="17"/>
        <v>276.7797666337014</v>
      </c>
      <c r="T55">
        <f t="shared" si="17"/>
        <v>257.42584392805924</v>
      </c>
      <c r="U55">
        <f t="shared" si="17"/>
        <v>239.78405212542941</v>
      </c>
      <c r="V55">
        <f t="shared" si="17"/>
        <v>223.70945782740938</v>
      </c>
      <c r="W55">
        <f t="shared" si="17"/>
        <v>209.07349077459747</v>
      </c>
      <c r="X55">
        <f t="shared" si="25"/>
        <v>195.76120509634603</v>
      </c>
      <c r="Y55">
        <f t="shared" si="25"/>
        <v>183.66802035510841</v>
      </c>
      <c r="Z55">
        <f t="shared" si="25"/>
        <v>172.69664590005124</v>
      </c>
      <c r="AA55">
        <f t="shared" si="25"/>
        <v>162.75446043360711</v>
      </c>
      <c r="AB55">
        <f t="shared" si="21"/>
        <v>153.75141527036862</v>
      </c>
      <c r="AC55">
        <f t="shared" si="21"/>
        <v>145.59843930582548</v>
      </c>
      <c r="AD55">
        <f t="shared" si="21"/>
        <v>138.2062882296712</v>
      </c>
      <c r="AE55">
        <f t="shared" si="21"/>
        <v>131.48477094738092</v>
      </c>
      <c r="AF55">
        <f t="shared" si="21"/>
        <v>125.34228807480375</v>
      </c>
      <c r="AG55">
        <f t="shared" si="21"/>
        <v>119.68562369221544</v>
      </c>
      <c r="AH55">
        <f t="shared" si="21"/>
        <v>114.41993894528599</v>
      </c>
      <c r="AI55">
        <f t="shared" si="18"/>
        <v>109.44892305962824</v>
      </c>
      <c r="AJ55">
        <f t="shared" si="18"/>
        <v>104.67506328398102</v>
      </c>
      <c r="AK55">
        <f t="shared" si="11"/>
        <v>100</v>
      </c>
      <c r="AL55" s="47"/>
      <c r="AM55" s="26">
        <v>4.6666666666666669E-2</v>
      </c>
      <c r="AN55" s="27">
        <f t="shared" si="12"/>
        <v>-1076400000</v>
      </c>
      <c r="AO55" s="27">
        <f t="shared" si="12"/>
        <v>-2147056484.6328006</v>
      </c>
      <c r="AP55" s="27">
        <f t="shared" si="12"/>
        <v>-2084844428.2726097</v>
      </c>
      <c r="AQ55" s="27">
        <f t="shared" si="12"/>
        <v>-1966735002.7649615</v>
      </c>
      <c r="AR55" s="27">
        <f t="shared" si="12"/>
        <v>-1830604504.1930642</v>
      </c>
      <c r="AS55" s="27">
        <f t="shared" si="12"/>
        <v>-1693944327.1770847</v>
      </c>
      <c r="AT55" s="27">
        <f t="shared" si="12"/>
        <v>-1564266708.680552</v>
      </c>
      <c r="AU55" s="27">
        <f t="shared" si="12"/>
        <v>-1444294847.9380169</v>
      </c>
      <c r="AV55" s="27">
        <f t="shared" si="12"/>
        <v>-1334539533.7199776</v>
      </c>
      <c r="AW55" s="27">
        <f t="shared" si="12"/>
        <v>-1234563659.6627851</v>
      </c>
      <c r="AX55" s="27">
        <f t="shared" si="12"/>
        <v>-1143588660.9531434</v>
      </c>
      <c r="AY55" s="27">
        <f t="shared" si="12"/>
        <v>-1060772706.9731834</v>
      </c>
      <c r="AZ55" s="27">
        <f t="shared" si="12"/>
        <v>-985327220.20760751</v>
      </c>
      <c r="BA55" s="27">
        <f t="shared" si="12"/>
        <v>-916555706.07540572</v>
      </c>
      <c r="BB55" s="27">
        <f t="shared" si="12"/>
        <v>-853856981.35695612</v>
      </c>
      <c r="BC55" s="27">
        <f t="shared" si="12"/>
        <v>-796713617.88958347</v>
      </c>
      <c r="BD55" s="27">
        <f t="shared" si="22"/>
        <v>-744675644.00857532</v>
      </c>
      <c r="BE55" s="27">
        <f t="shared" si="22"/>
        <v>-697344126.0064522</v>
      </c>
      <c r="BF55" s="27">
        <f t="shared" si="22"/>
        <v>-654356562.44934213</v>
      </c>
      <c r="BG55" s="27">
        <f t="shared" si="22"/>
        <v>-615374723.07652605</v>
      </c>
      <c r="BH55" s="27">
        <f t="shared" si="22"/>
        <v>-580074963.18051088</v>
      </c>
      <c r="BI55" s="27">
        <f t="shared" si="22"/>
        <v>-548140791.5074842</v>
      </c>
      <c r="BJ55" s="27">
        <f t="shared" si="22"/>
        <v>-519257385.19137192</v>
      </c>
      <c r="BK55" s="27">
        <f t="shared" si="22"/>
        <v>-493107738.26146334</v>
      </c>
      <c r="BL55" s="27">
        <f t="shared" si="19"/>
        <v>-469370155.70299059</v>
      </c>
      <c r="BM55" s="27">
        <f t="shared" si="19"/>
        <v>-447716841.063842</v>
      </c>
      <c r="BN55" s="27">
        <f t="shared" si="19"/>
        <v>-427813362.11604148</v>
      </c>
      <c r="BO55" s="27">
        <f t="shared" si="19"/>
        <v>-409318811.85002136</v>
      </c>
      <c r="BP55" s="27">
        <f t="shared" si="19"/>
        <v>-391886509.64250278</v>
      </c>
      <c r="BQ55" s="27">
        <f t="shared" si="19"/>
        <v>-375165109.58742595</v>
      </c>
      <c r="BR55" s="27">
        <f t="shared" si="19"/>
        <v>-358800000</v>
      </c>
      <c r="BT55" s="47"/>
      <c r="BU55" s="26">
        <v>4.6666666666666669E-2</v>
      </c>
      <c r="BV55" s="13">
        <v>0</v>
      </c>
      <c r="BW55" s="13">
        <f t="shared" si="26"/>
        <v>0.34883720930232553</v>
      </c>
      <c r="BX55" s="13">
        <f t="shared" si="26"/>
        <v>0.39716748768472904</v>
      </c>
      <c r="BY55" s="13">
        <f t="shared" si="26"/>
        <v>0.40494040593779607</v>
      </c>
      <c r="BZ55" s="13">
        <f t="shared" si="26"/>
        <v>0.4062190081621499</v>
      </c>
      <c r="CA55" s="13">
        <f t="shared" si="26"/>
        <v>0.40643010492156101</v>
      </c>
      <c r="CB55" s="13">
        <f t="shared" si="26"/>
        <v>0.40646497802255066</v>
      </c>
      <c r="CC55" s="13">
        <f t="shared" si="26"/>
        <v>0.40647073962099717</v>
      </c>
      <c r="CD55" s="13">
        <f t="shared" si="26"/>
        <v>0.40647169154566137</v>
      </c>
      <c r="CE55" s="13">
        <f t="shared" si="26"/>
        <v>0.40647184882198806</v>
      </c>
      <c r="CF55" s="13">
        <f t="shared" si="26"/>
        <v>0.40647187480708435</v>
      </c>
      <c r="CG55" s="13">
        <f t="shared" si="26"/>
        <v>0.40647187910032606</v>
      </c>
      <c r="CH55" s="13">
        <f t="shared" si="26"/>
        <v>0.40647187980965277</v>
      </c>
      <c r="CI55" s="13">
        <f t="shared" si="26"/>
        <v>0.4064718799268473</v>
      </c>
      <c r="CJ55" s="13">
        <f t="shared" si="26"/>
        <v>0.40647187994621015</v>
      </c>
      <c r="CK55" s="13">
        <f t="shared" si="26"/>
        <v>0.40647187994940925</v>
      </c>
      <c r="CL55" s="13">
        <f t="shared" si="26"/>
        <v>0.40647187994993778</v>
      </c>
      <c r="CM55" s="13">
        <f t="shared" si="26"/>
        <v>0.40647187995002515</v>
      </c>
      <c r="CN55" s="13">
        <f t="shared" si="26"/>
        <v>0.40647187995003953</v>
      </c>
      <c r="CO55" s="13">
        <f t="shared" si="26"/>
        <v>0.40647187995004191</v>
      </c>
      <c r="CP55" s="13">
        <f t="shared" si="26"/>
        <v>0.40647187995004236</v>
      </c>
      <c r="CQ55" s="13">
        <f t="shared" si="26"/>
        <v>0.40647187995004236</v>
      </c>
      <c r="CR55" s="13">
        <f t="shared" si="26"/>
        <v>0.40647187995004236</v>
      </c>
      <c r="CS55" s="13">
        <f t="shared" si="26"/>
        <v>0.40647187995004236</v>
      </c>
      <c r="CT55" s="13">
        <f t="shared" si="26"/>
        <v>0.40647187995004236</v>
      </c>
      <c r="CU55" s="13">
        <f t="shared" si="26"/>
        <v>0.40647187995004236</v>
      </c>
      <c r="CV55" s="13">
        <f t="shared" si="26"/>
        <v>0.40647187995004236</v>
      </c>
      <c r="CW55" s="13">
        <f t="shared" si="26"/>
        <v>0.40647187995004236</v>
      </c>
      <c r="CX55" s="13">
        <f t="shared" si="26"/>
        <v>0.40647187995004236</v>
      </c>
      <c r="CY55" s="13">
        <f t="shared" si="26"/>
        <v>0.40647187995004236</v>
      </c>
      <c r="CZ55" s="13">
        <f t="shared" si="14"/>
        <v>100</v>
      </c>
      <c r="DB55" s="47"/>
      <c r="DC55" s="26">
        <v>4.6666666666666669E-2</v>
      </c>
      <c r="DD55" s="13">
        <f t="shared" si="15"/>
        <v>300</v>
      </c>
      <c r="DE55" s="13">
        <f t="shared" si="16"/>
        <v>285.56256190030336</v>
      </c>
      <c r="DF55" s="13">
        <f t="shared" si="16"/>
        <v>313.42399712022166</v>
      </c>
      <c r="DG55" s="13">
        <f t="shared" si="16"/>
        <v>319.28771946308802</v>
      </c>
      <c r="DH55" s="13">
        <f t="shared" si="16"/>
        <v>309.32063106417473</v>
      </c>
      <c r="DI55" s="13">
        <f t="shared" si="16"/>
        <v>292.01431089188986</v>
      </c>
      <c r="DJ55" s="13">
        <f t="shared" si="16"/>
        <v>272.27321204475112</v>
      </c>
      <c r="DK55" s="13">
        <f t="shared" si="16"/>
        <v>252.47389462088259</v>
      </c>
      <c r="DL55" s="13">
        <f t="shared" si="16"/>
        <v>233.65067500455953</v>
      </c>
      <c r="DM55" s="13">
        <f t="shared" si="16"/>
        <v>216.18386465716722</v>
      </c>
      <c r="DN55" s="13">
        <f t="shared" si="16"/>
        <v>200.15203927887435</v>
      </c>
      <c r="DO55" s="13">
        <f t="shared" si="16"/>
        <v>185.50455123650175</v>
      </c>
      <c r="DP55" s="13">
        <f t="shared" si="16"/>
        <v>172.14339994067686</v>
      </c>
      <c r="DQ55" s="13">
        <f t="shared" si="16"/>
        <v>159.9603694841588</v>
      </c>
      <c r="DR55" s="13">
        <f t="shared" si="16"/>
        <v>148.85244824057489</v>
      </c>
      <c r="DS55" s="13">
        <f t="shared" si="16"/>
        <v>138.72696298467329</v>
      </c>
      <c r="DT55" s="13">
        <f t="shared" si="16"/>
        <v>129.50206571782036</v>
      </c>
      <c r="DU55" s="13">
        <f t="shared" si="24"/>
        <v>121.10531957590563</v>
      </c>
      <c r="DV55" s="13">
        <f t="shared" si="24"/>
        <v>113.4716900350483</v>
      </c>
      <c r="DW55" s="13">
        <f t="shared" si="24"/>
        <v>106.54153439734826</v>
      </c>
      <c r="DX55" s="13">
        <f t="shared" si="24"/>
        <v>100.25883362368073</v>
      </c>
      <c r="DY55" s="13">
        <f t="shared" si="24"/>
        <v>94.569743927937608</v>
      </c>
      <c r="DZ55" s="13">
        <f t="shared" si="24"/>
        <v>89.42146950819361</v>
      </c>
      <c r="EA55" s="13">
        <f t="shared" si="24"/>
        <v>84.761426197888554</v>
      </c>
      <c r="EB55" s="13">
        <f t="shared" si="24"/>
        <v>80.536655476375657</v>
      </c>
      <c r="EC55" s="13">
        <f t="shared" si="20"/>
        <v>76.693447609635598</v>
      </c>
      <c r="ED55" s="13">
        <f t="shared" si="20"/>
        <v>73.177136005355976</v>
      </c>
      <c r="EE55" s="13">
        <f t="shared" si="20"/>
        <v>69.932029430731347</v>
      </c>
      <c r="EF55" s="13">
        <f t="shared" si="20"/>
        <v>66.901453302698826</v>
      </c>
      <c r="EG55" s="13">
        <f t="shared" si="20"/>
        <v>64.027875288976787</v>
      </c>
      <c r="EH55" s="13">
        <f t="shared" si="20"/>
        <v>61.253093766920934</v>
      </c>
    </row>
    <row r="56" spans="5:138" x14ac:dyDescent="0.25">
      <c r="E56" s="49"/>
      <c r="F56" s="26">
        <v>4.3333333333333335E-2</v>
      </c>
      <c r="G56">
        <f t="shared" si="10"/>
        <v>300</v>
      </c>
      <c r="H56">
        <f t="shared" si="17"/>
        <v>401.9136144119791</v>
      </c>
      <c r="I56">
        <f t="shared" si="17"/>
        <v>445.38706392846507</v>
      </c>
      <c r="J56">
        <f t="shared" si="17"/>
        <v>455.27136767519198</v>
      </c>
      <c r="K56">
        <f t="shared" si="17"/>
        <v>446.63056178900865</v>
      </c>
      <c r="L56">
        <f t="shared" si="17"/>
        <v>428.35552744856511</v>
      </c>
      <c r="M56">
        <f t="shared" si="17"/>
        <v>405.57621346386242</v>
      </c>
      <c r="N56">
        <f t="shared" si="17"/>
        <v>381.18593941865606</v>
      </c>
      <c r="O56">
        <f t="shared" si="17"/>
        <v>356.77257697110866</v>
      </c>
      <c r="P56">
        <f t="shared" si="17"/>
        <v>333.17447268731661</v>
      </c>
      <c r="Q56">
        <f t="shared" si="17"/>
        <v>310.80667481781262</v>
      </c>
      <c r="R56">
        <f t="shared" si="17"/>
        <v>289.8496049132055</v>
      </c>
      <c r="S56">
        <f t="shared" si="17"/>
        <v>270.35662886783973</v>
      </c>
      <c r="T56">
        <f t="shared" si="17"/>
        <v>252.31439397770498</v>
      </c>
      <c r="U56">
        <f t="shared" si="17"/>
        <v>235.67595664903274</v>
      </c>
      <c r="V56">
        <f t="shared" si="17"/>
        <v>220.37841721554457</v>
      </c>
      <c r="W56">
        <f t="shared" si="17"/>
        <v>206.35186027337852</v>
      </c>
      <c r="X56">
        <f t="shared" si="25"/>
        <v>193.52351546980242</v>
      </c>
      <c r="Y56">
        <f t="shared" si="25"/>
        <v>181.81937476838084</v>
      </c>
      <c r="Z56">
        <f t="shared" si="25"/>
        <v>171.16452994704156</v>
      </c>
      <c r="AA56">
        <f t="shared" si="25"/>
        <v>161.48293377228725</v>
      </c>
      <c r="AB56">
        <f t="shared" si="21"/>
        <v>152.69696706980449</v>
      </c>
      <c r="AC56">
        <f t="shared" si="21"/>
        <v>144.72701098171405</v>
      </c>
      <c r="AD56">
        <f t="shared" si="21"/>
        <v>137.49112051741764</v>
      </c>
      <c r="AE56">
        <f t="shared" si="21"/>
        <v>130.90483814852547</v>
      </c>
      <c r="AF56">
        <f t="shared" si="21"/>
        <v>124.88115504826146</v>
      </c>
      <c r="AG56">
        <f t="shared" si="21"/>
        <v>119.33061129499677</v>
      </c>
      <c r="AH56">
        <f t="shared" si="21"/>
        <v>114.16151840271483</v>
      </c>
      <c r="AI56">
        <f t="shared" si="21"/>
        <v>109.28028413240418</v>
      </c>
      <c r="AJ56">
        <f t="shared" si="21"/>
        <v>104.59181850216498</v>
      </c>
      <c r="AK56">
        <f t="shared" si="11"/>
        <v>100</v>
      </c>
      <c r="AL56" s="47"/>
      <c r="AM56" s="26">
        <v>4.3333333333333335E-2</v>
      </c>
      <c r="AN56" s="27">
        <f t="shared" si="12"/>
        <v>-1076400000</v>
      </c>
      <c r="AO56" s="27">
        <f t="shared" si="12"/>
        <v>-1684008331.1775227</v>
      </c>
      <c r="AP56" s="27">
        <f t="shared" si="12"/>
        <v>-1737107848.8621354</v>
      </c>
      <c r="AQ56" s="27">
        <f t="shared" si="12"/>
        <v>-1710207621.0988376</v>
      </c>
      <c r="AR56" s="27">
        <f t="shared" si="12"/>
        <v>-1642396161.4995999</v>
      </c>
      <c r="AS56" s="27">
        <f t="shared" si="12"/>
        <v>-1555587350.2126846</v>
      </c>
      <c r="AT56" s="27">
        <f t="shared" si="12"/>
        <v>-1461876828.5588229</v>
      </c>
      <c r="AU56" s="27">
        <f t="shared" si="12"/>
        <v>-1367790736.6198294</v>
      </c>
      <c r="AV56" s="27">
        <f t="shared" si="12"/>
        <v>-1276724837.3743911</v>
      </c>
      <c r="AW56" s="27">
        <f t="shared" si="12"/>
        <v>-1190336539.446939</v>
      </c>
      <c r="AX56" s="27">
        <f t="shared" si="12"/>
        <v>-1109333935.4716389</v>
      </c>
      <c r="AY56" s="27">
        <f t="shared" si="12"/>
        <v>-1033919033.8513218</v>
      </c>
      <c r="AZ56" s="27">
        <f t="shared" si="12"/>
        <v>-964033515.99515259</v>
      </c>
      <c r="BA56" s="27">
        <f t="shared" si="12"/>
        <v>-899492323.68755114</v>
      </c>
      <c r="BB56" s="27">
        <f t="shared" si="12"/>
        <v>-840054015.17066753</v>
      </c>
      <c r="BC56" s="27">
        <f t="shared" si="12"/>
        <v>-785455893.45530033</v>
      </c>
      <c r="BD56" s="27">
        <f t="shared" si="22"/>
        <v>-735429876.40711975</v>
      </c>
      <c r="BE56" s="27">
        <f t="shared" si="22"/>
        <v>-689708168.5227313</v>
      </c>
      <c r="BF56" s="27">
        <f t="shared" si="22"/>
        <v>-648023831.7254101</v>
      </c>
      <c r="BG56" s="27">
        <f t="shared" si="22"/>
        <v>-610109084.05312324</v>
      </c>
      <c r="BH56" s="27">
        <f t="shared" si="22"/>
        <v>-575692860.35976255</v>
      </c>
      <c r="BI56" s="27">
        <f t="shared" si="22"/>
        <v>-544498433.90287459</v>
      </c>
      <c r="BJ56" s="27">
        <f t="shared" si="22"/>
        <v>-516241483.71988297</v>
      </c>
      <c r="BK56" s="27">
        <f t="shared" si="22"/>
        <v>-490628762.90152103</v>
      </c>
      <c r="BL56" s="27">
        <f t="shared" si="19"/>
        <v>-467357398.30478883</v>
      </c>
      <c r="BM56" s="27">
        <f t="shared" si="19"/>
        <v>-446114787.41658503</v>
      </c>
      <c r="BN56" s="27">
        <f t="shared" si="19"/>
        <v>-426579026.76197994</v>
      </c>
      <c r="BO56" s="27">
        <f t="shared" si="19"/>
        <v>-408419793.33397996</v>
      </c>
      <c r="BP56" s="27">
        <f t="shared" si="19"/>
        <v>-391299597.29717046</v>
      </c>
      <c r="BQ56" s="27">
        <f t="shared" si="19"/>
        <v>-374875325.67554086</v>
      </c>
      <c r="BR56" s="27">
        <f t="shared" si="19"/>
        <v>-358800000</v>
      </c>
      <c r="BT56" s="47"/>
      <c r="BU56" s="26">
        <v>4.3333333333333335E-2</v>
      </c>
      <c r="BV56" s="13">
        <v>0</v>
      </c>
      <c r="BW56" s="13">
        <f t="shared" si="26"/>
        <v>0.34883720930232553</v>
      </c>
      <c r="BX56" s="13">
        <f t="shared" si="26"/>
        <v>0.39716748768472904</v>
      </c>
      <c r="BY56" s="13">
        <f t="shared" si="26"/>
        <v>0.40494040593779607</v>
      </c>
      <c r="BZ56" s="13">
        <f t="shared" si="26"/>
        <v>0.4062190081621499</v>
      </c>
      <c r="CA56" s="13">
        <f t="shared" si="26"/>
        <v>0.40643010492156101</v>
      </c>
      <c r="CB56" s="13">
        <f t="shared" si="26"/>
        <v>0.40646497802255066</v>
      </c>
      <c r="CC56" s="13">
        <f t="shared" si="26"/>
        <v>0.40647073962099717</v>
      </c>
      <c r="CD56" s="13">
        <f t="shared" si="26"/>
        <v>0.40647169154566137</v>
      </c>
      <c r="CE56" s="13">
        <f t="shared" si="26"/>
        <v>0.40647184882198806</v>
      </c>
      <c r="CF56" s="13">
        <f t="shared" si="26"/>
        <v>0.40647187480708435</v>
      </c>
      <c r="CG56" s="13">
        <f t="shared" si="26"/>
        <v>0.40647187910032606</v>
      </c>
      <c r="CH56" s="13">
        <f t="shared" si="26"/>
        <v>0.40647187980965277</v>
      </c>
      <c r="CI56" s="13">
        <f t="shared" si="26"/>
        <v>0.4064718799268473</v>
      </c>
      <c r="CJ56" s="13">
        <f t="shared" si="26"/>
        <v>0.40647187994621015</v>
      </c>
      <c r="CK56" s="13">
        <f t="shared" si="26"/>
        <v>0.40647187994940925</v>
      </c>
      <c r="CL56" s="13">
        <f t="shared" si="26"/>
        <v>0.40647187994993778</v>
      </c>
      <c r="CM56" s="13">
        <f t="shared" si="26"/>
        <v>0.40647187995002515</v>
      </c>
      <c r="CN56" s="13">
        <f t="shared" si="26"/>
        <v>0.40647187995003953</v>
      </c>
      <c r="CO56" s="13">
        <f t="shared" si="26"/>
        <v>0.40647187995004191</v>
      </c>
      <c r="CP56" s="13">
        <f t="shared" si="26"/>
        <v>0.40647187995004236</v>
      </c>
      <c r="CQ56" s="13">
        <f t="shared" si="26"/>
        <v>0.40647187995004236</v>
      </c>
      <c r="CR56" s="13">
        <f t="shared" si="26"/>
        <v>0.40647187995004236</v>
      </c>
      <c r="CS56" s="13">
        <f t="shared" si="26"/>
        <v>0.40647187995004236</v>
      </c>
      <c r="CT56" s="13">
        <f t="shared" si="26"/>
        <v>0.40647187995004236</v>
      </c>
      <c r="CU56" s="13">
        <f t="shared" si="26"/>
        <v>0.40647187995004236</v>
      </c>
      <c r="CV56" s="13">
        <f t="shared" si="26"/>
        <v>0.40647187995004236</v>
      </c>
      <c r="CW56" s="13">
        <f t="shared" si="26"/>
        <v>0.40647187995004236</v>
      </c>
      <c r="CX56" s="13">
        <f t="shared" si="26"/>
        <v>0.40647187995004236</v>
      </c>
      <c r="CY56" s="13">
        <f t="shared" si="26"/>
        <v>0.40647187995004236</v>
      </c>
      <c r="CZ56" s="13">
        <f t="shared" si="14"/>
        <v>100</v>
      </c>
      <c r="DB56" s="47"/>
      <c r="DC56" s="26">
        <v>4.3333333333333335E-2</v>
      </c>
      <c r="DD56" s="13">
        <f t="shared" si="15"/>
        <v>300</v>
      </c>
      <c r="DE56" s="13">
        <f t="shared" si="16"/>
        <v>246.54603397181691</v>
      </c>
      <c r="DF56" s="13">
        <f t="shared" si="16"/>
        <v>264.56807861411852</v>
      </c>
      <c r="DG56" s="13">
        <f t="shared" si="16"/>
        <v>274.41260668012495</v>
      </c>
      <c r="DH56" s="13">
        <f t="shared" si="16"/>
        <v>272.62440428807793</v>
      </c>
      <c r="DI56" s="13">
        <f t="shared" si="16"/>
        <v>263.5171444567581</v>
      </c>
      <c r="DJ56" s="13">
        <f t="shared" si="16"/>
        <v>250.63747897555305</v>
      </c>
      <c r="DK56" s="13">
        <f t="shared" si="16"/>
        <v>236.16832618072038</v>
      </c>
      <c r="DL56" s="13">
        <f t="shared" si="16"/>
        <v>221.34658547806131</v>
      </c>
      <c r="DM56" s="13">
        <f t="shared" si="16"/>
        <v>206.84030894790587</v>
      </c>
      <c r="DN56" s="13">
        <f t="shared" si="16"/>
        <v>192.9909624966493</v>
      </c>
      <c r="DO56" s="13">
        <f t="shared" si="16"/>
        <v>179.95723795006521</v>
      </c>
      <c r="DP56" s="13">
        <f t="shared" si="16"/>
        <v>167.79792284468863</v>
      </c>
      <c r="DQ56" s="13">
        <f t="shared" si="16"/>
        <v>156.51874482501449</v>
      </c>
      <c r="DR56" s="13">
        <f t="shared" si="16"/>
        <v>146.0983271038601</v>
      </c>
      <c r="DS56" s="13">
        <f t="shared" si="16"/>
        <v>136.5021886391666</v>
      </c>
      <c r="DT56" s="13">
        <f t="shared" si="16"/>
        <v>127.68999312584705</v>
      </c>
      <c r="DU56" s="13">
        <f t="shared" si="24"/>
        <v>119.61905239636047</v>
      </c>
      <c r="DV56" s="13">
        <f t="shared" si="24"/>
        <v>112.24580650004202</v>
      </c>
      <c r="DW56" s="13">
        <f t="shared" si="24"/>
        <v>105.52625827677183</v>
      </c>
      <c r="DX56" s="13">
        <f t="shared" si="24"/>
        <v>99.415910504754123</v>
      </c>
      <c r="DY56" s="13">
        <f t="shared" si="24"/>
        <v>93.869506836516763</v>
      </c>
      <c r="DZ56" s="13">
        <f t="shared" si="24"/>
        <v>88.840736748561469</v>
      </c>
      <c r="EA56" s="13">
        <f t="shared" si="24"/>
        <v>84.281984860630473</v>
      </c>
      <c r="EB56" s="13">
        <f t="shared" si="24"/>
        <v>80.144160285725903</v>
      </c>
      <c r="EC56" s="13">
        <f t="shared" si="20"/>
        <v>76.376617139596362</v>
      </c>
      <c r="ED56" s="13">
        <f t="shared" si="20"/>
        <v>72.927164291893916</v>
      </c>
      <c r="EE56" s="13">
        <f t="shared" si="20"/>
        <v>69.742155869941726</v>
      </c>
      <c r="EF56" s="13">
        <f t="shared" si="20"/>
        <v>66.766651038435555</v>
      </c>
      <c r="EG56" s="13">
        <f t="shared" si="20"/>
        <v>63.944630507160745</v>
      </c>
      <c r="EH56" s="13">
        <f t="shared" si="20"/>
        <v>61.219257103960139</v>
      </c>
    </row>
    <row r="57" spans="5:138" x14ac:dyDescent="0.25">
      <c r="E57" s="49"/>
      <c r="F57" s="26">
        <v>0.04</v>
      </c>
      <c r="G57">
        <f t="shared" si="10"/>
        <v>300</v>
      </c>
      <c r="H57">
        <f t="shared" si="17"/>
        <v>363.48415036124572</v>
      </c>
      <c r="I57">
        <f t="shared" si="17"/>
        <v>396.34005891316104</v>
      </c>
      <c r="J57">
        <f t="shared" si="17"/>
        <v>407.82058403843564</v>
      </c>
      <c r="K57">
        <f t="shared" si="17"/>
        <v>405.3185737147262</v>
      </c>
      <c r="L57">
        <f t="shared" si="17"/>
        <v>394.17244052543754</v>
      </c>
      <c r="M57">
        <f t="shared" si="17"/>
        <v>378.0228286396466</v>
      </c>
      <c r="N57">
        <f t="shared" si="17"/>
        <v>359.26098387869604</v>
      </c>
      <c r="O57">
        <f t="shared" si="17"/>
        <v>339.41401625656511</v>
      </c>
      <c r="P57">
        <f t="shared" si="17"/>
        <v>319.43380717688103</v>
      </c>
      <c r="Q57">
        <f t="shared" si="17"/>
        <v>299.89905700916501</v>
      </c>
      <c r="R57">
        <f t="shared" si="17"/>
        <v>281.15073402205314</v>
      </c>
      <c r="S57">
        <f t="shared" si="17"/>
        <v>263.38031072352146</v>
      </c>
      <c r="T57">
        <f t="shared" si="17"/>
        <v>246.68602821741854</v>
      </c>
      <c r="U57">
        <f t="shared" si="17"/>
        <v>231.10814832856769</v>
      </c>
      <c r="V57">
        <f t="shared" si="17"/>
        <v>216.65069098010528</v>
      </c>
      <c r="W57">
        <f t="shared" si="17"/>
        <v>203.2946277676883</v>
      </c>
      <c r="X57">
        <f t="shared" si="25"/>
        <v>191.00575840027119</v>
      </c>
      <c r="Y57">
        <f t="shared" si="25"/>
        <v>179.73933234633606</v>
      </c>
      <c r="Z57">
        <f t="shared" si="25"/>
        <v>169.44271767995099</v>
      </c>
      <c r="AA57">
        <f t="shared" si="25"/>
        <v>160.05692998163414</v>
      </c>
      <c r="AB57">
        <f t="shared" si="21"/>
        <v>151.51752283534506</v>
      </c>
      <c r="AC57">
        <f t="shared" si="21"/>
        <v>143.75514493546174</v>
      </c>
      <c r="AD57">
        <f t="shared" si="21"/>
        <v>136.69594559665342</v>
      </c>
      <c r="AE57">
        <f t="shared" si="21"/>
        <v>130.26193370471492</v>
      </c>
      <c r="AF57">
        <f t="shared" si="21"/>
        <v>124.37134768066224</v>
      </c>
      <c r="AG57">
        <f t="shared" si="21"/>
        <v>118.93906493959128</v>
      </c>
      <c r="AH57">
        <f t="shared" si="21"/>
        <v>113.87706170636253</v>
      </c>
      <c r="AI57">
        <f t="shared" si="21"/>
        <v>109.09492354721969</v>
      </c>
      <c r="AJ57">
        <f t="shared" si="21"/>
        <v>104.5004008484775</v>
      </c>
      <c r="AK57">
        <f t="shared" si="11"/>
        <v>100</v>
      </c>
      <c r="AL57" s="47"/>
      <c r="AM57" s="26">
        <v>0.04</v>
      </c>
      <c r="AN57" s="27">
        <f t="shared" si="12"/>
        <v>-1076400000</v>
      </c>
      <c r="AO57" s="27">
        <f t="shared" si="12"/>
        <v>-1430982052.5867774</v>
      </c>
      <c r="AP57" s="27">
        <f t="shared" si="12"/>
        <v>-1510562218.7667139</v>
      </c>
      <c r="AQ57" s="27">
        <f t="shared" si="12"/>
        <v>-1521147952.2887006</v>
      </c>
      <c r="AR57" s="27">
        <f t="shared" si="12"/>
        <v>-1490069711.1519363</v>
      </c>
      <c r="AS57" s="27">
        <f t="shared" si="12"/>
        <v>-1435005118.4087889</v>
      </c>
      <c r="AT57" s="27">
        <f t="shared" si="12"/>
        <v>-1367160553.2622128</v>
      </c>
      <c r="AU57" s="27">
        <f t="shared" si="12"/>
        <v>-1293520818.802048</v>
      </c>
      <c r="AV57" s="27">
        <f t="shared" si="12"/>
        <v>-1218369109.9628263</v>
      </c>
      <c r="AW57" s="27">
        <f t="shared" si="12"/>
        <v>-1144284300.255101</v>
      </c>
      <c r="AX57" s="27">
        <f t="shared" si="12"/>
        <v>-1072782008.0211834</v>
      </c>
      <c r="AY57" s="27">
        <f t="shared" si="12"/>
        <v>-1004720328.960404</v>
      </c>
      <c r="AZ57" s="27">
        <f t="shared" si="12"/>
        <v>-940553331.99534059</v>
      </c>
      <c r="BA57" s="27">
        <f t="shared" si="12"/>
        <v>-880487562.40867388</v>
      </c>
      <c r="BB57" s="27">
        <f t="shared" si="12"/>
        <v>-824577486.88569272</v>
      </c>
      <c r="BC57" s="27">
        <f t="shared" si="12"/>
        <v>-772782907.51338959</v>
      </c>
      <c r="BD57" s="27">
        <f t="shared" si="22"/>
        <v>-725002941.91216624</v>
      </c>
      <c r="BE57" s="27">
        <f t="shared" si="22"/>
        <v>-681095745.82235765</v>
      </c>
      <c r="BF57" s="27">
        <f t="shared" si="22"/>
        <v>-640889705.31419683</v>
      </c>
      <c r="BG57" s="27">
        <f t="shared" si="22"/>
        <v>-604189647.38786197</v>
      </c>
      <c r="BH57" s="27">
        <f t="shared" si="22"/>
        <v>-570780249.28870809</v>
      </c>
      <c r="BI57" s="27">
        <f t="shared" si="22"/>
        <v>-540427970.85309827</v>
      </c>
      <c r="BJ57" s="27">
        <f t="shared" si="22"/>
        <v>-512882300.78558648</v>
      </c>
      <c r="BK57" s="27">
        <f t="shared" si="22"/>
        <v>-487876776.77075136</v>
      </c>
      <c r="BL57" s="27">
        <f t="shared" si="19"/>
        <v>-465130035.03946996</v>
      </c>
      <c r="BM57" s="27">
        <f t="shared" si="19"/>
        <v>-444347019.88667202</v>
      </c>
      <c r="BN57" s="27">
        <f t="shared" si="19"/>
        <v>-425220407.84078676</v>
      </c>
      <c r="BO57" s="27">
        <f t="shared" si="19"/>
        <v>-407432255.99571335</v>
      </c>
      <c r="BP57" s="27">
        <f t="shared" si="19"/>
        <v>-390655857.68136579</v>
      </c>
      <c r="BQ57" s="27">
        <f t="shared" si="19"/>
        <v>-374557773.78424156</v>
      </c>
      <c r="BR57" s="27">
        <f t="shared" si="19"/>
        <v>-358800000</v>
      </c>
      <c r="BT57" s="47"/>
      <c r="BU57" s="26">
        <v>0.04</v>
      </c>
      <c r="BV57" s="13">
        <v>0</v>
      </c>
      <c r="BW57" s="13">
        <f t="shared" si="26"/>
        <v>0.34883720930232553</v>
      </c>
      <c r="BX57" s="13">
        <f t="shared" si="26"/>
        <v>0.39716748768472904</v>
      </c>
      <c r="BY57" s="13">
        <f t="shared" si="26"/>
        <v>0.40494040593779607</v>
      </c>
      <c r="BZ57" s="13">
        <f t="shared" si="26"/>
        <v>0.4062190081621499</v>
      </c>
      <c r="CA57" s="13">
        <f t="shared" si="26"/>
        <v>0.40643010492156101</v>
      </c>
      <c r="CB57" s="13">
        <f t="shared" si="26"/>
        <v>0.40646497802255066</v>
      </c>
      <c r="CC57" s="13">
        <f t="shared" si="26"/>
        <v>0.40647073962099717</v>
      </c>
      <c r="CD57" s="13">
        <f t="shared" si="26"/>
        <v>0.40647169154566137</v>
      </c>
      <c r="CE57" s="13">
        <f t="shared" si="26"/>
        <v>0.40647184882198806</v>
      </c>
      <c r="CF57" s="13">
        <f t="shared" si="26"/>
        <v>0.40647187480708435</v>
      </c>
      <c r="CG57" s="13">
        <f t="shared" si="26"/>
        <v>0.40647187910032606</v>
      </c>
      <c r="CH57" s="13">
        <f t="shared" si="26"/>
        <v>0.40647187980965277</v>
      </c>
      <c r="CI57" s="13">
        <f t="shared" si="26"/>
        <v>0.4064718799268473</v>
      </c>
      <c r="CJ57" s="13">
        <f t="shared" si="26"/>
        <v>0.40647187994621015</v>
      </c>
      <c r="CK57" s="13">
        <f t="shared" si="26"/>
        <v>0.40647187994940925</v>
      </c>
      <c r="CL57" s="13">
        <f t="shared" si="26"/>
        <v>0.40647187994993778</v>
      </c>
      <c r="CM57" s="13">
        <f t="shared" si="26"/>
        <v>0.40647187995002515</v>
      </c>
      <c r="CN57" s="13">
        <f t="shared" si="26"/>
        <v>0.40647187995003953</v>
      </c>
      <c r="CO57" s="13">
        <f t="shared" si="26"/>
        <v>0.40647187995004191</v>
      </c>
      <c r="CP57" s="13">
        <f t="shared" si="26"/>
        <v>0.40647187995004236</v>
      </c>
      <c r="CQ57" s="13">
        <f t="shared" si="26"/>
        <v>0.40647187995004236</v>
      </c>
      <c r="CR57" s="13">
        <f t="shared" si="26"/>
        <v>0.40647187995004236</v>
      </c>
      <c r="CS57" s="13">
        <f t="shared" si="26"/>
        <v>0.40647187995004236</v>
      </c>
      <c r="CT57" s="13">
        <f t="shared" ref="CT57:CY57" si="27">$B$20/($B$21-$B$22*CS57)</f>
        <v>0.40647187995004236</v>
      </c>
      <c r="CU57" s="13">
        <f t="shared" si="27"/>
        <v>0.40647187995004236</v>
      </c>
      <c r="CV57" s="13">
        <f t="shared" si="27"/>
        <v>0.40647187995004236</v>
      </c>
      <c r="CW57" s="13">
        <f t="shared" si="27"/>
        <v>0.40647187995004236</v>
      </c>
      <c r="CX57" s="13">
        <f t="shared" si="27"/>
        <v>0.40647187995004236</v>
      </c>
      <c r="CY57" s="13">
        <f t="shared" si="27"/>
        <v>0.40647187995004236</v>
      </c>
      <c r="CZ57" s="13">
        <f t="shared" si="14"/>
        <v>100</v>
      </c>
      <c r="DB57" s="47"/>
      <c r="DC57" s="26">
        <v>0.04</v>
      </c>
      <c r="DD57" s="13">
        <f t="shared" si="15"/>
        <v>300</v>
      </c>
      <c r="DE57" s="13">
        <f t="shared" si="16"/>
        <v>225.22599027525933</v>
      </c>
      <c r="DF57" s="13">
        <f t="shared" si="16"/>
        <v>234.36698212449664</v>
      </c>
      <c r="DG57" s="13">
        <f t="shared" si="16"/>
        <v>243.69071626426589</v>
      </c>
      <c r="DH57" s="13">
        <f t="shared" si="16"/>
        <v>245.19823587962895</v>
      </c>
      <c r="DI57" s="13">
        <f t="shared" si="16"/>
        <v>240.53258261868066</v>
      </c>
      <c r="DJ57" s="13">
        <f t="shared" si="16"/>
        <v>231.99582072303252</v>
      </c>
      <c r="DK57" s="13">
        <f t="shared" si="16"/>
        <v>221.29911765315688</v>
      </c>
      <c r="DL57" s="13">
        <f t="shared" si="16"/>
        <v>209.57321631650768</v>
      </c>
      <c r="DM57" s="13">
        <f t="shared" si="16"/>
        <v>197.53328301439493</v>
      </c>
      <c r="DN57" s="13">
        <f t="shared" si="16"/>
        <v>185.61919104783317</v>
      </c>
      <c r="DO57" s="13">
        <f t="shared" si="16"/>
        <v>174.09404420423559</v>
      </c>
      <c r="DP57" s="13">
        <f t="shared" si="16"/>
        <v>163.10937711121034</v>
      </c>
      <c r="DQ57" s="13">
        <f t="shared" si="16"/>
        <v>152.74706469989295</v>
      </c>
      <c r="DR57" s="13">
        <f t="shared" si="16"/>
        <v>143.04573467423887</v>
      </c>
      <c r="DS57" s="13">
        <f t="shared" si="16"/>
        <v>134.01714144775764</v>
      </c>
      <c r="DT57" s="13">
        <f t="shared" si="16"/>
        <v>125.65615806946644</v>
      </c>
      <c r="DU57" s="13">
        <f t="shared" si="24"/>
        <v>117.9467740804936</v>
      </c>
      <c r="DV57" s="13">
        <f t="shared" si="24"/>
        <v>110.86563234712258</v>
      </c>
      <c r="DW57" s="13">
        <f t="shared" si="24"/>
        <v>104.38407645128395</v>
      </c>
      <c r="DX57" s="13">
        <f t="shared" si="24"/>
        <v>98.469317629377954</v>
      </c>
      <c r="DY57" s="13">
        <f t="shared" si="24"/>
        <v>93.085098820937105</v>
      </c>
      <c r="DZ57" s="13">
        <f t="shared" si="24"/>
        <v>88.192086947241307</v>
      </c>
      <c r="EA57" s="13">
        <f t="shared" si="24"/>
        <v>83.748132517770145</v>
      </c>
      <c r="EB57" s="13">
        <f t="shared" si="24"/>
        <v>79.708478201035788</v>
      </c>
      <c r="EC57" s="13">
        <f t="shared" si="20"/>
        <v>76.025962355166399</v>
      </c>
      <c r="ED57" s="13">
        <f t="shared" si="20"/>
        <v>72.651241584619115</v>
      </c>
      <c r="EE57" s="13">
        <f t="shared" si="20"/>
        <v>69.533043039117999</v>
      </c>
      <c r="EF57" s="13">
        <f t="shared" si="20"/>
        <v>66.618449158806044</v>
      </c>
      <c r="EG57" s="13">
        <f t="shared" si="20"/>
        <v>63.853212853473259</v>
      </c>
      <c r="EH57" s="13">
        <f t="shared" si="20"/>
        <v>61.182098398405167</v>
      </c>
    </row>
    <row r="58" spans="5:138" x14ac:dyDescent="0.25">
      <c r="E58" s="49"/>
      <c r="F58" s="26">
        <v>3.6666666666666667E-2</v>
      </c>
      <c r="G58">
        <f t="shared" si="10"/>
        <v>300</v>
      </c>
      <c r="H58">
        <f t="shared" si="17"/>
        <v>340.07600292677057</v>
      </c>
      <c r="I58">
        <f t="shared" si="17"/>
        <v>363.72815069129069</v>
      </c>
      <c r="J58">
        <f t="shared" si="17"/>
        <v>373.77499734082539</v>
      </c>
      <c r="K58">
        <f t="shared" si="17"/>
        <v>373.64078851591751</v>
      </c>
      <c r="L58">
        <f t="shared" si="17"/>
        <v>366.39411854412072</v>
      </c>
      <c r="M58">
        <f t="shared" si="17"/>
        <v>354.47067156532671</v>
      </c>
      <c r="N58">
        <f t="shared" si="17"/>
        <v>339.6815127471545</v>
      </c>
      <c r="O58">
        <f t="shared" si="17"/>
        <v>323.31940407733578</v>
      </c>
      <c r="P58">
        <f t="shared" si="17"/>
        <v>306.28133688466914</v>
      </c>
      <c r="Q58">
        <f t="shared" si="17"/>
        <v>289.17615361040066</v>
      </c>
      <c r="R58">
        <f t="shared" si="17"/>
        <v>272.40897899675178</v>
      </c>
      <c r="S58">
        <f t="shared" si="17"/>
        <v>256.24348540221939</v>
      </c>
      <c r="T58">
        <f t="shared" si="17"/>
        <v>240.84606064497751</v>
      </c>
      <c r="U58">
        <f t="shared" si="17"/>
        <v>226.31631612430709</v>
      </c>
      <c r="V58">
        <f t="shared" si="17"/>
        <v>212.70775892322655</v>
      </c>
      <c r="W58">
        <f t="shared" si="17"/>
        <v>200.04160223014378</v>
      </c>
      <c r="X58">
        <f t="shared" si="25"/>
        <v>188.3159002276914</v>
      </c>
      <c r="Y58">
        <f t="shared" si="25"/>
        <v>177.51155789208406</v>
      </c>
      <c r="Z58">
        <f t="shared" si="25"/>
        <v>167.59628857960496</v>
      </c>
      <c r="AA58">
        <f t="shared" si="25"/>
        <v>158.52724830269256</v>
      </c>
      <c r="AB58">
        <f t="shared" si="21"/>
        <v>150.2528345174251</v>
      </c>
      <c r="AC58">
        <f t="shared" si="21"/>
        <v>142.7139714290914</v>
      </c>
      <c r="AD58">
        <f t="shared" si="21"/>
        <v>135.84509132776074</v>
      </c>
      <c r="AE58">
        <f t="shared" si="21"/>
        <v>129.57494595201581</v>
      </c>
      <c r="AF58">
        <f t="shared" si="21"/>
        <v>123.82733163975918</v>
      </c>
      <c r="AG58">
        <f t="shared" si="21"/>
        <v>118.52177887652695</v>
      </c>
      <c r="AH58">
        <f t="shared" si="21"/>
        <v>113.57423516625953</v>
      </c>
      <c r="AI58">
        <f t="shared" si="21"/>
        <v>108.8977561013168</v>
      </c>
      <c r="AJ58">
        <f t="shared" si="21"/>
        <v>104.40321052080688</v>
      </c>
      <c r="AK58">
        <f t="shared" si="11"/>
        <v>100</v>
      </c>
      <c r="AL58" s="47"/>
      <c r="AM58" s="26">
        <v>3.6666666666666667E-2</v>
      </c>
      <c r="AN58" s="27">
        <f t="shared" si="12"/>
        <v>-1076400000</v>
      </c>
      <c r="AO58" s="27">
        <f t="shared" si="12"/>
        <v>-1288187458.8729701</v>
      </c>
      <c r="AP58" s="27">
        <f t="shared" si="12"/>
        <v>-1361382551.2963901</v>
      </c>
      <c r="AQ58" s="27">
        <f t="shared" si="12"/>
        <v>-1383254260.1230738</v>
      </c>
      <c r="AR58" s="27">
        <f t="shared" si="12"/>
        <v>-1370068738.3432329</v>
      </c>
      <c r="AS58" s="27">
        <f t="shared" si="12"/>
        <v>-1333983954.1452732</v>
      </c>
      <c r="AT58" s="27">
        <f t="shared" si="12"/>
        <v>-1283704816.5914176</v>
      </c>
      <c r="AU58" s="27">
        <f t="shared" si="12"/>
        <v>-1225289280.1226065</v>
      </c>
      <c r="AV58" s="27">
        <f t="shared" si="12"/>
        <v>-1162868490.1140716</v>
      </c>
      <c r="AW58" s="27">
        <f t="shared" si="12"/>
        <v>-1099215297.3200247</v>
      </c>
      <c r="AX58" s="27">
        <f t="shared" si="12"/>
        <v>-1036164683.2991523</v>
      </c>
      <c r="AY58" s="27">
        <f t="shared" si="12"/>
        <v>-974912457.22120261</v>
      </c>
      <c r="AZ58" s="27">
        <f t="shared" si="12"/>
        <v>-916221820.63678062</v>
      </c>
      <c r="BA58" s="27">
        <f t="shared" si="12"/>
        <v>-860563469.41477334</v>
      </c>
      <c r="BB58" s="27">
        <f t="shared" si="12"/>
        <v>-808209226.75091183</v>
      </c>
      <c r="BC58" s="27">
        <f t="shared" si="12"/>
        <v>-759293900.91342604</v>
      </c>
      <c r="BD58" s="27">
        <f t="shared" si="22"/>
        <v>-713855786.38254631</v>
      </c>
      <c r="BE58" s="27">
        <f t="shared" si="22"/>
        <v>-671863020.99621844</v>
      </c>
      <c r="BF58" s="27">
        <f t="shared" si="22"/>
        <v>-633230707.40104699</v>
      </c>
      <c r="BG58" s="27">
        <f t="shared" si="22"/>
        <v>-597832095.21637654</v>
      </c>
      <c r="BH58" s="27">
        <f t="shared" si="22"/>
        <v>-565506013.23465085</v>
      </c>
      <c r="BI58" s="27">
        <f t="shared" si="22"/>
        <v>-536061990.36321551</v>
      </c>
      <c r="BJ58" s="27">
        <f t="shared" si="22"/>
        <v>-509283999.92138755</v>
      </c>
      <c r="BK58" s="27">
        <f t="shared" si="22"/>
        <v>-484933425.92008072</v>
      </c>
      <c r="BL58" s="27">
        <f t="shared" si="19"/>
        <v>-462751627.47299159</v>
      </c>
      <c r="BM58" s="27">
        <f t="shared" si="19"/>
        <v>-442462331.11049503</v>
      </c>
      <c r="BN58" s="27">
        <f t="shared" si="19"/>
        <v>-423773985.12970448</v>
      </c>
      <c r="BO58" s="27">
        <f t="shared" si="19"/>
        <v>-406382148.1448952</v>
      </c>
      <c r="BP58" s="27">
        <f t="shared" si="19"/>
        <v>-389971944.26597309</v>
      </c>
      <c r="BQ58" s="27">
        <f t="shared" si="19"/>
        <v>-374220592.20148468</v>
      </c>
      <c r="BR58" s="27">
        <f t="shared" si="19"/>
        <v>-358800000</v>
      </c>
      <c r="BT58" s="47"/>
      <c r="BU58" s="26">
        <v>3.6666666666666667E-2</v>
      </c>
      <c r="BV58" s="13">
        <v>0</v>
      </c>
      <c r="BW58" s="13">
        <f t="shared" ref="BW58:CY66" si="28">$B$20/($B$21-$B$22*BV58)</f>
        <v>0.34883720930232553</v>
      </c>
      <c r="BX58" s="13">
        <f t="shared" si="28"/>
        <v>0.39716748768472904</v>
      </c>
      <c r="BY58" s="13">
        <f t="shared" si="28"/>
        <v>0.40494040593779607</v>
      </c>
      <c r="BZ58" s="13">
        <f t="shared" si="28"/>
        <v>0.4062190081621499</v>
      </c>
      <c r="CA58" s="13">
        <f t="shared" si="28"/>
        <v>0.40643010492156101</v>
      </c>
      <c r="CB58" s="13">
        <f t="shared" si="28"/>
        <v>0.40646497802255066</v>
      </c>
      <c r="CC58" s="13">
        <f t="shared" si="28"/>
        <v>0.40647073962099717</v>
      </c>
      <c r="CD58" s="13">
        <f t="shared" si="28"/>
        <v>0.40647169154566137</v>
      </c>
      <c r="CE58" s="13">
        <f t="shared" si="28"/>
        <v>0.40647184882198806</v>
      </c>
      <c r="CF58" s="13">
        <f t="shared" si="28"/>
        <v>0.40647187480708435</v>
      </c>
      <c r="CG58" s="13">
        <f t="shared" si="28"/>
        <v>0.40647187910032606</v>
      </c>
      <c r="CH58" s="13">
        <f t="shared" si="28"/>
        <v>0.40647187980965277</v>
      </c>
      <c r="CI58" s="13">
        <f t="shared" si="28"/>
        <v>0.4064718799268473</v>
      </c>
      <c r="CJ58" s="13">
        <f t="shared" si="28"/>
        <v>0.40647187994621015</v>
      </c>
      <c r="CK58" s="13">
        <f t="shared" si="28"/>
        <v>0.40647187994940925</v>
      </c>
      <c r="CL58" s="13">
        <f t="shared" si="28"/>
        <v>0.40647187994993778</v>
      </c>
      <c r="CM58" s="13">
        <f t="shared" si="28"/>
        <v>0.40647187995002515</v>
      </c>
      <c r="CN58" s="13">
        <f t="shared" si="28"/>
        <v>0.40647187995003953</v>
      </c>
      <c r="CO58" s="13">
        <f t="shared" si="28"/>
        <v>0.40647187995004191</v>
      </c>
      <c r="CP58" s="13">
        <f t="shared" si="28"/>
        <v>0.40647187995004236</v>
      </c>
      <c r="CQ58" s="13">
        <f t="shared" si="28"/>
        <v>0.40647187995004236</v>
      </c>
      <c r="CR58" s="13">
        <f t="shared" si="28"/>
        <v>0.40647187995004236</v>
      </c>
      <c r="CS58" s="13">
        <f t="shared" si="28"/>
        <v>0.40647187995004236</v>
      </c>
      <c r="CT58" s="13">
        <f t="shared" si="28"/>
        <v>0.40647187995004236</v>
      </c>
      <c r="CU58" s="13">
        <f t="shared" si="28"/>
        <v>0.40647187995004236</v>
      </c>
      <c r="CV58" s="13">
        <f t="shared" si="28"/>
        <v>0.40647187995004236</v>
      </c>
      <c r="CW58" s="13">
        <f t="shared" si="28"/>
        <v>0.40647187995004236</v>
      </c>
      <c r="CX58" s="13">
        <f t="shared" si="28"/>
        <v>0.40647187995004236</v>
      </c>
      <c r="CY58" s="13">
        <f t="shared" si="28"/>
        <v>0.40647187995004236</v>
      </c>
      <c r="CZ58" s="13">
        <f t="shared" si="14"/>
        <v>100</v>
      </c>
      <c r="DB58" s="47"/>
      <c r="DC58" s="26">
        <v>3.6666666666666667E-2</v>
      </c>
      <c r="DD58" s="13">
        <f t="shared" si="15"/>
        <v>300</v>
      </c>
      <c r="DE58" s="13">
        <f t="shared" si="16"/>
        <v>213.19408989492501</v>
      </c>
      <c r="DF58" s="13">
        <f t="shared" si="16"/>
        <v>215.27687403806877</v>
      </c>
      <c r="DG58" s="13">
        <f t="shared" si="16"/>
        <v>222.47274476427157</v>
      </c>
      <c r="DH58" s="13">
        <f t="shared" si="16"/>
        <v>224.80453308447966</v>
      </c>
      <c r="DI58" s="13">
        <f t="shared" si="16"/>
        <v>222.32656630820875</v>
      </c>
      <c r="DJ58" s="13">
        <f t="shared" si="16"/>
        <v>216.40203295188778</v>
      </c>
      <c r="DK58" s="13">
        <f t="shared" si="16"/>
        <v>208.26163543801977</v>
      </c>
      <c r="DL58" s="13">
        <f t="shared" si="16"/>
        <v>198.82471098495776</v>
      </c>
      <c r="DM58" s="13">
        <f t="shared" si="16"/>
        <v>188.73937109141841</v>
      </c>
      <c r="DN58" s="13">
        <f t="shared" si="16"/>
        <v>178.44956520330729</v>
      </c>
      <c r="DO58" s="13">
        <f t="shared" si="16"/>
        <v>168.25320797809468</v>
      </c>
      <c r="DP58" s="13">
        <f t="shared" si="16"/>
        <v>158.34633438710574</v>
      </c>
      <c r="DQ58" s="13">
        <f t="shared" si="16"/>
        <v>148.85484217181173</v>
      </c>
      <c r="DR58" s="13">
        <f t="shared" si="16"/>
        <v>139.85659347563794</v>
      </c>
      <c r="DS58" s="13">
        <f t="shared" si="16"/>
        <v>131.39647279664806</v>
      </c>
      <c r="DT58" s="13">
        <f t="shared" si="16"/>
        <v>123.49648424012915</v>
      </c>
      <c r="DU58" s="13">
        <f t="shared" si="24"/>
        <v>116.16244357843827</v>
      </c>
      <c r="DV58" s="13">
        <f t="shared" si="24"/>
        <v>109.38837940048271</v>
      </c>
      <c r="DW58" s="13">
        <f t="shared" si="24"/>
        <v>103.15941993870243</v>
      </c>
      <c r="DX58" s="13">
        <f t="shared" si="24"/>
        <v>97.453696188572167</v>
      </c>
      <c r="DY58" s="13">
        <f t="shared" si="24"/>
        <v>92.24361825550568</v>
      </c>
      <c r="DZ58" s="13">
        <f t="shared" si="24"/>
        <v>87.496761775111295</v>
      </c>
      <c r="EA58" s="13">
        <f t="shared" si="24"/>
        <v>83.176519452219736</v>
      </c>
      <c r="EB58" s="13">
        <f t="shared" si="24"/>
        <v>79.242617671205551</v>
      </c>
      <c r="EC58" s="13">
        <f t="shared" si="20"/>
        <v>75.651561364794048</v>
      </c>
      <c r="ED58" s="13">
        <f t="shared" si="20"/>
        <v>72.357045994609223</v>
      </c>
      <c r="EE58" s="13">
        <f t="shared" si="20"/>
        <v>69.310359521416089</v>
      </c>
      <c r="EF58" s="13">
        <f t="shared" si="20"/>
        <v>66.460786848104391</v>
      </c>
      <c r="EG58" s="13">
        <f t="shared" si="20"/>
        <v>63.756022525802649</v>
      </c>
      <c r="EH58" s="13">
        <f t="shared" si="20"/>
        <v>61.142593263203935</v>
      </c>
    </row>
    <row r="59" spans="5:138" x14ac:dyDescent="0.25">
      <c r="E59" s="49"/>
      <c r="F59" s="26">
        <v>3.3333333333333333E-2</v>
      </c>
      <c r="G59">
        <f t="shared" si="10"/>
        <v>300</v>
      </c>
      <c r="H59">
        <f t="shared" si="17"/>
        <v>325.314131560796</v>
      </c>
      <c r="I59">
        <f t="shared" si="17"/>
        <v>341.58692987786361</v>
      </c>
      <c r="J59">
        <f t="shared" si="17"/>
        <v>349.14621979311642</v>
      </c>
      <c r="K59">
        <f t="shared" si="17"/>
        <v>349.42355673755605</v>
      </c>
      <c r="L59">
        <f t="shared" si="17"/>
        <v>344.10618546918056</v>
      </c>
      <c r="M59">
        <f t="shared" si="17"/>
        <v>334.75645591768256</v>
      </c>
      <c r="N59">
        <f t="shared" si="17"/>
        <v>322.6754626517519</v>
      </c>
      <c r="O59">
        <f t="shared" si="17"/>
        <v>308.88417115786609</v>
      </c>
      <c r="P59">
        <f t="shared" si="17"/>
        <v>294.15400940772633</v>
      </c>
      <c r="Q59">
        <f t="shared" si="17"/>
        <v>279.05269783406999</v>
      </c>
      <c r="R59">
        <f t="shared" si="17"/>
        <v>263.98959735971869</v>
      </c>
      <c r="S59">
        <f t="shared" si="17"/>
        <v>249.25446525994991</v>
      </c>
      <c r="T59">
        <f t="shared" si="17"/>
        <v>235.04817108796175</v>
      </c>
      <c r="U59">
        <f t="shared" si="17"/>
        <v>221.50595817743579</v>
      </c>
      <c r="V59">
        <f t="shared" si="17"/>
        <v>208.71454558815441</v>
      </c>
      <c r="W59">
        <f t="shared" si="17"/>
        <v>196.72445657261568</v>
      </c>
      <c r="X59">
        <f t="shared" si="25"/>
        <v>185.55879771257787</v>
      </c>
      <c r="Y59">
        <f t="shared" si="25"/>
        <v>175.21947600359181</v>
      </c>
      <c r="Z59">
        <f t="shared" si="25"/>
        <v>165.69160901277698</v>
      </c>
      <c r="AA59">
        <f t="shared" si="25"/>
        <v>156.94668582695044</v>
      </c>
      <c r="AB59">
        <f t="shared" si="21"/>
        <v>148.94488043353735</v>
      </c>
      <c r="AC59">
        <f t="shared" si="21"/>
        <v>141.63680108602691</v>
      </c>
      <c r="AD59">
        <f t="shared" si="21"/>
        <v>134.9648724279146</v>
      </c>
      <c r="AE59">
        <f t="shared" si="21"/>
        <v>128.86448469838609</v>
      </c>
      <c r="AF59">
        <f t="shared" si="21"/>
        <v>123.26500010961186</v>
      </c>
      <c r="AG59">
        <f t="shared" si="21"/>
        <v>118.09067556197803</v>
      </c>
      <c r="AH59">
        <f t="shared" si="21"/>
        <v>113.26153949701416</v>
      </c>
      <c r="AI59">
        <f t="shared" si="21"/>
        <v>108.69424609839953</v>
      </c>
      <c r="AJ59">
        <f t="shared" si="21"/>
        <v>104.30292022788429</v>
      </c>
      <c r="AK59">
        <f t="shared" si="11"/>
        <v>100</v>
      </c>
      <c r="AL59" s="47"/>
      <c r="AM59" s="26">
        <v>3.3333333333333333E-2</v>
      </c>
      <c r="AN59" s="27">
        <f t="shared" si="12"/>
        <v>-1076400000</v>
      </c>
      <c r="AO59" s="27">
        <f t="shared" si="12"/>
        <v>-1204658223.6691713</v>
      </c>
      <c r="AP59" s="27">
        <f t="shared" si="12"/>
        <v>-1261687829.185288</v>
      </c>
      <c r="AQ59" s="27">
        <f t="shared" si="12"/>
        <v>-1282883921.9168677</v>
      </c>
      <c r="AR59" s="27">
        <f t="shared" si="12"/>
        <v>-1276893813.5754056</v>
      </c>
      <c r="AS59" s="27">
        <f t="shared" si="12"/>
        <v>-1251346956.755547</v>
      </c>
      <c r="AT59" s="27">
        <f t="shared" si="12"/>
        <v>-1212413595.6103959</v>
      </c>
      <c r="AU59" s="27">
        <f t="shared" si="12"/>
        <v>-1164840194.6582198</v>
      </c>
      <c r="AV59" s="27">
        <f t="shared" si="12"/>
        <v>-1112163328.9753153</v>
      </c>
      <c r="AW59" s="27">
        <f t="shared" si="12"/>
        <v>-1056961146.0242804</v>
      </c>
      <c r="AX59" s="27">
        <f t="shared" si="12"/>
        <v>-1001082885.8775204</v>
      </c>
      <c r="AY59" s="27">
        <f t="shared" si="12"/>
        <v>-945836886.25589859</v>
      </c>
      <c r="AZ59" s="27">
        <f t="shared" si="12"/>
        <v>-892135632.33168852</v>
      </c>
      <c r="BA59" s="27">
        <f t="shared" si="12"/>
        <v>-840603541.44115353</v>
      </c>
      <c r="BB59" s="27">
        <f t="shared" si="12"/>
        <v>-791655064.61068726</v>
      </c>
      <c r="BC59" s="27">
        <f t="shared" si="12"/>
        <v>-745550309.97500324</v>
      </c>
      <c r="BD59" s="27">
        <f t="shared" si="22"/>
        <v>-702434209.33877158</v>
      </c>
      <c r="BE59" s="27">
        <f t="shared" si="22"/>
        <v>-662363930.387375</v>
      </c>
      <c r="BF59" s="27">
        <f t="shared" si="22"/>
        <v>-625328057.36765862</v>
      </c>
      <c r="BG59" s="27">
        <f t="shared" si="22"/>
        <v>-591260105.78519249</v>
      </c>
      <c r="BH59" s="27">
        <f t="shared" si="22"/>
        <v>-560048201.08650649</v>
      </c>
      <c r="BI59" s="27">
        <f t="shared" si="22"/>
        <v>-531542205.16549516</v>
      </c>
      <c r="BJ59" s="27">
        <f t="shared" si="22"/>
        <v>-505559178.44255644</v>
      </c>
      <c r="BK59" s="27">
        <f t="shared" si="22"/>
        <v>-481887782.82702088</v>
      </c>
      <c r="BL59" s="27">
        <f t="shared" si="19"/>
        <v>-460292032.09508657</v>
      </c>
      <c r="BM59" s="27">
        <f t="shared" si="19"/>
        <v>-440514657.82296634</v>
      </c>
      <c r="BN59" s="27">
        <f t="shared" si="19"/>
        <v>-422280263.59812379</v>
      </c>
      <c r="BO59" s="27">
        <f t="shared" si="19"/>
        <v>-405298375.07660097</v>
      </c>
      <c r="BP59" s="27">
        <f t="shared" si="19"/>
        <v>-389266449.43472618</v>
      </c>
      <c r="BQ59" s="27">
        <f t="shared" si="19"/>
        <v>-373872878.41715682</v>
      </c>
      <c r="BR59" s="27">
        <f t="shared" si="19"/>
        <v>-358800000</v>
      </c>
      <c r="BT59" s="47"/>
      <c r="BU59" s="26">
        <v>3.3333333333333333E-2</v>
      </c>
      <c r="BV59" s="13">
        <v>0</v>
      </c>
      <c r="BW59" s="13">
        <f t="shared" si="28"/>
        <v>0.34883720930232553</v>
      </c>
      <c r="BX59" s="13">
        <f t="shared" si="28"/>
        <v>0.39716748768472904</v>
      </c>
      <c r="BY59" s="13">
        <f t="shared" si="28"/>
        <v>0.40494040593779607</v>
      </c>
      <c r="BZ59" s="13">
        <f t="shared" si="28"/>
        <v>0.4062190081621499</v>
      </c>
      <c r="CA59" s="13">
        <f t="shared" si="28"/>
        <v>0.40643010492156101</v>
      </c>
      <c r="CB59" s="13">
        <f t="shared" si="28"/>
        <v>0.40646497802255066</v>
      </c>
      <c r="CC59" s="13">
        <f t="shared" si="28"/>
        <v>0.40647073962099717</v>
      </c>
      <c r="CD59" s="13">
        <f t="shared" si="28"/>
        <v>0.40647169154566137</v>
      </c>
      <c r="CE59" s="13">
        <f t="shared" si="28"/>
        <v>0.40647184882198806</v>
      </c>
      <c r="CF59" s="13">
        <f t="shared" si="28"/>
        <v>0.40647187480708435</v>
      </c>
      <c r="CG59" s="13">
        <f t="shared" si="28"/>
        <v>0.40647187910032606</v>
      </c>
      <c r="CH59" s="13">
        <f t="shared" si="28"/>
        <v>0.40647187980965277</v>
      </c>
      <c r="CI59" s="13">
        <f t="shared" si="28"/>
        <v>0.4064718799268473</v>
      </c>
      <c r="CJ59" s="13">
        <f t="shared" si="28"/>
        <v>0.40647187994621015</v>
      </c>
      <c r="CK59" s="13">
        <f t="shared" si="28"/>
        <v>0.40647187994940925</v>
      </c>
      <c r="CL59" s="13">
        <f t="shared" si="28"/>
        <v>0.40647187994993778</v>
      </c>
      <c r="CM59" s="13">
        <f t="shared" si="28"/>
        <v>0.40647187995002515</v>
      </c>
      <c r="CN59" s="13">
        <f t="shared" si="28"/>
        <v>0.40647187995003953</v>
      </c>
      <c r="CO59" s="13">
        <f t="shared" si="28"/>
        <v>0.40647187995004191</v>
      </c>
      <c r="CP59" s="13">
        <f t="shared" si="28"/>
        <v>0.40647187995004236</v>
      </c>
      <c r="CQ59" s="13">
        <f t="shared" si="28"/>
        <v>0.40647187995004236</v>
      </c>
      <c r="CR59" s="13">
        <f t="shared" si="28"/>
        <v>0.40647187995004236</v>
      </c>
      <c r="CS59" s="13">
        <f t="shared" si="28"/>
        <v>0.40647187995004236</v>
      </c>
      <c r="CT59" s="13">
        <f t="shared" si="28"/>
        <v>0.40647187995004236</v>
      </c>
      <c r="CU59" s="13">
        <f t="shared" si="28"/>
        <v>0.40647187995004236</v>
      </c>
      <c r="CV59" s="13">
        <f t="shared" si="28"/>
        <v>0.40647187995004236</v>
      </c>
      <c r="CW59" s="13">
        <f t="shared" si="28"/>
        <v>0.40647187995004236</v>
      </c>
      <c r="CX59" s="13">
        <f t="shared" si="28"/>
        <v>0.40647187995004236</v>
      </c>
      <c r="CY59" s="13">
        <f t="shared" si="28"/>
        <v>0.40647187995004236</v>
      </c>
      <c r="CZ59" s="13">
        <f t="shared" si="14"/>
        <v>100</v>
      </c>
      <c r="DB59" s="47"/>
      <c r="DC59" s="26">
        <v>3.3333333333333333E-2</v>
      </c>
      <c r="DD59" s="13">
        <f t="shared" si="15"/>
        <v>300</v>
      </c>
      <c r="DE59" s="13">
        <f t="shared" si="16"/>
        <v>206.15590020805288</v>
      </c>
      <c r="DF59" s="13">
        <f t="shared" si="16"/>
        <v>202.91740292801134</v>
      </c>
      <c r="DG59" s="13">
        <f t="shared" si="16"/>
        <v>207.65050288358194</v>
      </c>
      <c r="DH59" s="13">
        <f t="shared" si="16"/>
        <v>209.64108337380469</v>
      </c>
      <c r="DI59" s="13">
        <f t="shared" si="16"/>
        <v>208.05108396738692</v>
      </c>
      <c r="DJ59" s="13">
        <f t="shared" si="16"/>
        <v>203.60018108252186</v>
      </c>
      <c r="DK59" s="13">
        <f t="shared" si="16"/>
        <v>197.12308514399538</v>
      </c>
      <c r="DL59" s="13">
        <f t="shared" si="16"/>
        <v>189.31889337896919</v>
      </c>
      <c r="DM59" s="13">
        <f t="shared" si="16"/>
        <v>180.72694340034829</v>
      </c>
      <c r="DN59" s="13">
        <f t="shared" si="16"/>
        <v>171.74835126569781</v>
      </c>
      <c r="DO59" s="13">
        <f t="shared" si="16"/>
        <v>162.67466649135989</v>
      </c>
      <c r="DP59" s="13">
        <f t="shared" si="16"/>
        <v>153.71399331200521</v>
      </c>
      <c r="DQ59" s="13">
        <f t="shared" si="16"/>
        <v>145.01222785258182</v>
      </c>
      <c r="DR59" s="13">
        <f t="shared" si="16"/>
        <v>136.6693644600997</v>
      </c>
      <c r="DS59" s="13">
        <f t="shared" si="16"/>
        <v>128.75158589305738</v>
      </c>
      <c r="DT59" s="13">
        <f t="shared" si="16"/>
        <v>121.30002322513394</v>
      </c>
      <c r="DU59" s="13">
        <f t="shared" si="24"/>
        <v>114.33700789753958</v>
      </c>
      <c r="DV59" s="13">
        <f t="shared" si="24"/>
        <v>107.87049619622142</v>
      </c>
      <c r="DW59" s="13">
        <f t="shared" si="24"/>
        <v>101.89719457276783</v>
      </c>
      <c r="DX59" s="13">
        <f t="shared" si="24"/>
        <v>96.404780268196234</v>
      </c>
      <c r="DY59" s="13">
        <f t="shared" si="24"/>
        <v>91.373503625989784</v>
      </c>
      <c r="DZ59" s="13">
        <f t="shared" si="24"/>
        <v>86.777375663034817</v>
      </c>
      <c r="EA59" s="13">
        <f t="shared" si="24"/>
        <v>82.585083073768146</v>
      </c>
      <c r="EB59" s="13">
        <f t="shared" si="24"/>
        <v>78.760728371789966</v>
      </c>
      <c r="EC59" s="13">
        <f t="shared" si="20"/>
        <v>75.264461209364129</v>
      </c>
      <c r="ED59" s="13">
        <f t="shared" si="20"/>
        <v>72.053044676590716</v>
      </c>
      <c r="EE59" s="13">
        <f t="shared" si="20"/>
        <v>69.080384945645136</v>
      </c>
      <c r="EF59" s="13">
        <f t="shared" si="20"/>
        <v>66.298042029092102</v>
      </c>
      <c r="EG59" s="13">
        <f t="shared" si="20"/>
        <v>63.655732232880048</v>
      </c>
      <c r="EH59" s="13">
        <f t="shared" si="20"/>
        <v>61.101828079298933</v>
      </c>
    </row>
    <row r="60" spans="5:138" x14ac:dyDescent="0.25">
      <c r="E60" s="49"/>
      <c r="F60" s="26">
        <v>3.0000000000000002E-2</v>
      </c>
      <c r="G60">
        <f t="shared" si="10"/>
        <v>300</v>
      </c>
      <c r="H60">
        <f t="shared" si="17"/>
        <v>315.68628916827407</v>
      </c>
      <c r="I60">
        <f t="shared" si="17"/>
        <v>326.2463701578717</v>
      </c>
      <c r="J60">
        <f t="shared" si="17"/>
        <v>331.16576661730784</v>
      </c>
      <c r="K60">
        <f t="shared" si="17"/>
        <v>330.91381492029359</v>
      </c>
      <c r="L60">
        <f t="shared" si="17"/>
        <v>326.36795398003494</v>
      </c>
      <c r="M60">
        <f t="shared" si="17"/>
        <v>318.49619693426064</v>
      </c>
      <c r="N60">
        <f t="shared" si="17"/>
        <v>308.20056743325392</v>
      </c>
      <c r="O60">
        <f t="shared" si="17"/>
        <v>296.25355820393366</v>
      </c>
      <c r="P60">
        <f t="shared" si="17"/>
        <v>283.28420051757382</v>
      </c>
      <c r="Q60">
        <f t="shared" si="17"/>
        <v>269.78784306704364</v>
      </c>
      <c r="R60">
        <f t="shared" si="17"/>
        <v>256.14515702799116</v>
      </c>
      <c r="S60">
        <f t="shared" si="17"/>
        <v>242.64286316449173</v>
      </c>
      <c r="T60">
        <f t="shared" si="17"/>
        <v>229.49270897249869</v>
      </c>
      <c r="U60">
        <f t="shared" si="17"/>
        <v>216.84741970366886</v>
      </c>
      <c r="V60">
        <f t="shared" si="17"/>
        <v>204.81345616569627</v>
      </c>
      <c r="W60">
        <f t="shared" si="17"/>
        <v>193.46090907057095</v>
      </c>
      <c r="X60">
        <f t="shared" si="25"/>
        <v>182.83103060991127</v>
      </c>
      <c r="Y60">
        <f t="shared" si="25"/>
        <v>172.94191407874752</v>
      </c>
      <c r="Z60">
        <f t="shared" si="25"/>
        <v>163.79277285562279</v>
      </c>
      <c r="AA60">
        <f t="shared" si="25"/>
        <v>155.36718841918125</v>
      </c>
      <c r="AB60">
        <f t="shared" si="21"/>
        <v>147.63561624538823</v>
      </c>
      <c r="AC60">
        <f t="shared" si="21"/>
        <v>140.5573679539807</v>
      </c>
      <c r="AD60">
        <f t="shared" si="21"/>
        <v>134.08223069902985</v>
      </c>
      <c r="AE60">
        <f t="shared" si="21"/>
        <v>128.15184005688408</v>
      </c>
      <c r="AF60">
        <f t="shared" si="21"/>
        <v>122.70088879948898</v>
      </c>
      <c r="AG60">
        <f t="shared" si="21"/>
        <v>117.65822887794567</v>
      </c>
      <c r="AH60">
        <f t="shared" si="21"/>
        <v>112.94790573193276</v>
      </c>
      <c r="AI60">
        <f t="shared" si="21"/>
        <v>108.49015103394524</v>
      </c>
      <c r="AJ60">
        <f t="shared" si="21"/>
        <v>104.20235085555862</v>
      </c>
      <c r="AK60">
        <f t="shared" si="11"/>
        <v>100</v>
      </c>
      <c r="AL60" s="47"/>
      <c r="AM60" s="26">
        <v>3.0000000000000002E-2</v>
      </c>
      <c r="AN60" s="27">
        <f t="shared" si="12"/>
        <v>-1076400000</v>
      </c>
      <c r="AO60" s="27">
        <f t="shared" si="12"/>
        <v>-1153904907.395488</v>
      </c>
      <c r="AP60" s="27">
        <f t="shared" si="12"/>
        <v>-1193924410.0813122</v>
      </c>
      <c r="AQ60" s="27">
        <f t="shared" si="12"/>
        <v>-1209632151.9906051</v>
      </c>
      <c r="AR60" s="27">
        <f t="shared" si="12"/>
        <v>-1205095552.2010455</v>
      </c>
      <c r="AS60" s="27">
        <f t="shared" si="12"/>
        <v>-1184777428.7572002</v>
      </c>
      <c r="AT60" s="27">
        <f t="shared" si="12"/>
        <v>-1152799186.5647893</v>
      </c>
      <c r="AU60" s="27">
        <f t="shared" si="12"/>
        <v>-1112660348.0257325</v>
      </c>
      <c r="AV60" s="27">
        <f t="shared" si="12"/>
        <v>-1067190289.4478586</v>
      </c>
      <c r="AW60" s="27">
        <f t="shared" si="12"/>
        <v>-1018605490.4807198</v>
      </c>
      <c r="AX60" s="27">
        <f t="shared" si="12"/>
        <v>-968604581.2810353</v>
      </c>
      <c r="AY60" s="27">
        <f t="shared" si="12"/>
        <v>-918467599.80964267</v>
      </c>
      <c r="AZ60" s="27">
        <f t="shared" si="12"/>
        <v>-869144734.79415989</v>
      </c>
      <c r="BA60" s="27">
        <f t="shared" si="12"/>
        <v>-821329699.01142967</v>
      </c>
      <c r="BB60" s="27">
        <f t="shared" si="12"/>
        <v>-775517653.37101483</v>
      </c>
      <c r="BC60" s="27">
        <f t="shared" si="12"/>
        <v>-732049616.64913058</v>
      </c>
      <c r="BD60" s="27">
        <f t="shared" si="22"/>
        <v>-691145893.59852076</v>
      </c>
      <c r="BE60" s="27">
        <f t="shared" si="22"/>
        <v>-652930983.44024849</v>
      </c>
      <c r="BF60" s="27">
        <f t="shared" si="22"/>
        <v>-617452089.93926466</v>
      </c>
      <c r="BG60" s="27">
        <f t="shared" si="22"/>
        <v>-584692943.90910637</v>
      </c>
      <c r="BH60" s="27">
        <f t="shared" si="22"/>
        <v>-554584261.28065729</v>
      </c>
      <c r="BI60" s="27">
        <f t="shared" si="22"/>
        <v>-527011830.21537721</v>
      </c>
      <c r="BJ60" s="27">
        <f t="shared" si="22"/>
        <v>-501822956.52795225</v>
      </c>
      <c r="BK60" s="27">
        <f t="shared" si="22"/>
        <v>-478831792.77110612</v>
      </c>
      <c r="BL60" s="27">
        <f t="shared" si="19"/>
        <v>-457823923.07123244</v>
      </c>
      <c r="BM60" s="27">
        <f t="shared" si="19"/>
        <v>-438560462.88214004</v>
      </c>
      <c r="BN60" s="27">
        <f t="shared" si="19"/>
        <v>-420781850.96337324</v>
      </c>
      <c r="BO60" s="27">
        <f t="shared" si="19"/>
        <v>-404211452.39134979</v>
      </c>
      <c r="BP60" s="27">
        <f t="shared" si="19"/>
        <v>-388559050.19864804</v>
      </c>
      <c r="BQ60" s="27">
        <f t="shared" si="19"/>
        <v>-373524274.67323643</v>
      </c>
      <c r="BR60" s="27">
        <f t="shared" si="19"/>
        <v>-358800000</v>
      </c>
      <c r="BT60" s="47"/>
      <c r="BU60" s="26">
        <v>3.0000000000000002E-2</v>
      </c>
      <c r="BV60" s="13">
        <v>0</v>
      </c>
      <c r="BW60" s="13">
        <f t="shared" si="28"/>
        <v>0.34883720930232553</v>
      </c>
      <c r="BX60" s="13">
        <f t="shared" si="28"/>
        <v>0.39716748768472904</v>
      </c>
      <c r="BY60" s="13">
        <f t="shared" si="28"/>
        <v>0.40494040593779607</v>
      </c>
      <c r="BZ60" s="13">
        <f t="shared" si="28"/>
        <v>0.4062190081621499</v>
      </c>
      <c r="CA60" s="13">
        <f t="shared" si="28"/>
        <v>0.40643010492156101</v>
      </c>
      <c r="CB60" s="13">
        <f t="shared" si="28"/>
        <v>0.40646497802255066</v>
      </c>
      <c r="CC60" s="13">
        <f t="shared" si="28"/>
        <v>0.40647073962099717</v>
      </c>
      <c r="CD60" s="13">
        <f t="shared" si="28"/>
        <v>0.40647169154566137</v>
      </c>
      <c r="CE60" s="13">
        <f t="shared" si="28"/>
        <v>0.40647184882198806</v>
      </c>
      <c r="CF60" s="13">
        <f t="shared" si="28"/>
        <v>0.40647187480708435</v>
      </c>
      <c r="CG60" s="13">
        <f t="shared" si="28"/>
        <v>0.40647187910032606</v>
      </c>
      <c r="CH60" s="13">
        <f t="shared" si="28"/>
        <v>0.40647187980965277</v>
      </c>
      <c r="CI60" s="13">
        <f t="shared" si="28"/>
        <v>0.4064718799268473</v>
      </c>
      <c r="CJ60" s="13">
        <f t="shared" si="28"/>
        <v>0.40647187994621015</v>
      </c>
      <c r="CK60" s="13">
        <f t="shared" si="28"/>
        <v>0.40647187994940925</v>
      </c>
      <c r="CL60" s="13">
        <f t="shared" si="28"/>
        <v>0.40647187994993778</v>
      </c>
      <c r="CM60" s="13">
        <f t="shared" si="28"/>
        <v>0.40647187995002515</v>
      </c>
      <c r="CN60" s="13">
        <f t="shared" si="28"/>
        <v>0.40647187995003953</v>
      </c>
      <c r="CO60" s="13">
        <f t="shared" si="28"/>
        <v>0.40647187995004191</v>
      </c>
      <c r="CP60" s="13">
        <f t="shared" si="28"/>
        <v>0.40647187995004236</v>
      </c>
      <c r="CQ60" s="13">
        <f t="shared" si="28"/>
        <v>0.40647187995004236</v>
      </c>
      <c r="CR60" s="13">
        <f t="shared" si="28"/>
        <v>0.40647187995004236</v>
      </c>
      <c r="CS60" s="13">
        <f t="shared" si="28"/>
        <v>0.40647187995004236</v>
      </c>
      <c r="CT60" s="13">
        <f t="shared" si="28"/>
        <v>0.40647187995004236</v>
      </c>
      <c r="CU60" s="13">
        <f t="shared" si="28"/>
        <v>0.40647187995004236</v>
      </c>
      <c r="CV60" s="13">
        <f t="shared" si="28"/>
        <v>0.40647187995004236</v>
      </c>
      <c r="CW60" s="13">
        <f t="shared" si="28"/>
        <v>0.40647187995004236</v>
      </c>
      <c r="CX60" s="13">
        <f t="shared" si="28"/>
        <v>0.40647187995004236</v>
      </c>
      <c r="CY60" s="13">
        <f t="shared" si="28"/>
        <v>0.40647187995004236</v>
      </c>
      <c r="CZ60" s="13">
        <f t="shared" si="14"/>
        <v>100</v>
      </c>
      <c r="DB60" s="47"/>
      <c r="DC60" s="26">
        <v>3.0000000000000002E-2</v>
      </c>
      <c r="DD60" s="13">
        <f t="shared" si="15"/>
        <v>300</v>
      </c>
      <c r="DE60" s="13">
        <f t="shared" si="16"/>
        <v>201.87941585738861</v>
      </c>
      <c r="DF60" s="13">
        <f t="shared" si="16"/>
        <v>194.71809462328824</v>
      </c>
      <c r="DG60" s="13">
        <f t="shared" si="16"/>
        <v>197.16539207305942</v>
      </c>
      <c r="DH60" s="13">
        <f t="shared" si="16"/>
        <v>198.3369483586136</v>
      </c>
      <c r="DI60" s="13">
        <f t="shared" si="16"/>
        <v>196.92151124292519</v>
      </c>
      <c r="DJ60" s="13">
        <f t="shared" si="16"/>
        <v>193.22346006596544</v>
      </c>
      <c r="DK60" s="13">
        <f t="shared" si="16"/>
        <v>187.78216451474884</v>
      </c>
      <c r="DL60" s="13">
        <f t="shared" si="16"/>
        <v>181.10655003139513</v>
      </c>
      <c r="DM60" s="13">
        <f t="shared" si="16"/>
        <v>173.62303715641619</v>
      </c>
      <c r="DN60" s="13">
        <f t="shared" si="16"/>
        <v>165.67204086712107</v>
      </c>
      <c r="DO60" s="13">
        <f t="shared" si="16"/>
        <v>157.51765648723693</v>
      </c>
      <c r="DP60" s="13">
        <f t="shared" si="16"/>
        <v>149.36053034583063</v>
      </c>
      <c r="DQ60" s="13">
        <f t="shared" si="16"/>
        <v>141.35033062826236</v>
      </c>
      <c r="DR60" s="13">
        <f t="shared" si="16"/>
        <v>133.59650913771759</v>
      </c>
      <c r="DS60" s="13">
        <f t="shared" si="16"/>
        <v>126.17703675905959</v>
      </c>
      <c r="DT60" s="13">
        <f t="shared" si="16"/>
        <v>119.14523634537568</v>
      </c>
      <c r="DU60" s="13">
        <f t="shared" si="24"/>
        <v>112.53500567216705</v>
      </c>
      <c r="DV60" s="13">
        <f t="shared" si="24"/>
        <v>106.36475777389272</v>
      </c>
      <c r="DW60" s="13">
        <f t="shared" si="24"/>
        <v>100.64037969632581</v>
      </c>
      <c r="DX60" s="13">
        <f t="shared" si="24"/>
        <v>95.357461936335284</v>
      </c>
      <c r="DY60" s="13">
        <f t="shared" si="24"/>
        <v>90.502998652303859</v>
      </c>
      <c r="DZ60" s="13">
        <f t="shared" si="24"/>
        <v>86.056711573850748</v>
      </c>
      <c r="EA60" s="13">
        <f t="shared" si="24"/>
        <v>81.992111352051026</v>
      </c>
      <c r="EB60" s="13">
        <f t="shared" si="24"/>
        <v>78.277379115014696</v>
      </c>
      <c r="EC60" s="13">
        <f t="shared" si="20"/>
        <v>74.876127315878037</v>
      </c>
      <c r="ED60" s="13">
        <f t="shared" si="20"/>
        <v>71.74808129866679</v>
      </c>
      <c r="EE60" s="13">
        <f t="shared" si="20"/>
        <v>68.849710085101009</v>
      </c>
      <c r="EF60" s="13">
        <f t="shared" si="20"/>
        <v>66.134825586472431</v>
      </c>
      <c r="EG60" s="13">
        <f t="shared" si="20"/>
        <v>63.555162860554383</v>
      </c>
      <c r="EH60" s="13">
        <f t="shared" si="20"/>
        <v>61.060949457464332</v>
      </c>
    </row>
    <row r="61" spans="5:138" x14ac:dyDescent="0.25">
      <c r="E61" s="49"/>
      <c r="F61" s="26">
        <v>2.6666666666666668E-2</v>
      </c>
      <c r="G61">
        <f t="shared" si="10"/>
        <v>300</v>
      </c>
      <c r="H61">
        <f t="shared" si="17"/>
        <v>309.21144861943731</v>
      </c>
      <c r="I61">
        <f t="shared" si="17"/>
        <v>315.42085326312514</v>
      </c>
      <c r="J61">
        <f t="shared" si="17"/>
        <v>317.92610612792384</v>
      </c>
      <c r="K61">
        <f t="shared" si="17"/>
        <v>316.75875727165413</v>
      </c>
      <c r="L61">
        <f t="shared" si="17"/>
        <v>312.33711601128903</v>
      </c>
      <c r="M61">
        <f t="shared" si="17"/>
        <v>305.2413870420138</v>
      </c>
      <c r="N61">
        <f t="shared" si="17"/>
        <v>296.08103388591007</v>
      </c>
      <c r="O61">
        <f t="shared" si="17"/>
        <v>285.42457373058136</v>
      </c>
      <c r="P61">
        <f t="shared" si="17"/>
        <v>273.76830631762573</v>
      </c>
      <c r="Q61">
        <f t="shared" si="17"/>
        <v>261.52750189686185</v>
      </c>
      <c r="R61">
        <f t="shared" si="17"/>
        <v>249.03937554634356</v>
      </c>
      <c r="S61">
        <f t="shared" si="17"/>
        <v>236.57137852103813</v>
      </c>
      <c r="T61">
        <f t="shared" si="17"/>
        <v>224.3311453197895</v>
      </c>
      <c r="U61">
        <f t="shared" si="17"/>
        <v>212.47619858515145</v>
      </c>
      <c r="V61">
        <f t="shared" si="17"/>
        <v>201.12256037062889</v>
      </c>
      <c r="W61">
        <f t="shared" si="17"/>
        <v>190.35200177230178</v>
      </c>
      <c r="X61">
        <f t="shared" si="25"/>
        <v>180.21796233279923</v>
      </c>
      <c r="Y61">
        <f t="shared" si="25"/>
        <v>170.75030425064952</v>
      </c>
      <c r="Z61">
        <f t="shared" si="25"/>
        <v>161.95910871167698</v>
      </c>
      <c r="AA61">
        <f t="shared" si="25"/>
        <v>153.8377174552092</v>
      </c>
      <c r="AB61">
        <f t="shared" si="21"/>
        <v>146.36519782825076</v>
      </c>
      <c r="AC61">
        <f t="shared" si="21"/>
        <v>139.50837815917345</v>
      </c>
      <c r="AD61">
        <f t="shared" si="21"/>
        <v>133.22356942373992</v>
      </c>
      <c r="AE61">
        <f t="shared" si="21"/>
        <v>127.45806203668232</v>
      </c>
      <c r="AF61">
        <f t="shared" si="21"/>
        <v>122.15146419139316</v>
      </c>
      <c r="AG61">
        <f t="shared" si="21"/>
        <v>117.23693042095326</v>
      </c>
      <c r="AH61">
        <f t="shared" si="21"/>
        <v>112.64231542454078</v>
      </c>
      <c r="AI61">
        <f t="shared" si="21"/>
        <v>108.29127800489127</v>
      </c>
      <c r="AJ61">
        <f t="shared" si="21"/>
        <v>104.10435252167906</v>
      </c>
      <c r="AK61">
        <f t="shared" si="11"/>
        <v>100</v>
      </c>
      <c r="AL61" s="47"/>
      <c r="AM61" s="26">
        <v>2.6666666666666668E-2</v>
      </c>
      <c r="AN61" s="27">
        <f t="shared" si="12"/>
        <v>-1076400000</v>
      </c>
      <c r="AO61" s="27">
        <f t="shared" si="12"/>
        <v>-1121879139.7061436</v>
      </c>
      <c r="AP61" s="27">
        <f t="shared" si="12"/>
        <v>-1147065209.872694</v>
      </c>
      <c r="AQ61" s="27">
        <f t="shared" si="12"/>
        <v>-1155923439.9122143</v>
      </c>
      <c r="AR61" s="27">
        <f t="shared" si="12"/>
        <v>-1150003191.6436503</v>
      </c>
      <c r="AS61" s="27">
        <f t="shared" si="12"/>
        <v>-1131736295.3633926</v>
      </c>
      <c r="AT61" s="27">
        <f t="shared" si="12"/>
        <v>-1103753640.8402154</v>
      </c>
      <c r="AU61" s="27">
        <f t="shared" si="12"/>
        <v>-1068532632.5594362</v>
      </c>
      <c r="AV61" s="27">
        <f t="shared" si="12"/>
        <v>-1028242572.5919019</v>
      </c>
      <c r="AW61" s="27">
        <f t="shared" si="12"/>
        <v>-984700666.27996743</v>
      </c>
      <c r="AX61" s="27">
        <f t="shared" si="12"/>
        <v>-939384589.59512329</v>
      </c>
      <c r="AY61" s="27">
        <f t="shared" si="12"/>
        <v>-893469944.05389929</v>
      </c>
      <c r="AZ61" s="27">
        <f t="shared" si="12"/>
        <v>-847875163.90188968</v>
      </c>
      <c r="BA61" s="27">
        <f t="shared" si="12"/>
        <v>-803305063.43563688</v>
      </c>
      <c r="BB61" s="27">
        <f t="shared" si="12"/>
        <v>-760289183.25024521</v>
      </c>
      <c r="BC61" s="27">
        <f t="shared" si="12"/>
        <v>-719213796.99876714</v>
      </c>
      <c r="BD61" s="27">
        <f t="shared" si="22"/>
        <v>-680347793.04148543</v>
      </c>
      <c r="BE61" s="27">
        <f t="shared" si="22"/>
        <v>-643863230.03064299</v>
      </c>
      <c r="BF61" s="27">
        <f t="shared" si="22"/>
        <v>-609851536.72257721</v>
      </c>
      <c r="BG61" s="27">
        <f t="shared" si="22"/>
        <v>-578336292.32792747</v>
      </c>
      <c r="BH61" s="27">
        <f t="shared" si="22"/>
        <v>-549283401.68312168</v>
      </c>
      <c r="BI61" s="27">
        <f t="shared" si="22"/>
        <v>-522609331.98213595</v>
      </c>
      <c r="BJ61" s="27">
        <f t="shared" si="22"/>
        <v>-498187935.56982929</v>
      </c>
      <c r="BK61" s="27">
        <f t="shared" si="22"/>
        <v>-475856259.51010269</v>
      </c>
      <c r="BL61" s="27">
        <f t="shared" si="19"/>
        <v>-455419641.08469498</v>
      </c>
      <c r="BM61" s="27">
        <f t="shared" si="19"/>
        <v>-436656308.24884301</v>
      </c>
      <c r="BN61" s="27">
        <f t="shared" si="19"/>
        <v>-419321642.62590688</v>
      </c>
      <c r="BO61" s="27">
        <f t="shared" si="19"/>
        <v>-403152216.57545382</v>
      </c>
      <c r="BP61" s="27">
        <f t="shared" si="19"/>
        <v>-387869682.06469947</v>
      </c>
      <c r="BQ61" s="27">
        <f t="shared" si="19"/>
        <v>-373184564.78703731</v>
      </c>
      <c r="BR61" s="27">
        <f t="shared" si="19"/>
        <v>-358800000</v>
      </c>
      <c r="BT61" s="47"/>
      <c r="BU61" s="26">
        <v>2.6666666666666668E-2</v>
      </c>
      <c r="BV61" s="13">
        <v>0</v>
      </c>
      <c r="BW61" s="13">
        <f t="shared" si="28"/>
        <v>0.34883720930232553</v>
      </c>
      <c r="BX61" s="13">
        <f t="shared" si="28"/>
        <v>0.39716748768472904</v>
      </c>
      <c r="BY61" s="13">
        <f t="shared" si="28"/>
        <v>0.40494040593779607</v>
      </c>
      <c r="BZ61" s="13">
        <f t="shared" si="28"/>
        <v>0.4062190081621499</v>
      </c>
      <c r="CA61" s="13">
        <f t="shared" si="28"/>
        <v>0.40643010492156101</v>
      </c>
      <c r="CB61" s="13">
        <f t="shared" si="28"/>
        <v>0.40646497802255066</v>
      </c>
      <c r="CC61" s="13">
        <f t="shared" si="28"/>
        <v>0.40647073962099717</v>
      </c>
      <c r="CD61" s="13">
        <f t="shared" si="28"/>
        <v>0.40647169154566137</v>
      </c>
      <c r="CE61" s="13">
        <f t="shared" si="28"/>
        <v>0.40647184882198806</v>
      </c>
      <c r="CF61" s="13">
        <f t="shared" si="28"/>
        <v>0.40647187480708435</v>
      </c>
      <c r="CG61" s="13">
        <f t="shared" si="28"/>
        <v>0.40647187910032606</v>
      </c>
      <c r="CH61" s="13">
        <f t="shared" si="28"/>
        <v>0.40647187980965277</v>
      </c>
      <c r="CI61" s="13">
        <f t="shared" si="28"/>
        <v>0.4064718799268473</v>
      </c>
      <c r="CJ61" s="13">
        <f t="shared" si="28"/>
        <v>0.40647187994621015</v>
      </c>
      <c r="CK61" s="13">
        <f t="shared" si="28"/>
        <v>0.40647187994940925</v>
      </c>
      <c r="CL61" s="13">
        <f t="shared" si="28"/>
        <v>0.40647187994993778</v>
      </c>
      <c r="CM61" s="13">
        <f t="shared" si="28"/>
        <v>0.40647187995002515</v>
      </c>
      <c r="CN61" s="13">
        <f t="shared" si="28"/>
        <v>0.40647187995003953</v>
      </c>
      <c r="CO61" s="13">
        <f t="shared" si="28"/>
        <v>0.40647187995004191</v>
      </c>
      <c r="CP61" s="13">
        <f t="shared" si="28"/>
        <v>0.40647187995004236</v>
      </c>
      <c r="CQ61" s="13">
        <f t="shared" si="28"/>
        <v>0.40647187995004236</v>
      </c>
      <c r="CR61" s="13">
        <f t="shared" si="28"/>
        <v>0.40647187995004236</v>
      </c>
      <c r="CS61" s="13">
        <f t="shared" si="28"/>
        <v>0.40647187995004236</v>
      </c>
      <c r="CT61" s="13">
        <f t="shared" si="28"/>
        <v>0.40647187995004236</v>
      </c>
      <c r="CU61" s="13">
        <f t="shared" si="28"/>
        <v>0.40647187995004236</v>
      </c>
      <c r="CV61" s="13">
        <f t="shared" si="28"/>
        <v>0.40647187995004236</v>
      </c>
      <c r="CW61" s="13">
        <f t="shared" si="28"/>
        <v>0.40647187995004236</v>
      </c>
      <c r="CX61" s="13">
        <f t="shared" si="28"/>
        <v>0.40647187995004236</v>
      </c>
      <c r="CY61" s="13">
        <f t="shared" si="28"/>
        <v>0.40647187995004236</v>
      </c>
      <c r="CZ61" s="13">
        <f t="shared" si="14"/>
        <v>100</v>
      </c>
      <c r="DB61" s="47"/>
      <c r="DC61" s="26">
        <v>2.6666666666666668E-2</v>
      </c>
      <c r="DD61" s="13">
        <f t="shared" si="15"/>
        <v>300</v>
      </c>
      <c r="DE61" s="13">
        <f t="shared" si="16"/>
        <v>199.18091841137039</v>
      </c>
      <c r="DF61" s="13">
        <f t="shared" si="16"/>
        <v>189.15094042290909</v>
      </c>
      <c r="DG61" s="13">
        <f t="shared" si="16"/>
        <v>189.65768637398844</v>
      </c>
      <c r="DH61" s="13">
        <f t="shared" si="16"/>
        <v>189.88148379332196</v>
      </c>
      <c r="DI61" s="13">
        <f t="shared" si="16"/>
        <v>188.27782704940051</v>
      </c>
      <c r="DJ61" s="13">
        <f t="shared" si="16"/>
        <v>184.89481611068328</v>
      </c>
      <c r="DK61" s="13">
        <f t="shared" si="16"/>
        <v>180.0642962956328</v>
      </c>
      <c r="DL61" s="13">
        <f t="shared" si="16"/>
        <v>174.14550717006526</v>
      </c>
      <c r="DM61" s="13">
        <f t="shared" si="16"/>
        <v>167.46473910381232</v>
      </c>
      <c r="DN61" s="13">
        <f t="shared" si="16"/>
        <v>160.300000017754</v>
      </c>
      <c r="DO61" s="13">
        <f t="shared" si="16"/>
        <v>152.87976277754268</v>
      </c>
      <c r="DP61" s="13">
        <f t="shared" si="16"/>
        <v>145.38707618305088</v>
      </c>
      <c r="DQ61" s="13">
        <f t="shared" si="16"/>
        <v>137.96554544117285</v>
      </c>
      <c r="DR61" s="13">
        <f t="shared" si="16"/>
        <v>130.72553337170677</v>
      </c>
      <c r="DS61" s="13">
        <f t="shared" si="16"/>
        <v>123.74982435810809</v>
      </c>
      <c r="DT61" s="13">
        <f t="shared" si="16"/>
        <v>117.09846782214181</v>
      </c>
      <c r="DU61" s="13">
        <f t="shared" si="24"/>
        <v>110.81276516199897</v>
      </c>
      <c r="DV61" s="13">
        <f t="shared" si="24"/>
        <v>104.91848085758136</v>
      </c>
      <c r="DW61" s="13">
        <f t="shared" si="24"/>
        <v>99.428402490434721</v>
      </c>
      <c r="DX61" s="13">
        <f t="shared" si="24"/>
        <v>94.344380334700247</v>
      </c>
      <c r="DY61" s="13">
        <f t="shared" si="24"/>
        <v>89.658965089110083</v>
      </c>
      <c r="DZ61" s="13">
        <f t="shared" si="24"/>
        <v>85.356743441850895</v>
      </c>
      <c r="EA61" s="13">
        <f t="shared" si="24"/>
        <v>81.415451332900531</v>
      </c>
      <c r="EB61" s="13">
        <f t="shared" si="24"/>
        <v>77.806926748156471</v>
      </c>
      <c r="EC61" s="13">
        <f t="shared" si="20"/>
        <v>74.497948683615988</v>
      </c>
      <c r="ED61" s="13">
        <f t="shared" si="20"/>
        <v>71.450996708414522</v>
      </c>
      <c r="EE61" s="13">
        <f t="shared" si="20"/>
        <v>68.624956071699955</v>
      </c>
      <c r="EF61" s="13">
        <f t="shared" si="20"/>
        <v>65.975786124422442</v>
      </c>
      <c r="EG61" s="13">
        <f t="shared" si="20"/>
        <v>63.457164526674816</v>
      </c>
      <c r="EH61" s="13">
        <f t="shared" si="20"/>
        <v>61.021115890460329</v>
      </c>
    </row>
    <row r="62" spans="5:138" x14ac:dyDescent="0.25">
      <c r="E62" s="49"/>
      <c r="F62" s="26">
        <v>2.3333333333333334E-2</v>
      </c>
      <c r="G62">
        <f t="shared" si="10"/>
        <v>300</v>
      </c>
      <c r="H62">
        <f t="shared" si="17"/>
        <v>304.74407060286825</v>
      </c>
      <c r="I62">
        <f t="shared" si="17"/>
        <v>307.6676449057835</v>
      </c>
      <c r="J62">
        <f t="shared" si="17"/>
        <v>308.11567074295243</v>
      </c>
      <c r="K62">
        <f t="shared" si="17"/>
        <v>305.9408028726171</v>
      </c>
      <c r="L62">
        <f t="shared" si="17"/>
        <v>301.30996128652993</v>
      </c>
      <c r="M62">
        <f t="shared" si="17"/>
        <v>294.5581694113306</v>
      </c>
      <c r="N62">
        <f t="shared" si="17"/>
        <v>286.08932878838931</v>
      </c>
      <c r="O62">
        <f t="shared" si="17"/>
        <v>276.31466604901232</v>
      </c>
      <c r="P62">
        <f t="shared" si="17"/>
        <v>265.61816856992328</v>
      </c>
      <c r="Q62">
        <f t="shared" si="17"/>
        <v>254.33984817141578</v>
      </c>
      <c r="R62">
        <f t="shared" si="17"/>
        <v>242.76995884430755</v>
      </c>
      <c r="S62">
        <f t="shared" si="17"/>
        <v>231.14942653112078</v>
      </c>
      <c r="T62">
        <f t="shared" si="17"/>
        <v>219.67342825365967</v>
      </c>
      <c r="U62">
        <f t="shared" si="17"/>
        <v>208.49626172730197</v>
      </c>
      <c r="V62">
        <f t="shared" si="17"/>
        <v>197.73645441133596</v>
      </c>
      <c r="W62">
        <f t="shared" si="17"/>
        <v>187.48157381354579</v>
      </c>
      <c r="X62">
        <f t="shared" si="25"/>
        <v>177.79250919308544</v>
      </c>
      <c r="Y62">
        <f t="shared" si="25"/>
        <v>168.70716874550328</v>
      </c>
      <c r="Z62">
        <f t="shared" si="25"/>
        <v>160.24362610918627</v>
      </c>
      <c r="AA62">
        <f t="shared" si="25"/>
        <v>152.40278955221501</v>
      </c>
      <c r="AB62">
        <f t="shared" si="21"/>
        <v>145.17067842091964</v>
      </c>
      <c r="AC62">
        <f t="shared" si="21"/>
        <v>138.52038795510535</v>
      </c>
      <c r="AD62">
        <f t="shared" si="21"/>
        <v>132.41381347053832</v>
      </c>
      <c r="AE62">
        <f t="shared" si="21"/>
        <v>126.80319272290288</v>
      </c>
      <c r="AF62">
        <f t="shared" si="21"/>
        <v>121.63251337974771</v>
      </c>
      <c r="AG62">
        <f t="shared" si="21"/>
        <v>116.83882204018116</v>
      </c>
      <c r="AH62">
        <f t="shared" si="21"/>
        <v>112.35346253987728</v>
      </c>
      <c r="AI62">
        <f t="shared" si="21"/>
        <v>108.10326436871421</v>
      </c>
      <c r="AJ62">
        <f t="shared" si="21"/>
        <v>104.01169674400481</v>
      </c>
      <c r="AK62">
        <f t="shared" si="11"/>
        <v>100</v>
      </c>
      <c r="AL62" s="47"/>
      <c r="AM62" s="26">
        <v>2.3333333333333334E-2</v>
      </c>
      <c r="AN62" s="27">
        <f t="shared" si="12"/>
        <v>-1076400000</v>
      </c>
      <c r="AO62" s="27">
        <f t="shared" si="12"/>
        <v>-1100958580.0048969</v>
      </c>
      <c r="AP62" s="27">
        <f t="shared" si="12"/>
        <v>-1114160280.5701411</v>
      </c>
      <c r="AQ62" s="27">
        <f t="shared" si="12"/>
        <v>-1116377806.5747805</v>
      </c>
      <c r="AR62" s="27">
        <f t="shared" si="12"/>
        <v>-1107883331.8901632</v>
      </c>
      <c r="AS62" s="27">
        <f t="shared" si="12"/>
        <v>-1089880875.2929938</v>
      </c>
      <c r="AT62" s="27">
        <f t="shared" si="12"/>
        <v>-1063983293.6635058</v>
      </c>
      <c r="AU62" s="27">
        <f t="shared" si="12"/>
        <v>-1031894615.2547841</v>
      </c>
      <c r="AV62" s="27">
        <f t="shared" si="12"/>
        <v>-995233417.60626459</v>
      </c>
      <c r="AW62" s="27">
        <f t="shared" si="12"/>
        <v>-955446735.71527719</v>
      </c>
      <c r="AX62" s="27">
        <f t="shared" si="12"/>
        <v>-913778470.60344672</v>
      </c>
      <c r="AY62" s="27">
        <f t="shared" si="12"/>
        <v>-871268274.29574037</v>
      </c>
      <c r="AZ62" s="27">
        <f t="shared" si="12"/>
        <v>-828765771.48575735</v>
      </c>
      <c r="BA62" s="27">
        <f t="shared" si="12"/>
        <v>-786951097.12456298</v>
      </c>
      <c r="BB62" s="27">
        <f t="shared" si="12"/>
        <v>-746356719.94653785</v>
      </c>
      <c r="BC62" s="27">
        <f t="shared" si="12"/>
        <v>-707388001.81462514</v>
      </c>
      <c r="BD62" s="27">
        <f t="shared" si="22"/>
        <v>-670341408.69685709</v>
      </c>
      <c r="BE62" s="27">
        <f t="shared" si="22"/>
        <v>-635420104.90907478</v>
      </c>
      <c r="BF62" s="27">
        <f t="shared" si="22"/>
        <v>-602747078.52022839</v>
      </c>
      <c r="BG62" s="27">
        <f t="shared" si="22"/>
        <v>-572376127.31126893</v>
      </c>
      <c r="BH62" s="27">
        <f t="shared" si="22"/>
        <v>-544301085.65104926</v>
      </c>
      <c r="BI62" s="27">
        <f t="shared" si="22"/>
        <v>-518463656.61916822</v>
      </c>
      <c r="BJ62" s="27">
        <f t="shared" si="22"/>
        <v>-494760167.82055444</v>
      </c>
      <c r="BK62" s="27">
        <f t="shared" si="22"/>
        <v>-473047514.26139468</v>
      </c>
      <c r="BL62" s="27">
        <f t="shared" si="19"/>
        <v>-453148498.07522744</v>
      </c>
      <c r="BM62" s="27">
        <f t="shared" si="19"/>
        <v>-434856727.67167795</v>
      </c>
      <c r="BN62" s="27">
        <f t="shared" si="19"/>
        <v>-417941199.66562265</v>
      </c>
      <c r="BO62" s="27">
        <f t="shared" si="19"/>
        <v>-402150655.69043708</v>
      </c>
      <c r="BP62" s="27">
        <f t="shared" si="19"/>
        <v>-387217782.09262854</v>
      </c>
      <c r="BQ62" s="27">
        <f t="shared" si="19"/>
        <v>-372863302.47137243</v>
      </c>
      <c r="BR62" s="27">
        <f t="shared" si="19"/>
        <v>-358800000</v>
      </c>
      <c r="BT62" s="47"/>
      <c r="BU62" s="26">
        <v>2.3333333333333334E-2</v>
      </c>
      <c r="BV62" s="13">
        <v>0</v>
      </c>
      <c r="BW62" s="13">
        <f t="shared" si="28"/>
        <v>0.34883720930232553</v>
      </c>
      <c r="BX62" s="13">
        <f t="shared" si="28"/>
        <v>0.39716748768472904</v>
      </c>
      <c r="BY62" s="13">
        <f t="shared" si="28"/>
        <v>0.40494040593779607</v>
      </c>
      <c r="BZ62" s="13">
        <f t="shared" si="28"/>
        <v>0.4062190081621499</v>
      </c>
      <c r="CA62" s="13">
        <f t="shared" si="28"/>
        <v>0.40643010492156101</v>
      </c>
      <c r="CB62" s="13">
        <f t="shared" si="28"/>
        <v>0.40646497802255066</v>
      </c>
      <c r="CC62" s="13">
        <f t="shared" si="28"/>
        <v>0.40647073962099717</v>
      </c>
      <c r="CD62" s="13">
        <f t="shared" si="28"/>
        <v>0.40647169154566137</v>
      </c>
      <c r="CE62" s="13">
        <f t="shared" si="28"/>
        <v>0.40647184882198806</v>
      </c>
      <c r="CF62" s="13">
        <f t="shared" si="28"/>
        <v>0.40647187480708435</v>
      </c>
      <c r="CG62" s="13">
        <f t="shared" si="28"/>
        <v>0.40647187910032606</v>
      </c>
      <c r="CH62" s="13">
        <f t="shared" si="28"/>
        <v>0.40647187980965277</v>
      </c>
      <c r="CI62" s="13">
        <f t="shared" si="28"/>
        <v>0.4064718799268473</v>
      </c>
      <c r="CJ62" s="13">
        <f t="shared" si="28"/>
        <v>0.40647187994621015</v>
      </c>
      <c r="CK62" s="13">
        <f t="shared" si="28"/>
        <v>0.40647187994940925</v>
      </c>
      <c r="CL62" s="13">
        <f t="shared" si="28"/>
        <v>0.40647187994993778</v>
      </c>
      <c r="CM62" s="13">
        <f t="shared" si="28"/>
        <v>0.40647187995002515</v>
      </c>
      <c r="CN62" s="13">
        <f t="shared" si="28"/>
        <v>0.40647187995003953</v>
      </c>
      <c r="CO62" s="13">
        <f t="shared" si="28"/>
        <v>0.40647187995004191</v>
      </c>
      <c r="CP62" s="13">
        <f t="shared" si="28"/>
        <v>0.40647187995004236</v>
      </c>
      <c r="CQ62" s="13">
        <f t="shared" si="28"/>
        <v>0.40647187995004236</v>
      </c>
      <c r="CR62" s="13">
        <f t="shared" si="28"/>
        <v>0.40647187995004236</v>
      </c>
      <c r="CS62" s="13">
        <f t="shared" si="28"/>
        <v>0.40647187995004236</v>
      </c>
      <c r="CT62" s="13">
        <f t="shared" si="28"/>
        <v>0.40647187995004236</v>
      </c>
      <c r="CU62" s="13">
        <f t="shared" si="28"/>
        <v>0.40647187995004236</v>
      </c>
      <c r="CV62" s="13">
        <f t="shared" si="28"/>
        <v>0.40647187995004236</v>
      </c>
      <c r="CW62" s="13">
        <f t="shared" si="28"/>
        <v>0.40647187995004236</v>
      </c>
      <c r="CX62" s="13">
        <f t="shared" si="28"/>
        <v>0.40647187995004236</v>
      </c>
      <c r="CY62" s="13">
        <f t="shared" si="28"/>
        <v>0.40647187995004236</v>
      </c>
      <c r="CZ62" s="13">
        <f t="shared" si="14"/>
        <v>100</v>
      </c>
      <c r="DB62" s="47"/>
      <c r="DC62" s="26">
        <v>2.3333333333333334E-2</v>
      </c>
      <c r="DD62" s="13">
        <f t="shared" si="15"/>
        <v>300</v>
      </c>
      <c r="DE62" s="13">
        <f t="shared" si="16"/>
        <v>197.4181479613159</v>
      </c>
      <c r="DF62" s="13">
        <f t="shared" si="16"/>
        <v>185.29411804050994</v>
      </c>
      <c r="DG62" s="13">
        <f t="shared" si="16"/>
        <v>184.2278778347796</v>
      </c>
      <c r="DH62" s="13">
        <f t="shared" si="16"/>
        <v>183.54296924942713</v>
      </c>
      <c r="DI62" s="13">
        <f t="shared" si="16"/>
        <v>181.59265358717988</v>
      </c>
      <c r="DJ62" s="13">
        <f t="shared" si="16"/>
        <v>178.27287667287166</v>
      </c>
      <c r="DK62" s="13">
        <f t="shared" si="16"/>
        <v>173.77550211131842</v>
      </c>
      <c r="DL62" s="13">
        <f t="shared" si="16"/>
        <v>168.34839976513499</v>
      </c>
      <c r="DM62" s="13">
        <f t="shared" si="16"/>
        <v>162.23618025458418</v>
      </c>
      <c r="DN62" s="13">
        <f t="shared" si="16"/>
        <v>155.66068785313138</v>
      </c>
      <c r="DO62" s="13">
        <f t="shared" si="16"/>
        <v>148.81421708924012</v>
      </c>
      <c r="DP62" s="13">
        <f t="shared" si="16"/>
        <v>141.85835520462484</v>
      </c>
      <c r="DQ62" s="13">
        <f t="shared" si="16"/>
        <v>134.92556079164325</v>
      </c>
      <c r="DR62" s="13">
        <f t="shared" si="16"/>
        <v>128.12195336882817</v>
      </c>
      <c r="DS62" s="13">
        <f t="shared" si="16"/>
        <v>121.53046664747005</v>
      </c>
      <c r="DT62" s="13">
        <f t="shared" si="16"/>
        <v>115.21391836081577</v>
      </c>
      <c r="DU62" s="13">
        <f t="shared" si="24"/>
        <v>109.21778915205461</v>
      </c>
      <c r="DV62" s="13">
        <f t="shared" si="24"/>
        <v>103.57264079089111</v>
      </c>
      <c r="DW62" s="13">
        <f t="shared" si="24"/>
        <v>98.296177730266834</v>
      </c>
      <c r="DX62" s="13">
        <f t="shared" si="24"/>
        <v>93.39499098084076</v>
      </c>
      <c r="DY62" s="13">
        <f t="shared" si="24"/>
        <v>88.866035917398762</v>
      </c>
      <c r="DZ62" s="13">
        <f t="shared" si="24"/>
        <v>84.697896262381391</v>
      </c>
      <c r="EA62" s="13">
        <f t="shared" si="24"/>
        <v>80.871881340792442</v>
      </c>
      <c r="EB62" s="13">
        <f t="shared" si="24"/>
        <v>77.362996346388158</v>
      </c>
      <c r="EC62" s="13">
        <f t="shared" si="20"/>
        <v>74.140817733926824</v>
      </c>
      <c r="ED62" s="13">
        <f t="shared" si="20"/>
        <v>71.17029890270058</v>
      </c>
      <c r="EE62" s="13">
        <f t="shared" si="20"/>
        <v>68.412525443189594</v>
      </c>
      <c r="EF62" s="13">
        <f t="shared" si="20"/>
        <v>65.825434456384883</v>
      </c>
      <c r="EG62" s="13">
        <f t="shared" si="20"/>
        <v>63.364508749000578</v>
      </c>
      <c r="EH62" s="13">
        <f t="shared" si="20"/>
        <v>60.983453922320855</v>
      </c>
    </row>
    <row r="63" spans="5:138" x14ac:dyDescent="0.25">
      <c r="E63" s="49"/>
      <c r="F63" s="26">
        <v>0.02</v>
      </c>
      <c r="G63">
        <f t="shared" si="10"/>
        <v>300</v>
      </c>
      <c r="H63">
        <f t="shared" si="17"/>
        <v>301.60478741829991</v>
      </c>
      <c r="I63">
        <f t="shared" si="17"/>
        <v>302.06341711226889</v>
      </c>
      <c r="J63">
        <f t="shared" si="17"/>
        <v>300.83211145134851</v>
      </c>
      <c r="K63">
        <f t="shared" si="17"/>
        <v>297.7068380389104</v>
      </c>
      <c r="L63">
        <f t="shared" si="17"/>
        <v>292.72250558242024</v>
      </c>
      <c r="M63">
        <f t="shared" si="17"/>
        <v>286.06316762467702</v>
      </c>
      <c r="N63">
        <f t="shared" si="17"/>
        <v>277.9926866399507</v>
      </c>
      <c r="O63">
        <f t="shared" si="17"/>
        <v>268.80603388750501</v>
      </c>
      <c r="P63">
        <f t="shared" si="17"/>
        <v>258.79772697325831</v>
      </c>
      <c r="Q63">
        <f t="shared" si="17"/>
        <v>248.24306720538692</v>
      </c>
      <c r="R63">
        <f t="shared" si="17"/>
        <v>237.38824886648848</v>
      </c>
      <c r="S63">
        <f t="shared" si="17"/>
        <v>226.44623953286475</v>
      </c>
      <c r="T63">
        <f t="shared" si="17"/>
        <v>215.59618022993237</v>
      </c>
      <c r="U63">
        <f t="shared" si="17"/>
        <v>204.98477008572488</v>
      </c>
      <c r="V63">
        <f t="shared" si="17"/>
        <v>194.72864419999837</v>
      </c>
      <c r="W63">
        <f t="shared" si="17"/>
        <v>184.91713962473364</v>
      </c>
      <c r="X63">
        <f t="shared" si="25"/>
        <v>175.6151042348713</v>
      </c>
      <c r="Y63">
        <f t="shared" si="25"/>
        <v>166.86556997189109</v>
      </c>
      <c r="Z63">
        <f t="shared" si="25"/>
        <v>158.69221370616265</v>
      </c>
      <c r="AA63">
        <f t="shared" si="25"/>
        <v>151.10158750859648</v>
      </c>
      <c r="AB63">
        <f t="shared" si="21"/>
        <v>144.08513109984122</v>
      </c>
      <c r="AC63">
        <f t="shared" si="21"/>
        <v>137.62099340358969</v>
      </c>
      <c r="AD63">
        <f t="shared" si="21"/>
        <v>131.6756945590069</v>
      </c>
      <c r="AE63">
        <f t="shared" si="21"/>
        <v>126.20565895050802</v>
      </c>
      <c r="AF63">
        <f t="shared" si="21"/>
        <v>121.15864654316633</v>
      </c>
      <c r="AG63">
        <f t="shared" si="21"/>
        <v>116.47510567424314</v>
      </c>
      <c r="AH63">
        <f t="shared" si="21"/>
        <v>112.08946632585668</v>
      </c>
      <c r="AI63">
        <f t="shared" si="21"/>
        <v>107.93138922905621</v>
      </c>
      <c r="AJ63">
        <f t="shared" si="21"/>
        <v>103.92698310726696</v>
      </c>
      <c r="AK63">
        <f t="shared" si="11"/>
        <v>100</v>
      </c>
      <c r="AL63" s="47"/>
      <c r="AM63" s="26">
        <v>0.02</v>
      </c>
      <c r="AN63" s="27">
        <f t="shared" ref="AN63:BC92" si="29">-($B$12*$B$11)/$B$8*G27</f>
        <v>-1076400000</v>
      </c>
      <c r="AO63" s="27">
        <f t="shared" si="29"/>
        <v>-1086903070.2355897</v>
      </c>
      <c r="AP63" s="27">
        <f t="shared" si="29"/>
        <v>-1090799872.9680626</v>
      </c>
      <c r="AQ63" s="27">
        <f t="shared" si="29"/>
        <v>-1087226642.3787215</v>
      </c>
      <c r="AR63" s="27">
        <f t="shared" si="29"/>
        <v>-1075868639.3259866</v>
      </c>
      <c r="AS63" s="27">
        <f t="shared" si="29"/>
        <v>-1057222872.8049113</v>
      </c>
      <c r="AT63" s="27">
        <f t="shared" si="29"/>
        <v>-1032236777.5690511</v>
      </c>
      <c r="AU63" s="27">
        <f t="shared" si="29"/>
        <v>-1002058710.782501</v>
      </c>
      <c r="AV63" s="27">
        <f t="shared" si="29"/>
        <v>-967877697.81822443</v>
      </c>
      <c r="AW63" s="27">
        <f t="shared" si="29"/>
        <v>-930828145.19405675</v>
      </c>
      <c r="AX63" s="27">
        <f t="shared" si="29"/>
        <v>-891938781.61698043</v>
      </c>
      <c r="AY63" s="27">
        <f t="shared" si="29"/>
        <v>-852110007.65112305</v>
      </c>
      <c r="AZ63" s="27">
        <f t="shared" si="29"/>
        <v>-812108434.31685638</v>
      </c>
      <c r="BA63" s="27">
        <f t="shared" si="29"/>
        <v>-772571087.14787662</v>
      </c>
      <c r="BB63" s="27">
        <f t="shared" si="29"/>
        <v>-734014478.23746967</v>
      </c>
      <c r="BC63" s="27">
        <f t="shared" si="29"/>
        <v>-696845643.1642822</v>
      </c>
      <c r="BD63" s="27">
        <f t="shared" si="22"/>
        <v>-661373494.54597843</v>
      </c>
      <c r="BE63" s="27">
        <f t="shared" si="22"/>
        <v>-627819639.32942653</v>
      </c>
      <c r="BF63" s="27">
        <f t="shared" si="22"/>
        <v>-596328288.15052307</v>
      </c>
      <c r="BG63" s="27">
        <f t="shared" si="22"/>
        <v>-566975160.29551983</v>
      </c>
      <c r="BH63" s="27">
        <f t="shared" si="22"/>
        <v>-539775433.05516672</v>
      </c>
      <c r="BI63" s="27">
        <f t="shared" si="22"/>
        <v>-514690850.91646492</v>
      </c>
      <c r="BJ63" s="27">
        <f t="shared" si="22"/>
        <v>-491636131.48617131</v>
      </c>
      <c r="BK63" s="27">
        <f t="shared" si="22"/>
        <v>-470484802.28032959</v>
      </c>
      <c r="BL63" s="27">
        <f t="shared" si="19"/>
        <v>-451074588.26163208</v>
      </c>
      <c r="BM63" s="27">
        <f t="shared" si="19"/>
        <v>-433212451.62782842</v>
      </c>
      <c r="BN63" s="27">
        <f t="shared" si="19"/>
        <v>-416679366.86416256</v>
      </c>
      <c r="BO63" s="27">
        <f t="shared" si="19"/>
        <v>-401234897.45560777</v>
      </c>
      <c r="BP63" s="27">
        <f t="shared" si="19"/>
        <v>-386621626.71730721</v>
      </c>
      <c r="BQ63" s="27">
        <f t="shared" si="19"/>
        <v>-372569484.10875171</v>
      </c>
      <c r="BR63" s="27">
        <f t="shared" si="19"/>
        <v>-358800000</v>
      </c>
      <c r="BT63" s="47"/>
      <c r="BU63" s="26">
        <v>0.02</v>
      </c>
      <c r="BV63" s="13">
        <v>0</v>
      </c>
      <c r="BW63" s="13">
        <f t="shared" si="28"/>
        <v>0.34883720930232553</v>
      </c>
      <c r="BX63" s="13">
        <f t="shared" si="28"/>
        <v>0.39716748768472904</v>
      </c>
      <c r="BY63" s="13">
        <f t="shared" si="28"/>
        <v>0.40494040593779607</v>
      </c>
      <c r="BZ63" s="13">
        <f t="shared" si="28"/>
        <v>0.4062190081621499</v>
      </c>
      <c r="CA63" s="13">
        <f t="shared" si="28"/>
        <v>0.40643010492156101</v>
      </c>
      <c r="CB63" s="13">
        <f t="shared" si="28"/>
        <v>0.40646497802255066</v>
      </c>
      <c r="CC63" s="13">
        <f t="shared" si="28"/>
        <v>0.40647073962099717</v>
      </c>
      <c r="CD63" s="13">
        <f t="shared" si="28"/>
        <v>0.40647169154566137</v>
      </c>
      <c r="CE63" s="13">
        <f t="shared" si="28"/>
        <v>0.40647184882198806</v>
      </c>
      <c r="CF63" s="13">
        <f t="shared" si="28"/>
        <v>0.40647187480708435</v>
      </c>
      <c r="CG63" s="13">
        <f t="shared" si="28"/>
        <v>0.40647187910032606</v>
      </c>
      <c r="CH63" s="13">
        <f t="shared" si="28"/>
        <v>0.40647187980965277</v>
      </c>
      <c r="CI63" s="13">
        <f t="shared" si="28"/>
        <v>0.4064718799268473</v>
      </c>
      <c r="CJ63" s="13">
        <f t="shared" si="28"/>
        <v>0.40647187994621015</v>
      </c>
      <c r="CK63" s="13">
        <f t="shared" si="28"/>
        <v>0.40647187994940925</v>
      </c>
      <c r="CL63" s="13">
        <f t="shared" si="28"/>
        <v>0.40647187994993778</v>
      </c>
      <c r="CM63" s="13">
        <f t="shared" si="28"/>
        <v>0.40647187995002515</v>
      </c>
      <c r="CN63" s="13">
        <f t="shared" si="28"/>
        <v>0.40647187995003953</v>
      </c>
      <c r="CO63" s="13">
        <f t="shared" si="28"/>
        <v>0.40647187995004191</v>
      </c>
      <c r="CP63" s="13">
        <f t="shared" si="28"/>
        <v>0.40647187995004236</v>
      </c>
      <c r="CQ63" s="13">
        <f t="shared" si="28"/>
        <v>0.40647187995004236</v>
      </c>
      <c r="CR63" s="13">
        <f t="shared" si="28"/>
        <v>0.40647187995004236</v>
      </c>
      <c r="CS63" s="13">
        <f t="shared" si="28"/>
        <v>0.40647187995004236</v>
      </c>
      <c r="CT63" s="13">
        <f t="shared" si="28"/>
        <v>0.40647187995004236</v>
      </c>
      <c r="CU63" s="13">
        <f t="shared" si="28"/>
        <v>0.40647187995004236</v>
      </c>
      <c r="CV63" s="13">
        <f t="shared" si="28"/>
        <v>0.40647187995004236</v>
      </c>
      <c r="CW63" s="13">
        <f t="shared" si="28"/>
        <v>0.40647187995004236</v>
      </c>
      <c r="CX63" s="13">
        <f t="shared" si="28"/>
        <v>0.40647187995004236</v>
      </c>
      <c r="CY63" s="13">
        <f t="shared" si="28"/>
        <v>0.40647187995004236</v>
      </c>
      <c r="CZ63" s="13">
        <f t="shared" si="14"/>
        <v>100</v>
      </c>
      <c r="DB63" s="47"/>
      <c r="DC63" s="26">
        <v>0.02</v>
      </c>
      <c r="DD63" s="13">
        <f t="shared" si="15"/>
        <v>300</v>
      </c>
      <c r="DE63" s="13">
        <f t="shared" si="16"/>
        <v>196.23382796053167</v>
      </c>
      <c r="DF63" s="13">
        <f t="shared" si="16"/>
        <v>182.58268319224439</v>
      </c>
      <c r="DG63" s="13">
        <f t="shared" si="16"/>
        <v>180.27858360541441</v>
      </c>
      <c r="DH63" s="13">
        <f t="shared" si="16"/>
        <v>178.79739215448029</v>
      </c>
      <c r="DI63" s="13">
        <f t="shared" si="16"/>
        <v>176.45782235052866</v>
      </c>
      <c r="DJ63" s="13">
        <f t="shared" si="16"/>
        <v>173.06887635913967</v>
      </c>
      <c r="DK63" s="13">
        <f t="shared" si="16"/>
        <v>168.7308992311097</v>
      </c>
      <c r="DL63" s="13">
        <f t="shared" ref="DL63:DT92" si="30">(DK63*$B$22-AV63)/($B$21-$B$22*CC63)</f>
        <v>163.61208403651247</v>
      </c>
      <c r="DM63" s="13">
        <f t="shared" si="30"/>
        <v>157.89390848904364</v>
      </c>
      <c r="DN63" s="13">
        <f t="shared" si="30"/>
        <v>151.75142063145464</v>
      </c>
      <c r="DO63" s="13">
        <f t="shared" si="30"/>
        <v>145.34422036836239</v>
      </c>
      <c r="DP63" s="13">
        <f t="shared" si="30"/>
        <v>138.81245487502343</v>
      </c>
      <c r="DQ63" s="13">
        <f t="shared" si="30"/>
        <v>132.27563537681522</v>
      </c>
      <c r="DR63" s="13">
        <f t="shared" si="30"/>
        <v>125.83305199837487</v>
      </c>
      <c r="DS63" s="13">
        <f t="shared" si="30"/>
        <v>119.56502682186547</v>
      </c>
      <c r="DT63" s="13">
        <f t="shared" si="30"/>
        <v>113.53453805878121</v>
      </c>
      <c r="DU63" s="13">
        <f t="shared" si="24"/>
        <v>107.78894230946428</v>
      </c>
      <c r="DV63" s="13">
        <f t="shared" si="24"/>
        <v>102.36164753331374</v>
      </c>
      <c r="DW63" s="13">
        <f t="shared" si="24"/>
        <v>97.273667368107667</v>
      </c>
      <c r="DX63" s="13">
        <f t="shared" si="24"/>
        <v>92.535033397595697</v>
      </c>
      <c r="DY63" s="13">
        <f t="shared" si="24"/>
        <v>88.146067190491735</v>
      </c>
      <c r="DZ63" s="13">
        <f t="shared" si="24"/>
        <v>84.098526292462594</v>
      </c>
      <c r="EA63" s="13">
        <f t="shared" si="24"/>
        <v>80.376643105060026</v>
      </c>
      <c r="EB63" s="13">
        <f t="shared" si="24"/>
        <v>76.958076117904497</v>
      </c>
      <c r="EC63" s="13">
        <f t="shared" si="20"/>
        <v>73.814791372376874</v>
      </c>
      <c r="ED63" s="13">
        <f t="shared" si="20"/>
        <v>70.913889574175215</v>
      </c>
      <c r="EE63" s="13">
        <f t="shared" si="20"/>
        <v>68.218391640302443</v>
      </c>
      <c r="EF63" s="13">
        <f t="shared" si="20"/>
        <v>65.687993027909101</v>
      </c>
      <c r="EG63" s="13">
        <f t="shared" si="20"/>
        <v>63.279795112262725</v>
      </c>
      <c r="EH63" s="13">
        <f t="shared" si="20"/>
        <v>60.949020211138617</v>
      </c>
    </row>
    <row r="64" spans="5:138" x14ac:dyDescent="0.25">
      <c r="E64" s="49"/>
      <c r="F64" s="26">
        <v>1.6666666666666666E-2</v>
      </c>
      <c r="G64">
        <f t="shared" si="10"/>
        <v>300</v>
      </c>
      <c r="H64">
        <f t="shared" si="17"/>
        <v>299.38096498762411</v>
      </c>
      <c r="I64">
        <f t="shared" si="17"/>
        <v>298.00987633314708</v>
      </c>
      <c r="J64">
        <f t="shared" si="17"/>
        <v>295.454144905492</v>
      </c>
      <c r="K64">
        <f t="shared" si="17"/>
        <v>291.50636391947279</v>
      </c>
      <c r="L64">
        <f t="shared" si="17"/>
        <v>286.13589763957043</v>
      </c>
      <c r="M64">
        <f t="shared" si="17"/>
        <v>279.43610600139687</v>
      </c>
      <c r="N64">
        <f t="shared" ref="N64:W93" si="31">CC64*O64+DK64</f>
        <v>271.57786832525767</v>
      </c>
      <c r="O64">
        <f t="shared" si="31"/>
        <v>262.77306964647067</v>
      </c>
      <c r="P64">
        <f t="shared" si="31"/>
        <v>253.24811834078173</v>
      </c>
      <c r="Q64">
        <f t="shared" si="31"/>
        <v>243.22601322468932</v>
      </c>
      <c r="R64">
        <f t="shared" si="31"/>
        <v>232.91504292228677</v>
      </c>
      <c r="S64">
        <f t="shared" si="31"/>
        <v>222.50230413330868</v>
      </c>
      <c r="T64">
        <f t="shared" si="31"/>
        <v>212.15054054874548</v>
      </c>
      <c r="U64">
        <f t="shared" si="31"/>
        <v>201.99716040918349</v>
      </c>
      <c r="V64">
        <f t="shared" si="31"/>
        <v>192.15461087596475</v>
      </c>
      <c r="W64">
        <f t="shared" si="31"/>
        <v>182.71154486637715</v>
      </c>
      <c r="X64">
        <f t="shared" si="25"/>
        <v>173.73440915766929</v>
      </c>
      <c r="Y64">
        <f t="shared" si="25"/>
        <v>165.26922029239321</v>
      </c>
      <c r="Z64">
        <f t="shared" si="25"/>
        <v>157.34338901056498</v>
      </c>
      <c r="AA64">
        <f t="shared" si="25"/>
        <v>149.96751593610742</v>
      </c>
      <c r="AB64">
        <f t="shared" si="21"/>
        <v>143.13712049408639</v>
      </c>
      <c r="AC64">
        <f t="shared" si="21"/>
        <v>136.83428879664569</v>
      </c>
      <c r="AD64">
        <f t="shared" si="21"/>
        <v>131.02923981603666</v>
      </c>
      <c r="AE64">
        <f t="shared" si="21"/>
        <v>125.68181628735421</v>
      </c>
      <c r="AF64">
        <f t="shared" si="21"/>
        <v>120.74290997962845</v>
      </c>
      <c r="AG64">
        <f t="shared" si="21"/>
        <v>116.15583190562663</v>
      </c>
      <c r="AH64">
        <f t="shared" si="21"/>
        <v>111.85763776964849</v>
      </c>
      <c r="AI64">
        <f t="shared" si="21"/>
        <v>107.78041813340135</v>
      </c>
      <c r="AJ64">
        <f t="shared" si="21"/>
        <v>103.85256180060716</v>
      </c>
      <c r="AK64">
        <f t="shared" si="11"/>
        <v>100</v>
      </c>
      <c r="AL64" s="47"/>
      <c r="AM64" s="26">
        <v>1.6666666666666666E-2</v>
      </c>
      <c r="AN64" s="27">
        <f t="shared" si="29"/>
        <v>-1076400000</v>
      </c>
      <c r="AO64" s="27">
        <f t="shared" si="29"/>
        <v>-1077292404.4538939</v>
      </c>
      <c r="AP64" s="27">
        <f t="shared" si="29"/>
        <v>-1074163857.3642883</v>
      </c>
      <c r="AQ64" s="27">
        <f t="shared" si="29"/>
        <v>-1065852557.0925329</v>
      </c>
      <c r="AR64" s="27">
        <f t="shared" si="29"/>
        <v>-1051814750.8597448</v>
      </c>
      <c r="AS64" s="27">
        <f t="shared" si="29"/>
        <v>-1032159007.7140212</v>
      </c>
      <c r="AT64" s="27">
        <f t="shared" si="29"/>
        <v>-1007412714.9301897</v>
      </c>
      <c r="AU64" s="27">
        <f t="shared" si="29"/>
        <v>-978340154.10198641</v>
      </c>
      <c r="AV64" s="27">
        <f t="shared" si="29"/>
        <v>-945811205.76691079</v>
      </c>
      <c r="AW64" s="27">
        <f t="shared" si="29"/>
        <v>-910712465.38179517</v>
      </c>
      <c r="AX64" s="27">
        <f t="shared" si="29"/>
        <v>-873890837.32150948</v>
      </c>
      <c r="AY64" s="27">
        <f t="shared" si="29"/>
        <v>-836120495.53958774</v>
      </c>
      <c r="AZ64" s="27">
        <f t="shared" si="29"/>
        <v>-798085829.88403416</v>
      </c>
      <c r="BA64" s="27">
        <f t="shared" si="29"/>
        <v>-760374832.02659357</v>
      </c>
      <c r="BB64" s="27">
        <f t="shared" si="29"/>
        <v>-723478972.83788943</v>
      </c>
      <c r="BC64" s="27">
        <f t="shared" si="29"/>
        <v>-687796882.03512871</v>
      </c>
      <c r="BD64" s="27">
        <f t="shared" si="22"/>
        <v>-653640071.53491926</v>
      </c>
      <c r="BE64" s="27">
        <f t="shared" si="22"/>
        <v>-621239600.12591016</v>
      </c>
      <c r="BF64" s="27">
        <f t="shared" si="22"/>
        <v>-590753022.01363277</v>
      </c>
      <c r="BG64" s="27">
        <f t="shared" si="22"/>
        <v>-562271252.79139268</v>
      </c>
      <c r="BH64" s="27">
        <f t="shared" si="22"/>
        <v>-535825169.78046614</v>
      </c>
      <c r="BI64" s="27">
        <f t="shared" si="22"/>
        <v>-511391874.43021947</v>
      </c>
      <c r="BJ64" s="27">
        <f t="shared" si="22"/>
        <v>-488900607.75468177</v>
      </c>
      <c r="BK64" s="27">
        <f t="shared" si="22"/>
        <v>-468238343.08896363</v>
      </c>
      <c r="BL64" s="27">
        <f t="shared" si="19"/>
        <v>-449255095.54426622</v>
      </c>
      <c r="BM64" s="27">
        <f t="shared" si="19"/>
        <v>-431768992.11929011</v>
      </c>
      <c r="BN64" s="27">
        <f t="shared" si="19"/>
        <v>-415571145.37397045</v>
      </c>
      <c r="BO64" s="27">
        <f t="shared" si="19"/>
        <v>-400430369.88861263</v>
      </c>
      <c r="BP64" s="27">
        <f t="shared" si="19"/>
        <v>-386097776.18634897</v>
      </c>
      <c r="BQ64" s="27">
        <f t="shared" si="19"/>
        <v>-372311272.37732428</v>
      </c>
      <c r="BR64" s="27">
        <f t="shared" si="19"/>
        <v>-358800000</v>
      </c>
      <c r="BT64" s="47"/>
      <c r="BU64" s="26">
        <v>1.6666666666666666E-2</v>
      </c>
      <c r="BV64" s="13">
        <v>0</v>
      </c>
      <c r="BW64" s="13">
        <f t="shared" si="28"/>
        <v>0.34883720930232553</v>
      </c>
      <c r="BX64" s="13">
        <f t="shared" si="28"/>
        <v>0.39716748768472904</v>
      </c>
      <c r="BY64" s="13">
        <f t="shared" si="28"/>
        <v>0.40494040593779607</v>
      </c>
      <c r="BZ64" s="13">
        <f t="shared" si="28"/>
        <v>0.4062190081621499</v>
      </c>
      <c r="CA64" s="13">
        <f t="shared" si="28"/>
        <v>0.40643010492156101</v>
      </c>
      <c r="CB64" s="13">
        <f t="shared" si="28"/>
        <v>0.40646497802255066</v>
      </c>
      <c r="CC64" s="13">
        <f t="shared" si="28"/>
        <v>0.40647073962099717</v>
      </c>
      <c r="CD64" s="13">
        <f t="shared" si="28"/>
        <v>0.40647169154566137</v>
      </c>
      <c r="CE64" s="13">
        <f t="shared" si="28"/>
        <v>0.40647184882198806</v>
      </c>
      <c r="CF64" s="13">
        <f t="shared" si="28"/>
        <v>0.40647187480708435</v>
      </c>
      <c r="CG64" s="13">
        <f t="shared" si="28"/>
        <v>0.40647187910032606</v>
      </c>
      <c r="CH64" s="13">
        <f t="shared" si="28"/>
        <v>0.40647187980965277</v>
      </c>
      <c r="CI64" s="13">
        <f t="shared" si="28"/>
        <v>0.4064718799268473</v>
      </c>
      <c r="CJ64" s="13">
        <f t="shared" si="28"/>
        <v>0.40647187994621015</v>
      </c>
      <c r="CK64" s="13">
        <f t="shared" si="28"/>
        <v>0.40647187994940925</v>
      </c>
      <c r="CL64" s="13">
        <f t="shared" si="28"/>
        <v>0.40647187994993778</v>
      </c>
      <c r="CM64" s="13">
        <f t="shared" si="28"/>
        <v>0.40647187995002515</v>
      </c>
      <c r="CN64" s="13">
        <f t="shared" si="28"/>
        <v>0.40647187995003953</v>
      </c>
      <c r="CO64" s="13">
        <f t="shared" si="28"/>
        <v>0.40647187995004191</v>
      </c>
      <c r="CP64" s="13">
        <f t="shared" si="28"/>
        <v>0.40647187995004236</v>
      </c>
      <c r="CQ64" s="13">
        <f t="shared" si="28"/>
        <v>0.40647187995004236</v>
      </c>
      <c r="CR64" s="13">
        <f t="shared" si="28"/>
        <v>0.40647187995004236</v>
      </c>
      <c r="CS64" s="13">
        <f t="shared" si="28"/>
        <v>0.40647187995004236</v>
      </c>
      <c r="CT64" s="13">
        <f t="shared" si="28"/>
        <v>0.40647187995004236</v>
      </c>
      <c r="CU64" s="13">
        <f t="shared" si="28"/>
        <v>0.40647187995004236</v>
      </c>
      <c r="CV64" s="13">
        <f t="shared" si="28"/>
        <v>0.40647187995004236</v>
      </c>
      <c r="CW64" s="13">
        <f t="shared" si="28"/>
        <v>0.40647187995004236</v>
      </c>
      <c r="CX64" s="13">
        <f t="shared" si="28"/>
        <v>0.40647187995004236</v>
      </c>
      <c r="CY64" s="13">
        <f t="shared" si="28"/>
        <v>0.40647187995004236</v>
      </c>
      <c r="CZ64" s="13">
        <f t="shared" si="14"/>
        <v>100</v>
      </c>
      <c r="DB64" s="47"/>
      <c r="DC64" s="26">
        <v>1.6666666666666666E-2</v>
      </c>
      <c r="DD64" s="13">
        <f t="shared" si="15"/>
        <v>300</v>
      </c>
      <c r="DE64" s="13">
        <f t="shared" ref="DE64:DK93" si="32">(DD64*$B$22-AO64)/($B$21-$B$22*BV64)</f>
        <v>195.42403138303791</v>
      </c>
      <c r="DF64" s="13">
        <f t="shared" si="32"/>
        <v>180.66509587499291</v>
      </c>
      <c r="DG64" s="13">
        <f t="shared" si="32"/>
        <v>177.41143956648978</v>
      </c>
      <c r="DH64" s="13">
        <f t="shared" si="32"/>
        <v>175.27252338074004</v>
      </c>
      <c r="DI64" s="13">
        <f t="shared" si="32"/>
        <v>172.56465175855024</v>
      </c>
      <c r="DJ64" s="13">
        <f t="shared" si="32"/>
        <v>169.04921372115987</v>
      </c>
      <c r="DK64" s="13">
        <f t="shared" si="32"/>
        <v>164.76830435357695</v>
      </c>
      <c r="DL64" s="13">
        <f t="shared" si="30"/>
        <v>159.83487860373728</v>
      </c>
      <c r="DM64" s="13">
        <f t="shared" si="30"/>
        <v>154.38359106374094</v>
      </c>
      <c r="DN64" s="13">
        <f t="shared" si="30"/>
        <v>148.55259905729488</v>
      </c>
      <c r="DO64" s="13">
        <f t="shared" si="30"/>
        <v>142.47411325706855</v>
      </c>
      <c r="DP64" s="13">
        <f t="shared" si="30"/>
        <v>136.26907511382615</v>
      </c>
      <c r="DQ64" s="13">
        <f t="shared" si="30"/>
        <v>130.04437501733972</v>
      </c>
      <c r="DR64" s="13">
        <f t="shared" si="30"/>
        <v>123.89171448609761</v>
      </c>
      <c r="DS64" s="13">
        <f t="shared" si="30"/>
        <v>117.8875057456676</v>
      </c>
      <c r="DT64" s="13">
        <f t="shared" si="30"/>
        <v>112.09339296406762</v>
      </c>
      <c r="DU64" s="13">
        <f t="shared" si="24"/>
        <v>106.5571184875454</v>
      </c>
      <c r="DV64" s="13">
        <f t="shared" si="24"/>
        <v>101.31355716355847</v>
      </c>
      <c r="DW64" s="13">
        <f t="shared" si="24"/>
        <v>96.385810876577537</v>
      </c>
      <c r="DX64" s="13">
        <f t="shared" si="24"/>
        <v>91.786301478240404</v>
      </c>
      <c r="DY64" s="13">
        <f t="shared" si="24"/>
        <v>87.517829885286787</v>
      </c>
      <c r="DZ64" s="13">
        <f t="shared" si="24"/>
        <v>83.574587360196318</v>
      </c>
      <c r="EA64" s="13">
        <f t="shared" si="24"/>
        <v>79.943115674179936</v>
      </c>
      <c r="EB64" s="13">
        <f t="shared" si="24"/>
        <v>76.603218677295899</v>
      </c>
      <c r="EC64" s="13">
        <f t="shared" si="20"/>
        <v>73.528830617787293</v>
      </c>
      <c r="ED64" s="13">
        <f t="shared" si="20"/>
        <v>70.68884759462675</v>
      </c>
      <c r="EE64" s="13">
        <f t="shared" si="20"/>
        <v>68.047928589163206</v>
      </c>
      <c r="EF64" s="13">
        <f t="shared" si="20"/>
        <v>65.567272100680597</v>
      </c>
      <c r="EG64" s="13">
        <f t="shared" si="20"/>
        <v>63.205373805602925</v>
      </c>
      <c r="EH64" s="13">
        <f t="shared" si="20"/>
        <v>60.918770042712268</v>
      </c>
    </row>
    <row r="65" spans="5:138" x14ac:dyDescent="0.25">
      <c r="E65" s="49"/>
      <c r="F65" s="26">
        <v>1.3333333333333334E-2</v>
      </c>
      <c r="G65">
        <f t="shared" si="10"/>
        <v>300</v>
      </c>
      <c r="H65">
        <f t="shared" ref="H65:M94" si="33">BW65*I65+DE65</f>
        <v>297.8170609552003</v>
      </c>
      <c r="I65">
        <f t="shared" si="33"/>
        <v>295.11616549556538</v>
      </c>
      <c r="J65">
        <f t="shared" si="33"/>
        <v>291.55505663016208</v>
      </c>
      <c r="K65">
        <f t="shared" si="33"/>
        <v>286.94240067193607</v>
      </c>
      <c r="L65">
        <f t="shared" si="33"/>
        <v>281.21757960099501</v>
      </c>
      <c r="M65">
        <f t="shared" si="33"/>
        <v>274.42089107041124</v>
      </c>
      <c r="N65">
        <f t="shared" si="31"/>
        <v>266.6630865071877</v>
      </c>
      <c r="O65">
        <f t="shared" si="31"/>
        <v>258.09863055067001</v>
      </c>
      <c r="P65">
        <f t="shared" si="31"/>
        <v>248.90427554010111</v>
      </c>
      <c r="Q65">
        <f t="shared" si="31"/>
        <v>239.26301281420706</v>
      </c>
      <c r="R65">
        <f t="shared" si="31"/>
        <v>229.35273999205197</v>
      </c>
      <c r="S65">
        <f t="shared" si="31"/>
        <v>219.33873598473906</v>
      </c>
      <c r="T65">
        <f t="shared" si="31"/>
        <v>209.36903966884501</v>
      </c>
      <c r="U65">
        <f t="shared" si="31"/>
        <v>199.57194641381616</v>
      </c>
      <c r="V65">
        <f t="shared" si="31"/>
        <v>190.05499106507324</v>
      </c>
      <c r="W65">
        <f t="shared" si="31"/>
        <v>180.90493661900092</v>
      </c>
      <c r="X65">
        <f t="shared" si="25"/>
        <v>172.18841732438898</v>
      </c>
      <c r="Y65">
        <f t="shared" si="25"/>
        <v>163.95298834850735</v>
      </c>
      <c r="Z65">
        <f t="shared" si="25"/>
        <v>156.2284126519009</v>
      </c>
      <c r="AA65">
        <f t="shared" si="25"/>
        <v>149.02807307781254</v>
      </c>
      <c r="AB65">
        <f t="shared" si="21"/>
        <v>142.3504382656586</v>
      </c>
      <c r="AC65">
        <f t="shared" si="21"/>
        <v>136.18053893566517</v>
      </c>
      <c r="AD65">
        <f t="shared" si="21"/>
        <v>130.49142979819572</v>
      </c>
      <c r="AE65">
        <f t="shared" si="21"/>
        <v>125.24562452049122</v>
      </c>
      <c r="AF65">
        <f t="shared" si="21"/>
        <v>120.39649887229407</v>
      </c>
      <c r="AG65">
        <f t="shared" si="21"/>
        <v>115.88966185329575</v>
      </c>
      <c r="AH65">
        <f t="shared" si="21"/>
        <v>111.6642973295808</v>
      </c>
      <c r="AI65">
        <f t="shared" si="21"/>
        <v>107.65448019815013</v>
      </c>
      <c r="AJ65">
        <f t="shared" si="21"/>
        <v>103.79047184660405</v>
      </c>
      <c r="AK65">
        <f t="shared" si="11"/>
        <v>100</v>
      </c>
      <c r="AL65" s="47"/>
      <c r="AM65" s="26">
        <v>1.3333333333333334E-2</v>
      </c>
      <c r="AN65" s="27">
        <f t="shared" si="29"/>
        <v>-1076400000</v>
      </c>
      <c r="AO65" s="27">
        <f t="shared" si="29"/>
        <v>-1070711954.2646767</v>
      </c>
      <c r="AP65" s="27">
        <f t="shared" si="29"/>
        <v>-1062438085.2979696</v>
      </c>
      <c r="AQ65" s="27">
        <f t="shared" si="29"/>
        <v>-1050452948.1533072</v>
      </c>
      <c r="AR65" s="27">
        <f t="shared" si="29"/>
        <v>-1034153697.1775473</v>
      </c>
      <c r="AS65" s="27">
        <f t="shared" si="29"/>
        <v>-1013446206.8912908</v>
      </c>
      <c r="AT65" s="27">
        <f t="shared" si="29"/>
        <v>-988601177.53576386</v>
      </c>
      <c r="AU65" s="27">
        <f t="shared" si="29"/>
        <v>-960126691.15602684</v>
      </c>
      <c r="AV65" s="27">
        <f t="shared" si="29"/>
        <v>-928665668.49957657</v>
      </c>
      <c r="AW65" s="27">
        <f t="shared" si="29"/>
        <v>-894918738.57932878</v>
      </c>
      <c r="AX65" s="27">
        <f t="shared" si="29"/>
        <v>-859589391.7758956</v>
      </c>
      <c r="AY65" s="27">
        <f t="shared" si="29"/>
        <v>-823347078.19803584</v>
      </c>
      <c r="AZ65" s="27">
        <f t="shared" si="29"/>
        <v>-786803950.87076998</v>
      </c>
      <c r="BA65" s="27">
        <f t="shared" si="29"/>
        <v>-750501537.65983403</v>
      </c>
      <c r="BB65" s="27">
        <f t="shared" si="29"/>
        <v>-714904372.80074859</v>
      </c>
      <c r="BC65" s="27">
        <f t="shared" si="29"/>
        <v>-680398338.20442629</v>
      </c>
      <c r="BD65" s="27">
        <f t="shared" si="22"/>
        <v>-647292077.06192958</v>
      </c>
      <c r="BE65" s="27">
        <f t="shared" si="22"/>
        <v>-615820327.44036412</v>
      </c>
      <c r="BF65" s="27">
        <f t="shared" si="22"/>
        <v>-586148389.61824536</v>
      </c>
      <c r="BG65" s="27">
        <f t="shared" si="22"/>
        <v>-558377207.04779565</v>
      </c>
      <c r="BH65" s="27">
        <f t="shared" si="22"/>
        <v>-532548728.48878282</v>
      </c>
      <c r="BI65" s="27">
        <f t="shared" si="22"/>
        <v>-508651347.60103869</v>
      </c>
      <c r="BJ65" s="27">
        <f t="shared" si="22"/>
        <v>-486625302.30411732</v>
      </c>
      <c r="BK65" s="27">
        <f t="shared" si="22"/>
        <v>-466367972.13649964</v>
      </c>
      <c r="BL65" s="27">
        <f t="shared" si="19"/>
        <v>-447739047.11336195</v>
      </c>
      <c r="BM65" s="27">
        <f t="shared" si="19"/>
        <v>-430565563.02890837</v>
      </c>
      <c r="BN65" s="27">
        <f t="shared" si="19"/>
        <v>-414646810.59915215</v>
      </c>
      <c r="BO65" s="27">
        <f t="shared" si="19"/>
        <v>-399759132.61447924</v>
      </c>
      <c r="BP65" s="27">
        <f t="shared" si="19"/>
        <v>-385660626.60224056</v>
      </c>
      <c r="BQ65" s="27">
        <f t="shared" si="19"/>
        <v>-372095771.85515535</v>
      </c>
      <c r="BR65" s="27">
        <f t="shared" si="19"/>
        <v>-358800000</v>
      </c>
      <c r="BT65" s="47"/>
      <c r="BU65" s="26">
        <v>1.3333333333333334E-2</v>
      </c>
      <c r="BV65" s="13">
        <v>0</v>
      </c>
      <c r="BW65" s="13">
        <f t="shared" si="28"/>
        <v>0.34883720930232553</v>
      </c>
      <c r="BX65" s="13">
        <f t="shared" si="28"/>
        <v>0.39716748768472904</v>
      </c>
      <c r="BY65" s="13">
        <f t="shared" si="28"/>
        <v>0.40494040593779607</v>
      </c>
      <c r="BZ65" s="13">
        <f t="shared" si="28"/>
        <v>0.4062190081621499</v>
      </c>
      <c r="CA65" s="13">
        <f t="shared" si="28"/>
        <v>0.40643010492156101</v>
      </c>
      <c r="CB65" s="13">
        <f t="shared" si="28"/>
        <v>0.40646497802255066</v>
      </c>
      <c r="CC65" s="13">
        <f t="shared" si="28"/>
        <v>0.40647073962099717</v>
      </c>
      <c r="CD65" s="13">
        <f t="shared" si="28"/>
        <v>0.40647169154566137</v>
      </c>
      <c r="CE65" s="13">
        <f t="shared" si="28"/>
        <v>0.40647184882198806</v>
      </c>
      <c r="CF65" s="13">
        <f t="shared" si="28"/>
        <v>0.40647187480708435</v>
      </c>
      <c r="CG65" s="13">
        <f t="shared" si="28"/>
        <v>0.40647187910032606</v>
      </c>
      <c r="CH65" s="13">
        <f t="shared" si="28"/>
        <v>0.40647187980965277</v>
      </c>
      <c r="CI65" s="13">
        <f t="shared" si="28"/>
        <v>0.4064718799268473</v>
      </c>
      <c r="CJ65" s="13">
        <f t="shared" si="28"/>
        <v>0.40647187994621015</v>
      </c>
      <c r="CK65" s="13">
        <f t="shared" si="28"/>
        <v>0.40647187994940925</v>
      </c>
      <c r="CL65" s="13">
        <f t="shared" si="28"/>
        <v>0.40647187994993778</v>
      </c>
      <c r="CM65" s="13">
        <f t="shared" si="28"/>
        <v>0.40647187995002515</v>
      </c>
      <c r="CN65" s="13">
        <f t="shared" si="28"/>
        <v>0.40647187995003953</v>
      </c>
      <c r="CO65" s="13">
        <f t="shared" si="28"/>
        <v>0.40647187995004191</v>
      </c>
      <c r="CP65" s="13">
        <f t="shared" si="28"/>
        <v>0.40647187995004236</v>
      </c>
      <c r="CQ65" s="13">
        <f t="shared" si="28"/>
        <v>0.40647187995004236</v>
      </c>
      <c r="CR65" s="13">
        <f t="shared" si="28"/>
        <v>0.40647187995004236</v>
      </c>
      <c r="CS65" s="13">
        <f t="shared" si="28"/>
        <v>0.40647187995004236</v>
      </c>
      <c r="CT65" s="13">
        <f t="shared" si="28"/>
        <v>0.40647187995004236</v>
      </c>
      <c r="CU65" s="13">
        <f t="shared" si="28"/>
        <v>0.40647187995004236</v>
      </c>
      <c r="CV65" s="13">
        <f t="shared" si="28"/>
        <v>0.40647187995004236</v>
      </c>
      <c r="CW65" s="13">
        <f t="shared" si="28"/>
        <v>0.40647187995004236</v>
      </c>
      <c r="CX65" s="13">
        <f t="shared" si="28"/>
        <v>0.40647187995004236</v>
      </c>
      <c r="CY65" s="13">
        <f t="shared" si="28"/>
        <v>0.40647187995004236</v>
      </c>
      <c r="CZ65" s="13">
        <f t="shared" si="14"/>
        <v>100</v>
      </c>
      <c r="DB65" s="47"/>
      <c r="DC65" s="26">
        <v>1.3333333333333334E-2</v>
      </c>
      <c r="DD65" s="13">
        <f t="shared" si="15"/>
        <v>300</v>
      </c>
      <c r="DE65" s="13">
        <f t="shared" si="32"/>
        <v>194.86956136372405</v>
      </c>
      <c r="DF65" s="13">
        <f t="shared" si="32"/>
        <v>179.31997613198502</v>
      </c>
      <c r="DG65" s="13">
        <f t="shared" si="32"/>
        <v>175.36048442130254</v>
      </c>
      <c r="DH65" s="13">
        <f t="shared" si="32"/>
        <v>172.70647440865946</v>
      </c>
      <c r="DI65" s="13">
        <f t="shared" si="32"/>
        <v>169.68466805057949</v>
      </c>
      <c r="DJ65" s="13">
        <f t="shared" si="32"/>
        <v>166.03168547384166</v>
      </c>
      <c r="DK65" s="13">
        <f t="shared" si="32"/>
        <v>161.75354525209036</v>
      </c>
      <c r="DL65" s="13">
        <f t="shared" si="30"/>
        <v>156.92608863893776</v>
      </c>
      <c r="DM65" s="13">
        <f t="shared" si="30"/>
        <v>151.65059636679135</v>
      </c>
      <c r="DN65" s="13">
        <f t="shared" si="30"/>
        <v>146.03757459749593</v>
      </c>
      <c r="DO65" s="13">
        <f t="shared" si="30"/>
        <v>140.19771181684479</v>
      </c>
      <c r="DP65" s="13">
        <f t="shared" si="30"/>
        <v>134.23610885660187</v>
      </c>
      <c r="DQ65" s="13">
        <f t="shared" si="30"/>
        <v>128.24865542936112</v>
      </c>
      <c r="DR65" s="13">
        <f t="shared" si="30"/>
        <v>122.31993690243567</v>
      </c>
      <c r="DS65" s="13">
        <f t="shared" si="30"/>
        <v>116.52222138541919</v>
      </c>
      <c r="DT65" s="13">
        <f t="shared" si="30"/>
        <v>110.9151869235521</v>
      </c>
      <c r="DU65" s="13">
        <f t="shared" si="24"/>
        <v>105.54613792694663</v>
      </c>
      <c r="DV65" s="13">
        <f t="shared" si="24"/>
        <v>100.45053175627866</v>
      </c>
      <c r="DW65" s="13">
        <f t="shared" si="24"/>
        <v>95.652691622630215</v>
      </c>
      <c r="DX65" s="13">
        <f t="shared" si="24"/>
        <v>91.166622824257843</v>
      </c>
      <c r="DY65" s="13">
        <f t="shared" si="24"/>
        <v>86.996878591868835</v>
      </c>
      <c r="DZ65" s="13">
        <f t="shared" si="24"/>
        <v>83.139442148223566</v>
      </c>
      <c r="EA65" s="13">
        <f t="shared" si="24"/>
        <v>79.58260534383453</v>
      </c>
      <c r="EB65" s="13">
        <f t="shared" si="24"/>
        <v>76.307833284466682</v>
      </c>
      <c r="EC65" s="13">
        <f t="shared" si="20"/>
        <v>73.290610152010245</v>
      </c>
      <c r="ED65" s="13">
        <f t="shared" si="20"/>
        <v>70.501264994440547</v>
      </c>
      <c r="EE65" s="13">
        <f t="shared" si="20"/>
        <v>67.905778378394118</v>
      </c>
      <c r="EF65" s="13">
        <f t="shared" si="20"/>
        <v>65.466571985759032</v>
      </c>
      <c r="EG65" s="13">
        <f t="shared" si="20"/>
        <v>63.143283851599804</v>
      </c>
      <c r="EH65" s="13">
        <f t="shared" si="20"/>
        <v>60.893532222382603</v>
      </c>
    </row>
    <row r="66" spans="5:138" x14ac:dyDescent="0.25">
      <c r="E66" s="49"/>
      <c r="F66" s="26">
        <v>0.01</v>
      </c>
      <c r="G66">
        <f t="shared" si="10"/>
        <v>300</v>
      </c>
      <c r="H66">
        <f t="shared" si="33"/>
        <v>296.7533155506714</v>
      </c>
      <c r="I66">
        <f t="shared" si="33"/>
        <v>293.12730625559192</v>
      </c>
      <c r="J66">
        <f t="shared" si="33"/>
        <v>288.84506996747274</v>
      </c>
      <c r="K66">
        <f t="shared" si="33"/>
        <v>283.73467620044619</v>
      </c>
      <c r="L66">
        <f t="shared" si="33"/>
        <v>277.72344639030524</v>
      </c>
      <c r="M66">
        <f t="shared" si="33"/>
        <v>270.8217061213337</v>
      </c>
      <c r="N66">
        <f t="shared" si="31"/>
        <v>263.10276801584126</v>
      </c>
      <c r="O66">
        <f t="shared" si="31"/>
        <v>254.68320915155959</v>
      </c>
      <c r="P66">
        <f t="shared" si="31"/>
        <v>245.70554557596014</v>
      </c>
      <c r="Q66">
        <f t="shared" si="31"/>
        <v>236.32412538754204</v>
      </c>
      <c r="R66">
        <f t="shared" si="31"/>
        <v>226.69430655369575</v>
      </c>
      <c r="S66">
        <f t="shared" si="31"/>
        <v>216.96459454273094</v>
      </c>
      <c r="T66">
        <f t="shared" si="31"/>
        <v>207.27125488000303</v>
      </c>
      <c r="U66">
        <f t="shared" si="31"/>
        <v>197.73488996268406</v>
      </c>
      <c r="V66">
        <f t="shared" si="31"/>
        <v>188.45851307083586</v>
      </c>
      <c r="W66">
        <f t="shared" si="31"/>
        <v>179.52672525947378</v>
      </c>
      <c r="X66">
        <f t="shared" si="25"/>
        <v>171.00567963835343</v>
      </c>
      <c r="Y66">
        <f t="shared" si="25"/>
        <v>162.94359054971366</v>
      </c>
      <c r="Z66">
        <f t="shared" si="25"/>
        <v>155.37160726327332</v>
      </c>
      <c r="AA66">
        <f t="shared" si="25"/>
        <v>148.30492181527654</v>
      </c>
      <c r="AB66">
        <f t="shared" si="21"/>
        <v>141.74401930605941</v>
      </c>
      <c r="AC66">
        <f t="shared" si="21"/>
        <v>135.67600797817931</v>
      </c>
      <c r="AD66">
        <f t="shared" si="21"/>
        <v>130.07598758594816</v>
      </c>
      <c r="AE66">
        <f t="shared" si="21"/>
        <v>124.90842969376031</v>
      </c>
      <c r="AF66">
        <f t="shared" si="21"/>
        <v>120.12855411447812</v>
      </c>
      <c r="AG66">
        <f t="shared" si="21"/>
        <v>115.68369294383814</v>
      </c>
      <c r="AH66">
        <f t="shared" si="21"/>
        <v>111.51463851341293</v>
      </c>
      <c r="AI66">
        <f t="shared" si="21"/>
        <v>107.55697478840634</v>
      </c>
      <c r="AJ66">
        <f t="shared" si="21"/>
        <v>103.74239380031996</v>
      </c>
      <c r="AK66">
        <f t="shared" si="11"/>
        <v>100</v>
      </c>
      <c r="AL66" s="47"/>
      <c r="AM66" s="26">
        <v>0.01</v>
      </c>
      <c r="AN66" s="27">
        <f t="shared" si="29"/>
        <v>-1076400000</v>
      </c>
      <c r="AO66" s="27">
        <f t="shared" si="29"/>
        <v>-1066321301.0572181</v>
      </c>
      <c r="AP66" s="27">
        <f t="shared" si="29"/>
        <v>-1054457554.5962481</v>
      </c>
      <c r="AQ66" s="27">
        <f t="shared" si="29"/>
        <v>-1039804683.0059683</v>
      </c>
      <c r="AR66" s="27">
        <f t="shared" si="29"/>
        <v>-1021769479.4256945</v>
      </c>
      <c r="AS66" s="27">
        <f t="shared" si="29"/>
        <v>-1000158438.9479738</v>
      </c>
      <c r="AT66" s="27">
        <f t="shared" si="29"/>
        <v>-975091480.6065414</v>
      </c>
      <c r="AU66" s="27">
        <f t="shared" si="29"/>
        <v>-946913301.58222544</v>
      </c>
      <c r="AV66" s="27">
        <f t="shared" si="29"/>
        <v>-916113907.94065142</v>
      </c>
      <c r="AW66" s="27">
        <f t="shared" si="29"/>
        <v>-883263049.90361416</v>
      </c>
      <c r="AX66" s="27">
        <f t="shared" si="29"/>
        <v>-848959332.28257382</v>
      </c>
      <c r="AY66" s="27">
        <f t="shared" si="29"/>
        <v>-813792729.66793084</v>
      </c>
      <c r="AZ66" s="27">
        <f t="shared" si="29"/>
        <v>-778318383.69761777</v>
      </c>
      <c r="BA66" s="27">
        <f t="shared" si="29"/>
        <v>-743039387.06345797</v>
      </c>
      <c r="BB66" s="27">
        <f t="shared" si="29"/>
        <v>-708396434.76066172</v>
      </c>
      <c r="BC66" s="27">
        <f t="shared" si="29"/>
        <v>-674762546.10494637</v>
      </c>
      <c r="BD66" s="27">
        <f t="shared" si="22"/>
        <v>-642441417.56339145</v>
      </c>
      <c r="BE66" s="27">
        <f t="shared" si="22"/>
        <v>-611668298.49794245</v>
      </c>
      <c r="BF66" s="27">
        <f t="shared" si="22"/>
        <v>-582612564.8712672</v>
      </c>
      <c r="BG66" s="27">
        <f t="shared" si="22"/>
        <v>-555381393.80946851</v>
      </c>
      <c r="BH66" s="27">
        <f t="shared" si="22"/>
        <v>-530024118.10666442</v>
      </c>
      <c r="BI66" s="27">
        <f t="shared" si="22"/>
        <v>-506536971.77940607</v>
      </c>
      <c r="BJ66" s="27">
        <f t="shared" si="22"/>
        <v>-484868034.15212089</v>
      </c>
      <c r="BK66" s="27">
        <f t="shared" si="22"/>
        <v>-464922248.70820284</v>
      </c>
      <c r="BL66" s="27">
        <f t="shared" si="19"/>
        <v>-446566440.96578276</v>
      </c>
      <c r="BM66" s="27">
        <f t="shared" si="19"/>
        <v>-429634292.51096892</v>
      </c>
      <c r="BN66" s="27">
        <f t="shared" si="19"/>
        <v>-413931250.37800211</v>
      </c>
      <c r="BO66" s="27">
        <f t="shared" si="19"/>
        <v>-399239365.46569276</v>
      </c>
      <c r="BP66" s="27">
        <f t="shared" si="19"/>
        <v>-385322063.00995219</v>
      </c>
      <c r="BQ66" s="27">
        <f t="shared" si="19"/>
        <v>-371928853.99819511</v>
      </c>
      <c r="BR66" s="27">
        <f t="shared" si="19"/>
        <v>-358800000</v>
      </c>
      <c r="BT66" s="47"/>
      <c r="BU66" s="26">
        <v>0.01</v>
      </c>
      <c r="BV66" s="13">
        <v>0</v>
      </c>
      <c r="BW66" s="13">
        <f t="shared" si="28"/>
        <v>0.34883720930232553</v>
      </c>
      <c r="BX66" s="13">
        <f t="shared" si="28"/>
        <v>0.39716748768472904</v>
      </c>
      <c r="BY66" s="13">
        <f t="shared" si="28"/>
        <v>0.40494040593779607</v>
      </c>
      <c r="BZ66" s="13">
        <f t="shared" si="28"/>
        <v>0.4062190081621499</v>
      </c>
      <c r="CA66" s="13">
        <f t="shared" si="28"/>
        <v>0.40643010492156101</v>
      </c>
      <c r="CB66" s="13">
        <f t="shared" si="28"/>
        <v>0.40646497802255066</v>
      </c>
      <c r="CC66" s="13">
        <f t="shared" si="28"/>
        <v>0.40647073962099717</v>
      </c>
      <c r="CD66" s="13">
        <f t="shared" si="28"/>
        <v>0.40647169154566137</v>
      </c>
      <c r="CE66" s="13">
        <f t="shared" si="28"/>
        <v>0.40647184882198806</v>
      </c>
      <c r="CF66" s="13">
        <f t="shared" si="28"/>
        <v>0.40647187480708435</v>
      </c>
      <c r="CG66" s="13">
        <f t="shared" si="28"/>
        <v>0.40647187910032606</v>
      </c>
      <c r="CH66" s="13">
        <f t="shared" si="28"/>
        <v>0.40647187980965277</v>
      </c>
      <c r="CI66" s="13">
        <f t="shared" si="28"/>
        <v>0.4064718799268473</v>
      </c>
      <c r="CJ66" s="13">
        <f t="shared" si="28"/>
        <v>0.40647187994621015</v>
      </c>
      <c r="CK66" s="13">
        <f t="shared" si="28"/>
        <v>0.40647187994940925</v>
      </c>
      <c r="CL66" s="13">
        <f t="shared" si="28"/>
        <v>0.40647187994993778</v>
      </c>
      <c r="CM66" s="13">
        <f t="shared" si="28"/>
        <v>0.40647187995002515</v>
      </c>
      <c r="CN66" s="13">
        <f t="shared" si="28"/>
        <v>0.40647187995003953</v>
      </c>
      <c r="CO66" s="13">
        <f t="shared" si="28"/>
        <v>0.40647187995004191</v>
      </c>
      <c r="CP66" s="13">
        <f t="shared" si="28"/>
        <v>0.40647187995004236</v>
      </c>
      <c r="CQ66" s="13">
        <f t="shared" si="28"/>
        <v>0.40647187995004236</v>
      </c>
      <c r="CR66" s="13">
        <f t="shared" si="28"/>
        <v>0.40647187995004236</v>
      </c>
      <c r="CS66" s="13">
        <f t="shared" si="28"/>
        <v>0.40647187995004236</v>
      </c>
      <c r="CT66" s="13">
        <f t="shared" ref="CT66:CY66" si="34">$B$20/($B$21-$B$22*CS66)</f>
        <v>0.40647187995004236</v>
      </c>
      <c r="CU66" s="13">
        <f t="shared" si="34"/>
        <v>0.40647187995004236</v>
      </c>
      <c r="CV66" s="13">
        <f t="shared" si="34"/>
        <v>0.40647187995004236</v>
      </c>
      <c r="CW66" s="13">
        <f t="shared" si="34"/>
        <v>0.40647187995004236</v>
      </c>
      <c r="CX66" s="13">
        <f t="shared" si="34"/>
        <v>0.40647187995004236</v>
      </c>
      <c r="CY66" s="13">
        <f t="shared" si="34"/>
        <v>0.40647187995004236</v>
      </c>
      <c r="CZ66" s="13">
        <f t="shared" si="14"/>
        <v>100</v>
      </c>
      <c r="DB66" s="47"/>
      <c r="DC66" s="26">
        <v>0.01</v>
      </c>
      <c r="DD66" s="13">
        <f t="shared" si="15"/>
        <v>300</v>
      </c>
      <c r="DE66" s="13">
        <f t="shared" si="32"/>
        <v>194.49960406616262</v>
      </c>
      <c r="DF66" s="13">
        <f t="shared" si="32"/>
        <v>178.40743548649101</v>
      </c>
      <c r="DG66" s="13">
        <f t="shared" si="32"/>
        <v>173.94943500823493</v>
      </c>
      <c r="DH66" s="13">
        <f t="shared" si="32"/>
        <v>170.91813326440237</v>
      </c>
      <c r="DI66" s="13">
        <f t="shared" si="32"/>
        <v>167.65335195637542</v>
      </c>
      <c r="DJ66" s="13">
        <f t="shared" si="32"/>
        <v>163.87964530210252</v>
      </c>
      <c r="DK66" s="13">
        <f t="shared" si="32"/>
        <v>159.5814956229577</v>
      </c>
      <c r="DL66" s="13">
        <f t="shared" si="30"/>
        <v>154.81086041914946</v>
      </c>
      <c r="DM66" s="13">
        <f t="shared" si="30"/>
        <v>149.64644140844661</v>
      </c>
      <c r="DN66" s="13">
        <f t="shared" si="30"/>
        <v>144.17926559456942</v>
      </c>
      <c r="DO66" s="13">
        <f t="shared" si="30"/>
        <v>138.50430011167154</v>
      </c>
      <c r="DP66" s="13">
        <f t="shared" si="30"/>
        <v>132.71465794115042</v>
      </c>
      <c r="DQ66" s="13">
        <f t="shared" si="30"/>
        <v>126.89758242974254</v>
      </c>
      <c r="DR66" s="13">
        <f t="shared" si="30"/>
        <v>121.13180386291401</v>
      </c>
      <c r="DS66" s="13">
        <f t="shared" si="30"/>
        <v>115.48594755345644</v>
      </c>
      <c r="DT66" s="13">
        <f t="shared" si="30"/>
        <v>110.01772517475547</v>
      </c>
      <c r="DU66" s="13">
        <f t="shared" si="24"/>
        <v>104.77369206180417</v>
      </c>
      <c r="DV66" s="13">
        <f t="shared" si="24"/>
        <v>99.789401254551748</v>
      </c>
      <c r="DW66" s="13">
        <f t="shared" si="24"/>
        <v>95.089826887173885</v>
      </c>
      <c r="DX66" s="13">
        <f t="shared" si="24"/>
        <v>90.689963816267479</v>
      </c>
      <c r="DY66" s="13">
        <f t="shared" si="24"/>
        <v>86.595537279051925</v>
      </c>
      <c r="DZ66" s="13">
        <f t="shared" si="24"/>
        <v>82.803776767760596</v>
      </c>
      <c r="EA66" s="13">
        <f t="shared" si="24"/>
        <v>79.304223346717706</v>
      </c>
      <c r="EB66" s="13">
        <f t="shared" si="24"/>
        <v>76.079550467167991</v>
      </c>
      <c r="EC66" s="13">
        <f t="shared" si="20"/>
        <v>73.106385964032782</v>
      </c>
      <c r="ED66" s="13">
        <f t="shared" si="20"/>
        <v>70.356128185341788</v>
      </c>
      <c r="EE66" s="13">
        <f t="shared" si="20"/>
        <v>67.795752769430109</v>
      </c>
      <c r="EF66" s="13">
        <f t="shared" si="20"/>
        <v>65.388608949872662</v>
      </c>
      <c r="EG66" s="13">
        <f t="shared" si="20"/>
        <v>63.095205805315722</v>
      </c>
      <c r="EH66" s="13">
        <f t="shared" si="20"/>
        <v>60.873989848525191</v>
      </c>
    </row>
    <row r="67" spans="5:138" x14ac:dyDescent="0.25">
      <c r="E67" s="49"/>
      <c r="F67" s="26">
        <v>6.6666666666666671E-3</v>
      </c>
      <c r="G67">
        <f t="shared" si="10"/>
        <v>300</v>
      </c>
      <c r="H67">
        <f t="shared" si="33"/>
        <v>296.09104694014525</v>
      </c>
      <c r="I67">
        <f t="shared" si="33"/>
        <v>291.8806462376499</v>
      </c>
      <c r="J67">
        <f t="shared" si="33"/>
        <v>287.13356011709345</v>
      </c>
      <c r="K67">
        <f t="shared" si="33"/>
        <v>281.69324966624578</v>
      </c>
      <c r="L67">
        <f t="shared" si="33"/>
        <v>275.4831195349235</v>
      </c>
      <c r="M67">
        <f t="shared" si="33"/>
        <v>268.49766923773149</v>
      </c>
      <c r="N67">
        <f t="shared" si="31"/>
        <v>260.78865080724961</v>
      </c>
      <c r="O67">
        <f t="shared" si="31"/>
        <v>252.44978770818244</v>
      </c>
      <c r="P67">
        <f t="shared" si="31"/>
        <v>243.60224611139819</v>
      </c>
      <c r="Q67">
        <f t="shared" si="31"/>
        <v>234.38201401061417</v>
      </c>
      <c r="R67">
        <f t="shared" si="31"/>
        <v>224.92963716363857</v>
      </c>
      <c r="S67">
        <f t="shared" si="31"/>
        <v>215.38232500087707</v>
      </c>
      <c r="T67">
        <f t="shared" si="31"/>
        <v>205.86820221780084</v>
      </c>
      <c r="U67">
        <f t="shared" si="31"/>
        <v>196.50237748865263</v>
      </c>
      <c r="V67">
        <f t="shared" si="31"/>
        <v>187.38447848926774</v>
      </c>
      <c r="W67">
        <f t="shared" si="31"/>
        <v>178.59732570273815</v>
      </c>
      <c r="X67">
        <f t="shared" si="25"/>
        <v>170.20646213634376</v>
      </c>
      <c r="Y67">
        <f t="shared" si="25"/>
        <v>162.26030724823377</v>
      </c>
      <c r="Z67">
        <f t="shared" si="25"/>
        <v>154.79075272716923</v>
      </c>
      <c r="AA67">
        <f t="shared" si="25"/>
        <v>147.8140612137274</v>
      </c>
      <c r="AB67">
        <f t="shared" si="21"/>
        <v>141.33196513784665</v>
      </c>
      <c r="AC67">
        <f t="shared" si="21"/>
        <v>135.3328915969584</v>
      </c>
      <c r="AD67">
        <f t="shared" si="21"/>
        <v>129.79326137601296</v>
      </c>
      <c r="AE67">
        <f t="shared" si="21"/>
        <v>124.67882687249011</v>
      </c>
      <c r="AF67">
        <f t="shared" si="21"/>
        <v>119.94602592823368</v>
      </c>
      <c r="AG67">
        <f t="shared" si="21"/>
        <v>115.54333738116958</v>
      </c>
      <c r="AH67">
        <f t="shared" si="21"/>
        <v>111.41263037683146</v>
      </c>
      <c r="AI67">
        <f t="shared" si="21"/>
        <v>107.49050380105143</v>
      </c>
      <c r="AJ67">
        <f t="shared" si="21"/>
        <v>103.70961513656965</v>
      </c>
      <c r="AK67">
        <f t="shared" si="11"/>
        <v>100</v>
      </c>
      <c r="AL67" s="47"/>
      <c r="AM67" s="26">
        <v>6.6666666666666671E-3</v>
      </c>
      <c r="AN67" s="27">
        <f t="shared" si="29"/>
        <v>-1076400000</v>
      </c>
      <c r="AO67" s="27">
        <f t="shared" si="29"/>
        <v>-1063622669.6617731</v>
      </c>
      <c r="AP67" s="27">
        <f t="shared" si="29"/>
        <v>-1049489636.3314607</v>
      </c>
      <c r="AQ67" s="27">
        <f t="shared" si="29"/>
        <v>-1033105162.4275368</v>
      </c>
      <c r="AR67" s="27">
        <f t="shared" si="29"/>
        <v>-1013902433.2796549</v>
      </c>
      <c r="AS67" s="27">
        <f t="shared" si="29"/>
        <v>-991643258.37800586</v>
      </c>
      <c r="AT67" s="27">
        <f t="shared" si="29"/>
        <v>-966365209.29680037</v>
      </c>
      <c r="AU67" s="27">
        <f t="shared" si="29"/>
        <v>-938317236.02435482</v>
      </c>
      <c r="AV67" s="27">
        <f t="shared" si="29"/>
        <v>-907895767.27750766</v>
      </c>
      <c r="AW67" s="27">
        <f t="shared" si="29"/>
        <v>-875587797.73425567</v>
      </c>
      <c r="AX67" s="27">
        <f t="shared" si="29"/>
        <v>-841923745.51931691</v>
      </c>
      <c r="AY67" s="27">
        <f t="shared" si="29"/>
        <v>-807440570.35048854</v>
      </c>
      <c r="AZ67" s="27">
        <f t="shared" si="29"/>
        <v>-772654378.07125008</v>
      </c>
      <c r="BA67" s="27">
        <f t="shared" si="29"/>
        <v>-738041155.61420763</v>
      </c>
      <c r="BB67" s="27">
        <f t="shared" si="29"/>
        <v>-704024117.90806568</v>
      </c>
      <c r="BC67" s="27">
        <f t="shared" si="29"/>
        <v>-670966219.4982717</v>
      </c>
      <c r="BD67" s="27">
        <f t="shared" si="22"/>
        <v>-639166567.25006461</v>
      </c>
      <c r="BE67" s="27">
        <f t="shared" si="22"/>
        <v>-608859692.21710396</v>
      </c>
      <c r="BF67" s="27">
        <f t="shared" si="22"/>
        <v>-580216856.88709474</v>
      </c>
      <c r="BG67" s="27">
        <f t="shared" si="22"/>
        <v>-553348767.93352532</v>
      </c>
      <c r="BH67" s="27">
        <f t="shared" si="22"/>
        <v>-528309226.52335089</v>
      </c>
      <c r="BI67" s="27">
        <f t="shared" si="22"/>
        <v>-505099377.61972499</v>
      </c>
      <c r="BJ67" s="27">
        <f t="shared" si="22"/>
        <v>-483672319.70532364</v>
      </c>
      <c r="BK67" s="27">
        <f t="shared" si="22"/>
        <v>-463937911.54700518</v>
      </c>
      <c r="BL67" s="27">
        <f t="shared" si="19"/>
        <v>-445767667.88313162</v>
      </c>
      <c r="BM67" s="27">
        <f t="shared" si="19"/>
        <v>-428999675.70612645</v>
      </c>
      <c r="BN67" s="27">
        <f t="shared" si="19"/>
        <v>-413443490.93675107</v>
      </c>
      <c r="BO67" s="27">
        <f t="shared" si="19"/>
        <v>-398884994.81784081</v>
      </c>
      <c r="BP67" s="27">
        <f t="shared" si="19"/>
        <v>-385091202.68539792</v>
      </c>
      <c r="BQ67" s="27">
        <f t="shared" si="19"/>
        <v>-371815026.70445573</v>
      </c>
      <c r="BR67" s="27">
        <f t="shared" si="19"/>
        <v>-358800000</v>
      </c>
      <c r="BT67" s="47"/>
      <c r="BU67" s="26">
        <v>6.6666666666666671E-3</v>
      </c>
      <c r="BV67" s="13">
        <v>0</v>
      </c>
      <c r="BW67" s="13">
        <f t="shared" ref="BW67:CY69" si="35">$B$20/($B$21-$B$22*BV67)</f>
        <v>0.34883720930232553</v>
      </c>
      <c r="BX67" s="13">
        <f t="shared" si="35"/>
        <v>0.39716748768472904</v>
      </c>
      <c r="BY67" s="13">
        <f t="shared" si="35"/>
        <v>0.40494040593779607</v>
      </c>
      <c r="BZ67" s="13">
        <f t="shared" si="35"/>
        <v>0.4062190081621499</v>
      </c>
      <c r="CA67" s="13">
        <f t="shared" si="35"/>
        <v>0.40643010492156101</v>
      </c>
      <c r="CB67" s="13">
        <f t="shared" si="35"/>
        <v>0.40646497802255066</v>
      </c>
      <c r="CC67" s="13">
        <f t="shared" si="35"/>
        <v>0.40647073962099717</v>
      </c>
      <c r="CD67" s="13">
        <f t="shared" si="35"/>
        <v>0.40647169154566137</v>
      </c>
      <c r="CE67" s="13">
        <f t="shared" si="35"/>
        <v>0.40647184882198806</v>
      </c>
      <c r="CF67" s="13">
        <f t="shared" si="35"/>
        <v>0.40647187480708435</v>
      </c>
      <c r="CG67" s="13">
        <f t="shared" si="35"/>
        <v>0.40647187910032606</v>
      </c>
      <c r="CH67" s="13">
        <f t="shared" si="35"/>
        <v>0.40647187980965277</v>
      </c>
      <c r="CI67" s="13">
        <f t="shared" si="35"/>
        <v>0.4064718799268473</v>
      </c>
      <c r="CJ67" s="13">
        <f t="shared" si="35"/>
        <v>0.40647187994621015</v>
      </c>
      <c r="CK67" s="13">
        <f t="shared" si="35"/>
        <v>0.40647187994940925</v>
      </c>
      <c r="CL67" s="13">
        <f t="shared" si="35"/>
        <v>0.40647187994993778</v>
      </c>
      <c r="CM67" s="13">
        <f t="shared" si="35"/>
        <v>0.40647187995002515</v>
      </c>
      <c r="CN67" s="13">
        <f t="shared" si="35"/>
        <v>0.40647187995003953</v>
      </c>
      <c r="CO67" s="13">
        <f t="shared" si="35"/>
        <v>0.40647187995004191</v>
      </c>
      <c r="CP67" s="13">
        <f t="shared" si="35"/>
        <v>0.40647187995004236</v>
      </c>
      <c r="CQ67" s="13">
        <f t="shared" si="35"/>
        <v>0.40647187995004236</v>
      </c>
      <c r="CR67" s="13">
        <f t="shared" si="35"/>
        <v>0.40647187995004236</v>
      </c>
      <c r="CS67" s="13">
        <f t="shared" si="35"/>
        <v>0.40647187995004236</v>
      </c>
      <c r="CT67" s="13">
        <f t="shared" si="35"/>
        <v>0.40647187995004236</v>
      </c>
      <c r="CU67" s="13">
        <f t="shared" si="35"/>
        <v>0.40647187995004236</v>
      </c>
      <c r="CV67" s="13">
        <f t="shared" si="35"/>
        <v>0.40647187995004236</v>
      </c>
      <c r="CW67" s="13">
        <f t="shared" si="35"/>
        <v>0.40647187995004236</v>
      </c>
      <c r="CX67" s="13">
        <f t="shared" si="35"/>
        <v>0.40647187995004236</v>
      </c>
      <c r="CY67" s="13">
        <f t="shared" si="35"/>
        <v>0.40647187995004236</v>
      </c>
      <c r="CZ67" s="13">
        <f t="shared" si="14"/>
        <v>100</v>
      </c>
      <c r="DB67" s="47"/>
      <c r="DC67" s="26">
        <v>6.6666666666666671E-3</v>
      </c>
      <c r="DD67" s="13">
        <f t="shared" si="15"/>
        <v>300</v>
      </c>
      <c r="DE67" s="13">
        <f t="shared" si="32"/>
        <v>194.2722168572441</v>
      </c>
      <c r="DF67" s="13">
        <f t="shared" si="32"/>
        <v>177.84053153597176</v>
      </c>
      <c r="DG67" s="13">
        <f t="shared" si="32"/>
        <v>173.06458124730693</v>
      </c>
      <c r="DH67" s="13">
        <f t="shared" si="32"/>
        <v>169.78677008335418</v>
      </c>
      <c r="DI67" s="13">
        <f t="shared" si="32"/>
        <v>166.35758365543768</v>
      </c>
      <c r="DJ67" s="13">
        <f t="shared" si="32"/>
        <v>162.49621601883211</v>
      </c>
      <c r="DK67" s="13">
        <f t="shared" si="32"/>
        <v>158.17519888034099</v>
      </c>
      <c r="DL67" s="13">
        <f t="shared" si="30"/>
        <v>153.43237066695991</v>
      </c>
      <c r="DM67" s="13">
        <f t="shared" si="30"/>
        <v>148.33255554588274</v>
      </c>
      <c r="DN67" s="13">
        <f t="shared" si="30"/>
        <v>142.95444269303277</v>
      </c>
      <c r="DO67" s="13">
        <f t="shared" si="30"/>
        <v>137.38277879553493</v>
      </c>
      <c r="DP67" s="13">
        <f t="shared" si="30"/>
        <v>131.70268985237382</v>
      </c>
      <c r="DQ67" s="13">
        <f t="shared" si="30"/>
        <v>125.9955114298932</v>
      </c>
      <c r="DR67" s="13">
        <f t="shared" si="30"/>
        <v>120.3358562443798</v>
      </c>
      <c r="DS67" s="13">
        <f t="shared" si="30"/>
        <v>114.78968775693882</v>
      </c>
      <c r="DT67" s="13">
        <f t="shared" si="30"/>
        <v>109.41318505855058</v>
      </c>
      <c r="DU67" s="13">
        <f t="shared" si="24"/>
        <v>104.25221000788548</v>
      </c>
      <c r="DV67" s="13">
        <f t="shared" si="24"/>
        <v>99.342218988339582</v>
      </c>
      <c r="DW67" s="13">
        <f t="shared" si="24"/>
        <v>94.708493382574886</v>
      </c>
      <c r="DX67" s="13">
        <f t="shared" si="24"/>
        <v>90.366591647113026</v>
      </c>
      <c r="DY67" s="13">
        <f t="shared" si="24"/>
        <v>86.32295027135568</v>
      </c>
      <c r="DZ67" s="13">
        <f t="shared" si="24"/>
        <v>82.575580640603192</v>
      </c>
      <c r="EA67" s="13">
        <f t="shared" si="24"/>
        <v>79.114824227186048</v>
      </c>
      <c r="EB67" s="13">
        <f t="shared" si="24"/>
        <v>75.924140220904434</v>
      </c>
      <c r="EC67" s="13">
        <f t="shared" si="20"/>
        <v>72.980908367207675</v>
      </c>
      <c r="ED67" s="13">
        <f t="shared" si="20"/>
        <v>70.257236061719709</v>
      </c>
      <c r="EE67" s="13">
        <f t="shared" si="20"/>
        <v>67.720763220040908</v>
      </c>
      <c r="EF67" s="13">
        <f t="shared" si="20"/>
        <v>65.335461567594606</v>
      </c>
      <c r="EG67" s="13">
        <f t="shared" si="20"/>
        <v>63.062427141565415</v>
      </c>
      <c r="EH67" s="13">
        <f t="shared" si="20"/>
        <v>60.86066624344835</v>
      </c>
    </row>
    <row r="68" spans="5:138" x14ac:dyDescent="0.25">
      <c r="E68" s="49"/>
      <c r="F68" s="26">
        <v>3.3333333333333335E-3</v>
      </c>
      <c r="G68">
        <f t="shared" si="10"/>
        <v>300</v>
      </c>
      <c r="H68">
        <f t="shared" si="33"/>
        <v>295.7730549244481</v>
      </c>
      <c r="I68">
        <f t="shared" si="33"/>
        <v>291.27976469702656</v>
      </c>
      <c r="J68">
        <f t="shared" si="33"/>
        <v>286.30504227097134</v>
      </c>
      <c r="K68">
        <f t="shared" si="33"/>
        <v>280.7006032376795</v>
      </c>
      <c r="L68">
        <f t="shared" si="33"/>
        <v>274.38897793320467</v>
      </c>
      <c r="M68">
        <f t="shared" si="33"/>
        <v>267.35789942126462</v>
      </c>
      <c r="N68">
        <f t="shared" si="31"/>
        <v>259.64930852677128</v>
      </c>
      <c r="O68">
        <f t="shared" si="31"/>
        <v>251.34620816932386</v>
      </c>
      <c r="P68">
        <f t="shared" si="31"/>
        <v>242.55953738243815</v>
      </c>
      <c r="Q68">
        <f t="shared" si="31"/>
        <v>233.41633965571987</v>
      </c>
      <c r="R68">
        <f t="shared" si="31"/>
        <v>224.04983605981414</v>
      </c>
      <c r="S68">
        <f t="shared" si="31"/>
        <v>214.59156936951058</v>
      </c>
      <c r="T68">
        <f t="shared" si="31"/>
        <v>205.16551850807622</v>
      </c>
      <c r="U68">
        <f t="shared" si="31"/>
        <v>195.88394447604361</v>
      </c>
      <c r="V68">
        <f t="shared" si="31"/>
        <v>186.84467640974782</v>
      </c>
      <c r="W68">
        <f t="shared" si="31"/>
        <v>178.12954595568411</v>
      </c>
      <c r="X68">
        <f t="shared" si="25"/>
        <v>169.80370579288586</v>
      </c>
      <c r="Y68">
        <f t="shared" si="25"/>
        <v>161.91560804638979</v>
      </c>
      <c r="Z68">
        <f t="shared" si="25"/>
        <v>154.49746082394475</v>
      </c>
      <c r="AA68">
        <f t="shared" si="25"/>
        <v>147.5660208142971</v>
      </c>
      <c r="AB68">
        <f t="shared" si="21"/>
        <v>141.12361429141447</v>
      </c>
      <c r="AC68">
        <f t="shared" si="21"/>
        <v>135.15930720222221</v>
      </c>
      <c r="AD68">
        <f t="shared" si="21"/>
        <v>129.6501674845525</v>
      </c>
      <c r="AE68">
        <f t="shared" si="21"/>
        <v>124.56258005788921</v>
      </c>
      <c r="AF68">
        <f t="shared" si="21"/>
        <v>119.85358791807246</v>
      </c>
      <c r="AG68">
        <f t="shared" si="21"/>
        <v>115.4722423144312</v>
      </c>
      <c r="AH68">
        <f t="shared" si="21"/>
        <v>111.3609518708696</v>
      </c>
      <c r="AI68">
        <f t="shared" si="21"/>
        <v>107.45682538299883</v>
      </c>
      <c r="AJ68">
        <f t="shared" si="21"/>
        <v>103.69300640189867</v>
      </c>
      <c r="AK68">
        <f t="shared" si="11"/>
        <v>100</v>
      </c>
      <c r="AL68" s="47"/>
      <c r="AM68" s="26">
        <v>3.3333333333333335E-3</v>
      </c>
      <c r="AN68" s="27">
        <f t="shared" si="29"/>
        <v>-1076400000</v>
      </c>
      <c r="AO68" s="27">
        <f t="shared" si="29"/>
        <v>-1062336389.9976599</v>
      </c>
      <c r="AP68" s="27">
        <f t="shared" si="29"/>
        <v>-1047104925.0352749</v>
      </c>
      <c r="AQ68" s="27">
        <f t="shared" si="29"/>
        <v>-1029869518.4222047</v>
      </c>
      <c r="AR68" s="27">
        <f t="shared" si="29"/>
        <v>-1010081515.579492</v>
      </c>
      <c r="AS68" s="27">
        <f t="shared" si="29"/>
        <v>-987486189.10324466</v>
      </c>
      <c r="AT68" s="27">
        <f t="shared" si="29"/>
        <v>-962085044.38726771</v>
      </c>
      <c r="AU68" s="27">
        <f t="shared" si="29"/>
        <v>-934082988.17068529</v>
      </c>
      <c r="AV68" s="27">
        <f t="shared" si="29"/>
        <v>-903832176.48940837</v>
      </c>
      <c r="AW68" s="27">
        <f t="shared" si="29"/>
        <v>-871779641.65909493</v>
      </c>
      <c r="AX68" s="27">
        <f t="shared" si="29"/>
        <v>-838422312.98315918</v>
      </c>
      <c r="AY68" s="27">
        <f t="shared" si="29"/>
        <v>-804270710.99341989</v>
      </c>
      <c r="AZ68" s="27">
        <f t="shared" si="29"/>
        <v>-769821177.36628604</v>
      </c>
      <c r="BA68" s="27">
        <f t="shared" si="29"/>
        <v>-735535746.33325422</v>
      </c>
      <c r="BB68" s="27">
        <f t="shared" si="29"/>
        <v>-701828446.08189416</v>
      </c>
      <c r="BC68" s="27">
        <f t="shared" si="29"/>
        <v>-669056769.24353445</v>
      </c>
      <c r="BD68" s="27">
        <f t="shared" si="22"/>
        <v>-637517149.08315551</v>
      </c>
      <c r="BE68" s="27">
        <f t="shared" si="22"/>
        <v>-607443442.78138351</v>
      </c>
      <c r="BF68" s="27">
        <f t="shared" si="22"/>
        <v>-579007606.50087535</v>
      </c>
      <c r="BG68" s="27">
        <f t="shared" si="22"/>
        <v>-552321921.57533264</v>
      </c>
      <c r="BH68" s="27">
        <f t="shared" si="22"/>
        <v>-527442284.04649091</v>
      </c>
      <c r="BI68" s="27">
        <f t="shared" si="22"/>
        <v>-504372196.42211705</v>
      </c>
      <c r="BJ68" s="27">
        <f t="shared" si="22"/>
        <v>-483067201.32347023</v>
      </c>
      <c r="BK68" s="27">
        <f t="shared" si="22"/>
        <v>-463439574.44980806</v>
      </c>
      <c r="BL68" s="27">
        <f t="shared" si="19"/>
        <v>-445363152.760162</v>
      </c>
      <c r="BM68" s="27">
        <f t="shared" si="19"/>
        <v>-428678216.7902776</v>
      </c>
      <c r="BN68" s="27">
        <f t="shared" si="19"/>
        <v>-413196377.06144947</v>
      </c>
      <c r="BO68" s="27">
        <f t="shared" si="19"/>
        <v>-398705436.53612036</v>
      </c>
      <c r="BP68" s="27">
        <f t="shared" si="19"/>
        <v>-384974216.39616954</v>
      </c>
      <c r="BQ68" s="27">
        <f t="shared" si="19"/>
        <v>-371757342.89211839</v>
      </c>
      <c r="BR68" s="27">
        <f t="shared" si="19"/>
        <v>-358800000</v>
      </c>
      <c r="BT68" s="47"/>
      <c r="BU68" s="26">
        <v>3.3333333333333335E-3</v>
      </c>
      <c r="BV68" s="13">
        <v>0</v>
      </c>
      <c r="BW68" s="13">
        <f t="shared" si="35"/>
        <v>0.34883720930232553</v>
      </c>
      <c r="BX68" s="13">
        <f t="shared" si="35"/>
        <v>0.39716748768472904</v>
      </c>
      <c r="BY68" s="13">
        <f t="shared" si="35"/>
        <v>0.40494040593779607</v>
      </c>
      <c r="BZ68" s="13">
        <f t="shared" si="35"/>
        <v>0.4062190081621499</v>
      </c>
      <c r="CA68" s="13">
        <f t="shared" si="35"/>
        <v>0.40643010492156101</v>
      </c>
      <c r="CB68" s="13">
        <f t="shared" si="35"/>
        <v>0.40646497802255066</v>
      </c>
      <c r="CC68" s="13">
        <f t="shared" si="35"/>
        <v>0.40647073962099717</v>
      </c>
      <c r="CD68" s="13">
        <f t="shared" si="35"/>
        <v>0.40647169154566137</v>
      </c>
      <c r="CE68" s="13">
        <f t="shared" si="35"/>
        <v>0.40647184882198806</v>
      </c>
      <c r="CF68" s="13">
        <f t="shared" si="35"/>
        <v>0.40647187480708435</v>
      </c>
      <c r="CG68" s="13">
        <f t="shared" si="35"/>
        <v>0.40647187910032606</v>
      </c>
      <c r="CH68" s="13">
        <f t="shared" si="35"/>
        <v>0.40647187980965277</v>
      </c>
      <c r="CI68" s="13">
        <f t="shared" si="35"/>
        <v>0.4064718799268473</v>
      </c>
      <c r="CJ68" s="13">
        <f t="shared" si="35"/>
        <v>0.40647187994621015</v>
      </c>
      <c r="CK68" s="13">
        <f t="shared" si="35"/>
        <v>0.40647187994940925</v>
      </c>
      <c r="CL68" s="13">
        <f t="shared" si="35"/>
        <v>0.40647187994993778</v>
      </c>
      <c r="CM68" s="13">
        <f t="shared" si="35"/>
        <v>0.40647187995002515</v>
      </c>
      <c r="CN68" s="13">
        <f t="shared" si="35"/>
        <v>0.40647187995003953</v>
      </c>
      <c r="CO68" s="13">
        <f t="shared" si="35"/>
        <v>0.40647187995004191</v>
      </c>
      <c r="CP68" s="13">
        <f t="shared" si="35"/>
        <v>0.40647187995004236</v>
      </c>
      <c r="CQ68" s="13">
        <f t="shared" si="35"/>
        <v>0.40647187995004236</v>
      </c>
      <c r="CR68" s="13">
        <f t="shared" si="35"/>
        <v>0.40647187995004236</v>
      </c>
      <c r="CS68" s="13">
        <f t="shared" si="35"/>
        <v>0.40647187995004236</v>
      </c>
      <c r="CT68" s="13">
        <f t="shared" si="35"/>
        <v>0.40647187995004236</v>
      </c>
      <c r="CU68" s="13">
        <f t="shared" si="35"/>
        <v>0.40647187995004236</v>
      </c>
      <c r="CV68" s="13">
        <f t="shared" si="35"/>
        <v>0.40647187995004236</v>
      </c>
      <c r="CW68" s="13">
        <f t="shared" si="35"/>
        <v>0.40647187995004236</v>
      </c>
      <c r="CX68" s="13">
        <f t="shared" si="35"/>
        <v>0.40647187995004236</v>
      </c>
      <c r="CY68" s="13">
        <f t="shared" si="35"/>
        <v>0.40647187995004236</v>
      </c>
      <c r="CZ68" s="13">
        <f t="shared" si="14"/>
        <v>100</v>
      </c>
      <c r="DB68" s="47"/>
      <c r="DC68" s="26">
        <v>3.3333333333333335E-3</v>
      </c>
      <c r="DD68" s="13">
        <f t="shared" si="15"/>
        <v>300</v>
      </c>
      <c r="DE68" s="13">
        <f t="shared" si="32"/>
        <v>194.16383468129931</v>
      </c>
      <c r="DF68" s="13">
        <f t="shared" si="32"/>
        <v>177.56871034679475</v>
      </c>
      <c r="DG68" s="13">
        <f t="shared" si="32"/>
        <v>172.63802604892118</v>
      </c>
      <c r="DH68" s="13">
        <f t="shared" si="32"/>
        <v>169.23858477102706</v>
      </c>
      <c r="DI68" s="13">
        <f t="shared" si="32"/>
        <v>165.72667881981195</v>
      </c>
      <c r="DJ68" s="13">
        <f t="shared" si="32"/>
        <v>161.81954893736005</v>
      </c>
      <c r="DK68" s="13">
        <f t="shared" si="32"/>
        <v>157.48442939125312</v>
      </c>
      <c r="DL68" s="13">
        <f t="shared" si="30"/>
        <v>152.75262270895112</v>
      </c>
      <c r="DM68" s="13">
        <f t="shared" si="30"/>
        <v>147.68236625731657</v>
      </c>
      <c r="DN68" s="13">
        <f t="shared" si="30"/>
        <v>142.34638274226734</v>
      </c>
      <c r="DO68" s="13">
        <f t="shared" si="30"/>
        <v>136.82439761910121</v>
      </c>
      <c r="DP68" s="13">
        <f t="shared" si="30"/>
        <v>131.19755538941075</v>
      </c>
      <c r="DQ68" s="13">
        <f t="shared" si="30"/>
        <v>125.5442033494126</v>
      </c>
      <c r="DR68" s="13">
        <f t="shared" si="30"/>
        <v>119.93683759783212</v>
      </c>
      <c r="DS68" s="13">
        <f t="shared" si="30"/>
        <v>114.44002499060622</v>
      </c>
      <c r="DT68" s="13">
        <f t="shared" si="30"/>
        <v>109.10911443958365</v>
      </c>
      <c r="DU68" s="13">
        <f t="shared" si="24"/>
        <v>103.9895641970184</v>
      </c>
      <c r="DV68" s="13">
        <f t="shared" si="24"/>
        <v>99.116734697773381</v>
      </c>
      <c r="DW68" s="13">
        <f t="shared" si="24"/>
        <v>94.516022926810393</v>
      </c>
      <c r="DX68" s="13">
        <f t="shared" si="24"/>
        <v>90.20324000792121</v>
      </c>
      <c r="DY68" s="13">
        <f t="shared" si="24"/>
        <v>86.185156600181898</v>
      </c>
      <c r="DZ68" s="13">
        <f t="shared" si="24"/>
        <v>82.460159888938307</v>
      </c>
      <c r="EA68" s="13">
        <f t="shared" si="24"/>
        <v>79.018981396994619</v>
      </c>
      <c r="EB68" s="13">
        <f t="shared" si="24"/>
        <v>75.845466858072612</v>
      </c>
      <c r="EC68" s="13">
        <f t="shared" si="20"/>
        <v>72.91736850247878</v>
      </c>
      <c r="ED68" s="13">
        <f t="shared" si="20"/>
        <v>70.207146854452645</v>
      </c>
      <c r="EE68" s="13">
        <f t="shared" si="20"/>
        <v>67.68277404397864</v>
      </c>
      <c r="EF68" s="13">
        <f t="shared" si="20"/>
        <v>65.30853413314729</v>
      </c>
      <c r="EG68" s="13">
        <f t="shared" si="20"/>
        <v>63.045818406894433</v>
      </c>
      <c r="EH68" s="13">
        <f t="shared" si="20"/>
        <v>60.853915259843042</v>
      </c>
    </row>
    <row r="69" spans="5:138" x14ac:dyDescent="0.25">
      <c r="E69" s="49"/>
      <c r="F69" s="26">
        <v>0</v>
      </c>
      <c r="G69">
        <f t="shared" si="10"/>
        <v>300</v>
      </c>
      <c r="H69">
        <f t="shared" si="33"/>
        <v>295.7730549244481</v>
      </c>
      <c r="I69">
        <f t="shared" si="33"/>
        <v>291.27976469702656</v>
      </c>
      <c r="J69">
        <f t="shared" si="33"/>
        <v>286.30504227097134</v>
      </c>
      <c r="K69">
        <f t="shared" si="33"/>
        <v>280.7006032376795</v>
      </c>
      <c r="L69">
        <f t="shared" si="33"/>
        <v>274.38897793320467</v>
      </c>
      <c r="M69">
        <f t="shared" si="33"/>
        <v>267.35789942126462</v>
      </c>
      <c r="N69">
        <f t="shared" si="31"/>
        <v>259.64930852677128</v>
      </c>
      <c r="O69">
        <f t="shared" si="31"/>
        <v>251.34620816932386</v>
      </c>
      <c r="P69">
        <f t="shared" si="31"/>
        <v>242.55953738243815</v>
      </c>
      <c r="Q69">
        <f t="shared" si="31"/>
        <v>233.41633965571987</v>
      </c>
      <c r="R69">
        <f t="shared" si="31"/>
        <v>224.04983605981414</v>
      </c>
      <c r="S69">
        <f t="shared" si="31"/>
        <v>214.59156936951058</v>
      </c>
      <c r="T69">
        <f t="shared" si="31"/>
        <v>205.16551850807622</v>
      </c>
      <c r="U69">
        <f t="shared" si="31"/>
        <v>195.88394447604361</v>
      </c>
      <c r="V69">
        <f t="shared" si="31"/>
        <v>186.84467640974782</v>
      </c>
      <c r="W69">
        <f t="shared" si="31"/>
        <v>178.12954595568411</v>
      </c>
      <c r="X69">
        <f t="shared" si="25"/>
        <v>169.80370579288586</v>
      </c>
      <c r="Y69">
        <f t="shared" si="25"/>
        <v>161.91560804638979</v>
      </c>
      <c r="Z69">
        <f t="shared" si="25"/>
        <v>154.49746082394475</v>
      </c>
      <c r="AA69">
        <f t="shared" si="25"/>
        <v>147.5660208142971</v>
      </c>
      <c r="AB69">
        <f t="shared" si="21"/>
        <v>141.12361429141447</v>
      </c>
      <c r="AC69">
        <f t="shared" si="21"/>
        <v>135.15930720222221</v>
      </c>
      <c r="AD69">
        <f t="shared" si="21"/>
        <v>129.6501674845525</v>
      </c>
      <c r="AE69">
        <f t="shared" si="21"/>
        <v>124.56258005788921</v>
      </c>
      <c r="AF69">
        <f t="shared" si="21"/>
        <v>119.85358791807246</v>
      </c>
      <c r="AG69">
        <f t="shared" si="21"/>
        <v>115.4722423144312</v>
      </c>
      <c r="AH69">
        <f t="shared" si="21"/>
        <v>111.3609518708696</v>
      </c>
      <c r="AI69">
        <f t="shared" si="21"/>
        <v>107.45682538299883</v>
      </c>
      <c r="AJ69">
        <f t="shared" si="21"/>
        <v>103.69300640189867</v>
      </c>
      <c r="AK69">
        <f t="shared" si="11"/>
        <v>100</v>
      </c>
      <c r="AL69" s="47"/>
      <c r="AM69" s="26">
        <v>0</v>
      </c>
      <c r="AN69" s="27">
        <f t="shared" si="29"/>
        <v>-1076400000</v>
      </c>
      <c r="AO69" s="27">
        <f t="shared" si="29"/>
        <v>-1062336389.9976599</v>
      </c>
      <c r="AP69" s="27">
        <f t="shared" si="29"/>
        <v>-1047104925.0352749</v>
      </c>
      <c r="AQ69" s="27">
        <f t="shared" si="29"/>
        <v>-1029869518.4222047</v>
      </c>
      <c r="AR69" s="27">
        <f t="shared" si="29"/>
        <v>-1010081515.579492</v>
      </c>
      <c r="AS69" s="27">
        <f t="shared" si="29"/>
        <v>-987486189.10324466</v>
      </c>
      <c r="AT69" s="27">
        <f t="shared" si="29"/>
        <v>-962085044.38726771</v>
      </c>
      <c r="AU69" s="27">
        <f t="shared" si="29"/>
        <v>-934082988.17068529</v>
      </c>
      <c r="AV69" s="27">
        <f t="shared" si="29"/>
        <v>-903832176.48940837</v>
      </c>
      <c r="AW69" s="27">
        <f t="shared" si="29"/>
        <v>-871779641.65909493</v>
      </c>
      <c r="AX69" s="27">
        <f t="shared" si="29"/>
        <v>-838422312.98315918</v>
      </c>
      <c r="AY69" s="27">
        <f t="shared" si="29"/>
        <v>-804270710.99341989</v>
      </c>
      <c r="AZ69" s="27">
        <f t="shared" si="29"/>
        <v>-769821177.36628604</v>
      </c>
      <c r="BA69" s="27">
        <f t="shared" si="29"/>
        <v>-735535746.33325422</v>
      </c>
      <c r="BB69" s="27">
        <f t="shared" si="29"/>
        <v>-701828446.08189416</v>
      </c>
      <c r="BC69" s="27">
        <f t="shared" si="29"/>
        <v>-669056769.24353445</v>
      </c>
      <c r="BD69" s="27">
        <f t="shared" si="22"/>
        <v>-637517149.08315551</v>
      </c>
      <c r="BE69" s="27">
        <f t="shared" si="22"/>
        <v>-607443442.78138351</v>
      </c>
      <c r="BF69" s="27">
        <f t="shared" si="22"/>
        <v>-579007606.50087535</v>
      </c>
      <c r="BG69" s="27">
        <f t="shared" si="22"/>
        <v>-552321921.57533264</v>
      </c>
      <c r="BH69" s="27">
        <f t="shared" si="22"/>
        <v>-527442284.04649091</v>
      </c>
      <c r="BI69" s="27">
        <f t="shared" si="22"/>
        <v>-504372196.42211705</v>
      </c>
      <c r="BJ69" s="27">
        <f t="shared" si="22"/>
        <v>-483067201.32347023</v>
      </c>
      <c r="BK69" s="27">
        <f t="shared" si="22"/>
        <v>-463439574.44980806</v>
      </c>
      <c r="BL69" s="27">
        <f t="shared" si="19"/>
        <v>-445363152.760162</v>
      </c>
      <c r="BM69" s="27">
        <f t="shared" si="19"/>
        <v>-428678216.7902776</v>
      </c>
      <c r="BN69" s="27">
        <f t="shared" si="19"/>
        <v>-413196377.06144947</v>
      </c>
      <c r="BO69" s="27">
        <f t="shared" si="19"/>
        <v>-398705436.53612036</v>
      </c>
      <c r="BP69" s="27">
        <f t="shared" si="19"/>
        <v>-384974216.39616954</v>
      </c>
      <c r="BQ69" s="27">
        <f t="shared" si="19"/>
        <v>-371757342.89211839</v>
      </c>
      <c r="BR69" s="27">
        <f t="shared" si="19"/>
        <v>-358800000</v>
      </c>
      <c r="BT69" s="47"/>
      <c r="BU69" s="26">
        <v>0</v>
      </c>
      <c r="BV69" s="13">
        <v>0</v>
      </c>
      <c r="BW69" s="13">
        <f t="shared" si="35"/>
        <v>0.34883720930232553</v>
      </c>
      <c r="BX69" s="13">
        <f t="shared" si="35"/>
        <v>0.39716748768472904</v>
      </c>
      <c r="BY69" s="13">
        <f t="shared" si="35"/>
        <v>0.40494040593779607</v>
      </c>
      <c r="BZ69" s="13">
        <f t="shared" si="35"/>
        <v>0.4062190081621499</v>
      </c>
      <c r="CA69" s="13">
        <f t="shared" si="35"/>
        <v>0.40643010492156101</v>
      </c>
      <c r="CB69" s="13">
        <f t="shared" si="35"/>
        <v>0.40646497802255066</v>
      </c>
      <c r="CC69" s="13">
        <f t="shared" si="35"/>
        <v>0.40647073962099717</v>
      </c>
      <c r="CD69" s="13">
        <f t="shared" si="35"/>
        <v>0.40647169154566137</v>
      </c>
      <c r="CE69" s="13">
        <f t="shared" si="35"/>
        <v>0.40647184882198806</v>
      </c>
      <c r="CF69" s="13">
        <f t="shared" si="35"/>
        <v>0.40647187480708435</v>
      </c>
      <c r="CG69" s="13">
        <f t="shared" si="35"/>
        <v>0.40647187910032606</v>
      </c>
      <c r="CH69" s="13">
        <f t="shared" si="35"/>
        <v>0.40647187980965277</v>
      </c>
      <c r="CI69" s="13">
        <f t="shared" si="35"/>
        <v>0.4064718799268473</v>
      </c>
      <c r="CJ69" s="13">
        <f t="shared" si="35"/>
        <v>0.40647187994621015</v>
      </c>
      <c r="CK69" s="13">
        <f t="shared" si="35"/>
        <v>0.40647187994940925</v>
      </c>
      <c r="CL69" s="13">
        <f t="shared" si="35"/>
        <v>0.40647187994993778</v>
      </c>
      <c r="CM69" s="13">
        <f t="shared" si="35"/>
        <v>0.40647187995002515</v>
      </c>
      <c r="CN69" s="13">
        <f t="shared" si="35"/>
        <v>0.40647187995003953</v>
      </c>
      <c r="CO69" s="13">
        <f t="shared" si="35"/>
        <v>0.40647187995004191</v>
      </c>
      <c r="CP69" s="13">
        <f t="shared" si="35"/>
        <v>0.40647187995004236</v>
      </c>
      <c r="CQ69" s="13">
        <f t="shared" si="35"/>
        <v>0.40647187995004236</v>
      </c>
      <c r="CR69" s="13">
        <f t="shared" si="35"/>
        <v>0.40647187995004236</v>
      </c>
      <c r="CS69" s="13">
        <f t="shared" si="35"/>
        <v>0.40647187995004236</v>
      </c>
      <c r="CT69" s="13">
        <f t="shared" si="35"/>
        <v>0.40647187995004236</v>
      </c>
      <c r="CU69" s="13">
        <f t="shared" si="35"/>
        <v>0.40647187995004236</v>
      </c>
      <c r="CV69" s="13">
        <f t="shared" si="35"/>
        <v>0.40647187995004236</v>
      </c>
      <c r="CW69" s="13">
        <f t="shared" si="35"/>
        <v>0.40647187995004236</v>
      </c>
      <c r="CX69" s="13">
        <f t="shared" si="35"/>
        <v>0.40647187995004236</v>
      </c>
      <c r="CY69" s="13">
        <f t="shared" si="35"/>
        <v>0.40647187995004236</v>
      </c>
      <c r="CZ69" s="13">
        <f t="shared" si="14"/>
        <v>100</v>
      </c>
      <c r="DB69" s="47"/>
      <c r="DC69" s="26">
        <v>0</v>
      </c>
      <c r="DD69" s="13">
        <f t="shared" si="15"/>
        <v>300</v>
      </c>
      <c r="DE69" s="13">
        <f t="shared" si="32"/>
        <v>194.16383468129931</v>
      </c>
      <c r="DF69" s="13">
        <f t="shared" si="32"/>
        <v>177.56871034679475</v>
      </c>
      <c r="DG69" s="13">
        <f t="shared" si="32"/>
        <v>172.63802604892118</v>
      </c>
      <c r="DH69" s="13">
        <f t="shared" si="32"/>
        <v>169.23858477102706</v>
      </c>
      <c r="DI69" s="13">
        <f t="shared" si="32"/>
        <v>165.72667881981195</v>
      </c>
      <c r="DJ69" s="13">
        <f t="shared" si="32"/>
        <v>161.81954893736005</v>
      </c>
      <c r="DK69" s="13">
        <f t="shared" si="32"/>
        <v>157.48442939125312</v>
      </c>
      <c r="DL69" s="13">
        <f t="shared" si="30"/>
        <v>152.75262270895112</v>
      </c>
      <c r="DM69" s="13">
        <f t="shared" si="30"/>
        <v>147.68236625731657</v>
      </c>
      <c r="DN69" s="13">
        <f t="shared" si="30"/>
        <v>142.34638274226734</v>
      </c>
      <c r="DO69" s="13">
        <f t="shared" si="30"/>
        <v>136.82439761910121</v>
      </c>
      <c r="DP69" s="13">
        <f t="shared" si="30"/>
        <v>131.19755538941075</v>
      </c>
      <c r="DQ69" s="13">
        <f t="shared" si="30"/>
        <v>125.5442033494126</v>
      </c>
      <c r="DR69" s="13">
        <f t="shared" si="30"/>
        <v>119.93683759783212</v>
      </c>
      <c r="DS69" s="13">
        <f t="shared" si="30"/>
        <v>114.44002499060622</v>
      </c>
      <c r="DT69" s="13">
        <f t="shared" si="30"/>
        <v>109.10911443958365</v>
      </c>
      <c r="DU69" s="13">
        <f t="shared" si="24"/>
        <v>103.9895641970184</v>
      </c>
      <c r="DV69" s="13">
        <f t="shared" si="24"/>
        <v>99.116734697773381</v>
      </c>
      <c r="DW69" s="13">
        <f t="shared" si="24"/>
        <v>94.516022926810393</v>
      </c>
      <c r="DX69" s="13">
        <f t="shared" si="24"/>
        <v>90.20324000792121</v>
      </c>
      <c r="DY69" s="13">
        <f t="shared" si="24"/>
        <v>86.185156600181898</v>
      </c>
      <c r="DZ69" s="13">
        <f t="shared" si="24"/>
        <v>82.460159888938307</v>
      </c>
      <c r="EA69" s="13">
        <f t="shared" si="24"/>
        <v>79.018981396994619</v>
      </c>
      <c r="EB69" s="13">
        <f t="shared" si="24"/>
        <v>75.845466858072612</v>
      </c>
      <c r="EC69" s="13">
        <f t="shared" si="20"/>
        <v>72.91736850247878</v>
      </c>
      <c r="ED69" s="13">
        <f t="shared" si="20"/>
        <v>70.207146854452645</v>
      </c>
      <c r="EE69" s="13">
        <f t="shared" si="20"/>
        <v>67.68277404397864</v>
      </c>
      <c r="EF69" s="13">
        <f t="shared" si="20"/>
        <v>65.30853413314729</v>
      </c>
      <c r="EG69" s="13">
        <f t="shared" si="20"/>
        <v>63.045818406894433</v>
      </c>
      <c r="EH69" s="13">
        <f t="shared" si="20"/>
        <v>60.853915259843042</v>
      </c>
    </row>
    <row r="70" spans="5:138" x14ac:dyDescent="0.25">
      <c r="AM70" s="28"/>
    </row>
    <row r="71" spans="5:138" x14ac:dyDescent="0.25">
      <c r="AM71" s="28"/>
    </row>
    <row r="72" spans="5:138" x14ac:dyDescent="0.25">
      <c r="AM72" s="28"/>
    </row>
    <row r="73" spans="5:138" x14ac:dyDescent="0.25">
      <c r="E73" s="48" t="s">
        <v>44</v>
      </c>
      <c r="F73" s="25" t="s">
        <v>39</v>
      </c>
      <c r="G73" s="25">
        <v>0</v>
      </c>
      <c r="H73" s="26">
        <v>3.3333333333333335E-3</v>
      </c>
      <c r="I73" s="26">
        <v>6.6666666666666671E-3</v>
      </c>
      <c r="J73" s="26">
        <v>0.01</v>
      </c>
      <c r="K73" s="26">
        <v>1.3333333333333334E-2</v>
      </c>
      <c r="L73" s="26">
        <v>1.6666666666666666E-2</v>
      </c>
      <c r="M73" s="26">
        <v>0.02</v>
      </c>
      <c r="N73" s="26">
        <v>2.3333333333333334E-2</v>
      </c>
      <c r="O73" s="26">
        <v>2.6666666666666668E-2</v>
      </c>
      <c r="P73" s="26">
        <v>3.0000000000000002E-2</v>
      </c>
      <c r="Q73" s="26">
        <v>3.3333333333333333E-2</v>
      </c>
      <c r="R73" s="26">
        <v>3.6666666666666667E-2</v>
      </c>
      <c r="S73" s="26">
        <v>0.04</v>
      </c>
      <c r="T73" s="26">
        <v>4.3333333333333335E-2</v>
      </c>
      <c r="U73" s="26">
        <v>4.6666666666666669E-2</v>
      </c>
      <c r="V73" s="26">
        <v>0.05</v>
      </c>
      <c r="W73" s="26">
        <v>5.3333333333333337E-2</v>
      </c>
      <c r="X73" s="26">
        <v>5.6666666666666671E-2</v>
      </c>
      <c r="Y73" s="26">
        <v>6.0000000000000005E-2</v>
      </c>
      <c r="Z73" s="26">
        <v>6.3333333333333339E-2</v>
      </c>
      <c r="AA73" s="26">
        <v>6.6666666666666666E-2</v>
      </c>
      <c r="AB73" s="26">
        <v>7.0000000000000007E-2</v>
      </c>
      <c r="AC73" s="26">
        <v>7.3333333333333334E-2</v>
      </c>
      <c r="AD73" s="26">
        <v>7.6666666666666675E-2</v>
      </c>
      <c r="AE73" s="26">
        <v>0.08</v>
      </c>
      <c r="AF73" s="26">
        <v>8.3333333333333343E-2</v>
      </c>
      <c r="AG73" s="26">
        <v>8.666666666666667E-2</v>
      </c>
      <c r="AH73" s="26">
        <v>9.0000000000000011E-2</v>
      </c>
      <c r="AI73" s="26">
        <v>9.3333333333333338E-2</v>
      </c>
      <c r="AJ73" s="26">
        <v>9.6666666666666679E-2</v>
      </c>
      <c r="AK73" s="26">
        <v>0.1</v>
      </c>
      <c r="AL73" s="47" t="s">
        <v>45</v>
      </c>
      <c r="AM73" s="25" t="s">
        <v>39</v>
      </c>
      <c r="AN73" s="25">
        <v>0</v>
      </c>
      <c r="AO73" s="26">
        <v>3.3333333333333335E-3</v>
      </c>
      <c r="AP73" s="26">
        <v>6.6666666666666671E-3</v>
      </c>
      <c r="AQ73" s="26">
        <v>0.01</v>
      </c>
      <c r="AR73" s="26">
        <v>1.3333333333333334E-2</v>
      </c>
      <c r="AS73" s="26">
        <v>1.6666666666666666E-2</v>
      </c>
      <c r="AT73" s="26">
        <v>0.02</v>
      </c>
      <c r="AU73" s="26">
        <v>2.3333333333333334E-2</v>
      </c>
      <c r="AV73" s="26">
        <v>2.6666666666666668E-2</v>
      </c>
      <c r="AW73" s="26">
        <v>3.0000000000000002E-2</v>
      </c>
      <c r="AX73" s="26">
        <v>3.3333333333333333E-2</v>
      </c>
      <c r="AY73" s="26">
        <v>3.6666666666666667E-2</v>
      </c>
      <c r="AZ73" s="26">
        <v>0.04</v>
      </c>
      <c r="BA73" s="26">
        <v>4.3333333333333335E-2</v>
      </c>
      <c r="BB73" s="26">
        <v>4.6666666666666669E-2</v>
      </c>
      <c r="BC73" s="26">
        <v>0.05</v>
      </c>
      <c r="BD73" s="26">
        <v>5.3333333333333337E-2</v>
      </c>
      <c r="BE73" s="26">
        <v>5.6666666666666671E-2</v>
      </c>
      <c r="BF73" s="26">
        <v>6.0000000000000005E-2</v>
      </c>
      <c r="BG73" s="26">
        <v>6.3333333333333339E-2</v>
      </c>
      <c r="BH73" s="26">
        <v>6.6666666666666666E-2</v>
      </c>
      <c r="BI73" s="26">
        <v>7.0000000000000007E-2</v>
      </c>
      <c r="BJ73" s="26">
        <v>7.3333333333333334E-2</v>
      </c>
      <c r="BK73" s="26">
        <v>7.6666666666666675E-2</v>
      </c>
      <c r="BL73" s="26">
        <v>0.08</v>
      </c>
      <c r="BM73" s="26">
        <v>8.3333333333333343E-2</v>
      </c>
      <c r="BN73" s="26">
        <v>8.666666666666667E-2</v>
      </c>
      <c r="BO73" s="26">
        <v>9.0000000000000011E-2</v>
      </c>
      <c r="BP73" s="26">
        <v>9.3333333333333338E-2</v>
      </c>
      <c r="BQ73" s="26">
        <v>9.6666666666666679E-2</v>
      </c>
      <c r="BR73" s="26">
        <v>0.1</v>
      </c>
      <c r="BT73" s="50" t="s">
        <v>46</v>
      </c>
      <c r="BU73" s="25" t="s">
        <v>39</v>
      </c>
      <c r="BV73" s="25">
        <v>0</v>
      </c>
      <c r="BW73" s="26">
        <v>3.3333333333333335E-3</v>
      </c>
      <c r="BX73" s="26">
        <v>6.6666666666666671E-3</v>
      </c>
      <c r="BY73" s="26">
        <v>0.01</v>
      </c>
      <c r="BZ73" s="26">
        <v>1.3333333333333334E-2</v>
      </c>
      <c r="CA73" s="26">
        <v>1.6666666666666666E-2</v>
      </c>
      <c r="CB73" s="26">
        <v>0.02</v>
      </c>
      <c r="CC73" s="26">
        <v>2.3333333333333334E-2</v>
      </c>
      <c r="CD73" s="26">
        <v>2.6666666666666668E-2</v>
      </c>
      <c r="CE73" s="26">
        <v>3.0000000000000002E-2</v>
      </c>
      <c r="CF73" s="26">
        <v>3.3333333333333333E-2</v>
      </c>
      <c r="CG73" s="26">
        <v>3.6666666666666667E-2</v>
      </c>
      <c r="CH73" s="26">
        <v>0.04</v>
      </c>
      <c r="CI73" s="26">
        <v>4.3333333333333335E-2</v>
      </c>
      <c r="CJ73" s="26">
        <v>4.6666666666666669E-2</v>
      </c>
      <c r="CK73" s="26">
        <v>0.05</v>
      </c>
      <c r="CL73" s="26">
        <v>5.3333333333333337E-2</v>
      </c>
      <c r="CM73" s="26">
        <v>5.6666666666666671E-2</v>
      </c>
      <c r="CN73" s="26">
        <v>6.0000000000000005E-2</v>
      </c>
      <c r="CO73" s="26">
        <v>6.3333333333333339E-2</v>
      </c>
      <c r="CP73" s="26">
        <v>6.6666666666666666E-2</v>
      </c>
      <c r="CQ73" s="26">
        <v>7.0000000000000007E-2</v>
      </c>
      <c r="CR73" s="26">
        <v>7.3333333333333334E-2</v>
      </c>
      <c r="CS73" s="26">
        <v>7.6666666666666675E-2</v>
      </c>
      <c r="CT73" s="26">
        <v>0.08</v>
      </c>
      <c r="CU73" s="26">
        <v>8.3333333333333343E-2</v>
      </c>
      <c r="CV73" s="26">
        <v>8.666666666666667E-2</v>
      </c>
      <c r="CW73" s="26">
        <v>9.0000000000000011E-2</v>
      </c>
      <c r="CX73" s="26">
        <v>9.3333333333333338E-2</v>
      </c>
      <c r="CY73" s="26">
        <v>9.6666666666666679E-2</v>
      </c>
      <c r="CZ73" s="26">
        <v>0.1</v>
      </c>
      <c r="DB73" s="50" t="s">
        <v>47</v>
      </c>
      <c r="DC73" s="25" t="s">
        <v>39</v>
      </c>
      <c r="DD73" s="25">
        <v>0</v>
      </c>
      <c r="DE73" s="26">
        <v>3.3333333333333335E-3</v>
      </c>
      <c r="DF73" s="26">
        <v>6.6666666666666671E-3</v>
      </c>
      <c r="DG73" s="26">
        <v>0.01</v>
      </c>
      <c r="DH73" s="26">
        <v>1.3333333333333334E-2</v>
      </c>
      <c r="DI73" s="26">
        <v>1.6666666666666666E-2</v>
      </c>
      <c r="DJ73" s="26">
        <v>0.02</v>
      </c>
      <c r="DK73" s="26">
        <v>2.3333333333333334E-2</v>
      </c>
      <c r="DL73" s="26">
        <v>2.6666666666666668E-2</v>
      </c>
      <c r="DM73" s="26">
        <v>3.0000000000000002E-2</v>
      </c>
      <c r="DN73" s="26">
        <v>3.3333333333333333E-2</v>
      </c>
      <c r="DO73" s="26">
        <v>3.6666666666666667E-2</v>
      </c>
      <c r="DP73" s="26">
        <v>0.04</v>
      </c>
      <c r="DQ73" s="26">
        <v>4.3333333333333335E-2</v>
      </c>
      <c r="DR73" s="26">
        <v>4.6666666666666669E-2</v>
      </c>
      <c r="DS73" s="26">
        <v>0.05</v>
      </c>
      <c r="DT73" s="26">
        <v>5.3333333333333337E-2</v>
      </c>
      <c r="DU73" s="26">
        <v>5.6666666666666671E-2</v>
      </c>
      <c r="DV73" s="26">
        <v>6.0000000000000005E-2</v>
      </c>
      <c r="DW73" s="26">
        <v>6.3333333333333339E-2</v>
      </c>
      <c r="DX73" s="26">
        <v>6.6666666666666666E-2</v>
      </c>
      <c r="DY73" s="26">
        <v>7.0000000000000007E-2</v>
      </c>
      <c r="DZ73" s="26">
        <v>7.3333333333333334E-2</v>
      </c>
      <c r="EA73" s="26">
        <v>7.6666666666666675E-2</v>
      </c>
      <c r="EB73" s="26">
        <v>0.08</v>
      </c>
      <c r="EC73" s="26">
        <v>8.3333333333333343E-2</v>
      </c>
      <c r="ED73" s="26">
        <v>8.666666666666667E-2</v>
      </c>
      <c r="EE73" s="26">
        <v>9.0000000000000011E-2</v>
      </c>
      <c r="EF73" s="26">
        <v>9.3333333333333338E-2</v>
      </c>
      <c r="EG73" s="26">
        <v>9.6666666666666679E-2</v>
      </c>
      <c r="EH73" s="26">
        <v>0.1</v>
      </c>
    </row>
    <row r="74" spans="5:138" x14ac:dyDescent="0.25">
      <c r="E74" s="49"/>
      <c r="F74" s="26">
        <v>0.1</v>
      </c>
      <c r="G74" s="13">
        <f>$B$16</f>
        <v>300</v>
      </c>
      <c r="H74" s="13">
        <f t="shared" ref="H74:AI74" si="36">DE75/(1-BW75)</f>
        <v>319.56024626293413</v>
      </c>
      <c r="I74" s="13">
        <f t="shared" si="36"/>
        <v>324.24429978688403</v>
      </c>
      <c r="J74" s="13">
        <f t="shared" si="36"/>
        <v>325.48797406384057</v>
      </c>
      <c r="K74" s="13">
        <f t="shared" si="36"/>
        <v>323.83904850054711</v>
      </c>
      <c r="L74" s="13">
        <f t="shared" si="36"/>
        <v>319.67645447967641</v>
      </c>
      <c r="M74" s="13">
        <f t="shared" si="36"/>
        <v>313.34226845224134</v>
      </c>
      <c r="N74" s="13">
        <f t="shared" si="36"/>
        <v>305.18255436211342</v>
      </c>
      <c r="O74" s="13">
        <f t="shared" si="36"/>
        <v>295.5491363476599</v>
      </c>
      <c r="P74" s="13">
        <f t="shared" si="36"/>
        <v>284.78817782567677</v>
      </c>
      <c r="Q74" s="13">
        <f t="shared" si="36"/>
        <v>273.22723128037808</v>
      </c>
      <c r="R74" s="13">
        <f t="shared" si="36"/>
        <v>261.1651672309676</v>
      </c>
      <c r="S74" s="13">
        <f t="shared" si="36"/>
        <v>248.86596943445429</v>
      </c>
      <c r="T74" s="13">
        <f>DQ75/(1-CI75)</f>
        <v>236.55596675201048</v>
      </c>
      <c r="U74" s="13">
        <f t="shared" si="36"/>
        <v>224.42363712770643</v>
      </c>
      <c r="V74" s="13">
        <f>DS75/(1-CK75)</f>
        <v>212.62111987653876</v>
      </c>
      <c r="W74" s="13">
        <f t="shared" si="36"/>
        <v>201.2667332533924</v>
      </c>
      <c r="X74" s="13">
        <f t="shared" si="36"/>
        <v>190.44798606834158</v>
      </c>
      <c r="Y74" s="13">
        <f t="shared" si="36"/>
        <v>180.22474189851707</v>
      </c>
      <c r="Z74" s="13">
        <f t="shared" si="36"/>
        <v>170.63232621975266</v>
      </c>
      <c r="AA74" s="13">
        <f t="shared" si="36"/>
        <v>161.6844609651917</v>
      </c>
      <c r="AB74" s="13">
        <f t="shared" si="36"/>
        <v>153.3759741008715</v>
      </c>
      <c r="AC74" s="13">
        <f t="shared" si="36"/>
        <v>145.68527149015642</v>
      </c>
      <c r="AD74" s="13">
        <f t="shared" si="36"/>
        <v>138.57658150009695</v>
      </c>
      <c r="AE74" s="13">
        <f t="shared" si="36"/>
        <v>132.00199495692803</v>
      </c>
      <c r="AF74" s="13">
        <f t="shared" si="36"/>
        <v>125.90332822406779</v>
      </c>
      <c r="AG74" s="13">
        <f t="shared" si="36"/>
        <v>120.2138381851738</v>
      </c>
      <c r="AH74" s="13">
        <f t="shared" si="36"/>
        <v>114.8598166692949</v>
      </c>
      <c r="AI74" s="13">
        <f t="shared" si="36"/>
        <v>109.76208958407248</v>
      </c>
      <c r="AJ74" s="13">
        <f>EG75/(1-CY75)</f>
        <v>104.8374434893026</v>
      </c>
      <c r="AK74" s="13">
        <f>$B$17</f>
        <v>100</v>
      </c>
      <c r="AL74" s="47"/>
      <c r="AM74" s="26">
        <v>0.1</v>
      </c>
      <c r="AN74" s="13">
        <f>-($B$12*$B$11)/$B$8*G39</f>
        <v>-1076400000</v>
      </c>
      <c r="AO74" s="13">
        <f t="shared" ref="AO74:BR82" si="37">-($B$12*$B$11)/$B$8*H39</f>
        <v>-1121376479.193593</v>
      </c>
      <c r="AP74" s="13">
        <f t="shared" si="37"/>
        <v>-1144857196.6529849</v>
      </c>
      <c r="AQ74" s="13">
        <f t="shared" si="37"/>
        <v>-1152971575.9933181</v>
      </c>
      <c r="AR74" s="13">
        <f t="shared" si="37"/>
        <v>-1149221484.7767529</v>
      </c>
      <c r="AS74" s="13">
        <f t="shared" si="37"/>
        <v>-1135808828.370434</v>
      </c>
      <c r="AT74" s="13">
        <f t="shared" si="37"/>
        <v>-1114361736.014559</v>
      </c>
      <c r="AU74" s="13">
        <f t="shared" si="37"/>
        <v>-1086278307.4150198</v>
      </c>
      <c r="AV74" s="13">
        <f t="shared" si="37"/>
        <v>-1052858877.8720243</v>
      </c>
      <c r="AW74" s="13">
        <f t="shared" si="37"/>
        <v>-1015335961.449092</v>
      </c>
      <c r="AX74" s="13">
        <f t="shared" si="37"/>
        <v>-974863373.02737379</v>
      </c>
      <c r="AY74" s="13">
        <f t="shared" si="37"/>
        <v>-932495400.27215219</v>
      </c>
      <c r="AZ74" s="13">
        <f t="shared" si="37"/>
        <v>-889169312.72505319</v>
      </c>
      <c r="BA74" s="13">
        <f t="shared" si="37"/>
        <v>-845695357.57852507</v>
      </c>
      <c r="BB74" s="13">
        <f t="shared" si="37"/>
        <v>-802754186.24472535</v>
      </c>
      <c r="BC74" s="13">
        <f t="shared" si="37"/>
        <v>-760900090.68884647</v>
      </c>
      <c r="BD74" s="13">
        <f t="shared" si="37"/>
        <v>-720568145.04786646</v>
      </c>
      <c r="BE74" s="13">
        <f t="shared" si="37"/>
        <v>-682083600.84375179</v>
      </c>
      <c r="BF74" s="13">
        <f t="shared" si="37"/>
        <v>-645672295.91808379</v>
      </c>
      <c r="BG74" s="13">
        <f t="shared" si="37"/>
        <v>-611471237.08443415</v>
      </c>
      <c r="BH74" s="13">
        <f t="shared" si="37"/>
        <v>-579538841.24576414</v>
      </c>
      <c r="BI74" s="13">
        <f t="shared" si="37"/>
        <v>-549864557.93384087</v>
      </c>
      <c r="BJ74" s="13">
        <f t="shared" si="37"/>
        <v>-522377758.14772528</v>
      </c>
      <c r="BK74" s="13">
        <f t="shared" si="37"/>
        <v>-496955876.86854208</v>
      </c>
      <c r="BL74" s="13">
        <f t="shared" si="37"/>
        <v>-473431856.36360323</v>
      </c>
      <c r="BM74" s="13">
        <f t="shared" si="37"/>
        <v>-451600968.22596645</v>
      </c>
      <c r="BN74" s="13">
        <f t="shared" si="37"/>
        <v>-431227104.5525279</v>
      </c>
      <c r="BO74" s="13">
        <f t="shared" si="37"/>
        <v>-412048630.26380491</v>
      </c>
      <c r="BP74" s="13">
        <f t="shared" si="37"/>
        <v>-393783884.43102127</v>
      </c>
      <c r="BQ74" s="13">
        <f t="shared" si="37"/>
        <v>-376136411.94210476</v>
      </c>
      <c r="BR74" s="13">
        <f t="shared" si="37"/>
        <v>-358800000</v>
      </c>
      <c r="BT74" s="47"/>
      <c r="BU74" s="26">
        <v>0.1</v>
      </c>
      <c r="BV74" s="13">
        <f>$B$20/($B$21-$B$22*BV75)</f>
        <v>0.40647187995004247</v>
      </c>
      <c r="BW74" s="13">
        <f>$B$20/($B$21-$B$22*BW75)</f>
        <v>0.40647187995004247</v>
      </c>
      <c r="BX74" s="13">
        <f t="shared" ref="BX74:CZ82" si="38">$B$20/($B$21-$B$22*BX75)</f>
        <v>0.40647187995004247</v>
      </c>
      <c r="BY74" s="13">
        <f t="shared" si="38"/>
        <v>0.40647187995004247</v>
      </c>
      <c r="BZ74" s="13">
        <f t="shared" si="38"/>
        <v>0.40647187995004247</v>
      </c>
      <c r="CA74" s="13">
        <f t="shared" si="38"/>
        <v>0.40647187995004247</v>
      </c>
      <c r="CB74" s="13">
        <f t="shared" si="38"/>
        <v>0.40647187995004247</v>
      </c>
      <c r="CC74" s="13">
        <f t="shared" si="38"/>
        <v>0.40647187995004247</v>
      </c>
      <c r="CD74" s="13">
        <f t="shared" si="38"/>
        <v>0.40647187995004247</v>
      </c>
      <c r="CE74" s="13">
        <f t="shared" si="38"/>
        <v>0.40647187995004247</v>
      </c>
      <c r="CF74" s="13">
        <f t="shared" si="38"/>
        <v>0.40647187995004247</v>
      </c>
      <c r="CG74" s="13">
        <f t="shared" si="38"/>
        <v>0.40647187995004247</v>
      </c>
      <c r="CH74" s="13">
        <f t="shared" si="38"/>
        <v>0.40647187995004247</v>
      </c>
      <c r="CI74" s="13">
        <f t="shared" si="38"/>
        <v>0.40647187995004247</v>
      </c>
      <c r="CJ74" s="13">
        <f t="shared" si="38"/>
        <v>0.40647187995004247</v>
      </c>
      <c r="CK74" s="13">
        <f t="shared" si="38"/>
        <v>0.40647187995004247</v>
      </c>
      <c r="CL74" s="13">
        <f t="shared" si="38"/>
        <v>0.40647187995004247</v>
      </c>
      <c r="CM74" s="13">
        <f t="shared" si="38"/>
        <v>0.40647187995004247</v>
      </c>
      <c r="CN74" s="13">
        <f t="shared" si="38"/>
        <v>0.40647187995004247</v>
      </c>
      <c r="CO74" s="13">
        <f t="shared" si="38"/>
        <v>0.40647187995004247</v>
      </c>
      <c r="CP74" s="13">
        <f t="shared" si="38"/>
        <v>0.40647187995004247</v>
      </c>
      <c r="CQ74" s="13">
        <f t="shared" si="38"/>
        <v>0.40647187995004247</v>
      </c>
      <c r="CR74" s="13">
        <f t="shared" si="38"/>
        <v>0.40647187995004247</v>
      </c>
      <c r="CS74" s="13">
        <f t="shared" si="38"/>
        <v>0.40647187995004247</v>
      </c>
      <c r="CT74" s="13">
        <f t="shared" si="38"/>
        <v>0.40647187995004247</v>
      </c>
      <c r="CU74" s="13">
        <f t="shared" si="38"/>
        <v>0.40647187995004247</v>
      </c>
      <c r="CV74" s="13">
        <f t="shared" si="38"/>
        <v>0.40647187995004247</v>
      </c>
      <c r="CW74" s="13">
        <f t="shared" si="38"/>
        <v>0.40647187995004247</v>
      </c>
      <c r="CX74" s="13">
        <f t="shared" si="38"/>
        <v>0.40647187995004247</v>
      </c>
      <c r="CY74" s="13">
        <f t="shared" si="38"/>
        <v>0.40647187995004247</v>
      </c>
      <c r="CZ74" s="13">
        <f t="shared" si="38"/>
        <v>0.40647187995004247</v>
      </c>
      <c r="DB74" s="47"/>
      <c r="DC74" s="26">
        <v>0.1</v>
      </c>
      <c r="DD74" s="13">
        <f>(DD75*$B$22-AN74)/($B$21-$B$22*BV75)</f>
        <v>178.05843601498725</v>
      </c>
      <c r="DE74" s="13">
        <f t="shared" ref="DE74:EH82" si="39">(DE75*$B$22-AO74)/($B$21-$B$22*BW75)</f>
        <v>187.193257443226</v>
      </c>
      <c r="DF74" s="13">
        <f t="shared" si="39"/>
        <v>190.62867174937296</v>
      </c>
      <c r="DG74" s="13">
        <f t="shared" si="39"/>
        <v>191.72539412268543</v>
      </c>
      <c r="DH74" s="13">
        <f t="shared" si="39"/>
        <v>190.95939671699426</v>
      </c>
      <c r="DI74" s="13">
        <f t="shared" si="39"/>
        <v>188.6382842939488</v>
      </c>
      <c r="DJ74" s="13">
        <f t="shared" si="39"/>
        <v>185.00443600519904</v>
      </c>
      <c r="DK74" s="13">
        <f t="shared" si="39"/>
        <v>180.27860832414473</v>
      </c>
      <c r="DL74" s="13">
        <f t="shared" si="39"/>
        <v>174.67334871836081</v>
      </c>
      <c r="DM74" s="13">
        <f t="shared" si="39"/>
        <v>168.39318019379485</v>
      </c>
      <c r="DN74" s="13">
        <f t="shared" si="39"/>
        <v>161.63040900984655</v>
      </c>
      <c r="DO74" s="13">
        <f t="shared" si="39"/>
        <v>154.56065008777441</v>
      </c>
      <c r="DP74" s="13">
        <f t="shared" si="39"/>
        <v>147.33961280237185</v>
      </c>
      <c r="DQ74" s="13">
        <f t="shared" si="39"/>
        <v>140.10145093182771</v>
      </c>
      <c r="DR74" s="13">
        <f t="shared" si="39"/>
        <v>132.95846270348881</v>
      </c>
      <c r="DS74" s="13">
        <f t="shared" si="39"/>
        <v>126.0017733855413</v>
      </c>
      <c r="DT74" s="13">
        <f t="shared" si="39"/>
        <v>119.30264383244545</v>
      </c>
      <c r="DU74" s="13">
        <f t="shared" si="39"/>
        <v>112.91411948181988</v>
      </c>
      <c r="DV74" s="13">
        <f t="shared" si="39"/>
        <v>106.87281569443223</v>
      </c>
      <c r="DW74" s="13">
        <f t="shared" si="39"/>
        <v>101.20070637933364</v>
      </c>
      <c r="DX74" s="13">
        <f t="shared" si="39"/>
        <v>95.90683745286222</v>
      </c>
      <c r="DY74" s="13">
        <f t="shared" si="39"/>
        <v>90.988925286947776</v>
      </c>
      <c r="DZ74" s="13">
        <f t="shared" si="39"/>
        <v>86.434825773068013</v>
      </c>
      <c r="EA74" s="13">
        <f t="shared" si="39"/>
        <v>82.223875284361696</v>
      </c>
      <c r="EB74" s="13">
        <f t="shared" si="39"/>
        <v>78.328113615582396</v>
      </c>
      <c r="EC74" s="13">
        <f t="shared" si="39"/>
        <v>74.713403254157384</v>
      </c>
      <c r="ED74" s="13">
        <f t="shared" si="39"/>
        <v>71.340460802137727</v>
      </c>
      <c r="EE74" s="13">
        <f t="shared" si="39"/>
        <v>68.165816225436515</v>
      </c>
      <c r="EF74" s="13">
        <f t="shared" si="39"/>
        <v>65.1427146526173</v>
      </c>
      <c r="EG74" s="13">
        <f t="shared" si="39"/>
        <v>62.221974192728318</v>
      </c>
      <c r="EH74" s="13">
        <f t="shared" si="39"/>
        <v>59.352812004995762</v>
      </c>
    </row>
    <row r="75" spans="5:138" x14ac:dyDescent="0.25">
      <c r="E75" s="49"/>
      <c r="F75" s="26">
        <v>9.6666666666666679E-2</v>
      </c>
      <c r="G75" s="13">
        <f t="shared" ref="G75:G104" si="40">$B$16</f>
        <v>300</v>
      </c>
      <c r="H75" s="13">
        <f>BW75*H74+DE75</f>
        <v>319.56024626293413</v>
      </c>
      <c r="I75" s="13">
        <f t="shared" ref="I75:AJ84" si="41">BX75*I74+DF75</f>
        <v>324.24429978688408</v>
      </c>
      <c r="J75" s="13">
        <f t="shared" si="41"/>
        <v>325.48797406384062</v>
      </c>
      <c r="K75" s="13">
        <f t="shared" si="41"/>
        <v>323.83904850054716</v>
      </c>
      <c r="L75" s="13">
        <f t="shared" si="41"/>
        <v>319.67645447967641</v>
      </c>
      <c r="M75" s="13">
        <f t="shared" si="41"/>
        <v>313.34226845224134</v>
      </c>
      <c r="N75" s="13">
        <f t="shared" si="41"/>
        <v>305.18255436211342</v>
      </c>
      <c r="O75" s="13">
        <f t="shared" si="41"/>
        <v>295.5491363476599</v>
      </c>
      <c r="P75" s="13">
        <f t="shared" si="41"/>
        <v>284.78817782567683</v>
      </c>
      <c r="Q75" s="13">
        <f t="shared" si="41"/>
        <v>273.22723128037808</v>
      </c>
      <c r="R75" s="13">
        <f t="shared" si="41"/>
        <v>261.1651672309676</v>
      </c>
      <c r="S75" s="13">
        <f t="shared" si="41"/>
        <v>248.86596943445431</v>
      </c>
      <c r="T75" s="13">
        <f t="shared" si="41"/>
        <v>236.55596675201048</v>
      </c>
      <c r="U75" s="13">
        <f t="shared" si="41"/>
        <v>224.42363712770646</v>
      </c>
      <c r="V75" s="13">
        <f t="shared" si="41"/>
        <v>212.62111987653878</v>
      </c>
      <c r="W75" s="13">
        <f t="shared" si="41"/>
        <v>201.2667332533924</v>
      </c>
      <c r="X75" s="13">
        <f t="shared" si="41"/>
        <v>190.44798606834161</v>
      </c>
      <c r="Y75" s="13">
        <f t="shared" si="41"/>
        <v>180.2247418985171</v>
      </c>
      <c r="Z75" s="13">
        <f t="shared" si="41"/>
        <v>170.63232621975266</v>
      </c>
      <c r="AA75" s="13">
        <f t="shared" si="41"/>
        <v>161.6844609651917</v>
      </c>
      <c r="AB75" s="13">
        <f t="shared" si="41"/>
        <v>153.3759741008715</v>
      </c>
      <c r="AC75" s="13">
        <f t="shared" si="41"/>
        <v>145.68527149015642</v>
      </c>
      <c r="AD75" s="13">
        <f t="shared" si="41"/>
        <v>138.57658150009695</v>
      </c>
      <c r="AE75" s="13">
        <f t="shared" si="41"/>
        <v>132.00199495692806</v>
      </c>
      <c r="AF75" s="13">
        <f t="shared" si="41"/>
        <v>125.90332822406779</v>
      </c>
      <c r="AG75" s="13">
        <f t="shared" si="41"/>
        <v>120.21383818517381</v>
      </c>
      <c r="AH75" s="13">
        <f t="shared" si="41"/>
        <v>114.8598166692949</v>
      </c>
      <c r="AI75" s="13">
        <f t="shared" si="41"/>
        <v>109.7620895840725</v>
      </c>
      <c r="AJ75" s="13">
        <f t="shared" si="41"/>
        <v>104.83744348930261</v>
      </c>
      <c r="AK75" s="13">
        <f t="shared" ref="AK75:AK104" si="42">$B$17</f>
        <v>100</v>
      </c>
      <c r="AL75" s="47"/>
      <c r="AM75" s="26">
        <v>9.6666666666666679E-2</v>
      </c>
      <c r="AN75" s="13">
        <f t="shared" ref="AN75:BC104" si="43">-($B$12*$B$11)/$B$8*G40</f>
        <v>-1076400000</v>
      </c>
      <c r="AO75" s="13">
        <f t="shared" si="37"/>
        <v>-1121376479.193593</v>
      </c>
      <c r="AP75" s="13">
        <f t="shared" si="37"/>
        <v>-1144857196.6529849</v>
      </c>
      <c r="AQ75" s="13">
        <f t="shared" si="37"/>
        <v>-1152971575.9933181</v>
      </c>
      <c r="AR75" s="13">
        <f t="shared" si="37"/>
        <v>-1149221484.7767529</v>
      </c>
      <c r="AS75" s="13">
        <f t="shared" si="37"/>
        <v>-1135808828.370434</v>
      </c>
      <c r="AT75" s="13">
        <f t="shared" si="37"/>
        <v>-1114361736.014559</v>
      </c>
      <c r="AU75" s="13">
        <f t="shared" si="37"/>
        <v>-1086278307.4150198</v>
      </c>
      <c r="AV75" s="13">
        <f t="shared" si="37"/>
        <v>-1052858877.8720243</v>
      </c>
      <c r="AW75" s="13">
        <f t="shared" si="37"/>
        <v>-1015335961.449092</v>
      </c>
      <c r="AX75" s="13">
        <f t="shared" si="37"/>
        <v>-974863373.02737379</v>
      </c>
      <c r="AY75" s="13">
        <f t="shared" si="37"/>
        <v>-932495400.27215219</v>
      </c>
      <c r="AZ75" s="13">
        <f t="shared" si="37"/>
        <v>-889169312.72505319</v>
      </c>
      <c r="BA75" s="13">
        <f t="shared" si="37"/>
        <v>-845695357.57852507</v>
      </c>
      <c r="BB75" s="13">
        <f t="shared" si="37"/>
        <v>-802754186.24472535</v>
      </c>
      <c r="BC75" s="13">
        <f t="shared" si="37"/>
        <v>-760900090.68884647</v>
      </c>
      <c r="BD75" s="13">
        <f t="shared" si="37"/>
        <v>-720568145.04786646</v>
      </c>
      <c r="BE75" s="13">
        <f t="shared" si="37"/>
        <v>-682083600.84375179</v>
      </c>
      <c r="BF75" s="13">
        <f t="shared" si="37"/>
        <v>-645672295.91808379</v>
      </c>
      <c r="BG75" s="13">
        <f t="shared" si="37"/>
        <v>-611471237.08443415</v>
      </c>
      <c r="BH75" s="13">
        <f t="shared" si="37"/>
        <v>-579538841.24576414</v>
      </c>
      <c r="BI75" s="13">
        <f t="shared" si="37"/>
        <v>-549864557.93384087</v>
      </c>
      <c r="BJ75" s="13">
        <f t="shared" si="37"/>
        <v>-522377758.14772528</v>
      </c>
      <c r="BK75" s="13">
        <f t="shared" si="37"/>
        <v>-496955876.86854208</v>
      </c>
      <c r="BL75" s="13">
        <f t="shared" si="37"/>
        <v>-473431856.36360323</v>
      </c>
      <c r="BM75" s="13">
        <f t="shared" si="37"/>
        <v>-451600968.22596645</v>
      </c>
      <c r="BN75" s="13">
        <f t="shared" si="37"/>
        <v>-431227104.5525279</v>
      </c>
      <c r="BO75" s="13">
        <f t="shared" si="37"/>
        <v>-412048630.26380491</v>
      </c>
      <c r="BP75" s="13">
        <f t="shared" si="37"/>
        <v>-393783884.43102127</v>
      </c>
      <c r="BQ75" s="13">
        <f t="shared" si="37"/>
        <v>-376136411.94210476</v>
      </c>
      <c r="BR75" s="13">
        <f t="shared" si="37"/>
        <v>-358800000</v>
      </c>
      <c r="BT75" s="47"/>
      <c r="BU75" s="26">
        <v>9.6666666666666679E-2</v>
      </c>
      <c r="BV75" s="13">
        <f t="shared" ref="BV75:CK103" si="44">$B$20/($B$21-$B$22*BV76)</f>
        <v>0.40647187995004247</v>
      </c>
      <c r="BW75" s="13">
        <f t="shared" si="44"/>
        <v>0.40647187995004247</v>
      </c>
      <c r="BX75" s="13">
        <f t="shared" si="38"/>
        <v>0.40647187995004247</v>
      </c>
      <c r="BY75" s="13">
        <f t="shared" si="38"/>
        <v>0.40647187995004247</v>
      </c>
      <c r="BZ75" s="13">
        <f t="shared" si="38"/>
        <v>0.40647187995004247</v>
      </c>
      <c r="CA75" s="13">
        <f t="shared" si="38"/>
        <v>0.40647187995004247</v>
      </c>
      <c r="CB75" s="13">
        <f t="shared" si="38"/>
        <v>0.40647187995004247</v>
      </c>
      <c r="CC75" s="13">
        <f t="shared" si="38"/>
        <v>0.40647187995004247</v>
      </c>
      <c r="CD75" s="13">
        <f t="shared" si="38"/>
        <v>0.40647187995004247</v>
      </c>
      <c r="CE75" s="13">
        <f t="shared" si="38"/>
        <v>0.40647187995004247</v>
      </c>
      <c r="CF75" s="13">
        <f t="shared" si="38"/>
        <v>0.40647187995004247</v>
      </c>
      <c r="CG75" s="13">
        <f t="shared" si="38"/>
        <v>0.40647187995004247</v>
      </c>
      <c r="CH75" s="13">
        <f t="shared" si="38"/>
        <v>0.40647187995004247</v>
      </c>
      <c r="CI75" s="13">
        <f t="shared" si="38"/>
        <v>0.40647187995004247</v>
      </c>
      <c r="CJ75" s="13">
        <f t="shared" si="38"/>
        <v>0.40647187995004247</v>
      </c>
      <c r="CK75" s="13">
        <f t="shared" si="38"/>
        <v>0.40647187995004247</v>
      </c>
      <c r="CL75" s="13">
        <f t="shared" si="38"/>
        <v>0.40647187995004247</v>
      </c>
      <c r="CM75" s="13">
        <f t="shared" si="38"/>
        <v>0.40647187995004247</v>
      </c>
      <c r="CN75" s="13">
        <f t="shared" si="38"/>
        <v>0.40647187995004247</v>
      </c>
      <c r="CO75" s="13">
        <f t="shared" si="38"/>
        <v>0.40647187995004247</v>
      </c>
      <c r="CP75" s="13">
        <f t="shared" si="38"/>
        <v>0.40647187995004247</v>
      </c>
      <c r="CQ75" s="13">
        <f t="shared" si="38"/>
        <v>0.40647187995004247</v>
      </c>
      <c r="CR75" s="13">
        <f t="shared" si="38"/>
        <v>0.40647187995004247</v>
      </c>
      <c r="CS75" s="13">
        <f t="shared" si="38"/>
        <v>0.40647187995004247</v>
      </c>
      <c r="CT75" s="13">
        <f t="shared" si="38"/>
        <v>0.40647187995004247</v>
      </c>
      <c r="CU75" s="13">
        <f t="shared" si="38"/>
        <v>0.40647187995004247</v>
      </c>
      <c r="CV75" s="13">
        <f t="shared" si="38"/>
        <v>0.40647187995004247</v>
      </c>
      <c r="CW75" s="13">
        <f t="shared" si="38"/>
        <v>0.40647187995004247</v>
      </c>
      <c r="CX75" s="13">
        <f t="shared" si="38"/>
        <v>0.40647187995004247</v>
      </c>
      <c r="CY75" s="13">
        <f t="shared" si="38"/>
        <v>0.40647187995004247</v>
      </c>
      <c r="CZ75" s="13">
        <f t="shared" si="38"/>
        <v>0.40647187995004247</v>
      </c>
      <c r="DB75" s="47"/>
      <c r="DC75" s="26">
        <v>9.6666666666666679E-2</v>
      </c>
      <c r="DD75" s="13">
        <f t="shared" ref="DD75:DS103" si="45">(DD76*$B$22-AN75)/($B$21-$B$22*BV76)</f>
        <v>178.05843601498725</v>
      </c>
      <c r="DE75" s="13">
        <f t="shared" si="39"/>
        <v>189.66799220714077</v>
      </c>
      <c r="DF75" s="13">
        <f t="shared" si="39"/>
        <v>192.44810968942414</v>
      </c>
      <c r="DG75" s="13">
        <f t="shared" si="39"/>
        <v>193.18626534498065</v>
      </c>
      <c r="DH75" s="13">
        <f t="shared" si="39"/>
        <v>192.20758165529676</v>
      </c>
      <c r="DI75" s="13">
        <f t="shared" si="39"/>
        <v>189.73696505155817</v>
      </c>
      <c r="DJ75" s="13">
        <f t="shared" si="39"/>
        <v>185.97744752664792</v>
      </c>
      <c r="DK75" s="13">
        <f t="shared" si="39"/>
        <v>181.13442776258916</v>
      </c>
      <c r="DL75" s="13">
        <f t="shared" si="39"/>
        <v>175.41672327881517</v>
      </c>
      <c r="DM75" s="13">
        <f t="shared" si="39"/>
        <v>169.02979179732696</v>
      </c>
      <c r="DN75" s="13">
        <f t="shared" si="39"/>
        <v>162.16804492829777</v>
      </c>
      <c r="DO75" s="13">
        <f t="shared" si="39"/>
        <v>155.00887072912897</v>
      </c>
      <c r="DP75" s="13">
        <f t="shared" si="39"/>
        <v>147.70895098284186</v>
      </c>
      <c r="DQ75" s="13">
        <f t="shared" si="39"/>
        <v>140.40261823292104</v>
      </c>
      <c r="DR75" s="13">
        <f t="shared" si="39"/>
        <v>133.20173943918147</v>
      </c>
      <c r="DS75" s="13">
        <f t="shared" si="39"/>
        <v>126.19661356323871</v>
      </c>
      <c r="DT75" s="13">
        <f t="shared" si="39"/>
        <v>119.45746581648227</v>
      </c>
      <c r="DU75" s="13">
        <f t="shared" si="39"/>
        <v>113.03623513844329</v>
      </c>
      <c r="DV75" s="13">
        <f t="shared" si="39"/>
        <v>106.96845224551566</v>
      </c>
      <c r="DW75" s="13">
        <f t="shared" si="39"/>
        <v>101.27508380096089</v>
      </c>
      <c r="DX75" s="13">
        <f t="shared" si="39"/>
        <v>95.964274157960986</v>
      </c>
      <c r="DY75" s="13">
        <f t="shared" si="39"/>
        <v>91.032953568921243</v>
      </c>
      <c r="DZ75" s="13">
        <f t="shared" si="39"/>
        <v>86.468305306520222</v>
      </c>
      <c r="EA75" s="13">
        <f t="shared" si="39"/>
        <v>82.249097900702282</v>
      </c>
      <c r="EB75" s="13">
        <f t="shared" si="39"/>
        <v>78.346895909629481</v>
      </c>
      <c r="EC75" s="13">
        <f t="shared" si="39"/>
        <v>74.727165708863723</v>
      </c>
      <c r="ED75" s="13">
        <f t="shared" si="39"/>
        <v>71.350293382036014</v>
      </c>
      <c r="EE75" s="13">
        <f t="shared" si="39"/>
        <v>68.17253105700938</v>
      </c>
      <c r="EF75" s="13">
        <f t="shared" si="39"/>
        <v>65.146886683589571</v>
      </c>
      <c r="EG75" s="13">
        <f t="shared" si="39"/>
        <v>62.223970745049442</v>
      </c>
      <c r="EH75" s="13">
        <f t="shared" si="39"/>
        <v>59.352812004995762</v>
      </c>
    </row>
    <row r="76" spans="5:138" x14ac:dyDescent="0.25">
      <c r="E76" s="49"/>
      <c r="F76" s="26">
        <v>9.3333333333333338E-2</v>
      </c>
      <c r="G76" s="13">
        <f t="shared" si="40"/>
        <v>300</v>
      </c>
      <c r="H76" s="13">
        <f t="shared" ref="H76:K91" si="46">BW76*H75+DE76</f>
        <v>325.64857582762363</v>
      </c>
      <c r="I76" s="13">
        <f t="shared" si="41"/>
        <v>328.72047152175247</v>
      </c>
      <c r="J76" s="13">
        <f t="shared" si="41"/>
        <v>329.08200182899566</v>
      </c>
      <c r="K76" s="13">
        <f t="shared" si="41"/>
        <v>326.90982657861719</v>
      </c>
      <c r="L76" s="13">
        <f t="shared" si="41"/>
        <v>322.37942315181283</v>
      </c>
      <c r="M76" s="13">
        <f t="shared" si="41"/>
        <v>315.73606632472513</v>
      </c>
      <c r="N76" s="13">
        <f t="shared" si="41"/>
        <v>307.28803688294511</v>
      </c>
      <c r="O76" s="13">
        <f t="shared" si="41"/>
        <v>297.37798256586751</v>
      </c>
      <c r="P76" s="13">
        <f t="shared" si="41"/>
        <v>286.35436637384987</v>
      </c>
      <c r="Q76" s="13">
        <f t="shared" si="41"/>
        <v>274.5499203641034</v>
      </c>
      <c r="R76" s="13">
        <f t="shared" si="41"/>
        <v>262.26787731612683</v>
      </c>
      <c r="S76" s="13">
        <f t="shared" si="41"/>
        <v>249.77461330058196</v>
      </c>
      <c r="T76" s="13">
        <f t="shared" si="41"/>
        <v>237.29689697608978</v>
      </c>
      <c r="U76" s="13">
        <f t="shared" si="41"/>
        <v>225.022145284587</v>
      </c>
      <c r="V76" s="13">
        <f t="shared" si="41"/>
        <v>213.10046466595287</v>
      </c>
      <c r="W76" s="13">
        <f t="shared" si="41"/>
        <v>201.64762549138885</v>
      </c>
      <c r="X76" s="13">
        <f t="shared" si="41"/>
        <v>190.748414370143</v>
      </c>
      <c r="Y76" s="13">
        <f t="shared" si="41"/>
        <v>180.46002644291212</v>
      </c>
      <c r="Z76" s="13">
        <f t="shared" si="41"/>
        <v>170.81530916468949</v>
      </c>
      <c r="AA76" s="13">
        <f t="shared" si="41"/>
        <v>161.82576644764185</v>
      </c>
      <c r="AB76" s="13">
        <f t="shared" si="41"/>
        <v>153.48429225065075</v>
      </c>
      <c r="AC76" s="13">
        <f t="shared" si="41"/>
        <v>145.76763766381728</v>
      </c>
      <c r="AD76" s="13">
        <f t="shared" si="41"/>
        <v>138.63863404932542</v>
      </c>
      <c r="AE76" s="13">
        <f t="shared" si="41"/>
        <v>132.04820305882529</v>
      </c>
      <c r="AF76" s="13">
        <f t="shared" si="41"/>
        <v>125.93718654338878</v>
      </c>
      <c r="AG76" s="13">
        <f t="shared" si="41"/>
        <v>120.23802824697955</v>
      </c>
      <c r="AH76" s="13">
        <f t="shared" si="41"/>
        <v>114.87633646292417</v>
      </c>
      <c r="AI76" s="13">
        <f t="shared" si="41"/>
        <v>109.7723535929205</v>
      </c>
      <c r="AJ76" s="13">
        <f t="shared" si="41"/>
        <v>104.84235539691444</v>
      </c>
      <c r="AK76" s="13">
        <f t="shared" si="42"/>
        <v>100</v>
      </c>
      <c r="AL76" s="47"/>
      <c r="AM76" s="26">
        <v>9.3333333333333338E-2</v>
      </c>
      <c r="AN76" s="13">
        <f t="shared" si="43"/>
        <v>-1076400000</v>
      </c>
      <c r="AO76" s="13">
        <f t="shared" si="37"/>
        <v>-1132528244.5606978</v>
      </c>
      <c r="AP76" s="13">
        <f t="shared" si="37"/>
        <v>-1157893227.5983303</v>
      </c>
      <c r="AQ76" s="13">
        <f t="shared" si="37"/>
        <v>-1165270476.5484953</v>
      </c>
      <c r="AR76" s="13">
        <f t="shared" si="37"/>
        <v>-1160266037.4853113</v>
      </c>
      <c r="AS76" s="13">
        <f t="shared" si="37"/>
        <v>-1145621724.8970563</v>
      </c>
      <c r="AT76" s="13">
        <f t="shared" si="37"/>
        <v>-1123041890.6042485</v>
      </c>
      <c r="AU76" s="13">
        <f t="shared" si="37"/>
        <v>-1093904245.3891068</v>
      </c>
      <c r="AV76" s="13">
        <f t="shared" si="37"/>
        <v>-1059491945.1278489</v>
      </c>
      <c r="AW76" s="13">
        <f t="shared" si="37"/>
        <v>-1021037180.8550078</v>
      </c>
      <c r="AX76" s="13">
        <f t="shared" si="37"/>
        <v>-979702870.7675184</v>
      </c>
      <c r="AY76" s="13">
        <f t="shared" si="37"/>
        <v>-936553615.9111464</v>
      </c>
      <c r="AZ76" s="13">
        <f t="shared" si="37"/>
        <v>-892533583.11238027</v>
      </c>
      <c r="BA76" s="13">
        <f t="shared" si="37"/>
        <v>-848455039.60128236</v>
      </c>
      <c r="BB76" s="13">
        <f t="shared" si="37"/>
        <v>-804996162.90410364</v>
      </c>
      <c r="BC76" s="13">
        <f t="shared" si="37"/>
        <v>-762705432.53358638</v>
      </c>
      <c r="BD76" s="13">
        <f t="shared" si="37"/>
        <v>-722010055.56117582</v>
      </c>
      <c r="BE76" s="13">
        <f t="shared" si="37"/>
        <v>-683226466.48000145</v>
      </c>
      <c r="BF76" s="13">
        <f t="shared" si="37"/>
        <v>-646571559.44187033</v>
      </c>
      <c r="BG76" s="13">
        <f t="shared" si="37"/>
        <v>-612173817.15927577</v>
      </c>
      <c r="BH76" s="13">
        <f t="shared" si="37"/>
        <v>-580083869.71451056</v>
      </c>
      <c r="BI76" s="13">
        <f t="shared" si="37"/>
        <v>-550284265.19592297</v>
      </c>
      <c r="BJ76" s="13">
        <f t="shared" si="37"/>
        <v>-522698390.72473323</v>
      </c>
      <c r="BK76" s="13">
        <f t="shared" si="37"/>
        <v>-497198574.0192154</v>
      </c>
      <c r="BL76" s="13">
        <f t="shared" si="37"/>
        <v>-473613443.87686098</v>
      </c>
      <c r="BM76" s="13">
        <f t="shared" si="37"/>
        <v>-451734648.84545171</v>
      </c>
      <c r="BN76" s="13">
        <f t="shared" si="37"/>
        <v>-431323038.04701555</v>
      </c>
      <c r="BO76" s="13">
        <f t="shared" si="37"/>
        <v>-412114404.04156893</v>
      </c>
      <c r="BP76" s="13">
        <f t="shared" si="37"/>
        <v>-393824879.52808541</v>
      </c>
      <c r="BQ76" s="13">
        <f t="shared" si="37"/>
        <v>-376156070.50725722</v>
      </c>
      <c r="BR76" s="13">
        <f t="shared" si="37"/>
        <v>-358800000</v>
      </c>
      <c r="BT76" s="47"/>
      <c r="BU76" s="26">
        <v>9.3333333333333338E-2</v>
      </c>
      <c r="BV76" s="13">
        <f t="shared" si="44"/>
        <v>0.40647187995004247</v>
      </c>
      <c r="BW76" s="13">
        <f t="shared" si="44"/>
        <v>0.40647187995004247</v>
      </c>
      <c r="BX76" s="13">
        <f t="shared" si="38"/>
        <v>0.40647187995004247</v>
      </c>
      <c r="BY76" s="13">
        <f t="shared" si="38"/>
        <v>0.40647187995004247</v>
      </c>
      <c r="BZ76" s="13">
        <f t="shared" si="38"/>
        <v>0.40647187995004247</v>
      </c>
      <c r="CA76" s="13">
        <f t="shared" si="38"/>
        <v>0.40647187995004247</v>
      </c>
      <c r="CB76" s="13">
        <f t="shared" si="38"/>
        <v>0.40647187995004247</v>
      </c>
      <c r="CC76" s="13">
        <f t="shared" si="38"/>
        <v>0.40647187995004247</v>
      </c>
      <c r="CD76" s="13">
        <f t="shared" si="38"/>
        <v>0.40647187995004247</v>
      </c>
      <c r="CE76" s="13">
        <f t="shared" si="38"/>
        <v>0.40647187995004247</v>
      </c>
      <c r="CF76" s="13">
        <f t="shared" si="38"/>
        <v>0.40647187995004247</v>
      </c>
      <c r="CG76" s="13">
        <f t="shared" si="38"/>
        <v>0.40647187995004247</v>
      </c>
      <c r="CH76" s="13">
        <f t="shared" si="38"/>
        <v>0.40647187995004247</v>
      </c>
      <c r="CI76" s="13">
        <f t="shared" si="38"/>
        <v>0.40647187995004247</v>
      </c>
      <c r="CJ76" s="13">
        <f t="shared" si="38"/>
        <v>0.40647187995004247</v>
      </c>
      <c r="CK76" s="13">
        <f t="shared" si="38"/>
        <v>0.40647187995004247</v>
      </c>
      <c r="CL76" s="13">
        <f t="shared" si="38"/>
        <v>0.40647187995004247</v>
      </c>
      <c r="CM76" s="13">
        <f t="shared" si="38"/>
        <v>0.40647187995004247</v>
      </c>
      <c r="CN76" s="13">
        <f t="shared" si="38"/>
        <v>0.40647187995004247</v>
      </c>
      <c r="CO76" s="13">
        <f t="shared" si="38"/>
        <v>0.40647187995004247</v>
      </c>
      <c r="CP76" s="13">
        <f t="shared" si="38"/>
        <v>0.40647187995004247</v>
      </c>
      <c r="CQ76" s="13">
        <f t="shared" si="38"/>
        <v>0.40647187995004247</v>
      </c>
      <c r="CR76" s="13">
        <f t="shared" si="38"/>
        <v>0.40647187995004247</v>
      </c>
      <c r="CS76" s="13">
        <f t="shared" si="38"/>
        <v>0.40647187995004247</v>
      </c>
      <c r="CT76" s="13">
        <f t="shared" si="38"/>
        <v>0.40647187995004247</v>
      </c>
      <c r="CU76" s="13">
        <f t="shared" si="38"/>
        <v>0.40647187995004247</v>
      </c>
      <c r="CV76" s="13">
        <f t="shared" si="38"/>
        <v>0.40647187995004247</v>
      </c>
      <c r="CW76" s="13">
        <f t="shared" si="38"/>
        <v>0.40647187995004247</v>
      </c>
      <c r="CX76" s="13">
        <f t="shared" si="38"/>
        <v>0.40647187995004247</v>
      </c>
      <c r="CY76" s="13">
        <f t="shared" si="38"/>
        <v>0.40647187995004247</v>
      </c>
      <c r="CZ76" s="13">
        <f t="shared" si="38"/>
        <v>0.40647187995004247</v>
      </c>
      <c r="DB76" s="47"/>
      <c r="DC76" s="26">
        <v>9.3333333333333338E-2</v>
      </c>
      <c r="DD76" s="13">
        <f t="shared" si="45"/>
        <v>178.05843601498725</v>
      </c>
      <c r="DE76" s="13">
        <f t="shared" si="39"/>
        <v>195.75632177183027</v>
      </c>
      <c r="DF76" s="13">
        <f t="shared" si="39"/>
        <v>196.92428142429253</v>
      </c>
      <c r="DG76" s="13">
        <f t="shared" si="39"/>
        <v>196.78029311013572</v>
      </c>
      <c r="DH76" s="13">
        <f t="shared" si="39"/>
        <v>195.27835973336681</v>
      </c>
      <c r="DI76" s="13">
        <f t="shared" si="39"/>
        <v>192.43993372369459</v>
      </c>
      <c r="DJ76" s="13">
        <f t="shared" si="39"/>
        <v>188.37124539913168</v>
      </c>
      <c r="DK76" s="13">
        <f t="shared" si="39"/>
        <v>183.23991028342081</v>
      </c>
      <c r="DL76" s="13">
        <f t="shared" si="39"/>
        <v>177.24556949702279</v>
      </c>
      <c r="DM76" s="13">
        <f t="shared" si="39"/>
        <v>170.59598034549998</v>
      </c>
      <c r="DN76" s="13">
        <f t="shared" si="39"/>
        <v>163.49073401202307</v>
      </c>
      <c r="DO76" s="13">
        <f t="shared" si="39"/>
        <v>156.11158081428823</v>
      </c>
      <c r="DP76" s="13">
        <f t="shared" si="39"/>
        <v>148.6175948489695</v>
      </c>
      <c r="DQ76" s="13">
        <f t="shared" si="39"/>
        <v>141.14354845700035</v>
      </c>
      <c r="DR76" s="13">
        <f t="shared" si="39"/>
        <v>133.80024759606201</v>
      </c>
      <c r="DS76" s="13">
        <f t="shared" si="39"/>
        <v>126.67595835265283</v>
      </c>
      <c r="DT76" s="13">
        <f t="shared" si="39"/>
        <v>119.83835805447873</v>
      </c>
      <c r="DU76" s="13">
        <f t="shared" si="39"/>
        <v>113.33666344024468</v>
      </c>
      <c r="DV76" s="13">
        <f t="shared" si="39"/>
        <v>107.20373678991069</v>
      </c>
      <c r="DW76" s="13">
        <f t="shared" si="39"/>
        <v>101.4580667458977</v>
      </c>
      <c r="DX76" s="13">
        <f t="shared" si="39"/>
        <v>96.105579640411136</v>
      </c>
      <c r="DY76" s="13">
        <f t="shared" si="39"/>
        <v>91.141271718700494</v>
      </c>
      <c r="DZ76" s="13">
        <f t="shared" si="39"/>
        <v>86.550671480181066</v>
      </c>
      <c r="EA76" s="13">
        <f t="shared" si="39"/>
        <v>82.311150449930736</v>
      </c>
      <c r="EB76" s="13">
        <f t="shared" si="39"/>
        <v>78.393104011526717</v>
      </c>
      <c r="EC76" s="13">
        <f t="shared" si="39"/>
        <v>74.761024028184693</v>
      </c>
      <c r="ED76" s="13">
        <f t="shared" si="39"/>
        <v>71.374483443841754</v>
      </c>
      <c r="EE76" s="13">
        <f t="shared" si="39"/>
        <v>68.189050850638651</v>
      </c>
      <c r="EF76" s="13">
        <f t="shared" si="39"/>
        <v>65.157150692437583</v>
      </c>
      <c r="EG76" s="13">
        <f t="shared" si="39"/>
        <v>62.22888265266127</v>
      </c>
      <c r="EH76" s="13">
        <f t="shared" si="39"/>
        <v>59.352812004995762</v>
      </c>
    </row>
    <row r="77" spans="5:138" x14ac:dyDescent="0.25">
      <c r="E77" s="49"/>
      <c r="F77" s="26">
        <v>9.0000000000000011E-2</v>
      </c>
      <c r="G77" s="13">
        <f t="shared" si="40"/>
        <v>300</v>
      </c>
      <c r="H77" s="13">
        <f t="shared" si="46"/>
        <v>340.40812411424929</v>
      </c>
      <c r="I77" s="13">
        <f t="shared" si="41"/>
        <v>338.4033640831226</v>
      </c>
      <c r="J77" s="13">
        <f t="shared" si="41"/>
        <v>336.41413249606887</v>
      </c>
      <c r="K77" s="13">
        <f t="shared" si="41"/>
        <v>333.04495738102707</v>
      </c>
      <c r="L77" s="13">
        <f t="shared" si="41"/>
        <v>327.75766848376759</v>
      </c>
      <c r="M77" s="13">
        <f t="shared" si="41"/>
        <v>320.50163119451929</v>
      </c>
      <c r="N77" s="13">
        <f t="shared" si="41"/>
        <v>311.48173943925985</v>
      </c>
      <c r="O77" s="13">
        <f t="shared" si="41"/>
        <v>301.0184848996509</v>
      </c>
      <c r="P77" s="13">
        <f t="shared" si="41"/>
        <v>289.46700074191779</v>
      </c>
      <c r="Q77" s="13">
        <f t="shared" si="41"/>
        <v>277.17266826398441</v>
      </c>
      <c r="R77" s="13">
        <f t="shared" si="41"/>
        <v>264.44873423682156</v>
      </c>
      <c r="S77" s="13">
        <f t="shared" si="41"/>
        <v>251.56676668605928</v>
      </c>
      <c r="T77" s="13">
        <f t="shared" si="41"/>
        <v>238.75430709121446</v>
      </c>
      <c r="U77" s="13">
        <f t="shared" si="41"/>
        <v>226.1963284117561</v>
      </c>
      <c r="V77" s="13">
        <f t="shared" si="41"/>
        <v>214.0385134862492</v>
      </c>
      <c r="W77" s="13">
        <f t="shared" si="41"/>
        <v>202.3912290100441</v>
      </c>
      <c r="X77" s="13">
        <f t="shared" si="41"/>
        <v>191.33358766713076</v>
      </c>
      <c r="Y77" s="13">
        <f t="shared" si="41"/>
        <v>180.91729539196854</v>
      </c>
      <c r="Z77" s="13">
        <f t="shared" si="41"/>
        <v>171.170154941421</v>
      </c>
      <c r="AA77" s="13">
        <f t="shared" si="41"/>
        <v>162.09919277541289</v>
      </c>
      <c r="AB77" s="13">
        <f t="shared" si="41"/>
        <v>153.69342571429763</v>
      </c>
      <c r="AC77" s="13">
        <f t="shared" si="41"/>
        <v>145.92630654594262</v>
      </c>
      <c r="AD77" s="13">
        <f t="shared" si="41"/>
        <v>138.75789552361769</v>
      </c>
      <c r="AE77" s="13">
        <f t="shared" si="41"/>
        <v>132.13680456608583</v>
      </c>
      <c r="AF77" s="13">
        <f t="shared" si="41"/>
        <v>126.00195705406895</v>
      </c>
      <c r="AG77" s="13">
        <f t="shared" si="41"/>
        <v>120.28420074915898</v>
      </c>
      <c r="AH77" s="13">
        <f t="shared" si="41"/>
        <v>114.90780581872808</v>
      </c>
      <c r="AI77" s="13">
        <f t="shared" si="41"/>
        <v>109.79187488759297</v>
      </c>
      <c r="AJ77" s="13">
        <f t="shared" si="41"/>
        <v>104.85168775304604</v>
      </c>
      <c r="AK77" s="13">
        <f t="shared" si="42"/>
        <v>100</v>
      </c>
      <c r="AL77" s="47"/>
      <c r="AM77" s="26">
        <v>9.0000000000000011E-2</v>
      </c>
      <c r="AN77" s="13">
        <f t="shared" si="43"/>
        <v>-1076400000</v>
      </c>
      <c r="AO77" s="13">
        <f t="shared" si="37"/>
        <v>-1231420948.3850694</v>
      </c>
      <c r="AP77" s="13">
        <f t="shared" si="37"/>
        <v>-1216089167.4847555</v>
      </c>
      <c r="AQ77" s="13">
        <f t="shared" si="37"/>
        <v>-1203095840.5483849</v>
      </c>
      <c r="AR77" s="13">
        <f t="shared" si="37"/>
        <v>-1187702264.2307155</v>
      </c>
      <c r="AS77" s="13">
        <f t="shared" si="37"/>
        <v>-1167368352.1182189</v>
      </c>
      <c r="AT77" s="13">
        <f t="shared" si="37"/>
        <v>-1141220916.9767849</v>
      </c>
      <c r="AU77" s="13">
        <f t="shared" si="37"/>
        <v>-1109450786.978791</v>
      </c>
      <c r="AV77" s="13">
        <f t="shared" si="37"/>
        <v>-1072837753.8035761</v>
      </c>
      <c r="AW77" s="13">
        <f t="shared" si="37"/>
        <v>-1032426811.8015814</v>
      </c>
      <c r="AX77" s="13">
        <f t="shared" si="37"/>
        <v>-989326872.70656312</v>
      </c>
      <c r="AY77" s="13">
        <f t="shared" si="37"/>
        <v>-944595582.79754877</v>
      </c>
      <c r="AZ77" s="13">
        <f t="shared" si="37"/>
        <v>-899180039.77782607</v>
      </c>
      <c r="BA77" s="13">
        <f t="shared" si="37"/>
        <v>-853891723.26573992</v>
      </c>
      <c r="BB77" s="13">
        <f t="shared" si="37"/>
        <v>-809401219.36246073</v>
      </c>
      <c r="BC77" s="13">
        <f t="shared" si="37"/>
        <v>-766243633.11285543</v>
      </c>
      <c r="BD77" s="13">
        <f t="shared" si="37"/>
        <v>-724829178.47053218</v>
      </c>
      <c r="BE77" s="13">
        <f t="shared" si="37"/>
        <v>-685455753.81152594</v>
      </c>
      <c r="BF77" s="13">
        <f t="shared" si="37"/>
        <v>-648321752.71925747</v>
      </c>
      <c r="BG77" s="13">
        <f t="shared" si="37"/>
        <v>-613538227.65336967</v>
      </c>
      <c r="BH77" s="13">
        <f t="shared" si="37"/>
        <v>-581140028.72035503</v>
      </c>
      <c r="BI77" s="13">
        <f t="shared" si="37"/>
        <v>-551095820.45279288</v>
      </c>
      <c r="BJ77" s="13">
        <f t="shared" si="37"/>
        <v>-523317025.67590237</v>
      </c>
      <c r="BK77" s="13">
        <f t="shared" si="37"/>
        <v>-497665813.20753509</v>
      </c>
      <c r="BL77" s="13">
        <f t="shared" si="37"/>
        <v>-473962269.69676274</v>
      </c>
      <c r="BM77" s="13">
        <f t="shared" si="37"/>
        <v>-451990896.06291509</v>
      </c>
      <c r="BN77" s="13">
        <f t="shared" si="37"/>
        <v>-431506557.93790579</v>
      </c>
      <c r="BO77" s="13">
        <f t="shared" si="37"/>
        <v>-412240004.20939988</v>
      </c>
      <c r="BP77" s="13">
        <f t="shared" si="37"/>
        <v>-393903052.04103863</v>
      </c>
      <c r="BQ77" s="13">
        <f t="shared" si="37"/>
        <v>-376193522.59168124</v>
      </c>
      <c r="BR77" s="13">
        <f t="shared" si="37"/>
        <v>-358800000</v>
      </c>
      <c r="BT77" s="47"/>
      <c r="BU77" s="26">
        <v>9.0000000000000011E-2</v>
      </c>
      <c r="BV77" s="13">
        <f t="shared" si="44"/>
        <v>0.40647187995004247</v>
      </c>
      <c r="BW77" s="13">
        <f t="shared" si="44"/>
        <v>0.40647187995004247</v>
      </c>
      <c r="BX77" s="13">
        <f t="shared" si="38"/>
        <v>0.40647187995004247</v>
      </c>
      <c r="BY77" s="13">
        <f t="shared" si="38"/>
        <v>0.40647187995004247</v>
      </c>
      <c r="BZ77" s="13">
        <f t="shared" si="38"/>
        <v>0.40647187995004247</v>
      </c>
      <c r="CA77" s="13">
        <f t="shared" si="38"/>
        <v>0.40647187995004247</v>
      </c>
      <c r="CB77" s="13">
        <f t="shared" si="38"/>
        <v>0.40647187995004247</v>
      </c>
      <c r="CC77" s="13">
        <f t="shared" si="38"/>
        <v>0.40647187995004247</v>
      </c>
      <c r="CD77" s="13">
        <f t="shared" si="38"/>
        <v>0.40647187995004247</v>
      </c>
      <c r="CE77" s="13">
        <f t="shared" si="38"/>
        <v>0.40647187995004247</v>
      </c>
      <c r="CF77" s="13">
        <f t="shared" si="38"/>
        <v>0.40647187995004247</v>
      </c>
      <c r="CG77" s="13">
        <f t="shared" si="38"/>
        <v>0.40647187995004247</v>
      </c>
      <c r="CH77" s="13">
        <f t="shared" si="38"/>
        <v>0.40647187995004247</v>
      </c>
      <c r="CI77" s="13">
        <f t="shared" si="38"/>
        <v>0.40647187995004247</v>
      </c>
      <c r="CJ77" s="13">
        <f t="shared" si="38"/>
        <v>0.40647187995004247</v>
      </c>
      <c r="CK77" s="13">
        <f t="shared" si="38"/>
        <v>0.40647187995004247</v>
      </c>
      <c r="CL77" s="13">
        <f t="shared" si="38"/>
        <v>0.40647187995004247</v>
      </c>
      <c r="CM77" s="13">
        <f t="shared" si="38"/>
        <v>0.40647187995004247</v>
      </c>
      <c r="CN77" s="13">
        <f t="shared" si="38"/>
        <v>0.40647187995004247</v>
      </c>
      <c r="CO77" s="13">
        <f t="shared" si="38"/>
        <v>0.40647187995004247</v>
      </c>
      <c r="CP77" s="13">
        <f t="shared" si="38"/>
        <v>0.40647187995004247</v>
      </c>
      <c r="CQ77" s="13">
        <f t="shared" si="38"/>
        <v>0.40647187995004247</v>
      </c>
      <c r="CR77" s="13">
        <f t="shared" si="38"/>
        <v>0.40647187995004247</v>
      </c>
      <c r="CS77" s="13">
        <f t="shared" si="38"/>
        <v>0.40647187995004247</v>
      </c>
      <c r="CT77" s="13">
        <f t="shared" si="38"/>
        <v>0.40647187995004247</v>
      </c>
      <c r="CU77" s="13">
        <f t="shared" si="38"/>
        <v>0.40647187995004247</v>
      </c>
      <c r="CV77" s="13">
        <f t="shared" si="38"/>
        <v>0.40647187995004247</v>
      </c>
      <c r="CW77" s="13">
        <f t="shared" si="38"/>
        <v>0.40647187995004247</v>
      </c>
      <c r="CX77" s="13">
        <f t="shared" si="38"/>
        <v>0.40647187995004247</v>
      </c>
      <c r="CY77" s="13">
        <f t="shared" si="38"/>
        <v>0.40647187995004247</v>
      </c>
      <c r="CZ77" s="13">
        <f t="shared" si="38"/>
        <v>0.40647187995004247</v>
      </c>
      <c r="DB77" s="47"/>
      <c r="DC77" s="26">
        <v>9.0000000000000011E-2</v>
      </c>
      <c r="DD77" s="13">
        <f t="shared" si="45"/>
        <v>178.05843601498725</v>
      </c>
      <c r="DE77" s="13">
        <f t="shared" si="39"/>
        <v>208.04113529454114</v>
      </c>
      <c r="DF77" s="13">
        <f t="shared" si="39"/>
        <v>204.78773604561147</v>
      </c>
      <c r="DG77" s="13">
        <f t="shared" si="39"/>
        <v>202.65155255491374</v>
      </c>
      <c r="DH77" s="13">
        <f t="shared" si="39"/>
        <v>200.1653055974742</v>
      </c>
      <c r="DI77" s="13">
        <f t="shared" si="39"/>
        <v>196.71949829803998</v>
      </c>
      <c r="DJ77" s="13">
        <f t="shared" si="39"/>
        <v>192.16379874747696</v>
      </c>
      <c r="DK77" s="13">
        <f t="shared" si="39"/>
        <v>186.57779340129116</v>
      </c>
      <c r="DL77" s="13">
        <f t="shared" si="39"/>
        <v>180.14269727035179</v>
      </c>
      <c r="DM77" s="13">
        <f t="shared" si="39"/>
        <v>173.07200311003581</v>
      </c>
      <c r="DN77" s="13">
        <f t="shared" si="39"/>
        <v>165.57584599345284</v>
      </c>
      <c r="DO77" s="13">
        <f t="shared" si="39"/>
        <v>157.84421709362837</v>
      </c>
      <c r="DP77" s="13">
        <f t="shared" si="39"/>
        <v>150.04041005397684</v>
      </c>
      <c r="DQ77" s="13">
        <f t="shared" si="39"/>
        <v>142.29979127103169</v>
      </c>
      <c r="DR77" s="13">
        <f t="shared" si="39"/>
        <v>134.73115398753842</v>
      </c>
      <c r="DS77" s="13">
        <f t="shared" si="39"/>
        <v>127.41916699525176</v>
      </c>
      <c r="DT77" s="13">
        <f t="shared" si="39"/>
        <v>120.42713958909717</v>
      </c>
      <c r="DU77" s="13">
        <f t="shared" si="39"/>
        <v>113.79972108060903</v>
      </c>
      <c r="DV77" s="13">
        <f t="shared" si="39"/>
        <v>107.56536918788368</v>
      </c>
      <c r="DW77" s="13">
        <f t="shared" si="39"/>
        <v>101.73853510100194</v>
      </c>
      <c r="DX77" s="13">
        <f t="shared" si="39"/>
        <v>96.321569263083404</v>
      </c>
      <c r="DY77" s="13">
        <f t="shared" si="39"/>
        <v>91.306376900373877</v>
      </c>
      <c r="DZ77" s="13">
        <f t="shared" si="39"/>
        <v>86.675860828854212</v>
      </c>
      <c r="EA77" s="13">
        <f t="shared" si="39"/>
        <v>82.405189307882424</v>
      </c>
      <c r="EB77" s="13">
        <f t="shared" si="39"/>
        <v>78.462923224740166</v>
      </c>
      <c r="EC77" s="13">
        <f t="shared" si="39"/>
        <v>74.812032084158531</v>
      </c>
      <c r="ED77" s="13">
        <f t="shared" si="39"/>
        <v>71.410823366122898</v>
      </c>
      <c r="EE77" s="13">
        <f t="shared" si="39"/>
        <v>68.213805374869679</v>
      </c>
      <c r="EF77" s="13">
        <f t="shared" si="39"/>
        <v>65.172499956137784</v>
      </c>
      <c r="EG77" s="13">
        <f t="shared" si="39"/>
        <v>62.236218456471747</v>
      </c>
      <c r="EH77" s="13">
        <f t="shared" si="39"/>
        <v>59.352812004995762</v>
      </c>
    </row>
    <row r="78" spans="5:138" x14ac:dyDescent="0.25">
      <c r="E78" s="49"/>
      <c r="F78" s="26">
        <v>8.666666666666667E-2</v>
      </c>
      <c r="G78" s="13">
        <f t="shared" si="40"/>
        <v>300</v>
      </c>
      <c r="H78" s="13">
        <f t="shared" si="46"/>
        <v>352.74337311026056</v>
      </c>
      <c r="I78" s="13">
        <f t="shared" si="41"/>
        <v>347.62782738011788</v>
      </c>
      <c r="J78" s="13">
        <f t="shared" si="41"/>
        <v>344.70231795722668</v>
      </c>
      <c r="K78" s="13">
        <f t="shared" si="41"/>
        <v>340.93444636034747</v>
      </c>
      <c r="L78" s="13">
        <f t="shared" si="41"/>
        <v>335.21952792237425</v>
      </c>
      <c r="M78" s="13">
        <f t="shared" si="41"/>
        <v>327.37805011000182</v>
      </c>
      <c r="N78" s="13">
        <f t="shared" si="41"/>
        <v>317.64300096399808</v>
      </c>
      <c r="O78" s="13">
        <f t="shared" si="41"/>
        <v>306.40212008763024</v>
      </c>
      <c r="P78" s="13">
        <f t="shared" si="41"/>
        <v>294.07257879607732</v>
      </c>
      <c r="Q78" s="13">
        <f t="shared" si="41"/>
        <v>281.04388501039028</v>
      </c>
      <c r="R78" s="13">
        <f t="shared" si="41"/>
        <v>267.65530991214592</v>
      </c>
      <c r="S78" s="13">
        <f t="shared" si="41"/>
        <v>254.1902048763082</v>
      </c>
      <c r="T78" s="13">
        <f>CI78*T77+DQ78</f>
        <v>240.87807724922254</v>
      </c>
      <c r="U78" s="13">
        <f t="shared" si="41"/>
        <v>227.89978858697347</v>
      </c>
      <c r="V78" s="13">
        <f t="shared" si="41"/>
        <v>215.39360416060515</v>
      </c>
      <c r="W78" s="13">
        <f t="shared" si="41"/>
        <v>203.4610526295462</v>
      </c>
      <c r="X78" s="13">
        <f t="shared" si="41"/>
        <v>192.17218094917627</v>
      </c>
      <c r="Y78" s="13">
        <f t="shared" si="41"/>
        <v>181.57009650216639</v>
      </c>
      <c r="Z78" s="13">
        <f t="shared" si="41"/>
        <v>171.67482880425126</v>
      </c>
      <c r="AA78" s="13">
        <f t="shared" si="41"/>
        <v>162.48659856159608</v>
      </c>
      <c r="AB78" s="13">
        <f t="shared" si="41"/>
        <v>153.98859565381574</v>
      </c>
      <c r="AC78" s="13">
        <f t="shared" si="41"/>
        <v>146.14936243554135</v>
      </c>
      <c r="AD78" s="13">
        <f t="shared" si="41"/>
        <v>138.9248661600368</v>
      </c>
      <c r="AE78" s="13">
        <f t="shared" si="41"/>
        <v>132.26033000724811</v>
      </c>
      <c r="AF78" s="13">
        <f t="shared" si="41"/>
        <v>126.09187873554245</v>
      </c>
      <c r="AG78" s="13">
        <f t="shared" si="41"/>
        <v>120.34804338420719</v>
      </c>
      <c r="AH78" s="13">
        <f t="shared" si="41"/>
        <v>114.95115997361324</v>
      </c>
      <c r="AI78" s="13">
        <f t="shared" si="41"/>
        <v>109.81868967396713</v>
      </c>
      <c r="AJ78" s="13">
        <f t="shared" si="41"/>
        <v>104.86448220247424</v>
      </c>
      <c r="AK78" s="13">
        <f t="shared" si="42"/>
        <v>100</v>
      </c>
      <c r="AL78" s="47"/>
      <c r="AM78" s="26">
        <v>8.666666666666667E-2</v>
      </c>
      <c r="AN78" s="13">
        <f t="shared" si="43"/>
        <v>-1076400000</v>
      </c>
      <c r="AO78" s="13">
        <f t="shared" si="37"/>
        <v>-1400402499.9616785</v>
      </c>
      <c r="AP78" s="13">
        <f t="shared" si="37"/>
        <v>-1303344980.3075349</v>
      </c>
      <c r="AQ78" s="13">
        <f t="shared" si="37"/>
        <v>-1255562675.2678704</v>
      </c>
      <c r="AR78" s="13">
        <f t="shared" si="37"/>
        <v>-1225077615.5559771</v>
      </c>
      <c r="AS78" s="13">
        <f t="shared" si="37"/>
        <v>-1197509958.0307493</v>
      </c>
      <c r="AT78" s="13">
        <f t="shared" si="37"/>
        <v>-1167046781.7847016</v>
      </c>
      <c r="AU78" s="13">
        <f t="shared" si="37"/>
        <v>-1131958863.5571816</v>
      </c>
      <c r="AV78" s="13">
        <f t="shared" si="37"/>
        <v>-1092374222.4629009</v>
      </c>
      <c r="AW78" s="13">
        <f t="shared" si="37"/>
        <v>-1049180377.8401943</v>
      </c>
      <c r="AX78" s="13">
        <f t="shared" si="37"/>
        <v>-1003493673.8534702</v>
      </c>
      <c r="AY78" s="13">
        <f t="shared" si="37"/>
        <v>-956413323.67227912</v>
      </c>
      <c r="AZ78" s="13">
        <f t="shared" si="37"/>
        <v>-908917226.85335636</v>
      </c>
      <c r="BA78" s="13">
        <f t="shared" si="37"/>
        <v>-861826954.27935946</v>
      </c>
      <c r="BB78" s="13">
        <f t="shared" si="37"/>
        <v>-815805106.07978761</v>
      </c>
      <c r="BC78" s="13">
        <f t="shared" si="37"/>
        <v>-771366588.03141141</v>
      </c>
      <c r="BD78" s="13">
        <f t="shared" si="37"/>
        <v>-728894761.11070764</v>
      </c>
      <c r="BE78" s="13">
        <f t="shared" si="37"/>
        <v>-688658226.80949354</v>
      </c>
      <c r="BF78" s="13">
        <f t="shared" si="37"/>
        <v>-650826437.39744496</v>
      </c>
      <c r="BG78" s="13">
        <f t="shared" si="37"/>
        <v>-615483514.21641588</v>
      </c>
      <c r="BH78" s="13">
        <f t="shared" si="37"/>
        <v>-582640216.60715902</v>
      </c>
      <c r="BI78" s="13">
        <f t="shared" si="37"/>
        <v>-552244241.75935149</v>
      </c>
      <c r="BJ78" s="13">
        <f t="shared" si="37"/>
        <v>-524189114.70186114</v>
      </c>
      <c r="BK78" s="13">
        <f t="shared" si="37"/>
        <v>-498321932.25974107</v>
      </c>
      <c r="BL78" s="13">
        <f t="shared" si="37"/>
        <v>-474450198.14714122</v>
      </c>
      <c r="BM78" s="13">
        <f t="shared" si="37"/>
        <v>-452347949.75625592</v>
      </c>
      <c r="BN78" s="13">
        <f t="shared" si="37"/>
        <v>-431761340.64862889</v>
      </c>
      <c r="BO78" s="13">
        <f t="shared" si="37"/>
        <v>-412413810.48517287</v>
      </c>
      <c r="BP78" s="13">
        <f t="shared" si="37"/>
        <v>-394010947.51732552</v>
      </c>
      <c r="BQ78" s="13">
        <f t="shared" si="37"/>
        <v>-376245127.85093182</v>
      </c>
      <c r="BR78" s="13">
        <f t="shared" si="37"/>
        <v>-358800000</v>
      </c>
      <c r="BT78" s="47"/>
      <c r="BU78" s="26">
        <v>8.666666666666667E-2</v>
      </c>
      <c r="BV78" s="13">
        <f t="shared" si="44"/>
        <v>0.40647187995004247</v>
      </c>
      <c r="BW78" s="13">
        <f t="shared" si="44"/>
        <v>0.40647187995004247</v>
      </c>
      <c r="BX78" s="13">
        <f t="shared" si="38"/>
        <v>0.40647187995004247</v>
      </c>
      <c r="BY78" s="13">
        <f t="shared" si="38"/>
        <v>0.40647187995004247</v>
      </c>
      <c r="BZ78" s="13">
        <f t="shared" si="38"/>
        <v>0.40647187995004247</v>
      </c>
      <c r="CA78" s="13">
        <f t="shared" si="38"/>
        <v>0.40647187995004247</v>
      </c>
      <c r="CB78" s="13">
        <f t="shared" si="38"/>
        <v>0.40647187995004247</v>
      </c>
      <c r="CC78" s="13">
        <f t="shared" si="38"/>
        <v>0.40647187995004247</v>
      </c>
      <c r="CD78" s="13">
        <f t="shared" si="38"/>
        <v>0.40647187995004247</v>
      </c>
      <c r="CE78" s="13">
        <f t="shared" si="38"/>
        <v>0.40647187995004247</v>
      </c>
      <c r="CF78" s="13">
        <f t="shared" si="38"/>
        <v>0.40647187995004247</v>
      </c>
      <c r="CG78" s="13">
        <f t="shared" si="38"/>
        <v>0.40647187995004247</v>
      </c>
      <c r="CH78" s="13">
        <f t="shared" si="38"/>
        <v>0.40647187995004247</v>
      </c>
      <c r="CI78" s="13">
        <f t="shared" si="38"/>
        <v>0.40647187995004247</v>
      </c>
      <c r="CJ78" s="13">
        <f t="shared" si="38"/>
        <v>0.40647187995004247</v>
      </c>
      <c r="CK78" s="13">
        <f t="shared" si="38"/>
        <v>0.40647187995004247</v>
      </c>
      <c r="CL78" s="13">
        <f t="shared" si="38"/>
        <v>0.40647187995004247</v>
      </c>
      <c r="CM78" s="13">
        <f t="shared" si="38"/>
        <v>0.40647187995004247</v>
      </c>
      <c r="CN78" s="13">
        <f t="shared" si="38"/>
        <v>0.40647187995004247</v>
      </c>
      <c r="CO78" s="13">
        <f t="shared" si="38"/>
        <v>0.40647187995004247</v>
      </c>
      <c r="CP78" s="13">
        <f t="shared" si="38"/>
        <v>0.40647187995004247</v>
      </c>
      <c r="CQ78" s="13">
        <f t="shared" si="38"/>
        <v>0.40647187995004247</v>
      </c>
      <c r="CR78" s="13">
        <f t="shared" si="38"/>
        <v>0.40647187995004247</v>
      </c>
      <c r="CS78" s="13">
        <f t="shared" si="38"/>
        <v>0.40647187995004247</v>
      </c>
      <c r="CT78" s="13">
        <f t="shared" si="38"/>
        <v>0.40647187995004247</v>
      </c>
      <c r="CU78" s="13">
        <f t="shared" si="38"/>
        <v>0.40647187995004247</v>
      </c>
      <c r="CV78" s="13">
        <f t="shared" si="38"/>
        <v>0.40647187995004247</v>
      </c>
      <c r="CW78" s="13">
        <f t="shared" si="38"/>
        <v>0.40647187995004247</v>
      </c>
      <c r="CX78" s="13">
        <f t="shared" si="38"/>
        <v>0.40647187995004247</v>
      </c>
      <c r="CY78" s="13">
        <f t="shared" si="38"/>
        <v>0.40647187995004247</v>
      </c>
      <c r="CZ78" s="13">
        <f t="shared" si="38"/>
        <v>0.40647187995004247</v>
      </c>
      <c r="DB78" s="47"/>
      <c r="DC78" s="26">
        <v>8.666666666666667E-2</v>
      </c>
      <c r="DD78" s="13">
        <f t="shared" si="45"/>
        <v>178.05843601498725</v>
      </c>
      <c r="DE78" s="13">
        <f t="shared" si="39"/>
        <v>214.37704295127429</v>
      </c>
      <c r="DF78" s="13">
        <f t="shared" si="39"/>
        <v>210.07637579983236</v>
      </c>
      <c r="DG78" s="13">
        <f t="shared" si="39"/>
        <v>207.95943307978689</v>
      </c>
      <c r="DH78" s="13">
        <f t="shared" si="39"/>
        <v>205.56103642579961</v>
      </c>
      <c r="DI78" s="13">
        <f t="shared" si="39"/>
        <v>201.99525224573449</v>
      </c>
      <c r="DJ78" s="13">
        <f t="shared" si="39"/>
        <v>197.10314955131037</v>
      </c>
      <c r="DK78" s="13">
        <f t="shared" si="39"/>
        <v>191.03443276401282</v>
      </c>
      <c r="DL78" s="13">
        <f t="shared" si="39"/>
        <v>184.0465706307557</v>
      </c>
      <c r="DM78" s="13">
        <f t="shared" si="39"/>
        <v>176.41238282100969</v>
      </c>
      <c r="DN78" s="13">
        <f t="shared" si="39"/>
        <v>168.38098947035905</v>
      </c>
      <c r="DO78" s="13">
        <f t="shared" si="39"/>
        <v>160.16433575649589</v>
      </c>
      <c r="DP78" s="13">
        <f t="shared" si="39"/>
        <v>151.93538828847196</v>
      </c>
      <c r="DQ78" s="13">
        <f t="shared" si="39"/>
        <v>143.83116519968684</v>
      </c>
      <c r="DR78" s="13">
        <f t="shared" si="39"/>
        <v>135.95734173964976</v>
      </c>
      <c r="DS78" s="13">
        <f t="shared" si="39"/>
        <v>128.39296720213693</v>
      </c>
      <c r="DT78" s="13">
        <f t="shared" si="39"/>
        <v>121.19470928843401</v>
      </c>
      <c r="DU78" s="13">
        <f t="shared" si="39"/>
        <v>114.40045787253135</v>
      </c>
      <c r="DV78" s="13">
        <f t="shared" si="39"/>
        <v>108.0323033287158</v>
      </c>
      <c r="DW78" s="13">
        <f t="shared" si="39"/>
        <v>102.09897413387181</v>
      </c>
      <c r="DX78" s="13">
        <f t="shared" si="39"/>
        <v>96.597834935789663</v>
      </c>
      <c r="DY78" s="13">
        <f t="shared" si="39"/>
        <v>91.516539967762981</v>
      </c>
      <c r="DZ78" s="13">
        <f t="shared" si="39"/>
        <v>86.834422279645864</v>
      </c>
      <c r="EA78" s="13">
        <f t="shared" si="39"/>
        <v>82.523683508640346</v>
      </c>
      <c r="EB78" s="13">
        <f t="shared" si="39"/>
        <v>78.550434644679839</v>
      </c>
      <c r="EC78" s="13">
        <f t="shared" si="39"/>
        <v>74.875626374390521</v>
      </c>
      <c r="ED78" s="13">
        <f t="shared" si="39"/>
        <v>71.45589817740823</v>
      </c>
      <c r="EE78" s="13">
        <f t="shared" si="39"/>
        <v>68.244368121540418</v>
      </c>
      <c r="EF78" s="13">
        <f t="shared" si="39"/>
        <v>65.19137988516735</v>
      </c>
      <c r="EG78" s="13">
        <f t="shared" si="39"/>
        <v>62.24521956555877</v>
      </c>
      <c r="EH78" s="13">
        <f t="shared" si="39"/>
        <v>59.352812004995762</v>
      </c>
    </row>
    <row r="79" spans="5:138" x14ac:dyDescent="0.25">
      <c r="E79" s="49"/>
      <c r="F79" s="26">
        <v>8.3333333333333343E-2</v>
      </c>
      <c r="G79" s="13">
        <f t="shared" si="40"/>
        <v>300</v>
      </c>
      <c r="H79" s="13">
        <f t="shared" si="46"/>
        <v>332.52807204780243</v>
      </c>
      <c r="I79" s="13">
        <f t="shared" si="41"/>
        <v>343.31211297960783</v>
      </c>
      <c r="J79" s="13">
        <f t="shared" si="41"/>
        <v>348.45650379583827</v>
      </c>
      <c r="K79" s="13">
        <f t="shared" si="41"/>
        <v>348.38798799303731</v>
      </c>
      <c r="L79" s="13">
        <f t="shared" si="41"/>
        <v>343.95136517613298</v>
      </c>
      <c r="M79" s="13">
        <f t="shared" si="41"/>
        <v>336.08675453514246</v>
      </c>
      <c r="N79" s="13">
        <f t="shared" si="41"/>
        <v>325.67484797222494</v>
      </c>
      <c r="O79" s="13">
        <f t="shared" si="41"/>
        <v>313.47575151027542</v>
      </c>
      <c r="P79" s="13">
        <f t="shared" si="41"/>
        <v>300.11584643480961</v>
      </c>
      <c r="Q79" s="13">
        <f t="shared" si="41"/>
        <v>286.09669247269221</v>
      </c>
      <c r="R79" s="13">
        <f t="shared" si="41"/>
        <v>271.81210981271187</v>
      </c>
      <c r="S79" s="13">
        <f t="shared" si="41"/>
        <v>257.56659674840176</v>
      </c>
      <c r="T79" s="13">
        <f t="shared" si="41"/>
        <v>243.59208578666312</v>
      </c>
      <c r="U79" s="13">
        <f t="shared" si="41"/>
        <v>230.06202542167711</v>
      </c>
      <c r="V79" s="13">
        <f t="shared" si="41"/>
        <v>217.10271988250702</v>
      </c>
      <c r="W79" s="13">
        <f t="shared" si="41"/>
        <v>204.80225202781736</v>
      </c>
      <c r="X79" s="13">
        <f t="shared" si="41"/>
        <v>193.21743085831127</v>
      </c>
      <c r="Y79" s="13">
        <f t="shared" si="41"/>
        <v>182.37919443659808</v>
      </c>
      <c r="Z79" s="13">
        <f t="shared" si="41"/>
        <v>172.296838786221</v>
      </c>
      <c r="AA79" s="13">
        <f t="shared" si="41"/>
        <v>162.9613712636845</v>
      </c>
      <c r="AB79" s="13">
        <f t="shared" si="41"/>
        <v>154.34821956592788</v>
      </c>
      <c r="AC79" s="13">
        <f t="shared" si="41"/>
        <v>146.41947091375388</v>
      </c>
      <c r="AD79" s="13">
        <f t="shared" si="41"/>
        <v>139.12577098062764</v>
      </c>
      <c r="AE79" s="13">
        <f t="shared" si="41"/>
        <v>132.40797765103474</v>
      </c>
      <c r="AF79" s="13">
        <f t="shared" si="41"/>
        <v>126.19863885828896</v>
      </c>
      <c r="AG79" s="13">
        <f t="shared" si="41"/>
        <v>120.42334471826661</v>
      </c>
      <c r="AH79" s="13">
        <f t="shared" si="41"/>
        <v>115.00199033626444</v>
      </c>
      <c r="AI79" s="13">
        <f t="shared" si="41"/>
        <v>109.84997572431917</v>
      </c>
      <c r="AJ79" s="13">
        <f t="shared" si="41"/>
        <v>104.87936222957046</v>
      </c>
      <c r="AK79" s="13">
        <f t="shared" si="42"/>
        <v>100</v>
      </c>
      <c r="AL79" s="47"/>
      <c r="AM79" s="26">
        <v>8.3333333333333343E-2</v>
      </c>
      <c r="AN79" s="13">
        <f t="shared" si="43"/>
        <v>-1076400000</v>
      </c>
      <c r="AO79" s="13">
        <f t="shared" si="37"/>
        <v>-1155781908.3092864</v>
      </c>
      <c r="AP79" s="13">
        <f t="shared" si="37"/>
        <v>-1203160416.4884312</v>
      </c>
      <c r="AQ79" s="13">
        <f t="shared" si="37"/>
        <v>-1226406931.4958889</v>
      </c>
      <c r="AR79" s="13">
        <f t="shared" si="37"/>
        <v>-1230007278.6312375</v>
      </c>
      <c r="AS79" s="13">
        <f t="shared" si="37"/>
        <v>-1217618442.950644</v>
      </c>
      <c r="AT79" s="13">
        <f t="shared" si="37"/>
        <v>-1192607170.9606102</v>
      </c>
      <c r="AU79" s="13">
        <f t="shared" si="37"/>
        <v>-1158040854.8360384</v>
      </c>
      <c r="AV79" s="13">
        <f t="shared" si="37"/>
        <v>-1116604047.4551907</v>
      </c>
      <c r="AW79" s="13">
        <f t="shared" si="37"/>
        <v>-1070558475.3697468</v>
      </c>
      <c r="AX79" s="13">
        <f t="shared" si="37"/>
        <v>-1021752786.3966732</v>
      </c>
      <c r="AY79" s="13">
        <f t="shared" si="37"/>
        <v>-971662822.94914269</v>
      </c>
      <c r="AZ79" s="13">
        <f t="shared" si="37"/>
        <v>-921444227.6519388</v>
      </c>
      <c r="BA79" s="13">
        <f t="shared" si="37"/>
        <v>-871985715.15265763</v>
      </c>
      <c r="BB79" s="13">
        <f t="shared" si="37"/>
        <v>-823957080.88663363</v>
      </c>
      <c r="BC79" s="13">
        <f t="shared" si="37"/>
        <v>-777849765.45675635</v>
      </c>
      <c r="BD79" s="13">
        <f t="shared" si="37"/>
        <v>-734009861.69421601</v>
      </c>
      <c r="BE79" s="13">
        <f t="shared" si="37"/>
        <v>-692664411.48161578</v>
      </c>
      <c r="BF79" s="13">
        <f t="shared" si="37"/>
        <v>-653942161.53280377</v>
      </c>
      <c r="BG79" s="13">
        <f t="shared" si="37"/>
        <v>-617889943.98730075</v>
      </c>
      <c r="BH79" s="13">
        <f t="shared" si="37"/>
        <v>-584485703.29148626</v>
      </c>
      <c r="BI79" s="13">
        <f t="shared" si="37"/>
        <v>-553649004.40371048</v>
      </c>
      <c r="BJ79" s="13">
        <f t="shared" si="37"/>
        <v>-525249676.63869315</v>
      </c>
      <c r="BK79" s="13">
        <f t="shared" si="37"/>
        <v>-499115091.83795851</v>
      </c>
      <c r="BL79" s="13">
        <f t="shared" si="37"/>
        <v>-475036449.88849795</v>
      </c>
      <c r="BM79" s="13">
        <f t="shared" si="37"/>
        <v>-452774347.1226626</v>
      </c>
      <c r="BN79" s="13">
        <f t="shared" si="37"/>
        <v>-432063829.53233045</v>
      </c>
      <c r="BO79" s="13">
        <f t="shared" si="37"/>
        <v>-412619078.28106034</v>
      </c>
      <c r="BP79" s="13">
        <f t="shared" si="37"/>
        <v>-394137835.40463787</v>
      </c>
      <c r="BQ79" s="13">
        <f t="shared" si="37"/>
        <v>-376305649.31333393</v>
      </c>
      <c r="BR79" s="13">
        <f t="shared" si="37"/>
        <v>-358800000</v>
      </c>
      <c r="BT79" s="47"/>
      <c r="BU79" s="26">
        <v>8.3333333333333343E-2</v>
      </c>
      <c r="BV79" s="13">
        <f t="shared" si="44"/>
        <v>0.40647187995004247</v>
      </c>
      <c r="BW79" s="13">
        <f t="shared" si="44"/>
        <v>0.40647187995004247</v>
      </c>
      <c r="BX79" s="13">
        <f t="shared" si="38"/>
        <v>0.40647187995004247</v>
      </c>
      <c r="BY79" s="13">
        <f t="shared" si="38"/>
        <v>0.40647187995004247</v>
      </c>
      <c r="BZ79" s="13">
        <f t="shared" si="38"/>
        <v>0.40647187995004247</v>
      </c>
      <c r="CA79" s="13">
        <f t="shared" si="38"/>
        <v>0.40647187995004247</v>
      </c>
      <c r="CB79" s="13">
        <f t="shared" si="38"/>
        <v>0.40647187995004247</v>
      </c>
      <c r="CC79" s="13">
        <f t="shared" si="38"/>
        <v>0.40647187995004247</v>
      </c>
      <c r="CD79" s="13">
        <f t="shared" si="38"/>
        <v>0.40647187995004247</v>
      </c>
      <c r="CE79" s="13">
        <f t="shared" si="38"/>
        <v>0.40647187995004247</v>
      </c>
      <c r="CF79" s="13">
        <f t="shared" si="38"/>
        <v>0.40647187995004247</v>
      </c>
      <c r="CG79" s="13">
        <f t="shared" si="38"/>
        <v>0.40647187995004247</v>
      </c>
      <c r="CH79" s="13">
        <f t="shared" si="38"/>
        <v>0.40647187995004247</v>
      </c>
      <c r="CI79" s="13">
        <f t="shared" si="38"/>
        <v>0.40647187995004247</v>
      </c>
      <c r="CJ79" s="13">
        <f t="shared" si="38"/>
        <v>0.40647187995004247</v>
      </c>
      <c r="CK79" s="13">
        <f t="shared" si="38"/>
        <v>0.40647187995004247</v>
      </c>
      <c r="CL79" s="13">
        <f t="shared" si="38"/>
        <v>0.40647187995004247</v>
      </c>
      <c r="CM79" s="13">
        <f t="shared" si="38"/>
        <v>0.40647187995004247</v>
      </c>
      <c r="CN79" s="13">
        <f t="shared" si="38"/>
        <v>0.40647187995004247</v>
      </c>
      <c r="CO79" s="13">
        <f t="shared" si="38"/>
        <v>0.40647187995004247</v>
      </c>
      <c r="CP79" s="13">
        <f t="shared" si="38"/>
        <v>0.40647187995004247</v>
      </c>
      <c r="CQ79" s="13">
        <f t="shared" si="38"/>
        <v>0.40647187995004247</v>
      </c>
      <c r="CR79" s="13">
        <f t="shared" si="38"/>
        <v>0.40647187995004247</v>
      </c>
      <c r="CS79" s="13">
        <f t="shared" si="38"/>
        <v>0.40647187995004247</v>
      </c>
      <c r="CT79" s="13">
        <f t="shared" si="38"/>
        <v>0.40647187995004247</v>
      </c>
      <c r="CU79" s="13">
        <f t="shared" si="38"/>
        <v>0.40647187995004247</v>
      </c>
      <c r="CV79" s="13">
        <f t="shared" si="38"/>
        <v>0.40647187995004247</v>
      </c>
      <c r="CW79" s="13">
        <f t="shared" si="38"/>
        <v>0.40647187995004247</v>
      </c>
      <c r="CX79" s="13">
        <f t="shared" si="38"/>
        <v>0.40647187995004247</v>
      </c>
      <c r="CY79" s="13">
        <f t="shared" si="38"/>
        <v>0.40647187995004247</v>
      </c>
      <c r="CZ79" s="13">
        <f t="shared" si="38"/>
        <v>0.40647187995004247</v>
      </c>
      <c r="DB79" s="47"/>
      <c r="DC79" s="26">
        <v>8.3333333333333343E-2</v>
      </c>
      <c r="DD79" s="13">
        <f t="shared" si="45"/>
        <v>178.05843601498725</v>
      </c>
      <c r="DE79" s="13">
        <f t="shared" si="39"/>
        <v>189.14781003975554</v>
      </c>
      <c r="DF79" s="13">
        <f t="shared" si="39"/>
        <v>202.01117646146244</v>
      </c>
      <c r="DG79" s="13">
        <f t="shared" si="39"/>
        <v>208.34470459262707</v>
      </c>
      <c r="DH79" s="13">
        <f t="shared" si="39"/>
        <v>209.80772264121995</v>
      </c>
      <c r="DI79" s="13">
        <f t="shared" si="39"/>
        <v>207.69405346555979</v>
      </c>
      <c r="DJ79" s="13">
        <f t="shared" si="39"/>
        <v>203.01678305255081</v>
      </c>
      <c r="DK79" s="13">
        <f t="shared" si="39"/>
        <v>196.56190021741551</v>
      </c>
      <c r="DL79" s="13">
        <f t="shared" si="39"/>
        <v>188.93190573757769</v>
      </c>
      <c r="DM79" s="13">
        <f t="shared" si="39"/>
        <v>180.58361248981106</v>
      </c>
      <c r="DN79" s="13">
        <f t="shared" si="39"/>
        <v>171.86025618405532</v>
      </c>
      <c r="DO79" s="13">
        <f t="shared" si="39"/>
        <v>163.01775281411068</v>
      </c>
      <c r="DP79" s="13">
        <f t="shared" si="39"/>
        <v>154.24542630744233</v>
      </c>
      <c r="DQ79" s="13">
        <f t="shared" si="39"/>
        <v>145.68192088842008</v>
      </c>
      <c r="DR79" s="13">
        <f t="shared" si="39"/>
        <v>137.42716991451275</v>
      </c>
      <c r="DS79" s="13">
        <f t="shared" si="39"/>
        <v>129.55127667013053</v>
      </c>
      <c r="DT79" s="13">
        <f t="shared" si="39"/>
        <v>122.10105546887119</v>
      </c>
      <c r="DU79" s="13">
        <f t="shared" si="39"/>
        <v>115.10484319379987</v>
      </c>
      <c r="DV79" s="13">
        <f t="shared" si="39"/>
        <v>108.5760559686519</v>
      </c>
      <c r="DW79" s="13">
        <f t="shared" si="39"/>
        <v>102.5158483820553</v>
      </c>
      <c r="DX79" s="13">
        <f t="shared" si="39"/>
        <v>96.915138079664672</v>
      </c>
      <c r="DY79" s="13">
        <f t="shared" si="39"/>
        <v>91.756185599654444</v>
      </c>
      <c r="DZ79" s="13">
        <f t="shared" si="39"/>
        <v>87.013864811079273</v>
      </c>
      <c r="EA79" s="13">
        <f t="shared" si="39"/>
        <v>82.656719460749443</v>
      </c>
      <c r="EB79" s="13">
        <f t="shared" si="39"/>
        <v>78.647872670175587</v>
      </c>
      <c r="EC79" s="13">
        <f t="shared" si="39"/>
        <v>74.945835862220235</v>
      </c>
      <c r="ED79" s="13">
        <f t="shared" si="39"/>
        <v>71.505249275578649</v>
      </c>
      <c r="EE79" s="13">
        <f t="shared" si="39"/>
        <v>68.277576239351788</v>
      </c>
      <c r="EF79" s="13">
        <f t="shared" si="39"/>
        <v>65.211766478891434</v>
      </c>
      <c r="EG79" s="13">
        <f t="shared" si="39"/>
        <v>62.254899008742989</v>
      </c>
      <c r="EH79" s="13">
        <f t="shared" si="39"/>
        <v>59.352812004995762</v>
      </c>
    </row>
    <row r="80" spans="5:138" x14ac:dyDescent="0.25">
      <c r="E80" s="49"/>
      <c r="F80" s="26">
        <v>0.08</v>
      </c>
      <c r="G80" s="13">
        <f t="shared" si="40"/>
        <v>300</v>
      </c>
      <c r="H80" s="13">
        <f t="shared" si="46"/>
        <v>321.32939277235596</v>
      </c>
      <c r="I80" s="13">
        <f t="shared" si="41"/>
        <v>345.9151050724314</v>
      </c>
      <c r="J80" s="13">
        <f t="shared" si="41"/>
        <v>357.97276792516925</v>
      </c>
      <c r="K80" s="13">
        <f t="shared" si="41"/>
        <v>360.67457848750985</v>
      </c>
      <c r="L80" s="13">
        <f t="shared" si="41"/>
        <v>356.66365057030737</v>
      </c>
      <c r="M80" s="13">
        <f t="shared" si="41"/>
        <v>348.00128125774222</v>
      </c>
      <c r="N80" s="13">
        <f t="shared" si="41"/>
        <v>336.23821664429357</v>
      </c>
      <c r="O80" s="13">
        <f t="shared" si="41"/>
        <v>322.51724500144172</v>
      </c>
      <c r="P80" s="13">
        <f t="shared" si="41"/>
        <v>307.67051060454429</v>
      </c>
      <c r="Q80" s="13">
        <f t="shared" si="41"/>
        <v>292.29977679377345</v>
      </c>
      <c r="R80" s="13">
        <f t="shared" si="41"/>
        <v>276.83823992073366</v>
      </c>
      <c r="S80" s="13">
        <f t="shared" si="41"/>
        <v>261.5963029879656</v>
      </c>
      <c r="T80" s="13">
        <f t="shared" si="41"/>
        <v>246.7946664617582</v>
      </c>
      <c r="U80" s="13">
        <f t="shared" si="41"/>
        <v>232.58790146564249</v>
      </c>
      <c r="V80" s="13">
        <f t="shared" si="41"/>
        <v>219.08110939225389</v>
      </c>
      <c r="W80" s="13">
        <f t="shared" si="41"/>
        <v>206.34166847478238</v>
      </c>
      <c r="X80" s="13">
        <f t="shared" si="41"/>
        <v>194.40754319208517</v>
      </c>
      <c r="Y80" s="13">
        <f t="shared" si="41"/>
        <v>183.29321703424478</v>
      </c>
      <c r="Z80" s="13">
        <f t="shared" si="41"/>
        <v>172.99399697535506</v>
      </c>
      <c r="AA80" s="13">
        <f t="shared" si="41"/>
        <v>163.48921082630761</v>
      </c>
      <c r="AB80" s="13">
        <f t="shared" si="41"/>
        <v>154.744656859402</v>
      </c>
      <c r="AC80" s="13">
        <f t="shared" si="41"/>
        <v>146.71455161415375</v>
      </c>
      <c r="AD80" s="13">
        <f t="shared" si="41"/>
        <v>139.34314305738593</v>
      </c>
      <c r="AE80" s="13">
        <f t="shared" si="41"/>
        <v>132.56610208791668</v>
      </c>
      <c r="AF80" s="13">
        <f t="shared" si="41"/>
        <v>126.31176832907366</v>
      </c>
      <c r="AG80" s="13">
        <f t="shared" si="41"/>
        <v>120.50230095976806</v>
      </c>
      <c r="AH80" s="13">
        <f t="shared" si="41"/>
        <v>115.0547682944365</v>
      </c>
      <c r="AI80" s="13">
        <f t="shared" si="41"/>
        <v>109.88219836747778</v>
      </c>
      <c r="AJ80" s="13">
        <f t="shared" si="41"/>
        <v>104.89460514709299</v>
      </c>
      <c r="AK80" s="13">
        <f t="shared" si="42"/>
        <v>100</v>
      </c>
      <c r="AL80" s="47"/>
      <c r="AM80" s="26">
        <v>0.08</v>
      </c>
      <c r="AN80" s="13">
        <f t="shared" si="43"/>
        <v>-1076400000</v>
      </c>
      <c r="AO80" s="13">
        <f t="shared" si="37"/>
        <v>-1146692773.0176873</v>
      </c>
      <c r="AP80" s="13">
        <f t="shared" si="37"/>
        <v>-1211927853.148051</v>
      </c>
      <c r="AQ80" s="13">
        <f t="shared" si="37"/>
        <v>-1252534216.1449792</v>
      </c>
      <c r="AR80" s="13">
        <f t="shared" si="37"/>
        <v>-1266544939.7494512</v>
      </c>
      <c r="AS80" s="13">
        <f t="shared" si="37"/>
        <v>-1258024306.5536702</v>
      </c>
      <c r="AT80" s="13">
        <f t="shared" si="37"/>
        <v>-1232367364.1444223</v>
      </c>
      <c r="AU80" s="13">
        <f t="shared" si="37"/>
        <v>-1194562260.2449346</v>
      </c>
      <c r="AV80" s="13">
        <f t="shared" si="37"/>
        <v>-1148687816.400974</v>
      </c>
      <c r="AW80" s="13">
        <f t="shared" si="37"/>
        <v>-1097891922.3007846</v>
      </c>
      <c r="AX80" s="13">
        <f t="shared" si="37"/>
        <v>-1044529454.2011536</v>
      </c>
      <c r="AY80" s="13">
        <f t="shared" si="37"/>
        <v>-990329689.24001825</v>
      </c>
      <c r="AZ80" s="13">
        <f t="shared" si="37"/>
        <v>-936546112.60987628</v>
      </c>
      <c r="BA80" s="13">
        <f t="shared" si="37"/>
        <v>-884076126.63357162</v>
      </c>
      <c r="BB80" s="13">
        <f t="shared" si="37"/>
        <v>-833551517.06573868</v>
      </c>
      <c r="BC80" s="13">
        <f t="shared" si="37"/>
        <v>-785404777.30412662</v>
      </c>
      <c r="BD80" s="13">
        <f t="shared" si="37"/>
        <v>-739916960.13376856</v>
      </c>
      <c r="BE80" s="13">
        <f t="shared" si="37"/>
        <v>-697251989.00059307</v>
      </c>
      <c r="BF80" s="13">
        <f t="shared" si="37"/>
        <v>-657481308.95946884</v>
      </c>
      <c r="BG80" s="13">
        <f t="shared" si="37"/>
        <v>-620601771.39922571</v>
      </c>
      <c r="BH80" s="13">
        <f t="shared" si="37"/>
        <v>-586548842.63656318</v>
      </c>
      <c r="BI80" s="13">
        <f t="shared" si="37"/>
        <v>-555206614.10391462</v>
      </c>
      <c r="BJ80" s="13">
        <f t="shared" si="37"/>
        <v>-526415643.45522851</v>
      </c>
      <c r="BK80" s="13">
        <f t="shared" si="37"/>
        <v>-499979335.68313962</v>
      </c>
      <c r="BL80" s="13">
        <f t="shared" si="37"/>
        <v>-475669348.49349451</v>
      </c>
      <c r="BM80" s="13">
        <f t="shared" si="37"/>
        <v>-453230350.22315973</v>
      </c>
      <c r="BN80" s="13">
        <f t="shared" si="37"/>
        <v>-432384351.42114705</v>
      </c>
      <c r="BO80" s="13">
        <f t="shared" si="37"/>
        <v>-412834758.16485763</v>
      </c>
      <c r="BP80" s="13">
        <f t="shared" si="37"/>
        <v>-394270245.79357105</v>
      </c>
      <c r="BQ80" s="13">
        <f t="shared" si="37"/>
        <v>-376368518.69101185</v>
      </c>
      <c r="BR80" s="13">
        <f t="shared" si="37"/>
        <v>-358800000</v>
      </c>
      <c r="BT80" s="47"/>
      <c r="BU80" s="26">
        <v>0.08</v>
      </c>
      <c r="BV80" s="13">
        <f t="shared" si="44"/>
        <v>0.40647187995004247</v>
      </c>
      <c r="BW80" s="13">
        <f t="shared" si="44"/>
        <v>0.40647187995004247</v>
      </c>
      <c r="BX80" s="13">
        <f t="shared" si="38"/>
        <v>0.40647187995004247</v>
      </c>
      <c r="BY80" s="13">
        <f t="shared" si="38"/>
        <v>0.40647187995004247</v>
      </c>
      <c r="BZ80" s="13">
        <f t="shared" si="38"/>
        <v>0.40647187995004247</v>
      </c>
      <c r="CA80" s="13">
        <f t="shared" si="38"/>
        <v>0.40647187995004247</v>
      </c>
      <c r="CB80" s="13">
        <f t="shared" si="38"/>
        <v>0.40647187995004247</v>
      </c>
      <c r="CC80" s="13">
        <f t="shared" si="38"/>
        <v>0.40647187995004247</v>
      </c>
      <c r="CD80" s="13">
        <f t="shared" si="38"/>
        <v>0.40647187995004247</v>
      </c>
      <c r="CE80" s="13">
        <f t="shared" si="38"/>
        <v>0.40647187995004247</v>
      </c>
      <c r="CF80" s="13">
        <f t="shared" si="38"/>
        <v>0.40647187995004247</v>
      </c>
      <c r="CG80" s="13">
        <f t="shared" si="38"/>
        <v>0.40647187995004247</v>
      </c>
      <c r="CH80" s="13">
        <f t="shared" si="38"/>
        <v>0.40647187995004247</v>
      </c>
      <c r="CI80" s="13">
        <f t="shared" si="38"/>
        <v>0.40647187995004247</v>
      </c>
      <c r="CJ80" s="13">
        <f t="shared" si="38"/>
        <v>0.40647187995004247</v>
      </c>
      <c r="CK80" s="13">
        <f t="shared" si="38"/>
        <v>0.40647187995004247</v>
      </c>
      <c r="CL80" s="13">
        <f t="shared" si="38"/>
        <v>0.40647187995004247</v>
      </c>
      <c r="CM80" s="13">
        <f t="shared" si="38"/>
        <v>0.40647187995004247</v>
      </c>
      <c r="CN80" s="13">
        <f t="shared" si="38"/>
        <v>0.40647187995004247</v>
      </c>
      <c r="CO80" s="13">
        <f t="shared" si="38"/>
        <v>0.40647187995004247</v>
      </c>
      <c r="CP80" s="13">
        <f t="shared" si="38"/>
        <v>0.40647187995004247</v>
      </c>
      <c r="CQ80" s="13">
        <f t="shared" si="38"/>
        <v>0.40647187995004247</v>
      </c>
      <c r="CR80" s="13">
        <f t="shared" si="38"/>
        <v>0.40647187995004247</v>
      </c>
      <c r="CS80" s="13">
        <f t="shared" si="38"/>
        <v>0.40647187995004247</v>
      </c>
      <c r="CT80" s="13">
        <f t="shared" si="38"/>
        <v>0.40647187995004247</v>
      </c>
      <c r="CU80" s="13">
        <f t="shared" si="38"/>
        <v>0.40647187995004247</v>
      </c>
      <c r="CV80" s="13">
        <f t="shared" si="38"/>
        <v>0.40647187995004247</v>
      </c>
      <c r="CW80" s="13">
        <f t="shared" si="38"/>
        <v>0.40647187995004247</v>
      </c>
      <c r="CX80" s="13">
        <f t="shared" si="38"/>
        <v>0.40647187995004247</v>
      </c>
      <c r="CY80" s="13">
        <f t="shared" si="38"/>
        <v>0.40647187995004247</v>
      </c>
      <c r="CZ80" s="13">
        <f t="shared" si="38"/>
        <v>0.40647187995004247</v>
      </c>
      <c r="DB80" s="47"/>
      <c r="DC80" s="26">
        <v>0.08</v>
      </c>
      <c r="DD80" s="13">
        <f t="shared" si="45"/>
        <v>178.05843601498725</v>
      </c>
      <c r="DE80" s="13">
        <f t="shared" si="39"/>
        <v>186.16608219092254</v>
      </c>
      <c r="DF80" s="13">
        <f t="shared" si="39"/>
        <v>206.36838509998887</v>
      </c>
      <c r="DG80" s="13">
        <f t="shared" si="39"/>
        <v>216.3349977464558</v>
      </c>
      <c r="DH80" s="13">
        <f t="shared" si="39"/>
        <v>219.06465805596713</v>
      </c>
      <c r="DI80" s="13">
        <f t="shared" si="39"/>
        <v>216.85709255578107</v>
      </c>
      <c r="DJ80" s="13">
        <f t="shared" si="39"/>
        <v>211.39146631553442</v>
      </c>
      <c r="DK80" s="13">
        <f t="shared" si="39"/>
        <v>203.86054893657902</v>
      </c>
      <c r="DL80" s="13">
        <f t="shared" si="39"/>
        <v>195.09816696630773</v>
      </c>
      <c r="DM80" s="13">
        <f t="shared" si="39"/>
        <v>185.68185830138896</v>
      </c>
      <c r="DN80" s="13">
        <f t="shared" si="39"/>
        <v>176.00951635690907</v>
      </c>
      <c r="DO80" s="13">
        <f t="shared" si="39"/>
        <v>166.35426065197328</v>
      </c>
      <c r="DP80" s="13">
        <f t="shared" si="39"/>
        <v>156.90272419530822</v>
      </c>
      <c r="DQ80" s="13">
        <f t="shared" si="39"/>
        <v>147.78133341110123</v>
      </c>
      <c r="DR80" s="13">
        <f t="shared" si="39"/>
        <v>139.07415748737893</v>
      </c>
      <c r="DS80" s="13">
        <f t="shared" si="39"/>
        <v>130.83495869934382</v>
      </c>
      <c r="DT80" s="13">
        <f t="shared" si="39"/>
        <v>123.09531207503306</v>
      </c>
      <c r="DU80" s="13">
        <f t="shared" si="39"/>
        <v>115.87009083199004</v>
      </c>
      <c r="DV80" s="13">
        <f t="shared" si="39"/>
        <v>109.16120300782643</v>
      </c>
      <c r="DW80" s="13">
        <f t="shared" si="39"/>
        <v>102.96017700447041</v>
      </c>
      <c r="DX80" s="13">
        <f t="shared" si="39"/>
        <v>97.249995889520932</v>
      </c>
      <c r="DY80" s="13">
        <f t="shared" si="39"/>
        <v>92.006445885497357</v>
      </c>
      <c r="DZ80" s="13">
        <f t="shared" si="39"/>
        <v>87.199154010549648</v>
      </c>
      <c r="EA80" s="13">
        <f t="shared" si="39"/>
        <v>82.792429377391159</v>
      </c>
      <c r="EB80" s="13">
        <f t="shared" si="39"/>
        <v>78.745982491717385</v>
      </c>
      <c r="EC80" s="13">
        <f t="shared" si="39"/>
        <v>75.015570345208474</v>
      </c>
      <c r="ED80" s="13">
        <f t="shared" si="39"/>
        <v>71.553597642262218</v>
      </c>
      <c r="EE80" s="13">
        <f t="shared" si="39"/>
        <v>68.309693084458473</v>
      </c>
      <c r="EF80" s="13">
        <f t="shared" si="39"/>
        <v>65.231272222347243</v>
      </c>
      <c r="EG80" s="13">
        <f t="shared" si="39"/>
        <v>62.264093613678</v>
      </c>
      <c r="EH80" s="13">
        <f t="shared" si="39"/>
        <v>59.352812004995762</v>
      </c>
    </row>
    <row r="81" spans="5:138" x14ac:dyDescent="0.25">
      <c r="E81" s="49"/>
      <c r="F81" s="26">
        <v>7.6666666666666675E-2</v>
      </c>
      <c r="G81" s="13">
        <f t="shared" si="40"/>
        <v>300</v>
      </c>
      <c r="H81" s="13">
        <f t="shared" si="46"/>
        <v>311.63725655235044</v>
      </c>
      <c r="I81" s="13">
        <f t="shared" si="41"/>
        <v>355.5749918154562</v>
      </c>
      <c r="J81" s="13">
        <f t="shared" si="41"/>
        <v>375.18760093627043</v>
      </c>
      <c r="K81" s="13">
        <f t="shared" si="41"/>
        <v>379.61707426307748</v>
      </c>
      <c r="L81" s="13">
        <f t="shared" si="41"/>
        <v>374.61382767766838</v>
      </c>
      <c r="M81" s="13">
        <f t="shared" si="41"/>
        <v>363.84364204033153</v>
      </c>
      <c r="N81" s="13">
        <f t="shared" si="41"/>
        <v>349.66643098660148</v>
      </c>
      <c r="O81" s="13">
        <f t="shared" si="41"/>
        <v>333.61285894289762</v>
      </c>
      <c r="P81" s="13">
        <f t="shared" si="41"/>
        <v>316.6816650516509</v>
      </c>
      <c r="Q81" s="13">
        <f t="shared" si="41"/>
        <v>299.5275338044454</v>
      </c>
      <c r="R81" s="13">
        <f t="shared" si="41"/>
        <v>282.58077476198582</v>
      </c>
      <c r="S81" s="13">
        <f t="shared" si="41"/>
        <v>266.12393737026952</v>
      </c>
      <c r="T81" s="13">
        <f t="shared" si="41"/>
        <v>250.34099994632592</v>
      </c>
      <c r="U81" s="13">
        <f t="shared" si="41"/>
        <v>235.34901262868669</v>
      </c>
      <c r="V81" s="13">
        <f t="shared" si="41"/>
        <v>221.2184948428897</v>
      </c>
      <c r="W81" s="13">
        <f t="shared" si="41"/>
        <v>207.98662751927174</v>
      </c>
      <c r="X81" s="13">
        <f t="shared" si="41"/>
        <v>195.6658381279384</v>
      </c>
      <c r="Y81" s="13">
        <f t="shared" si="41"/>
        <v>184.24945068488694</v>
      </c>
      <c r="Z81" s="13">
        <f t="shared" si="41"/>
        <v>173.7154763597423</v>
      </c>
      <c r="AA81" s="13">
        <f t="shared" si="41"/>
        <v>164.02923536676366</v>
      </c>
      <c r="AB81" s="13">
        <f t="shared" si="41"/>
        <v>155.14525229481322</v>
      </c>
      <c r="AC81" s="13">
        <f t="shared" si="41"/>
        <v>147.00870664700653</v>
      </c>
      <c r="AD81" s="13">
        <f t="shared" si="41"/>
        <v>139.55661697152613</v>
      </c>
      <c r="AE81" s="13">
        <f t="shared" si="41"/>
        <v>132.71887043734705</v>
      </c>
      <c r="AF81" s="13">
        <f t="shared" si="41"/>
        <v>126.41916701279473</v>
      </c>
      <c r="AG81" s="13">
        <f t="shared" si="41"/>
        <v>120.57592010525519</v>
      </c>
      <c r="AH81" s="13">
        <f t="shared" si="41"/>
        <v>115.10313815492268</v>
      </c>
      <c r="AI81" s="13">
        <f t="shared" si="41"/>
        <v>109.9113007084478</v>
      </c>
      <c r="AJ81" s="13">
        <f t="shared" si="41"/>
        <v>104.9082356435425</v>
      </c>
      <c r="AK81" s="13">
        <f t="shared" si="42"/>
        <v>100</v>
      </c>
      <c r="AL81" s="47"/>
      <c r="AM81" s="26">
        <v>7.6666666666666675E-2</v>
      </c>
      <c r="AN81" s="13">
        <f t="shared" si="43"/>
        <v>-1076400000</v>
      </c>
      <c r="AO81" s="13">
        <f t="shared" si="37"/>
        <v>-817420300.07923996</v>
      </c>
      <c r="AP81" s="13">
        <f t="shared" si="37"/>
        <v>-1105451558.2294118</v>
      </c>
      <c r="AQ81" s="13">
        <f t="shared" si="37"/>
        <v>-1246535187.9420919</v>
      </c>
      <c r="AR81" s="13">
        <f t="shared" si="37"/>
        <v>-1302291184.5050819</v>
      </c>
      <c r="AS81" s="13">
        <f t="shared" si="37"/>
        <v>-1307590227.1921747</v>
      </c>
      <c r="AT81" s="13">
        <f t="shared" si="37"/>
        <v>-1282889656.0598946</v>
      </c>
      <c r="AU81" s="13">
        <f t="shared" si="37"/>
        <v>-1240560496.793541</v>
      </c>
      <c r="AV81" s="13">
        <f t="shared" si="37"/>
        <v>-1188267346.4051335</v>
      </c>
      <c r="AW81" s="13">
        <f t="shared" si="37"/>
        <v>-1130848304.5426614</v>
      </c>
      <c r="AX81" s="13">
        <f t="shared" si="37"/>
        <v>-1071399701.1481628</v>
      </c>
      <c r="AY81" s="13">
        <f t="shared" si="37"/>
        <v>-1011921543.6960481</v>
      </c>
      <c r="AZ81" s="13">
        <f t="shared" si="37"/>
        <v>-953710936.7501123</v>
      </c>
      <c r="BA81" s="13">
        <f t="shared" si="37"/>
        <v>-897606209.87520409</v>
      </c>
      <c r="BB81" s="13">
        <f t="shared" si="37"/>
        <v>-844140380.00473797</v>
      </c>
      <c r="BC81" s="13">
        <f t="shared" si="37"/>
        <v>-793638551.83408046</v>
      </c>
      <c r="BD81" s="13">
        <f t="shared" si="37"/>
        <v>-746280235.34735966</v>
      </c>
      <c r="BE81" s="13">
        <f t="shared" si="37"/>
        <v>-702139554.1372335</v>
      </c>
      <c r="BF81" s="13">
        <f t="shared" si="37"/>
        <v>-661211478.37880623</v>
      </c>
      <c r="BG81" s="13">
        <f t="shared" si="37"/>
        <v>-623429226.96589422</v>
      </c>
      <c r="BH81" s="13">
        <f t="shared" si="37"/>
        <v>-588676108.62491393</v>
      </c>
      <c r="BI81" s="13">
        <f t="shared" si="37"/>
        <v>-556793884.09268653</v>
      </c>
      <c r="BJ81" s="13">
        <f t="shared" si="37"/>
        <v>-527588974.09654534</v>
      </c>
      <c r="BK81" s="13">
        <f t="shared" si="37"/>
        <v>-500837353.20758933</v>
      </c>
      <c r="BL81" s="13">
        <f t="shared" si="37"/>
        <v>-476288659.01203585</v>
      </c>
      <c r="BM81" s="13">
        <f t="shared" si="37"/>
        <v>-453669847.01278281</v>
      </c>
      <c r="BN81" s="13">
        <f t="shared" si="37"/>
        <v>-432688594.37610757</v>
      </c>
      <c r="BO81" s="13">
        <f t="shared" si="37"/>
        <v>-413036574.50585574</v>
      </c>
      <c r="BP81" s="13">
        <f t="shared" si="37"/>
        <v>-394392673.00501633</v>
      </c>
      <c r="BQ81" s="13">
        <f t="shared" si="37"/>
        <v>-376426183.27519912</v>
      </c>
      <c r="BR81" s="13">
        <f t="shared" si="37"/>
        <v>-358800000</v>
      </c>
      <c r="BT81" s="47"/>
      <c r="BU81" s="26">
        <v>7.6666666666666675E-2</v>
      </c>
      <c r="BV81" s="13">
        <f t="shared" si="44"/>
        <v>0.40647187995004247</v>
      </c>
      <c r="BW81" s="13">
        <f t="shared" si="44"/>
        <v>0.40647187995004247</v>
      </c>
      <c r="BX81" s="13">
        <f t="shared" si="38"/>
        <v>0.40647187995004247</v>
      </c>
      <c r="BY81" s="13">
        <f t="shared" si="38"/>
        <v>0.40647187995004247</v>
      </c>
      <c r="BZ81" s="13">
        <f t="shared" si="38"/>
        <v>0.40647187995004247</v>
      </c>
      <c r="CA81" s="13">
        <f t="shared" si="38"/>
        <v>0.40647187995004247</v>
      </c>
      <c r="CB81" s="13">
        <f t="shared" si="38"/>
        <v>0.40647187995004247</v>
      </c>
      <c r="CC81" s="13">
        <f t="shared" si="38"/>
        <v>0.40647187995004247</v>
      </c>
      <c r="CD81" s="13">
        <f t="shared" si="38"/>
        <v>0.40647187995004247</v>
      </c>
      <c r="CE81" s="13">
        <f t="shared" si="38"/>
        <v>0.40647187995004247</v>
      </c>
      <c r="CF81" s="13">
        <f t="shared" si="38"/>
        <v>0.40647187995004247</v>
      </c>
      <c r="CG81" s="13">
        <f t="shared" si="38"/>
        <v>0.40647187995004247</v>
      </c>
      <c r="CH81" s="13">
        <f t="shared" si="38"/>
        <v>0.40647187995004247</v>
      </c>
      <c r="CI81" s="13">
        <f t="shared" si="38"/>
        <v>0.40647187995004247</v>
      </c>
      <c r="CJ81" s="13">
        <f t="shared" si="38"/>
        <v>0.40647187995004247</v>
      </c>
      <c r="CK81" s="13">
        <f t="shared" si="38"/>
        <v>0.40647187995004247</v>
      </c>
      <c r="CL81" s="13">
        <f t="shared" si="38"/>
        <v>0.40647187995004247</v>
      </c>
      <c r="CM81" s="13">
        <f t="shared" si="38"/>
        <v>0.40647187995004247</v>
      </c>
      <c r="CN81" s="13">
        <f t="shared" si="38"/>
        <v>0.40647187995004247</v>
      </c>
      <c r="CO81" s="13">
        <f t="shared" si="38"/>
        <v>0.40647187995004247</v>
      </c>
      <c r="CP81" s="13">
        <f t="shared" si="38"/>
        <v>0.40647187995004247</v>
      </c>
      <c r="CQ81" s="13">
        <f t="shared" si="38"/>
        <v>0.40647187995004247</v>
      </c>
      <c r="CR81" s="13">
        <f t="shared" si="38"/>
        <v>0.40647187995004247</v>
      </c>
      <c r="CS81" s="13">
        <f t="shared" si="38"/>
        <v>0.40647187995004247</v>
      </c>
      <c r="CT81" s="13">
        <f t="shared" si="38"/>
        <v>0.40647187995004247</v>
      </c>
      <c r="CU81" s="13">
        <f t="shared" si="38"/>
        <v>0.40647187995004247</v>
      </c>
      <c r="CV81" s="13">
        <f t="shared" si="38"/>
        <v>0.40647187995004247</v>
      </c>
      <c r="CW81" s="13">
        <f t="shared" si="38"/>
        <v>0.40647187995004247</v>
      </c>
      <c r="CX81" s="13">
        <f t="shared" si="38"/>
        <v>0.40647187995004247</v>
      </c>
      <c r="CY81" s="13">
        <f t="shared" si="38"/>
        <v>0.40647187995004247</v>
      </c>
      <c r="CZ81" s="13">
        <f t="shared" si="38"/>
        <v>0.40647187995004247</v>
      </c>
      <c r="DB81" s="47"/>
      <c r="DC81" s="26">
        <v>7.6666666666666675E-2</v>
      </c>
      <c r="DD81" s="13">
        <f t="shared" si="45"/>
        <v>178.05843601498725</v>
      </c>
      <c r="DE81" s="13">
        <f t="shared" si="39"/>
        <v>181.02589418896534</v>
      </c>
      <c r="DF81" s="13">
        <f t="shared" si="39"/>
        <v>214.97022875354853</v>
      </c>
      <c r="DG81" s="13">
        <f t="shared" si="39"/>
        <v>229.68173698680658</v>
      </c>
      <c r="DH81" s="13">
        <f t="shared" si="39"/>
        <v>233.01300029507021</v>
      </c>
      <c r="DI81" s="13">
        <f t="shared" si="39"/>
        <v>229.6400831205105</v>
      </c>
      <c r="DJ81" s="13">
        <f t="shared" si="39"/>
        <v>222.39090702247358</v>
      </c>
      <c r="DK81" s="13">
        <f t="shared" si="39"/>
        <v>212.9950509561458</v>
      </c>
      <c r="DL81" s="13">
        <f t="shared" si="39"/>
        <v>202.51866805085317</v>
      </c>
      <c r="DM81" s="13">
        <f t="shared" si="39"/>
        <v>191.62225420103232</v>
      </c>
      <c r="DN81" s="13">
        <f t="shared" si="39"/>
        <v>180.7158940221025</v>
      </c>
      <c r="DO81" s="13">
        <f t="shared" si="39"/>
        <v>170.05381493934433</v>
      </c>
      <c r="DP81" s="13">
        <f t="shared" si="39"/>
        <v>159.79239630677023</v>
      </c>
      <c r="DQ81" s="13">
        <f t="shared" si="39"/>
        <v>150.02590790797137</v>
      </c>
      <c r="DR81" s="13">
        <f t="shared" si="39"/>
        <v>140.80857106631174</v>
      </c>
      <c r="DS81" s="13">
        <f t="shared" si="39"/>
        <v>132.16818444667936</v>
      </c>
      <c r="DT81" s="13">
        <f t="shared" si="39"/>
        <v>124.11454162229852</v>
      </c>
      <c r="DU81" s="13">
        <f t="shared" si="39"/>
        <v>116.64463857018247</v>
      </c>
      <c r="DV81" s="13">
        <f t="shared" si="39"/>
        <v>109.74591217488631</v>
      </c>
      <c r="DW81" s="13">
        <f t="shared" si="39"/>
        <v>103.39828118909776</v>
      </c>
      <c r="DX81" s="13">
        <f t="shared" si="39"/>
        <v>97.575468490645562</v>
      </c>
      <c r="DY81" s="13">
        <f t="shared" si="39"/>
        <v>92.245900708947858</v>
      </c>
      <c r="DZ81" s="13">
        <f t="shared" si="39"/>
        <v>87.373367036373935</v>
      </c>
      <c r="EA81" s="13">
        <f t="shared" si="39"/>
        <v>82.917547654842764</v>
      </c>
      <c r="EB81" s="13">
        <f t="shared" si="39"/>
        <v>78.834477704022305</v>
      </c>
      <c r="EC81" s="13">
        <f t="shared" si="39"/>
        <v>75.076985080261935</v>
      </c>
      <c r="ED81" s="13">
        <f t="shared" si="39"/>
        <v>71.595123295832465</v>
      </c>
      <c r="EE81" s="13">
        <f t="shared" si="39"/>
        <v>68.336610189066519</v>
      </c>
      <c r="EF81" s="13">
        <f t="shared" si="39"/>
        <v>65.247276964975612</v>
      </c>
      <c r="EG81" s="13">
        <f t="shared" si="39"/>
        <v>62.271528292786215</v>
      </c>
      <c r="EH81" s="13">
        <f t="shared" si="39"/>
        <v>59.352812004995762</v>
      </c>
    </row>
    <row r="82" spans="5:138" x14ac:dyDescent="0.25">
      <c r="E82" s="49"/>
      <c r="F82" s="26">
        <v>7.3333333333333334E-2</v>
      </c>
      <c r="G82" s="13">
        <f t="shared" si="40"/>
        <v>300</v>
      </c>
      <c r="H82" s="13">
        <f t="shared" si="46"/>
        <v>374.58622575036264</v>
      </c>
      <c r="I82" s="13">
        <f t="shared" si="41"/>
        <v>406.38258686873331</v>
      </c>
      <c r="J82" s="13">
        <f t="shared" si="41"/>
        <v>416.4695654008126</v>
      </c>
      <c r="K82" s="13">
        <f t="shared" si="41"/>
        <v>412.99794635527309</v>
      </c>
      <c r="L82" s="13">
        <f t="shared" si="41"/>
        <v>401.38627205925627</v>
      </c>
      <c r="M82" s="13">
        <f t="shared" si="41"/>
        <v>385.14043074099209</v>
      </c>
      <c r="N82" s="13">
        <f t="shared" si="41"/>
        <v>366.486591605814</v>
      </c>
      <c r="O82" s="13">
        <f t="shared" si="41"/>
        <v>346.81851913604021</v>
      </c>
      <c r="P82" s="13">
        <f t="shared" si="41"/>
        <v>326.99849816123617</v>
      </c>
      <c r="Q82" s="13">
        <f t="shared" si="41"/>
        <v>307.55362176733649</v>
      </c>
      <c r="R82" s="13">
        <f t="shared" si="41"/>
        <v>288.80115408390395</v>
      </c>
      <c r="S82" s="13">
        <f t="shared" si="41"/>
        <v>270.92735690581367</v>
      </c>
      <c r="T82" s="13">
        <f t="shared" si="41"/>
        <v>254.03643921162143</v>
      </c>
      <c r="U82" s="13">
        <f t="shared" si="41"/>
        <v>238.18062555670429</v>
      </c>
      <c r="V82" s="13">
        <f t="shared" si="41"/>
        <v>223.37844253077373</v>
      </c>
      <c r="W82" s="13">
        <f t="shared" si="41"/>
        <v>209.62573733472414</v>
      </c>
      <c r="X82" s="13">
        <f t="shared" si="41"/>
        <v>196.90226665456686</v>
      </c>
      <c r="Y82" s="13">
        <f t="shared" si="41"/>
        <v>185.17562411296097</v>
      </c>
      <c r="Z82" s="13">
        <f t="shared" si="41"/>
        <v>174.40359879071428</v>
      </c>
      <c r="AA82" s="13">
        <f t="shared" si="41"/>
        <v>164.53563378911196</v>
      </c>
      <c r="AB82" s="13">
        <f t="shared" si="41"/>
        <v>155.51379003483876</v>
      </c>
      <c r="AC82" s="13">
        <f t="shared" si="41"/>
        <v>147.27345717573232</v>
      </c>
      <c r="AD82" s="13">
        <f t="shared" si="41"/>
        <v>139.74395283886594</v>
      </c>
      <c r="AE82" s="13">
        <f t="shared" si="41"/>
        <v>132.84909002280767</v>
      </c>
      <c r="AF82" s="13">
        <f t="shared" si="41"/>
        <v>126.50775512384061</v>
      </c>
      <c r="AG82" s="13">
        <f t="shared" si="41"/>
        <v>120.6345167776863</v>
      </c>
      <c r="AH82" s="13">
        <f t="shared" si="41"/>
        <v>115.14027255502397</v>
      </c>
      <c r="AI82" s="13">
        <f t="shared" si="41"/>
        <v>109.93293298586573</v>
      </c>
      <c r="AJ82" s="13">
        <f t="shared" si="41"/>
        <v>104.91813817231842</v>
      </c>
      <c r="AK82" s="13">
        <f t="shared" si="42"/>
        <v>100</v>
      </c>
      <c r="AL82" s="47"/>
      <c r="AM82" s="26">
        <v>7.3333333333333334E-2</v>
      </c>
      <c r="AN82" s="13">
        <f t="shared" si="43"/>
        <v>-1076400000</v>
      </c>
      <c r="AO82" s="13">
        <f t="shared" si="37"/>
        <v>-1264051841.7788718</v>
      </c>
      <c r="AP82" s="13">
        <f t="shared" si="37"/>
        <v>-1382748577.2334425</v>
      </c>
      <c r="AQ82" s="13">
        <f t="shared" si="37"/>
        <v>-1436829238.9774952</v>
      </c>
      <c r="AR82" s="13">
        <f t="shared" si="37"/>
        <v>-1442131554.5692201</v>
      </c>
      <c r="AS82" s="13">
        <f t="shared" si="37"/>
        <v>-1414368342.761888</v>
      </c>
      <c r="AT82" s="13">
        <f t="shared" si="37"/>
        <v>-1365892012.1344249</v>
      </c>
      <c r="AU82" s="13">
        <f t="shared" si="37"/>
        <v>-1305494520.6035023</v>
      </c>
      <c r="AV82" s="13">
        <f t="shared" si="37"/>
        <v>-1239101299.9982123</v>
      </c>
      <c r="AW82" s="13">
        <f t="shared" si="37"/>
        <v>-1170569620.2371531</v>
      </c>
      <c r="AX82" s="13">
        <f t="shared" si="37"/>
        <v>-1102347587.4774907</v>
      </c>
      <c r="AY82" s="13">
        <f t="shared" si="37"/>
        <v>-1035954559.4815576</v>
      </c>
      <c r="AZ82" s="13">
        <f t="shared" si="37"/>
        <v>-972309531.21755862</v>
      </c>
      <c r="BA82" s="13">
        <f t="shared" si="37"/>
        <v>-911946986.12048781</v>
      </c>
      <c r="BB82" s="13">
        <f t="shared" si="37"/>
        <v>-855155077.32998419</v>
      </c>
      <c r="BC82" s="13">
        <f t="shared" si="37"/>
        <v>-802062395.08616996</v>
      </c>
      <c r="BD82" s="13">
        <f t="shared" ref="BD82:BR104" si="47">-($B$12*$B$11)/$B$8*W47</f>
        <v>-752691648.5434835</v>
      </c>
      <c r="BE82" s="13">
        <f t="shared" si="47"/>
        <v>-706992510.56945777</v>
      </c>
      <c r="BF82" s="13">
        <f t="shared" si="47"/>
        <v>-664861584.98141944</v>
      </c>
      <c r="BG82" s="13">
        <f t="shared" si="47"/>
        <v>-626154566.93438983</v>
      </c>
      <c r="BH82" s="13">
        <f t="shared" si="47"/>
        <v>-590693776.70217597</v>
      </c>
      <c r="BI82" s="13">
        <f t="shared" si="47"/>
        <v>-558273033.46576297</v>
      </c>
      <c r="BJ82" s="13">
        <f t="shared" si="47"/>
        <v>-528661067.31023502</v>
      </c>
      <c r="BK82" s="13">
        <f t="shared" si="47"/>
        <v>-501604186.37443912</v>
      </c>
      <c r="BL82" s="13">
        <f t="shared" si="47"/>
        <v>-476828617.56806427</v>
      </c>
      <c r="BM82" s="13">
        <f t="shared" si="47"/>
        <v>-454042755.8686682</v>
      </c>
      <c r="BN82" s="13">
        <f t="shared" si="47"/>
        <v>-432939445.76028776</v>
      </c>
      <c r="BO82" s="13">
        <f t="shared" si="47"/>
        <v>-413198351.54838812</v>
      </c>
      <c r="BP82" s="13">
        <f t="shared" si="47"/>
        <v>-394488433.89790982</v>
      </c>
      <c r="BQ82" s="13">
        <f t="shared" si="47"/>
        <v>-376470527.2408458</v>
      </c>
      <c r="BR82" s="13">
        <f t="shared" si="47"/>
        <v>-358800000</v>
      </c>
      <c r="BT82" s="47"/>
      <c r="BU82" s="26">
        <v>7.3333333333333334E-2</v>
      </c>
      <c r="BV82" s="13">
        <f t="shared" si="44"/>
        <v>0.40647187995004247</v>
      </c>
      <c r="BW82" s="13">
        <f t="shared" si="44"/>
        <v>0.40647187995004247</v>
      </c>
      <c r="BX82" s="13">
        <f t="shared" si="38"/>
        <v>0.40647187995004247</v>
      </c>
      <c r="BY82" s="13">
        <f t="shared" si="38"/>
        <v>0.40647187995004247</v>
      </c>
      <c r="BZ82" s="13">
        <f t="shared" si="38"/>
        <v>0.40647187995004247</v>
      </c>
      <c r="CA82" s="13">
        <f t="shared" si="38"/>
        <v>0.40647187995004247</v>
      </c>
      <c r="CB82" s="13">
        <f t="shared" si="38"/>
        <v>0.40647187995004247</v>
      </c>
      <c r="CC82" s="13">
        <f t="shared" si="38"/>
        <v>0.40647187995004247</v>
      </c>
      <c r="CD82" s="13">
        <f t="shared" si="38"/>
        <v>0.40647187995004247</v>
      </c>
      <c r="CE82" s="13">
        <f t="shared" si="38"/>
        <v>0.40647187995004247</v>
      </c>
      <c r="CF82" s="13">
        <f t="shared" si="38"/>
        <v>0.40647187995004247</v>
      </c>
      <c r="CG82" s="13">
        <f t="shared" si="38"/>
        <v>0.40647187995004247</v>
      </c>
      <c r="CH82" s="13">
        <f t="shared" si="38"/>
        <v>0.40647187995004247</v>
      </c>
      <c r="CI82" s="13">
        <f t="shared" si="38"/>
        <v>0.40647187995004247</v>
      </c>
      <c r="CJ82" s="13">
        <f t="shared" si="38"/>
        <v>0.40647187995004247</v>
      </c>
      <c r="CK82" s="13">
        <f t="shared" si="38"/>
        <v>0.40647187995004247</v>
      </c>
      <c r="CL82" s="13">
        <f t="shared" si="38"/>
        <v>0.40647187995004247</v>
      </c>
      <c r="CM82" s="13">
        <f t="shared" si="38"/>
        <v>0.40647187995004247</v>
      </c>
      <c r="CN82" s="13">
        <f t="shared" si="38"/>
        <v>0.40647187995004247</v>
      </c>
      <c r="CO82" s="13">
        <f t="shared" si="38"/>
        <v>0.40647187995004247</v>
      </c>
      <c r="CP82" s="13">
        <f t="shared" si="38"/>
        <v>0.40647187995004247</v>
      </c>
      <c r="CQ82" s="13">
        <f t="shared" si="38"/>
        <v>0.40647187995004247</v>
      </c>
      <c r="CR82" s="13">
        <f t="shared" si="38"/>
        <v>0.40647187995004247</v>
      </c>
      <c r="CS82" s="13">
        <f t="shared" si="38"/>
        <v>0.40647187995004247</v>
      </c>
      <c r="CT82" s="13">
        <f t="shared" si="38"/>
        <v>0.40647187995004247</v>
      </c>
      <c r="CU82" s="13">
        <f t="shared" ref="CU82:CZ104" si="48">$B$20/($B$21-$B$22*CU83)</f>
        <v>0.40647187995004247</v>
      </c>
      <c r="CV82" s="13">
        <f t="shared" si="48"/>
        <v>0.40647187995004247</v>
      </c>
      <c r="CW82" s="13">
        <f t="shared" si="48"/>
        <v>0.40647187995004247</v>
      </c>
      <c r="CX82" s="13">
        <f t="shared" si="48"/>
        <v>0.40647187995004247</v>
      </c>
      <c r="CY82" s="13">
        <f t="shared" si="48"/>
        <v>0.40647187995004247</v>
      </c>
      <c r="CZ82" s="13">
        <f t="shared" si="48"/>
        <v>0.40647187995004247</v>
      </c>
      <c r="DB82" s="47"/>
      <c r="DC82" s="26">
        <v>7.3333333333333334E-2</v>
      </c>
      <c r="DD82" s="13">
        <f t="shared" si="45"/>
        <v>178.05843601498725</v>
      </c>
      <c r="DE82" s="13">
        <f t="shared" si="39"/>
        <v>247.91444421705506</v>
      </c>
      <c r="DF82" s="13">
        <f t="shared" si="39"/>
        <v>261.85135148228386</v>
      </c>
      <c r="DG82" s="13">
        <f t="shared" si="39"/>
        <v>263.96635591430044</v>
      </c>
      <c r="DH82" s="13">
        <f t="shared" si="39"/>
        <v>258.6942805184251</v>
      </c>
      <c r="DI82" s="13">
        <f t="shared" si="39"/>
        <v>249.11628526783315</v>
      </c>
      <c r="DJ82" s="13">
        <f t="shared" si="39"/>
        <v>237.24822155298818</v>
      </c>
      <c r="DK82" s="13">
        <f t="shared" si="39"/>
        <v>224.35702004726832</v>
      </c>
      <c r="DL82" s="13">
        <f t="shared" si="39"/>
        <v>211.21427318601226</v>
      </c>
      <c r="DM82" s="13">
        <f>(DM83*$B$22-AW82)/($B$21-$B$22*CE83)</f>
        <v>198.27630642198199</v>
      </c>
      <c r="DN82" s="13">
        <f t="shared" si="39"/>
        <v>185.80410200504366</v>
      </c>
      <c r="DO82" s="13">
        <f t="shared" si="39"/>
        <v>173.94001532866005</v>
      </c>
      <c r="DP82" s="13">
        <f t="shared" si="39"/>
        <v>162.75545978321284</v>
      </c>
      <c r="DQ82" s="13">
        <f t="shared" si="39"/>
        <v>152.27986233486484</v>
      </c>
      <c r="DR82" s="13">
        <f t="shared" si="39"/>
        <v>142.5178699491357</v>
      </c>
      <c r="DS82" s="13">
        <f t="shared" si="39"/>
        <v>133.45934505226558</v>
      </c>
      <c r="DT82" s="13">
        <f t="shared" si="39"/>
        <v>125.08502184249652</v>
      </c>
      <c r="DU82" s="13">
        <f t="shared" ref="DU82:EH104" si="49">(DU83*$B$22-BE82)/($B$21-$B$22*CM83)</f>
        <v>117.36960558870302</v>
      </c>
      <c r="DV82" s="13">
        <f t="shared" si="49"/>
        <v>110.28340351331235</v>
      </c>
      <c r="DW82" s="13">
        <f t="shared" si="49"/>
        <v>103.79314253835268</v>
      </c>
      <c r="DX82" s="13">
        <f t="shared" si="49"/>
        <v>97.862362122815526</v>
      </c>
      <c r="DY82" s="13">
        <f t="shared" si="49"/>
        <v>92.451607669242392</v>
      </c>
      <c r="DZ82" s="13">
        <f t="shared" si="49"/>
        <v>87.518551815899272</v>
      </c>
      <c r="EA82" s="13">
        <f t="shared" si="49"/>
        <v>83.018112378981698</v>
      </c>
      <c r="EB82" s="13">
        <f t="shared" si="49"/>
        <v>78.902601251293106</v>
      </c>
      <c r="EC82" s="13">
        <f t="shared" si="49"/>
        <v>75.121918646431538</v>
      </c>
      <c r="ED82" s="13">
        <f t="shared" si="49"/>
        <v>71.623795855797098</v>
      </c>
      <c r="EE82" s="13">
        <f t="shared" si="49"/>
        <v>68.354083601043087</v>
      </c>
      <c r="EF82" s="13">
        <f t="shared" si="49"/>
        <v>65.257079959148513</v>
      </c>
      <c r="EG82" s="13">
        <f t="shared" si="49"/>
        <v>62.275890408045647</v>
      </c>
      <c r="EH82" s="13">
        <f t="shared" si="49"/>
        <v>59.352812004995762</v>
      </c>
    </row>
    <row r="83" spans="5:138" x14ac:dyDescent="0.25">
      <c r="E83" s="49"/>
      <c r="F83" s="26">
        <v>7.0000000000000007E-2</v>
      </c>
      <c r="G83" s="13">
        <f t="shared" si="40"/>
        <v>300</v>
      </c>
      <c r="H83" s="13">
        <f t="shared" si="46"/>
        <v>456.85005876804377</v>
      </c>
      <c r="I83" s="13">
        <f t="shared" si="41"/>
        <v>475.39118299726954</v>
      </c>
      <c r="J83" s="13">
        <f t="shared" si="41"/>
        <v>471.63161722782331</v>
      </c>
      <c r="K83" s="13">
        <f t="shared" si="41"/>
        <v>455.96941674541551</v>
      </c>
      <c r="L83" s="13">
        <f t="shared" si="41"/>
        <v>434.39195349077738</v>
      </c>
      <c r="M83" s="13">
        <f t="shared" si="41"/>
        <v>410.29998595475752</v>
      </c>
      <c r="N83" s="13">
        <f t="shared" si="41"/>
        <v>385.59162422458166</v>
      </c>
      <c r="O83" s="13">
        <f t="shared" si="41"/>
        <v>361.30039832964172</v>
      </c>
      <c r="P83" s="13">
        <f t="shared" si="41"/>
        <v>337.96774459578819</v>
      </c>
      <c r="Q83" s="13">
        <f t="shared" si="41"/>
        <v>315.85864872146243</v>
      </c>
      <c r="R83" s="13">
        <f t="shared" si="41"/>
        <v>295.08529702212388</v>
      </c>
      <c r="S83" s="13">
        <f t="shared" si="41"/>
        <v>275.67711106949804</v>
      </c>
      <c r="T83" s="13">
        <f t="shared" si="41"/>
        <v>257.61974267276469</v>
      </c>
      <c r="U83" s="13">
        <f t="shared" si="41"/>
        <v>240.87624987783067</v>
      </c>
      <c r="V83" s="13">
        <f t="shared" si="41"/>
        <v>225.39816237185727</v>
      </c>
      <c r="W83" s="13">
        <f t="shared" si="41"/>
        <v>211.13090923073369</v>
      </c>
      <c r="X83" s="13">
        <f t="shared" si="41"/>
        <v>198.01618846311024</v>
      </c>
      <c r="Y83" s="13">
        <f t="shared" si="41"/>
        <v>185.99275269463033</v>
      </c>
      <c r="Z83" s="13">
        <f t="shared" si="41"/>
        <v>174.99644236339958</v>
      </c>
      <c r="AA83" s="13">
        <f t="shared" si="41"/>
        <v>164.95992528710218</v>
      </c>
      <c r="AB83" s="13">
        <f t="shared" si="41"/>
        <v>155.81238699690255</v>
      </c>
      <c r="AC83" s="13">
        <f t="shared" si="41"/>
        <v>147.47929394510845</v>
      </c>
      <c r="AD83" s="13">
        <f t="shared" si="41"/>
        <v>139.88228300847911</v>
      </c>
      <c r="AE83" s="13">
        <f t="shared" si="41"/>
        <v>132.93919304637689</v>
      </c>
      <c r="AF83" s="13">
        <f t="shared" si="41"/>
        <v>126.56423442224687</v>
      </c>
      <c r="AG83" s="13">
        <f t="shared" si="41"/>
        <v>120.66828263805232</v>
      </c>
      <c r="AH83" s="13">
        <f t="shared" si="41"/>
        <v>115.15927806117307</v>
      </c>
      <c r="AI83" s="13">
        <f t="shared" si="41"/>
        <v>109.94271252303641</v>
      </c>
      <c r="AJ83" s="13">
        <f t="shared" si="41"/>
        <v>104.92218382221333</v>
      </c>
      <c r="AK83" s="13">
        <f t="shared" si="42"/>
        <v>100</v>
      </c>
      <c r="AL83" s="47"/>
      <c r="AM83" s="26">
        <v>7.0000000000000007E-2</v>
      </c>
      <c r="AN83" s="13">
        <f t="shared" si="43"/>
        <v>-1076400000</v>
      </c>
      <c r="AO83" s="13">
        <f t="shared" si="43"/>
        <v>-1420301723.5964522</v>
      </c>
      <c r="AP83" s="13">
        <f t="shared" si="43"/>
        <v>-1574856595.6732736</v>
      </c>
      <c r="AQ83" s="13">
        <f t="shared" si="43"/>
        <v>-1616698499.5257473</v>
      </c>
      <c r="AR83" s="13">
        <f t="shared" si="43"/>
        <v>-1594114784.7343943</v>
      </c>
      <c r="AS83" s="13">
        <f t="shared" si="43"/>
        <v>-1536557565.7022307</v>
      </c>
      <c r="AT83" s="13">
        <f t="shared" si="43"/>
        <v>-1461546785.0697808</v>
      </c>
      <c r="AU83" s="13">
        <f t="shared" si="43"/>
        <v>-1379275621.4489844</v>
      </c>
      <c r="AV83" s="13">
        <f t="shared" si="43"/>
        <v>-1295538944.5486317</v>
      </c>
      <c r="AW83" s="13">
        <f t="shared" si="43"/>
        <v>-1213538716.5036252</v>
      </c>
      <c r="AX83" s="13">
        <f t="shared" si="43"/>
        <v>-1134972772.2668941</v>
      </c>
      <c r="AY83" s="13">
        <f t="shared" si="43"/>
        <v>-1060680053.3699394</v>
      </c>
      <c r="AZ83" s="13">
        <f t="shared" si="43"/>
        <v>-991017012.85252929</v>
      </c>
      <c r="BA83" s="13">
        <f t="shared" si="43"/>
        <v>-926073643.06860149</v>
      </c>
      <c r="BB83" s="13">
        <f t="shared" si="43"/>
        <v>-865795098.31785202</v>
      </c>
      <c r="BC83" s="13">
        <f t="shared" si="43"/>
        <v>-810048469.4947567</v>
      </c>
      <c r="BD83" s="13">
        <f t="shared" si="47"/>
        <v>-758658166.5839541</v>
      </c>
      <c r="BE83" s="13">
        <f t="shared" si="47"/>
        <v>-711423683.44536602</v>
      </c>
      <c r="BF83" s="13">
        <f t="shared" si="47"/>
        <v>-668127755.47850704</v>
      </c>
      <c r="BG83" s="13">
        <f t="shared" si="47"/>
        <v>-628539515.61768806</v>
      </c>
      <c r="BH83" s="13">
        <f t="shared" si="47"/>
        <v>-592415255.99412942</v>
      </c>
      <c r="BI83" s="13">
        <f t="shared" si="47"/>
        <v>-559498238.16713953</v>
      </c>
      <c r="BJ83" s="13">
        <f t="shared" si="47"/>
        <v>-529518321.76588535</v>
      </c>
      <c r="BK83" s="13">
        <f t="shared" si="47"/>
        <v>-502191796.57872045</v>
      </c>
      <c r="BL83" s="13">
        <f t="shared" si="47"/>
        <v>-477221586.57233006</v>
      </c>
      <c r="BM83" s="13">
        <f t="shared" si="47"/>
        <v>-454297875.33985543</v>
      </c>
      <c r="BN83" s="13">
        <f t="shared" si="47"/>
        <v>-433099139.54630953</v>
      </c>
      <c r="BO83" s="13">
        <f t="shared" si="47"/>
        <v>-413293545.7302953</v>
      </c>
      <c r="BP83" s="13">
        <f t="shared" si="47"/>
        <v>-394540652.11429852</v>
      </c>
      <c r="BQ83" s="13">
        <f t="shared" si="47"/>
        <v>-376493352.5916087</v>
      </c>
      <c r="BR83" s="13">
        <f t="shared" si="47"/>
        <v>-358800000</v>
      </c>
      <c r="BT83" s="47"/>
      <c r="BU83" s="26">
        <v>7.0000000000000007E-2</v>
      </c>
      <c r="BV83" s="13">
        <f t="shared" si="44"/>
        <v>0.40647187995004247</v>
      </c>
      <c r="BW83" s="13">
        <f t="shared" si="44"/>
        <v>0.40647187995004247</v>
      </c>
      <c r="BX83" s="13">
        <f t="shared" si="44"/>
        <v>0.40647187995004247</v>
      </c>
      <c r="BY83" s="13">
        <f t="shared" si="44"/>
        <v>0.40647187995004247</v>
      </c>
      <c r="BZ83" s="13">
        <f t="shared" si="44"/>
        <v>0.40647187995004247</v>
      </c>
      <c r="CA83" s="13">
        <f t="shared" si="44"/>
        <v>0.40647187995004247</v>
      </c>
      <c r="CB83" s="13">
        <f t="shared" si="44"/>
        <v>0.40647187995004247</v>
      </c>
      <c r="CC83" s="13">
        <f t="shared" si="44"/>
        <v>0.40647187995004247</v>
      </c>
      <c r="CD83" s="13">
        <f t="shared" si="44"/>
        <v>0.40647187995004247</v>
      </c>
      <c r="CE83" s="13">
        <f t="shared" si="44"/>
        <v>0.40647187995004247</v>
      </c>
      <c r="CF83" s="13">
        <f t="shared" si="44"/>
        <v>0.40647187995004247</v>
      </c>
      <c r="CG83" s="13">
        <f t="shared" si="44"/>
        <v>0.40647187995004247</v>
      </c>
      <c r="CH83" s="13">
        <f t="shared" si="44"/>
        <v>0.40647187995004247</v>
      </c>
      <c r="CI83" s="13">
        <f t="shared" si="44"/>
        <v>0.40647187995004247</v>
      </c>
      <c r="CJ83" s="13">
        <f t="shared" si="44"/>
        <v>0.40647187995004247</v>
      </c>
      <c r="CK83" s="13">
        <f t="shared" si="44"/>
        <v>0.40647187995004247</v>
      </c>
      <c r="CL83" s="13">
        <f t="shared" ref="CL83:CT104" si="50">$B$20/($B$21-$B$22*CL84)</f>
        <v>0.40647187995004247</v>
      </c>
      <c r="CM83" s="13">
        <f t="shared" si="50"/>
        <v>0.40647187995004247</v>
      </c>
      <c r="CN83" s="13">
        <f t="shared" si="50"/>
        <v>0.40647187995004247</v>
      </c>
      <c r="CO83" s="13">
        <f t="shared" si="50"/>
        <v>0.40647187995004247</v>
      </c>
      <c r="CP83" s="13">
        <f t="shared" si="50"/>
        <v>0.40647187995004247</v>
      </c>
      <c r="CQ83" s="13">
        <f t="shared" si="50"/>
        <v>0.40647187995004247</v>
      </c>
      <c r="CR83" s="13">
        <f t="shared" si="50"/>
        <v>0.40647187995004247</v>
      </c>
      <c r="CS83" s="13">
        <f t="shared" si="50"/>
        <v>0.40647187995004247</v>
      </c>
      <c r="CT83" s="13">
        <f t="shared" si="50"/>
        <v>0.40647187995004247</v>
      </c>
      <c r="CU83" s="13">
        <f t="shared" si="48"/>
        <v>0.40647187995004247</v>
      </c>
      <c r="CV83" s="13">
        <f t="shared" si="48"/>
        <v>0.40647187995004247</v>
      </c>
      <c r="CW83" s="13">
        <f t="shared" si="48"/>
        <v>0.40647187995004247</v>
      </c>
      <c r="CX83" s="13">
        <f t="shared" si="48"/>
        <v>0.40647187995004247</v>
      </c>
      <c r="CY83" s="13">
        <f t="shared" si="48"/>
        <v>0.40647187995004247</v>
      </c>
      <c r="CZ83" s="13">
        <f t="shared" si="48"/>
        <v>0.40647187995004247</v>
      </c>
      <c r="DB83" s="47"/>
      <c r="DC83" s="26">
        <v>7.0000000000000007E-2</v>
      </c>
      <c r="DD83" s="13">
        <f t="shared" si="45"/>
        <v>178.05843601498725</v>
      </c>
      <c r="DE83" s="13">
        <f t="shared" si="45"/>
        <v>304.59129138390284</v>
      </c>
      <c r="DF83" s="13">
        <f t="shared" si="45"/>
        <v>310.20808893377404</v>
      </c>
      <c r="DG83" s="13">
        <f t="shared" si="45"/>
        <v>302.34845003737786</v>
      </c>
      <c r="DH83" s="13">
        <f t="shared" si="45"/>
        <v>288.09736507488088</v>
      </c>
      <c r="DI83" s="13">
        <f t="shared" si="45"/>
        <v>271.23972090071226</v>
      </c>
      <c r="DJ83" s="13">
        <f t="shared" si="45"/>
        <v>253.7512310266973</v>
      </c>
      <c r="DK83" s="13">
        <f t="shared" si="45"/>
        <v>236.62513035808297</v>
      </c>
      <c r="DL83" s="13">
        <f t="shared" si="45"/>
        <v>220.32842285492569</v>
      </c>
      <c r="DM83" s="13">
        <f t="shared" si="45"/>
        <v>205.05205030735004</v>
      </c>
      <c r="DN83" s="13">
        <f t="shared" si="45"/>
        <v>190.84674989624887</v>
      </c>
      <c r="DO83" s="13">
        <f t="shared" si="45"/>
        <v>177.69574898989757</v>
      </c>
      <c r="DP83" s="13">
        <f t="shared" si="45"/>
        <v>165.55275897809585</v>
      </c>
      <c r="DQ83" s="13">
        <f t="shared" si="45"/>
        <v>154.36107365060221</v>
      </c>
      <c r="DR83" s="13">
        <f t="shared" si="45"/>
        <v>144.06252324011996</v>
      </c>
      <c r="DS83" s="13">
        <f t="shared" si="45"/>
        <v>134.60110689606117</v>
      </c>
      <c r="DT83" s="13">
        <f t="shared" ref="DT83:DW104" si="51">(DT84*$B$22-BD83)/($B$21-$B$22*CL84)</f>
        <v>125.92394169037456</v>
      </c>
      <c r="DU83" s="13">
        <f t="shared" si="49"/>
        <v>117.98095396960389</v>
      </c>
      <c r="DV83" s="13">
        <f t="shared" si="49"/>
        <v>110.72406864051267</v>
      </c>
      <c r="DW83" s="13">
        <f t="shared" si="49"/>
        <v>104.106283692885</v>
      </c>
      <c r="DX83" s="13">
        <f t="shared" si="49"/>
        <v>98.080816902070126</v>
      </c>
      <c r="DY83" s="13">
        <f t="shared" si="49"/>
        <v>92.600404403285452</v>
      </c>
      <c r="DZ83" s="13">
        <f t="shared" si="49"/>
        <v>87.61677494014647</v>
      </c>
      <c r="EA83" s="13">
        <f t="shared" si="49"/>
        <v>83.080295786415192</v>
      </c>
      <c r="EB83" s="13">
        <f t="shared" si="49"/>
        <v>78.93977367515383</v>
      </c>
      <c r="EC83" s="13">
        <f t="shared" si="49"/>
        <v>75.142389368799755</v>
      </c>
      <c r="ED83" s="13">
        <f t="shared" si="49"/>
        <v>71.633743816561235</v>
      </c>
      <c r="EE83" s="13">
        <f t="shared" si="49"/>
        <v>68.357995017772197</v>
      </c>
      <c r="EF83" s="13">
        <f t="shared" si="49"/>
        <v>65.258066583849526</v>
      </c>
      <c r="EG83" s="13">
        <f t="shared" si="49"/>
        <v>62.275910958452741</v>
      </c>
      <c r="EH83" s="13">
        <f t="shared" si="49"/>
        <v>59.352812004995748</v>
      </c>
    </row>
    <row r="84" spans="5:138" x14ac:dyDescent="0.25">
      <c r="E84" s="49"/>
      <c r="F84" s="26">
        <v>6.6666666666666666E-2</v>
      </c>
      <c r="G84" s="13">
        <f t="shared" si="40"/>
        <v>300</v>
      </c>
      <c r="H84" s="13">
        <f t="shared" si="46"/>
        <v>591.98256020680924</v>
      </c>
      <c r="I84" s="13">
        <f t="shared" si="41"/>
        <v>576.00532717433953</v>
      </c>
      <c r="J84" s="13">
        <f t="shared" si="41"/>
        <v>545.03418670886367</v>
      </c>
      <c r="K84" s="13">
        <f t="shared" si="41"/>
        <v>509.06250127762473</v>
      </c>
      <c r="L84" s="13">
        <f t="shared" ref="L84:AJ94" si="52">CA84*L83+DI84</f>
        <v>472.72149082149622</v>
      </c>
      <c r="M84" s="13">
        <f t="shared" si="52"/>
        <v>438.02223791632218</v>
      </c>
      <c r="N84" s="13">
        <f t="shared" si="52"/>
        <v>405.71770183581657</v>
      </c>
      <c r="O84" s="13">
        <f t="shared" si="52"/>
        <v>375.97717719911839</v>
      </c>
      <c r="P84" s="13">
        <f t="shared" si="52"/>
        <v>348.71707583856806</v>
      </c>
      <c r="Q84" s="13">
        <f t="shared" si="52"/>
        <v>323.75982527600206</v>
      </c>
      <c r="R84" s="13">
        <f t="shared" si="52"/>
        <v>300.90711927083686</v>
      </c>
      <c r="S84" s="13">
        <f t="shared" si="52"/>
        <v>279.97093809908336</v>
      </c>
      <c r="T84" s="13">
        <f t="shared" si="52"/>
        <v>260.78420401827464</v>
      </c>
      <c r="U84" s="13">
        <f t="shared" si="52"/>
        <v>243.20203995833009</v>
      </c>
      <c r="V84" s="13">
        <f t="shared" si="52"/>
        <v>227.0990747480779</v>
      </c>
      <c r="W84" s="13">
        <f t="shared" si="52"/>
        <v>212.36543758469452</v>
      </c>
      <c r="X84" s="13">
        <f t="shared" si="52"/>
        <v>198.90267084176799</v>
      </c>
      <c r="Y84" s="13">
        <f t="shared" si="52"/>
        <v>186.62008446224809</v>
      </c>
      <c r="Z84" s="13">
        <f t="shared" si="52"/>
        <v>175.43173027960898</v>
      </c>
      <c r="AA84" s="13">
        <f t="shared" si="52"/>
        <v>165.25401290489756</v>
      </c>
      <c r="AB84" s="13">
        <f t="shared" si="52"/>
        <v>156.00388405020954</v>
      </c>
      <c r="AC84" s="13">
        <f t="shared" si="52"/>
        <v>147.59754252829228</v>
      </c>
      <c r="AD84" s="13">
        <f t="shared" si="52"/>
        <v>139.94955879541175</v>
      </c>
      <c r="AE84" s="13">
        <f t="shared" si="52"/>
        <v>132.97234874580846</v>
      </c>
      <c r="AF84" s="13">
        <f t="shared" si="52"/>
        <v>126.57593057262567</v>
      </c>
      <c r="AG84" s="13">
        <f t="shared" si="52"/>
        <v>120.6679080537377</v>
      </c>
      <c r="AH84" s="13">
        <f t="shared" si="52"/>
        <v>115.15363234828681</v>
      </c>
      <c r="AI84" s="13">
        <f t="shared" si="52"/>
        <v>109.936501823095</v>
      </c>
      <c r="AJ84" s="13">
        <f t="shared" si="52"/>
        <v>104.91836545338666</v>
      </c>
      <c r="AK84" s="13">
        <f t="shared" si="42"/>
        <v>100</v>
      </c>
      <c r="AL84" s="47"/>
      <c r="AM84" s="26">
        <v>6.6666666666666666E-2</v>
      </c>
      <c r="AN84" s="13">
        <f t="shared" si="43"/>
        <v>-1076400000</v>
      </c>
      <c r="AO84" s="13">
        <f t="shared" si="43"/>
        <v>-1664507473.1892853</v>
      </c>
      <c r="AP84" s="13">
        <f t="shared" si="43"/>
        <v>-1854704287.8823383</v>
      </c>
      <c r="AQ84" s="13">
        <f t="shared" si="43"/>
        <v>-1861851540.6871142</v>
      </c>
      <c r="AR84" s="13">
        <f t="shared" si="43"/>
        <v>-1788784261.011806</v>
      </c>
      <c r="AS84" s="13">
        <f t="shared" si="43"/>
        <v>-1684355807.2444413</v>
      </c>
      <c r="AT84" s="13">
        <f t="shared" si="43"/>
        <v>-1571372440.4442647</v>
      </c>
      <c r="AU84" s="13">
        <f t="shared" si="43"/>
        <v>-1460101552.2588546</v>
      </c>
      <c r="AV84" s="13">
        <f t="shared" si="43"/>
        <v>-1354825406.2939129</v>
      </c>
      <c r="AW84" s="13">
        <f t="shared" si="43"/>
        <v>-1257023047.1113751</v>
      </c>
      <c r="AX84" s="13">
        <f t="shared" si="43"/>
        <v>-1166909467.2177927</v>
      </c>
      <c r="AY84" s="13">
        <f t="shared" si="43"/>
        <v>-1084171894.3452325</v>
      </c>
      <c r="AZ84" s="13">
        <f t="shared" si="43"/>
        <v>-1008313555.8400712</v>
      </c>
      <c r="BA84" s="13">
        <f t="shared" si="43"/>
        <v>-938806402.43116951</v>
      </c>
      <c r="BB84" s="13">
        <f t="shared" si="43"/>
        <v>-875152024.38541591</v>
      </c>
      <c r="BC84" s="13">
        <f t="shared" si="43"/>
        <v>-816899639.84169781</v>
      </c>
      <c r="BD84" s="13">
        <f t="shared" si="47"/>
        <v>-763645118.36145043</v>
      </c>
      <c r="BE84" s="13">
        <f t="shared" si="47"/>
        <v>-715022636.82200944</v>
      </c>
      <c r="BF84" s="13">
        <f t="shared" si="47"/>
        <v>-670694428.46089256</v>
      </c>
      <c r="BG84" s="13">
        <f t="shared" si="47"/>
        <v>-630341055.99643648</v>
      </c>
      <c r="BH84" s="13">
        <f t="shared" si="47"/>
        <v>-593653162.95228624</v>
      </c>
      <c r="BI84" s="13">
        <f t="shared" si="47"/>
        <v>-560324956.54948473</v>
      </c>
      <c r="BJ84" s="13">
        <f t="shared" si="47"/>
        <v>-530049360.38598019</v>
      </c>
      <c r="BK84" s="13">
        <f t="shared" si="47"/>
        <v>-502514649.00160563</v>
      </c>
      <c r="BL84" s="13">
        <f t="shared" si="47"/>
        <v>-477402340.41707146</v>
      </c>
      <c r="BM84" s="13">
        <f t="shared" si="47"/>
        <v>-454386127.35323441</v>
      </c>
      <c r="BN84" s="13">
        <f t="shared" si="47"/>
        <v>-433131648.63817525</v>
      </c>
      <c r="BO84" s="13">
        <f t="shared" si="47"/>
        <v>-413296927.50929576</v>
      </c>
      <c r="BP84" s="13">
        <f t="shared" si="47"/>
        <v>-394533327.67896855</v>
      </c>
      <c r="BQ84" s="13">
        <f t="shared" si="47"/>
        <v>-376486898.84762013</v>
      </c>
      <c r="BR84" s="13">
        <f t="shared" si="47"/>
        <v>-358800000</v>
      </c>
      <c r="BT84" s="47"/>
      <c r="BU84" s="26">
        <v>6.6666666666666666E-2</v>
      </c>
      <c r="BV84" s="13">
        <f t="shared" si="44"/>
        <v>0.40647187995004258</v>
      </c>
      <c r="BW84" s="13">
        <f t="shared" si="44"/>
        <v>0.40647187995004258</v>
      </c>
      <c r="BX84" s="13">
        <f t="shared" si="44"/>
        <v>0.40647187995004258</v>
      </c>
      <c r="BY84" s="13">
        <f t="shared" si="44"/>
        <v>0.40647187995004258</v>
      </c>
      <c r="BZ84" s="13">
        <f t="shared" si="44"/>
        <v>0.40647187995004258</v>
      </c>
      <c r="CA84" s="13">
        <f t="shared" si="44"/>
        <v>0.40647187995004258</v>
      </c>
      <c r="CB84" s="13">
        <f t="shared" si="44"/>
        <v>0.40647187995004258</v>
      </c>
      <c r="CC84" s="13">
        <f t="shared" si="44"/>
        <v>0.40647187995004258</v>
      </c>
      <c r="CD84" s="13">
        <f t="shared" si="44"/>
        <v>0.40647187995004258</v>
      </c>
      <c r="CE84" s="13">
        <f t="shared" si="44"/>
        <v>0.40647187995004258</v>
      </c>
      <c r="CF84" s="13">
        <f t="shared" si="44"/>
        <v>0.40647187995004258</v>
      </c>
      <c r="CG84" s="13">
        <f t="shared" si="44"/>
        <v>0.40647187995004258</v>
      </c>
      <c r="CH84" s="13">
        <f t="shared" si="44"/>
        <v>0.40647187995004258</v>
      </c>
      <c r="CI84" s="13">
        <f t="shared" si="44"/>
        <v>0.40647187995004258</v>
      </c>
      <c r="CJ84" s="13">
        <f t="shared" si="44"/>
        <v>0.40647187995004258</v>
      </c>
      <c r="CK84" s="13">
        <f t="shared" si="44"/>
        <v>0.40647187995004258</v>
      </c>
      <c r="CL84" s="13">
        <f t="shared" si="50"/>
        <v>0.40647187995004258</v>
      </c>
      <c r="CM84" s="13">
        <f t="shared" si="50"/>
        <v>0.40647187995004258</v>
      </c>
      <c r="CN84" s="13">
        <f t="shared" si="50"/>
        <v>0.40647187995004258</v>
      </c>
      <c r="CO84" s="13">
        <f t="shared" si="50"/>
        <v>0.40647187995004258</v>
      </c>
      <c r="CP84" s="13">
        <f t="shared" si="50"/>
        <v>0.40647187995004258</v>
      </c>
      <c r="CQ84" s="13">
        <f t="shared" si="50"/>
        <v>0.40647187995004258</v>
      </c>
      <c r="CR84" s="13">
        <f t="shared" si="50"/>
        <v>0.40647187995004258</v>
      </c>
      <c r="CS84" s="13">
        <f t="shared" si="50"/>
        <v>0.40647187995004258</v>
      </c>
      <c r="CT84" s="13">
        <f t="shared" si="50"/>
        <v>0.40647187995004258</v>
      </c>
      <c r="CU84" s="13">
        <f t="shared" si="48"/>
        <v>0.40647187995004258</v>
      </c>
      <c r="CV84" s="13">
        <f t="shared" si="48"/>
        <v>0.40647187995004258</v>
      </c>
      <c r="CW84" s="13">
        <f t="shared" si="48"/>
        <v>0.40647187995004258</v>
      </c>
      <c r="CX84" s="13">
        <f t="shared" si="48"/>
        <v>0.40647187995004258</v>
      </c>
      <c r="CY84" s="13">
        <f t="shared" si="48"/>
        <v>0.40647187995004258</v>
      </c>
      <c r="CZ84" s="13">
        <f t="shared" si="48"/>
        <v>0.40647187995004258</v>
      </c>
      <c r="DB84" s="47"/>
      <c r="DC84" s="26">
        <v>6.6666666666666666E-2</v>
      </c>
      <c r="DD84" s="13">
        <f t="shared" si="45"/>
        <v>178.05843601498719</v>
      </c>
      <c r="DE84" s="13">
        <f t="shared" si="45"/>
        <v>406.28585796407503</v>
      </c>
      <c r="DF84" s="13">
        <f t="shared" si="45"/>
        <v>382.77217930976462</v>
      </c>
      <c r="DG84" s="13">
        <f t="shared" si="45"/>
        <v>353.32919661039148</v>
      </c>
      <c r="DH84" s="13">
        <f t="shared" si="45"/>
        <v>323.72375525339123</v>
      </c>
      <c r="DI84" s="13">
        <f t="shared" si="45"/>
        <v>296.15337685092845</v>
      </c>
      <c r="DJ84" s="13">
        <f t="shared" si="45"/>
        <v>271.24683128181579</v>
      </c>
      <c r="DK84" s="13">
        <f t="shared" si="45"/>
        <v>248.98554944426047</v>
      </c>
      <c r="DL84" s="13">
        <f t="shared" si="45"/>
        <v>229.11872506336965</v>
      </c>
      <c r="DM84" s="13">
        <f t="shared" si="45"/>
        <v>211.34269133024219</v>
      </c>
      <c r="DN84" s="13">
        <f t="shared" si="45"/>
        <v>195.37216653170915</v>
      </c>
      <c r="DO84" s="13">
        <f t="shared" si="45"/>
        <v>180.96324384463745</v>
      </c>
      <c r="DP84" s="13">
        <f t="shared" si="45"/>
        <v>167.91594450346778</v>
      </c>
      <c r="DQ84" s="13">
        <f t="shared" si="45"/>
        <v>156.06902290182975</v>
      </c>
      <c r="DR84" s="13">
        <f t="shared" si="45"/>
        <v>145.29261783517205</v>
      </c>
      <c r="DS84" s="13">
        <f t="shared" si="45"/>
        <v>135.48105995150411</v>
      </c>
      <c r="DT84" s="13">
        <f t="shared" si="51"/>
        <v>126.5466599941164</v>
      </c>
      <c r="DU84" s="13">
        <f t="shared" si="49"/>
        <v>118.41465845662565</v>
      </c>
      <c r="DV84" s="13">
        <f t="shared" si="49"/>
        <v>111.01926061737836</v>
      </c>
      <c r="DW84" s="13">
        <f t="shared" si="49"/>
        <v>104.30059736758867</v>
      </c>
      <c r="DX84" s="13">
        <f t="shared" si="49"/>
        <v>98.202441957030572</v>
      </c>
      <c r="DY84" s="13">
        <f t="shared" si="49"/>
        <v>92.670530188074977</v>
      </c>
      <c r="DZ84" s="13">
        <f t="shared" si="49"/>
        <v>87.651356664719117</v>
      </c>
      <c r="EA84" s="13">
        <f t="shared" si="49"/>
        <v>83.09134424925135</v>
      </c>
      <c r="EB84" s="13">
        <f t="shared" si="49"/>
        <v>78.936305029206025</v>
      </c>
      <c r="EC84" s="13">
        <f t="shared" si="49"/>
        <v>75.131128272577087</v>
      </c>
      <c r="ED84" s="13">
        <f t="shared" si="49"/>
        <v>71.6196443595055</v>
      </c>
      <c r="EE84" s="13">
        <f t="shared" si="49"/>
        <v>68.344624101072085</v>
      </c>
      <c r="EF84" s="13">
        <f t="shared" si="49"/>
        <v>65.247880777049303</v>
      </c>
      <c r="EG84" s="13">
        <f t="shared" si="49"/>
        <v>62.270448146707658</v>
      </c>
      <c r="EH84" s="13">
        <f t="shared" si="49"/>
        <v>59.352812004995741</v>
      </c>
    </row>
    <row r="85" spans="5:138" x14ac:dyDescent="0.25">
      <c r="E85" s="49"/>
      <c r="F85" s="26">
        <v>6.3333333333333339E-2</v>
      </c>
      <c r="G85" s="13">
        <f t="shared" si="40"/>
        <v>300</v>
      </c>
      <c r="H85" s="13">
        <f t="shared" si="46"/>
        <v>838.11166861000629</v>
      </c>
      <c r="I85" s="13">
        <f t="shared" si="46"/>
        <v>727.82788343333993</v>
      </c>
      <c r="J85" s="13">
        <f t="shared" si="46"/>
        <v>641.07712363538462</v>
      </c>
      <c r="K85" s="13">
        <f t="shared" si="46"/>
        <v>571.26959391908804</v>
      </c>
      <c r="L85" s="13">
        <f t="shared" si="52"/>
        <v>513.89375806117346</v>
      </c>
      <c r="M85" s="13">
        <f t="shared" si="52"/>
        <v>465.80520224491556</v>
      </c>
      <c r="N85" s="13">
        <f t="shared" si="52"/>
        <v>424.78425334271708</v>
      </c>
      <c r="O85" s="13">
        <f t="shared" si="52"/>
        <v>389.24832937693412</v>
      </c>
      <c r="P85" s="13">
        <f t="shared" si="52"/>
        <v>358.05911746719511</v>
      </c>
      <c r="Q85" s="13">
        <f t="shared" si="52"/>
        <v>330.39066025385171</v>
      </c>
      <c r="R85" s="13">
        <f t="shared" si="52"/>
        <v>305.63784238876002</v>
      </c>
      <c r="S85" s="13">
        <f t="shared" si="52"/>
        <v>283.35224581935461</v>
      </c>
      <c r="T85" s="13">
        <f t="shared" si="52"/>
        <v>263.19681067450921</v>
      </c>
      <c r="U85" s="13">
        <f t="shared" si="52"/>
        <v>244.91355346517554</v>
      </c>
      <c r="V85" s="13">
        <f t="shared" si="52"/>
        <v>228.30043165434819</v>
      </c>
      <c r="W85" s="13">
        <f t="shared" si="52"/>
        <v>213.19466924600647</v>
      </c>
      <c r="X85" s="13">
        <f t="shared" si="52"/>
        <v>199.46068610889296</v>
      </c>
      <c r="Y85" s="13">
        <f t="shared" si="52"/>
        <v>186.98133762833294</v>
      </c>
      <c r="Z85" s="13">
        <f t="shared" si="52"/>
        <v>175.65155738586682</v>
      </c>
      <c r="AA85" s="13">
        <f t="shared" si="52"/>
        <v>165.37376123537078</v>
      </c>
      <c r="AB85" s="13">
        <f t="shared" si="52"/>
        <v>156.05455487710759</v>
      </c>
      <c r="AC85" s="13">
        <f t="shared" si="52"/>
        <v>147.60241483261922</v>
      </c>
      <c r="AD85" s="13">
        <f t="shared" si="52"/>
        <v>139.92610220464678</v>
      </c>
      <c r="AE85" s="13">
        <f t="shared" si="52"/>
        <v>132.93363171163844</v>
      </c>
      <c r="AF85" s="13">
        <f t="shared" si="52"/>
        <v>126.53166332719442</v>
      </c>
      <c r="AG85" s="13">
        <f t="shared" si="52"/>
        <v>120.62521594735445</v>
      </c>
      <c r="AH85" s="13">
        <f t="shared" si="52"/>
        <v>115.11762561036606</v>
      </c>
      <c r="AI85" s="13">
        <f t="shared" si="52"/>
        <v>109.91068746670345</v>
      </c>
      <c r="AJ85" s="13">
        <f t="shared" si="52"/>
        <v>104.90493268821487</v>
      </c>
      <c r="AK85" s="13">
        <f t="shared" si="42"/>
        <v>100</v>
      </c>
      <c r="AL85" s="47"/>
      <c r="AM85" s="26">
        <v>6.3333333333333339E-2</v>
      </c>
      <c r="AN85" s="13">
        <f t="shared" si="43"/>
        <v>-1076400000</v>
      </c>
      <c r="AO85" s="13">
        <f t="shared" si="43"/>
        <v>-3247644377.7340226</v>
      </c>
      <c r="AP85" s="13">
        <f t="shared" si="43"/>
        <v>-2757266179.5241051</v>
      </c>
      <c r="AQ85" s="13">
        <f t="shared" si="43"/>
        <v>-2393949663.0075383</v>
      </c>
      <c r="AR85" s="13">
        <f t="shared" si="43"/>
        <v>-2112912766.4111893</v>
      </c>
      <c r="AS85" s="13">
        <f t="shared" si="43"/>
        <v>-1887983689.4971809</v>
      </c>
      <c r="AT85" s="13">
        <f t="shared" si="43"/>
        <v>-1702943986.943887</v>
      </c>
      <c r="AU85" s="13">
        <f t="shared" si="43"/>
        <v>-1547246924.297219</v>
      </c>
      <c r="AV85" s="13">
        <f t="shared" si="43"/>
        <v>-1413776015.6754704</v>
      </c>
      <c r="AW85" s="13">
        <f t="shared" si="43"/>
        <v>-1297595659.0703545</v>
      </c>
      <c r="AX85" s="13">
        <f t="shared" si="43"/>
        <v>-1195210721.0653284</v>
      </c>
      <c r="AY85" s="13">
        <f t="shared" si="43"/>
        <v>-1104103604.3989005</v>
      </c>
      <c r="AZ85" s="13">
        <f t="shared" si="43"/>
        <v>-1022432181.7007629</v>
      </c>
      <c r="BA85" s="13">
        <f t="shared" si="43"/>
        <v>-948826282.81842947</v>
      </c>
      <c r="BB85" s="13">
        <f t="shared" si="43"/>
        <v>-882247351.23405397</v>
      </c>
      <c r="BC85" s="13">
        <f t="shared" si="43"/>
        <v>-821890021.78164113</v>
      </c>
      <c r="BD85" s="13">
        <f t="shared" si="47"/>
        <v>-767112255.80267739</v>
      </c>
      <c r="BE85" s="13">
        <f t="shared" si="47"/>
        <v>-717385322.79243159</v>
      </c>
      <c r="BF85" s="13">
        <f t="shared" si="47"/>
        <v>-672257797.17051291</v>
      </c>
      <c r="BG85" s="13">
        <f t="shared" si="47"/>
        <v>-631329587.33614576</v>
      </c>
      <c r="BH85" s="13">
        <f t="shared" si="47"/>
        <v>-594233233.09811556</v>
      </c>
      <c r="BI85" s="13">
        <f t="shared" si="47"/>
        <v>-560620527.18411124</v>
      </c>
      <c r="BJ85" s="13">
        <f t="shared" si="47"/>
        <v>-530153075.79810631</v>
      </c>
      <c r="BK85" s="13">
        <f t="shared" si="47"/>
        <v>-502495799.32676667</v>
      </c>
      <c r="BL85" s="13">
        <f t="shared" si="47"/>
        <v>-477312643.60234791</v>
      </c>
      <c r="BM85" s="13">
        <f t="shared" si="47"/>
        <v>-454263961.66405904</v>
      </c>
      <c r="BN85" s="13">
        <f t="shared" si="47"/>
        <v>-433005160.42131525</v>
      </c>
      <c r="BO85" s="13">
        <f t="shared" si="47"/>
        <v>-413186302.61312962</v>
      </c>
      <c r="BP85" s="13">
        <f t="shared" si="47"/>
        <v>-394452423.19572806</v>
      </c>
      <c r="BQ85" s="13">
        <f t="shared" si="47"/>
        <v>-376444368.36918783</v>
      </c>
      <c r="BR85" s="13">
        <f t="shared" si="47"/>
        <v>-358800000</v>
      </c>
      <c r="BT85" s="47"/>
      <c r="BU85" s="26">
        <v>6.3333333333333339E-2</v>
      </c>
      <c r="BV85" s="13">
        <f t="shared" si="44"/>
        <v>0.40647187995004358</v>
      </c>
      <c r="BW85" s="13">
        <f t="shared" si="44"/>
        <v>0.40647187995004358</v>
      </c>
      <c r="BX85" s="13">
        <f t="shared" si="44"/>
        <v>0.40647187995004358</v>
      </c>
      <c r="BY85" s="13">
        <f t="shared" si="44"/>
        <v>0.40647187995004358</v>
      </c>
      <c r="BZ85" s="13">
        <f t="shared" si="44"/>
        <v>0.40647187995004358</v>
      </c>
      <c r="CA85" s="13">
        <f t="shared" si="44"/>
        <v>0.40647187995004358</v>
      </c>
      <c r="CB85" s="13">
        <f t="shared" si="44"/>
        <v>0.40647187995004358</v>
      </c>
      <c r="CC85" s="13">
        <f t="shared" si="44"/>
        <v>0.40647187995004358</v>
      </c>
      <c r="CD85" s="13">
        <f t="shared" si="44"/>
        <v>0.40647187995004358</v>
      </c>
      <c r="CE85" s="13">
        <f t="shared" si="44"/>
        <v>0.40647187995004358</v>
      </c>
      <c r="CF85" s="13">
        <f t="shared" si="44"/>
        <v>0.40647187995004358</v>
      </c>
      <c r="CG85" s="13">
        <f t="shared" si="44"/>
        <v>0.40647187995004358</v>
      </c>
      <c r="CH85" s="13">
        <f t="shared" si="44"/>
        <v>0.40647187995004358</v>
      </c>
      <c r="CI85" s="13">
        <f t="shared" si="44"/>
        <v>0.40647187995004358</v>
      </c>
      <c r="CJ85" s="13">
        <f t="shared" si="44"/>
        <v>0.40647187995004358</v>
      </c>
      <c r="CK85" s="13">
        <f t="shared" si="44"/>
        <v>0.40647187995004358</v>
      </c>
      <c r="CL85" s="13">
        <f t="shared" si="50"/>
        <v>0.40647187995004358</v>
      </c>
      <c r="CM85" s="13">
        <f t="shared" si="50"/>
        <v>0.40647187995004358</v>
      </c>
      <c r="CN85" s="13">
        <f t="shared" si="50"/>
        <v>0.40647187995004358</v>
      </c>
      <c r="CO85" s="13">
        <f t="shared" si="50"/>
        <v>0.40647187995004358</v>
      </c>
      <c r="CP85" s="13">
        <f t="shared" si="50"/>
        <v>0.40647187995004358</v>
      </c>
      <c r="CQ85" s="13">
        <f t="shared" si="50"/>
        <v>0.40647187995004358</v>
      </c>
      <c r="CR85" s="13">
        <f t="shared" si="50"/>
        <v>0.40647187995004358</v>
      </c>
      <c r="CS85" s="13">
        <f t="shared" si="50"/>
        <v>0.40647187995004358</v>
      </c>
      <c r="CT85" s="13">
        <f t="shared" si="50"/>
        <v>0.40647187995004358</v>
      </c>
      <c r="CU85" s="13">
        <f t="shared" si="48"/>
        <v>0.40647187995004358</v>
      </c>
      <c r="CV85" s="13">
        <f t="shared" si="48"/>
        <v>0.40647187995004358</v>
      </c>
      <c r="CW85" s="13">
        <f t="shared" si="48"/>
        <v>0.40647187995004358</v>
      </c>
      <c r="CX85" s="13">
        <f t="shared" si="48"/>
        <v>0.40647187995004358</v>
      </c>
      <c r="CY85" s="13">
        <f t="shared" si="48"/>
        <v>0.40647187995004358</v>
      </c>
      <c r="CZ85" s="13">
        <f t="shared" si="48"/>
        <v>0.40647187995004358</v>
      </c>
      <c r="DB85" s="47"/>
      <c r="DC85" s="26">
        <v>6.3333333333333339E-2</v>
      </c>
      <c r="DD85" s="13">
        <f t="shared" si="45"/>
        <v>178.05843601498691</v>
      </c>
      <c r="DE85" s="13">
        <f t="shared" si="45"/>
        <v>597.48740446510465</v>
      </c>
      <c r="DF85" s="13">
        <f t="shared" si="45"/>
        <v>493.69791523554619</v>
      </c>
      <c r="DG85" s="13">
        <f t="shared" si="45"/>
        <v>419.53605312678974</v>
      </c>
      <c r="DH85" s="13">
        <f t="shared" si="45"/>
        <v>364.35000201270043</v>
      </c>
      <c r="DI85" s="13">
        <f t="shared" si="45"/>
        <v>321.74576499417259</v>
      </c>
      <c r="DJ85" s="13">
        <f t="shared" si="45"/>
        <v>287.76147973914283</v>
      </c>
      <c r="DK85" s="13">
        <f t="shared" si="45"/>
        <v>259.87141634850144</v>
      </c>
      <c r="DL85" s="13">
        <f t="shared" si="45"/>
        <v>236.42417934249781</v>
      </c>
      <c r="DM85" s="13">
        <f t="shared" si="45"/>
        <v>216.31543208041043</v>
      </c>
      <c r="DN85" s="13">
        <f t="shared" si="45"/>
        <v>198.79139542161752</v>
      </c>
      <c r="DO85" s="13">
        <f t="shared" si="45"/>
        <v>183.32755992839097</v>
      </c>
      <c r="DP85" s="13">
        <f t="shared" si="45"/>
        <v>169.55193227884294</v>
      </c>
      <c r="DQ85" s="13">
        <f t="shared" si="45"/>
        <v>157.1953650059254</v>
      </c>
      <c r="DR85" s="13">
        <f t="shared" si="45"/>
        <v>146.0587630756275</v>
      </c>
      <c r="DS85" s="13">
        <f t="shared" si="45"/>
        <v>135.9910438065815</v>
      </c>
      <c r="DT85" s="13">
        <f t="shared" si="51"/>
        <v>126.87409059454203</v>
      </c>
      <c r="DU85" s="13">
        <f t="shared" si="49"/>
        <v>118.61234356475481</v>
      </c>
      <c r="DV85" s="13">
        <f t="shared" si="49"/>
        <v>111.12552106052705</v>
      </c>
      <c r="DW85" s="13">
        <f t="shared" si="49"/>
        <v>104.34349217622517</v>
      </c>
      <c r="DX85" s="13">
        <f t="shared" si="49"/>
        <v>98.2026519406283</v>
      </c>
      <c r="DY85" s="13">
        <f t="shared" si="49"/>
        <v>92.643362847710293</v>
      </c>
      <c r="DZ85" s="13">
        <f t="shared" si="49"/>
        <v>87.608164245137758</v>
      </c>
      <c r="EA85" s="13">
        <f t="shared" si="49"/>
        <v>83.04054194289661</v>
      </c>
      <c r="EB85" s="13">
        <f t="shared" si="49"/>
        <v>78.884111135556864</v>
      </c>
      <c r="EC85" s="13">
        <f t="shared" si="49"/>
        <v>75.08210687091308</v>
      </c>
      <c r="ED85" s="13">
        <f t="shared" si="49"/>
        <v>71.57710451111268</v>
      </c>
      <c r="EE85" s="13">
        <f t="shared" si="49"/>
        <v>68.310912186681776</v>
      </c>
      <c r="EF85" s="13">
        <f t="shared" si="49"/>
        <v>65.224590895538626</v>
      </c>
      <c r="EG85" s="13">
        <f t="shared" si="49"/>
        <v>62.258567441091088</v>
      </c>
      <c r="EH85" s="13">
        <f t="shared" si="49"/>
        <v>59.352812004995634</v>
      </c>
    </row>
    <row r="86" spans="5:138" x14ac:dyDescent="0.25">
      <c r="E86" s="49"/>
      <c r="F86" s="26">
        <v>6.0000000000000005E-2</v>
      </c>
      <c r="G86" s="13">
        <f t="shared" si="40"/>
        <v>300</v>
      </c>
      <c r="H86" s="13">
        <f t="shared" si="46"/>
        <v>1026.1490594380052</v>
      </c>
      <c r="I86" s="13">
        <f t="shared" si="46"/>
        <v>844.4282817780213</v>
      </c>
      <c r="J86" s="13">
        <f t="shared" si="46"/>
        <v>714.47152350785291</v>
      </c>
      <c r="K86" s="13">
        <f t="shared" si="46"/>
        <v>618.21159877564764</v>
      </c>
      <c r="L86" s="13">
        <f t="shared" si="52"/>
        <v>544.40590801251972</v>
      </c>
      <c r="M86" s="13">
        <f t="shared" si="52"/>
        <v>485.94688123797039</v>
      </c>
      <c r="N86" s="13">
        <f t="shared" si="52"/>
        <v>438.26601661204506</v>
      </c>
      <c r="O86" s="13">
        <f t="shared" si="52"/>
        <v>398.37624245546709</v>
      </c>
      <c r="P86" s="13">
        <f t="shared" si="52"/>
        <v>364.29015774363421</v>
      </c>
      <c r="Q86" s="13">
        <f t="shared" si="52"/>
        <v>334.66182564848685</v>
      </c>
      <c r="R86" s="13">
        <f t="shared" si="52"/>
        <v>308.56300369314954</v>
      </c>
      <c r="S86" s="13">
        <f t="shared" si="52"/>
        <v>285.34120481959735</v>
      </c>
      <c r="T86" s="13">
        <f>CI86*T85+DQ86</f>
        <v>264.5282274470988</v>
      </c>
      <c r="U86" s="13">
        <f t="shared" si="52"/>
        <v>245.78025503941132</v>
      </c>
      <c r="V86" s="13">
        <f t="shared" si="52"/>
        <v>228.83800281041567</v>
      </c>
      <c r="W86" s="13">
        <f t="shared" si="52"/>
        <v>213.49979884258255</v>
      </c>
      <c r="X86" s="13">
        <f t="shared" si="52"/>
        <v>199.60315040168857</v>
      </c>
      <c r="Y86" s="13">
        <f t="shared" si="52"/>
        <v>187.01197297797961</v>
      </c>
      <c r="Z86" s="13">
        <f t="shared" si="52"/>
        <v>175.60766482167645</v>
      </c>
      <c r="AA86" s="13">
        <f t="shared" si="52"/>
        <v>165.28283860313746</v>
      </c>
      <c r="AB86" s="13">
        <f t="shared" si="52"/>
        <v>155.93692032114353</v>
      </c>
      <c r="AC86" s="13">
        <f t="shared" si="52"/>
        <v>147.47308148992479</v>
      </c>
      <c r="AD86" s="13">
        <f t="shared" si="52"/>
        <v>139.79613725240981</v>
      </c>
      <c r="AE86" s="13">
        <f t="shared" si="52"/>
        <v>132.8111530781957</v>
      </c>
      <c r="AF86" s="13">
        <f t="shared" si="52"/>
        <v>126.42257636048652</v>
      </c>
      <c r="AG86" s="13">
        <f t="shared" si="52"/>
        <v>120.53375920275684</v>
      </c>
      <c r="AH86" s="13">
        <f t="shared" si="52"/>
        <v>115.04677299729167</v>
      </c>
      <c r="AI86" s="13">
        <f t="shared" si="52"/>
        <v>109.86243915736603</v>
      </c>
      <c r="AJ86" s="13">
        <f t="shared" si="52"/>
        <v>104.88051685930566</v>
      </c>
      <c r="AK86" s="13">
        <f t="shared" si="42"/>
        <v>100</v>
      </c>
      <c r="AL86" s="47"/>
      <c r="AM86" s="26">
        <v>6.0000000000000005E-2</v>
      </c>
      <c r="AN86" s="13">
        <f t="shared" si="43"/>
        <v>-1076400000</v>
      </c>
      <c r="AO86" s="13">
        <f t="shared" si="43"/>
        <v>-4149344908.5566411</v>
      </c>
      <c r="AP86" s="13">
        <f t="shared" si="43"/>
        <v>-3322219083.4751201</v>
      </c>
      <c r="AQ86" s="13">
        <f t="shared" si="43"/>
        <v>-2749198441.27877</v>
      </c>
      <c r="AR86" s="13">
        <f t="shared" si="43"/>
        <v>-2338109869.4358702</v>
      </c>
      <c r="AS86" s="13">
        <f t="shared" si="43"/>
        <v>-2032325667.3677175</v>
      </c>
      <c r="AT86" s="13">
        <f t="shared" si="43"/>
        <v>-1796642450.657531</v>
      </c>
      <c r="AU86" s="13">
        <f t="shared" si="43"/>
        <v>-1608869732.7471173</v>
      </c>
      <c r="AV86" s="13">
        <f t="shared" si="43"/>
        <v>-1454801137.0135143</v>
      </c>
      <c r="AW86" s="13">
        <f t="shared" si="43"/>
        <v>-1325187868.7977133</v>
      </c>
      <c r="AX86" s="13">
        <f t="shared" si="43"/>
        <v>-1213900530.8484418</v>
      </c>
      <c r="AY86" s="13">
        <f t="shared" si="43"/>
        <v>-1116800095.8442633</v>
      </c>
      <c r="AZ86" s="13">
        <f t="shared" si="43"/>
        <v>-1031035401.2077845</v>
      </c>
      <c r="BA86" s="13">
        <f t="shared" si="43"/>
        <v>-954599715.43470383</v>
      </c>
      <c r="BB86" s="13">
        <f t="shared" si="43"/>
        <v>-886046508.32487702</v>
      </c>
      <c r="BC86" s="13">
        <f t="shared" si="43"/>
        <v>-824304358.88601136</v>
      </c>
      <c r="BD86" s="13">
        <f t="shared" si="47"/>
        <v>-768554509.1183188</v>
      </c>
      <c r="BE86" s="13">
        <f t="shared" si="47"/>
        <v>-718148638.47045565</v>
      </c>
      <c r="BF86" s="13">
        <f t="shared" si="47"/>
        <v>-672552901.1827116</v>
      </c>
      <c r="BG86" s="13">
        <f t="shared" si="47"/>
        <v>-631309416.98050427</v>
      </c>
      <c r="BH86" s="13">
        <f t="shared" si="47"/>
        <v>-594009570.6141268</v>
      </c>
      <c r="BI86" s="13">
        <f t="shared" si="47"/>
        <v>-560275445.07848895</v>
      </c>
      <c r="BJ86" s="13">
        <f t="shared" si="47"/>
        <v>-529746954.56102705</v>
      </c>
      <c r="BK86" s="13">
        <f t="shared" si="47"/>
        <v>-502073036.14299768</v>
      </c>
      <c r="BL86" s="13">
        <f t="shared" si="47"/>
        <v>-476905773.06299919</v>
      </c>
      <c r="BM86" s="13">
        <f t="shared" si="47"/>
        <v>-453896660.0185976</v>
      </c>
      <c r="BN86" s="13">
        <f t="shared" si="47"/>
        <v>-432694446.0103159</v>
      </c>
      <c r="BO86" s="13">
        <f t="shared" si="47"/>
        <v>-412944142.10438442</v>
      </c>
      <c r="BP86" s="13">
        <f t="shared" si="47"/>
        <v>-394286884.99767202</v>
      </c>
      <c r="BQ86" s="13">
        <f t="shared" si="47"/>
        <v>-376360418.10169417</v>
      </c>
      <c r="BR86" s="13">
        <f t="shared" si="47"/>
        <v>-358800000</v>
      </c>
      <c r="BT86" s="47"/>
      <c r="BU86" s="26">
        <v>6.0000000000000005E-2</v>
      </c>
      <c r="BV86" s="13">
        <f t="shared" si="44"/>
        <v>0.40647187995004946</v>
      </c>
      <c r="BW86" s="13">
        <f t="shared" si="44"/>
        <v>0.40647187995004946</v>
      </c>
      <c r="BX86" s="13">
        <f t="shared" si="44"/>
        <v>0.40647187995004946</v>
      </c>
      <c r="BY86" s="13">
        <f t="shared" si="44"/>
        <v>0.40647187995004946</v>
      </c>
      <c r="BZ86" s="13">
        <f t="shared" si="44"/>
        <v>0.40647187995004946</v>
      </c>
      <c r="CA86" s="13">
        <f t="shared" si="44"/>
        <v>0.40647187995004946</v>
      </c>
      <c r="CB86" s="13">
        <f t="shared" si="44"/>
        <v>0.40647187995004946</v>
      </c>
      <c r="CC86" s="13">
        <f t="shared" si="44"/>
        <v>0.40647187995004946</v>
      </c>
      <c r="CD86" s="13">
        <f t="shared" si="44"/>
        <v>0.40647187995004946</v>
      </c>
      <c r="CE86" s="13">
        <f t="shared" si="44"/>
        <v>0.40647187995004946</v>
      </c>
      <c r="CF86" s="13">
        <f t="shared" si="44"/>
        <v>0.40647187995004946</v>
      </c>
      <c r="CG86" s="13">
        <f t="shared" si="44"/>
        <v>0.40647187995004946</v>
      </c>
      <c r="CH86" s="13">
        <f t="shared" si="44"/>
        <v>0.40647187995004946</v>
      </c>
      <c r="CI86" s="13">
        <f t="shared" si="44"/>
        <v>0.40647187995004946</v>
      </c>
      <c r="CJ86" s="13">
        <f t="shared" si="44"/>
        <v>0.40647187995004946</v>
      </c>
      <c r="CK86" s="13">
        <f t="shared" si="44"/>
        <v>0.40647187995004946</v>
      </c>
      <c r="CL86" s="13">
        <f t="shared" si="50"/>
        <v>0.40647187995004946</v>
      </c>
      <c r="CM86" s="13">
        <f t="shared" si="50"/>
        <v>0.40647187995004946</v>
      </c>
      <c r="CN86" s="13">
        <f t="shared" si="50"/>
        <v>0.40647187995004946</v>
      </c>
      <c r="CO86" s="13">
        <f t="shared" si="50"/>
        <v>0.40647187995004946</v>
      </c>
      <c r="CP86" s="13">
        <f t="shared" si="50"/>
        <v>0.40647187995004946</v>
      </c>
      <c r="CQ86" s="13">
        <f t="shared" si="50"/>
        <v>0.40647187995004946</v>
      </c>
      <c r="CR86" s="13">
        <f t="shared" si="50"/>
        <v>0.40647187995004946</v>
      </c>
      <c r="CS86" s="13">
        <f t="shared" si="50"/>
        <v>0.40647187995004946</v>
      </c>
      <c r="CT86" s="13">
        <f t="shared" si="50"/>
        <v>0.40647187995004946</v>
      </c>
      <c r="CU86" s="13">
        <f t="shared" si="48"/>
        <v>0.40647187995004946</v>
      </c>
      <c r="CV86" s="13">
        <f t="shared" si="48"/>
        <v>0.40647187995004946</v>
      </c>
      <c r="CW86" s="13">
        <f t="shared" si="48"/>
        <v>0.40647187995004946</v>
      </c>
      <c r="CX86" s="13">
        <f t="shared" si="48"/>
        <v>0.40647187995004946</v>
      </c>
      <c r="CY86" s="13">
        <f t="shared" si="48"/>
        <v>0.40647187995004946</v>
      </c>
      <c r="CZ86" s="13">
        <f t="shared" si="48"/>
        <v>0.40647187995004946</v>
      </c>
      <c r="DB86" s="47"/>
      <c r="DC86" s="26">
        <v>6.0000000000000005E-2</v>
      </c>
      <c r="DD86" s="13">
        <f t="shared" si="45"/>
        <v>178.05843601498518</v>
      </c>
      <c r="DE86" s="13">
        <f t="shared" si="45"/>
        <v>685.48023389002321</v>
      </c>
      <c r="DF86" s="13">
        <f t="shared" si="45"/>
        <v>548.5867137188061</v>
      </c>
      <c r="DG86" s="13">
        <f t="shared" si="45"/>
        <v>453.89169987080788</v>
      </c>
      <c r="DH86" s="13">
        <f t="shared" si="45"/>
        <v>386.00657297705459</v>
      </c>
      <c r="DI86" s="13">
        <f t="shared" si="45"/>
        <v>335.52254607879865</v>
      </c>
      <c r="DJ86" s="13">
        <f t="shared" si="45"/>
        <v>296.61016499096655</v>
      </c>
      <c r="DK86" s="13">
        <f t="shared" si="45"/>
        <v>265.60316258265277</v>
      </c>
      <c r="DL86" s="13">
        <f t="shared" si="45"/>
        <v>240.15774224620861</v>
      </c>
      <c r="DM86" s="13">
        <f t="shared" si="45"/>
        <v>218.74919513348783</v>
      </c>
      <c r="DN86" s="13">
        <f t="shared" si="45"/>
        <v>200.36731285716567</v>
      </c>
      <c r="DO86" s="13">
        <f t="shared" si="45"/>
        <v>184.32981531351331</v>
      </c>
      <c r="DP86" s="13">
        <f t="shared" si="45"/>
        <v>170.16648477333575</v>
      </c>
      <c r="DQ86" s="13">
        <f t="shared" si="45"/>
        <v>157.54612501537378</v>
      </c>
      <c r="DR86" s="13">
        <f t="shared" si="45"/>
        <v>146.22978253717446</v>
      </c>
      <c r="DS86" s="13">
        <f t="shared" si="45"/>
        <v>136.04029716246498</v>
      </c>
      <c r="DT86" s="13">
        <f t="shared" si="51"/>
        <v>126.84216083882932</v>
      </c>
      <c r="DU86" s="13">
        <f t="shared" si="49"/>
        <v>118.52799034288013</v>
      </c>
      <c r="DV86" s="13">
        <f t="shared" si="49"/>
        <v>111.00931715661618</v>
      </c>
      <c r="DW86" s="13">
        <f t="shared" si="49"/>
        <v>104.21024607488918</v>
      </c>
      <c r="DX86" s="13">
        <f t="shared" si="49"/>
        <v>98.063054979385683</v>
      </c>
      <c r="DY86" s="13">
        <f t="shared" si="49"/>
        <v>92.505132025477437</v>
      </c>
      <c r="DZ86" s="13">
        <f t="shared" si="49"/>
        <v>87.476850447743004</v>
      </c>
      <c r="EA86" s="13">
        <f t="shared" si="49"/>
        <v>82.920111435204277</v>
      </c>
      <c r="EB86" s="13">
        <f t="shared" si="49"/>
        <v>78.777369887778519</v>
      </c>
      <c r="EC86" s="13">
        <f t="shared" si="49"/>
        <v>74.991013294675071</v>
      </c>
      <c r="ED86" s="13">
        <f t="shared" si="49"/>
        <v>71.503000907255</v>
      </c>
      <c r="EE86" s="13">
        <f t="shared" si="49"/>
        <v>68.254695300060206</v>
      </c>
      <c r="EF86" s="13">
        <f t="shared" si="49"/>
        <v>65.186835396172725</v>
      </c>
      <c r="EG86" s="13">
        <f t="shared" si="49"/>
        <v>62.239611653493569</v>
      </c>
      <c r="EH86" s="13">
        <f t="shared" si="49"/>
        <v>59.352812004995052</v>
      </c>
    </row>
    <row r="87" spans="5:138" x14ac:dyDescent="0.25">
      <c r="E87" s="49"/>
      <c r="F87" s="26">
        <v>5.6666666666666671E-2</v>
      </c>
      <c r="G87" s="13">
        <f t="shared" si="40"/>
        <v>300</v>
      </c>
      <c r="H87" s="13">
        <f t="shared" si="46"/>
        <v>1101.258410823232</v>
      </c>
      <c r="I87" s="13">
        <f t="shared" si="46"/>
        <v>890.39814667932615</v>
      </c>
      <c r="J87" s="13">
        <f t="shared" si="46"/>
        <v>743.01698257534713</v>
      </c>
      <c r="K87" s="13">
        <f t="shared" si="46"/>
        <v>636.17615120978053</v>
      </c>
      <c r="L87" s="13">
        <f t="shared" si="52"/>
        <v>555.83659192067842</v>
      </c>
      <c r="M87" s="13">
        <f t="shared" si="52"/>
        <v>493.27091753158243</v>
      </c>
      <c r="N87" s="13">
        <f t="shared" si="52"/>
        <v>442.96245013666305</v>
      </c>
      <c r="O87" s="13">
        <f t="shared" si="52"/>
        <v>401.36232483755117</v>
      </c>
      <c r="P87" s="13">
        <f t="shared" si="52"/>
        <v>366.1456466158333</v>
      </c>
      <c r="Q87" s="13">
        <f t="shared" si="52"/>
        <v>335.76055132774252</v>
      </c>
      <c r="R87" s="13">
        <f t="shared" si="52"/>
        <v>309.15095760786687</v>
      </c>
      <c r="S87" s="13">
        <f t="shared" si="52"/>
        <v>285.58350722199731</v>
      </c>
      <c r="T87" s="13">
        <f t="shared" si="52"/>
        <v>264.53779993115859</v>
      </c>
      <c r="U87" s="13">
        <f t="shared" si="52"/>
        <v>245.63561525049022</v>
      </c>
      <c r="V87" s="13">
        <f t="shared" si="52"/>
        <v>228.59451000458947</v>
      </c>
      <c r="W87" s="13">
        <f t="shared" si="52"/>
        <v>213.19690165869184</v>
      </c>
      <c r="X87" s="13">
        <f t="shared" si="52"/>
        <v>199.26915700627234</v>
      </c>
      <c r="Y87" s="13">
        <f t="shared" si="52"/>
        <v>186.6672599851816</v>
      </c>
      <c r="Z87" s="13">
        <f t="shared" si="52"/>
        <v>175.26688443131968</v>
      </c>
      <c r="AA87" s="13">
        <f t="shared" si="52"/>
        <v>164.95647014818204</v>
      </c>
      <c r="AB87" s="13">
        <f t="shared" si="52"/>
        <v>155.63238359942437</v>
      </c>
      <c r="AC87" s="13">
        <f t="shared" si="52"/>
        <v>147.19555052037609</v>
      </c>
      <c r="AD87" s="13">
        <f t="shared" si="52"/>
        <v>139.54914435781748</v>
      </c>
      <c r="AE87" s="13">
        <f t="shared" si="52"/>
        <v>132.59704260455177</v>
      </c>
      <c r="AF87" s="13">
        <f t="shared" si="52"/>
        <v>126.24284783890616</v>
      </c>
      <c r="AG87" s="13">
        <f t="shared" si="52"/>
        <v>120.38932709805678</v>
      </c>
      <c r="AH87" s="13">
        <f t="shared" si="52"/>
        <v>114.93816178757427</v>
      </c>
      <c r="AI87" s="13">
        <f t="shared" si="52"/>
        <v>109.7899267656511</v>
      </c>
      <c r="AJ87" s="13">
        <f t="shared" si="52"/>
        <v>104.84423542399419</v>
      </c>
      <c r="AK87" s="13">
        <f t="shared" si="42"/>
        <v>100</v>
      </c>
      <c r="AL87" s="47"/>
      <c r="AM87" s="26">
        <v>5.6666666666666671E-2</v>
      </c>
      <c r="AN87" s="13">
        <f t="shared" si="43"/>
        <v>-1076400000</v>
      </c>
      <c r="AO87" s="13">
        <f t="shared" si="43"/>
        <v>-4567602704.6370687</v>
      </c>
      <c r="AP87" s="13">
        <f t="shared" si="43"/>
        <v>-3570063800.0123835</v>
      </c>
      <c r="AQ87" s="13">
        <f t="shared" si="43"/>
        <v>-2898479099.1956906</v>
      </c>
      <c r="AR87" s="13">
        <f t="shared" si="43"/>
        <v>-2429435345.6398206</v>
      </c>
      <c r="AS87" s="13">
        <f t="shared" si="43"/>
        <v>-2088978543.3102424</v>
      </c>
      <c r="AT87" s="13">
        <f t="shared" si="43"/>
        <v>-1832172623.9729729</v>
      </c>
      <c r="AU87" s="13">
        <f t="shared" si="43"/>
        <v>-1631290029.5042381</v>
      </c>
      <c r="AV87" s="13">
        <f t="shared" si="43"/>
        <v>-1468932585.7759986</v>
      </c>
      <c r="AW87" s="13">
        <f t="shared" si="43"/>
        <v>-1333985710.294282</v>
      </c>
      <c r="AX87" s="13">
        <f t="shared" si="43"/>
        <v>-1219212689.7125759</v>
      </c>
      <c r="AY87" s="13">
        <f t="shared" si="43"/>
        <v>-1119806335.7310965</v>
      </c>
      <c r="AZ87" s="13">
        <f t="shared" si="43"/>
        <v>-1032504939.4413624</v>
      </c>
      <c r="BA87" s="13">
        <f t="shared" si="43"/>
        <v>-955044511.21400177</v>
      </c>
      <c r="BB87" s="13">
        <f t="shared" si="43"/>
        <v>-885813913.00215149</v>
      </c>
      <c r="BC87" s="13">
        <f t="shared" si="43"/>
        <v>-823634089.61293578</v>
      </c>
      <c r="BD87" s="13">
        <f t="shared" si="47"/>
        <v>-767614352.68493664</v>
      </c>
      <c r="BE87" s="13">
        <f t="shared" si="47"/>
        <v>-717057289.9054513</v>
      </c>
      <c r="BF87" s="13">
        <f t="shared" si="47"/>
        <v>-671394896.31049788</v>
      </c>
      <c r="BG87" s="13">
        <f t="shared" si="47"/>
        <v>-630145121.09403074</v>
      </c>
      <c r="BH87" s="13">
        <f t="shared" si="47"/>
        <v>-592882015.95307541</v>
      </c>
      <c r="BI87" s="13">
        <f t="shared" si="47"/>
        <v>-559215117.48559976</v>
      </c>
      <c r="BJ87" s="13">
        <f t="shared" si="47"/>
        <v>-528775215.08078241</v>
      </c>
      <c r="BK87" s="13">
        <f t="shared" si="47"/>
        <v>-501204611.92991316</v>
      </c>
      <c r="BL87" s="13">
        <f t="shared" si="47"/>
        <v>-476150597.45770913</v>
      </c>
      <c r="BM87" s="13">
        <f t="shared" si="47"/>
        <v>-453261245.24778903</v>
      </c>
      <c r="BN87" s="13">
        <f t="shared" si="47"/>
        <v>-432182910.77143729</v>
      </c>
      <c r="BO87" s="13">
        <f t="shared" si="47"/>
        <v>-412558976.6447348</v>
      </c>
      <c r="BP87" s="13">
        <f t="shared" si="47"/>
        <v>-394029509.94516599</v>
      </c>
      <c r="BQ87" s="13">
        <f t="shared" si="47"/>
        <v>-376231575.21023095</v>
      </c>
      <c r="BR87" s="13">
        <f t="shared" si="47"/>
        <v>-358800000</v>
      </c>
      <c r="BT87" s="47"/>
      <c r="BU87" s="26">
        <v>5.6666666666666671E-2</v>
      </c>
      <c r="BV87" s="13">
        <f t="shared" si="44"/>
        <v>0.40647187995008499</v>
      </c>
      <c r="BW87" s="13">
        <f t="shared" si="44"/>
        <v>0.40647187995008499</v>
      </c>
      <c r="BX87" s="13">
        <f t="shared" si="44"/>
        <v>0.40647187995008499</v>
      </c>
      <c r="BY87" s="13">
        <f t="shared" si="44"/>
        <v>0.40647187995008499</v>
      </c>
      <c r="BZ87" s="13">
        <f t="shared" si="44"/>
        <v>0.40647187995008499</v>
      </c>
      <c r="CA87" s="13">
        <f t="shared" si="44"/>
        <v>0.40647187995008499</v>
      </c>
      <c r="CB87" s="13">
        <f t="shared" si="44"/>
        <v>0.40647187995008499</v>
      </c>
      <c r="CC87" s="13">
        <f t="shared" si="44"/>
        <v>0.40647187995008499</v>
      </c>
      <c r="CD87" s="13">
        <f t="shared" si="44"/>
        <v>0.40647187995008499</v>
      </c>
      <c r="CE87" s="13">
        <f t="shared" si="44"/>
        <v>0.40647187995008499</v>
      </c>
      <c r="CF87" s="13">
        <f t="shared" si="44"/>
        <v>0.40647187995008499</v>
      </c>
      <c r="CG87" s="13">
        <f t="shared" si="44"/>
        <v>0.40647187995008499</v>
      </c>
      <c r="CH87" s="13">
        <f t="shared" si="44"/>
        <v>0.40647187995008499</v>
      </c>
      <c r="CI87" s="13">
        <f t="shared" si="44"/>
        <v>0.40647187995008499</v>
      </c>
      <c r="CJ87" s="13">
        <f t="shared" si="44"/>
        <v>0.40647187995008499</v>
      </c>
      <c r="CK87" s="13">
        <f t="shared" si="44"/>
        <v>0.40647187995008499</v>
      </c>
      <c r="CL87" s="13">
        <f t="shared" si="50"/>
        <v>0.40647187995008499</v>
      </c>
      <c r="CM87" s="13">
        <f t="shared" si="50"/>
        <v>0.40647187995008499</v>
      </c>
      <c r="CN87" s="13">
        <f t="shared" si="50"/>
        <v>0.40647187995008499</v>
      </c>
      <c r="CO87" s="13">
        <f t="shared" si="50"/>
        <v>0.40647187995008499</v>
      </c>
      <c r="CP87" s="13">
        <f t="shared" si="50"/>
        <v>0.40647187995008499</v>
      </c>
      <c r="CQ87" s="13">
        <f t="shared" si="50"/>
        <v>0.40647187995008499</v>
      </c>
      <c r="CR87" s="13">
        <f t="shared" si="50"/>
        <v>0.40647187995008499</v>
      </c>
      <c r="CS87" s="13">
        <f t="shared" si="50"/>
        <v>0.40647187995008499</v>
      </c>
      <c r="CT87" s="13">
        <f t="shared" si="50"/>
        <v>0.40647187995008499</v>
      </c>
      <c r="CU87" s="13">
        <f t="shared" si="48"/>
        <v>0.40647187995008499</v>
      </c>
      <c r="CV87" s="13">
        <f t="shared" si="48"/>
        <v>0.40647187995008499</v>
      </c>
      <c r="CW87" s="13">
        <f t="shared" si="48"/>
        <v>0.40647187995008499</v>
      </c>
      <c r="CX87" s="13">
        <f t="shared" si="48"/>
        <v>0.40647187995008499</v>
      </c>
      <c r="CY87" s="13">
        <f t="shared" si="48"/>
        <v>0.40647187995008499</v>
      </c>
      <c r="CZ87" s="13">
        <f t="shared" si="48"/>
        <v>0.40647187995008499</v>
      </c>
      <c r="DB87" s="47"/>
      <c r="DC87" s="26">
        <v>5.6666666666666671E-2</v>
      </c>
      <c r="DD87" s="13">
        <f t="shared" si="45"/>
        <v>178.05843601497452</v>
      </c>
      <c r="DE87" s="13">
        <f t="shared" si="45"/>
        <v>684.15767352445448</v>
      </c>
      <c r="DF87" s="13">
        <f t="shared" si="45"/>
        <v>547.16179550199365</v>
      </c>
      <c r="DG87" s="13">
        <f t="shared" si="45"/>
        <v>452.60439924430875</v>
      </c>
      <c r="DH87" s="13">
        <f t="shared" si="45"/>
        <v>384.89052044849535</v>
      </c>
      <c r="DI87" s="13">
        <f t="shared" si="45"/>
        <v>334.55089903489647</v>
      </c>
      <c r="DJ87" s="13">
        <f t="shared" si="45"/>
        <v>295.74717515890393</v>
      </c>
      <c r="DK87" s="13">
        <f t="shared" si="45"/>
        <v>264.81963844612994</v>
      </c>
      <c r="DL87" s="13">
        <f t="shared" si="45"/>
        <v>239.43358463922661</v>
      </c>
      <c r="DM87" s="13">
        <f t="shared" si="45"/>
        <v>218.07194135046529</v>
      </c>
      <c r="DN87" s="13">
        <f t="shared" si="45"/>
        <v>199.72992990887451</v>
      </c>
      <c r="DO87" s="13">
        <f t="shared" si="45"/>
        <v>183.72877341366737</v>
      </c>
      <c r="DP87" s="13">
        <f t="shared" si="45"/>
        <v>169.60033127175333</v>
      </c>
      <c r="DQ87" s="13">
        <f t="shared" si="45"/>
        <v>157.01451402087267</v>
      </c>
      <c r="DR87" s="13">
        <f t="shared" si="45"/>
        <v>145.73285293000936</v>
      </c>
      <c r="DS87" s="13">
        <f t="shared" si="45"/>
        <v>135.57829679821697</v>
      </c>
      <c r="DT87" s="13">
        <f t="shared" si="51"/>
        <v>126.41523705418233</v>
      </c>
      <c r="DU87" s="13">
        <f t="shared" si="49"/>
        <v>118.13608921853843</v>
      </c>
      <c r="DV87" s="13">
        <f t="shared" si="49"/>
        <v>110.65215175564774</v>
      </c>
      <c r="DW87" s="13">
        <f t="shared" si="49"/>
        <v>103.88730677760843</v>
      </c>
      <c r="DX87" s="13">
        <f t="shared" si="49"/>
        <v>97.773644017678265</v>
      </c>
      <c r="DY87" s="13">
        <f t="shared" si="49"/>
        <v>92.24841044286255</v>
      </c>
      <c r="DZ87" s="13">
        <f t="shared" si="49"/>
        <v>87.251889845134286</v>
      </c>
      <c r="EA87" s="13">
        <f t="shared" si="49"/>
        <v>82.72594563907036</v>
      </c>
      <c r="EB87" s="13">
        <f t="shared" si="49"/>
        <v>78.613043534519051</v>
      </c>
      <c r="EC87" s="13">
        <f t="shared" si="49"/>
        <v>74.855625557526025</v>
      </c>
      <c r="ED87" s="13">
        <f t="shared" si="49"/>
        <v>71.395743397461345</v>
      </c>
      <c r="EE87" s="13">
        <f t="shared" si="49"/>
        <v>68.174883685174464</v>
      </c>
      <c r="EF87" s="13">
        <f t="shared" si="49"/>
        <v>65.133934585454696</v>
      </c>
      <c r="EG87" s="13">
        <f t="shared" si="49"/>
        <v>62.213254566055639</v>
      </c>
      <c r="EH87" s="13">
        <f t="shared" si="49"/>
        <v>59.352812004991506</v>
      </c>
    </row>
    <row r="88" spans="5:138" x14ac:dyDescent="0.25">
      <c r="E88" s="49"/>
      <c r="F88" s="26">
        <v>5.3333333333333337E-2</v>
      </c>
      <c r="G88" s="13">
        <f t="shared" si="40"/>
        <v>300</v>
      </c>
      <c r="H88" s="13">
        <f t="shared" si="46"/>
        <v>1027.5060408066925</v>
      </c>
      <c r="I88" s="13">
        <f t="shared" si="46"/>
        <v>845.71215415865913</v>
      </c>
      <c r="J88" s="13">
        <f t="shared" si="46"/>
        <v>715.39476876473839</v>
      </c>
      <c r="K88" s="13">
        <f t="shared" si="46"/>
        <v>618.67323622866502</v>
      </c>
      <c r="L88" s="13">
        <f t="shared" si="52"/>
        <v>544.40813295471912</v>
      </c>
      <c r="M88" s="13">
        <f t="shared" si="52"/>
        <v>485.54264177938387</v>
      </c>
      <c r="N88" s="13">
        <f t="shared" si="52"/>
        <v>437.5282656869112</v>
      </c>
      <c r="O88" s="13">
        <f t="shared" si="52"/>
        <v>397.38112116676928</v>
      </c>
      <c r="P88" s="13">
        <f t="shared" si="52"/>
        <v>363.10859195260423</v>
      </c>
      <c r="Q88" s="13">
        <f t="shared" si="52"/>
        <v>333.35593605322134</v>
      </c>
      <c r="R88" s="13">
        <f t="shared" si="52"/>
        <v>307.18511929213241</v>
      </c>
      <c r="S88" s="13">
        <f t="shared" si="52"/>
        <v>283.93418751598273</v>
      </c>
      <c r="T88" s="13">
        <f t="shared" si="52"/>
        <v>263.12638568550705</v>
      </c>
      <c r="U88" s="13">
        <f t="shared" si="52"/>
        <v>244.41046205978344</v>
      </c>
      <c r="V88" s="13">
        <f t="shared" si="52"/>
        <v>227.52082692908473</v>
      </c>
      <c r="W88" s="13">
        <f t="shared" si="52"/>
        <v>212.25055772756667</v>
      </c>
      <c r="X88" s="13">
        <f t="shared" si="52"/>
        <v>198.43285574444394</v>
      </c>
      <c r="Y88" s="13">
        <f t="shared" si="52"/>
        <v>185.92815871130477</v>
      </c>
      <c r="Z88" s="13">
        <f t="shared" si="52"/>
        <v>174.61510410027307</v>
      </c>
      <c r="AA88" s="13">
        <f t="shared" si="52"/>
        <v>164.38415940786467</v>
      </c>
      <c r="AB88" s="13">
        <f t="shared" si="52"/>
        <v>155.13313066252039</v>
      </c>
      <c r="AC88" s="13">
        <f t="shared" si="52"/>
        <v>146.76401476491603</v>
      </c>
      <c r="AD88" s="13">
        <f t="shared" si="52"/>
        <v>139.18082731490048</v>
      </c>
      <c r="AE88" s="13">
        <f t="shared" si="52"/>
        <v>132.28814744671035</v>
      </c>
      <c r="AF88" s="13">
        <f t="shared" si="52"/>
        <v>125.99019487244806</v>
      </c>
      <c r="AG88" s="13">
        <f t="shared" si="52"/>
        <v>120.19030437895825</v>
      </c>
      <c r="AH88" s="13">
        <f t="shared" si="52"/>
        <v>114.79069740130657</v>
      </c>
      <c r="AI88" s="13">
        <f t="shared" si="52"/>
        <v>109.69247410581782</v>
      </c>
      <c r="AJ88" s="13">
        <f t="shared" si="52"/>
        <v>104.7957659430451</v>
      </c>
      <c r="AK88" s="13">
        <f t="shared" si="42"/>
        <v>100</v>
      </c>
      <c r="AL88" s="47"/>
      <c r="AM88" s="26">
        <v>5.3333333333333337E-2</v>
      </c>
      <c r="AN88" s="13">
        <f t="shared" si="43"/>
        <v>-1076400000</v>
      </c>
      <c r="AO88" s="13">
        <f t="shared" si="43"/>
        <v>-4151939753.9169769</v>
      </c>
      <c r="AP88" s="13">
        <f t="shared" si="43"/>
        <v>-3325436081.6508799</v>
      </c>
      <c r="AQ88" s="13">
        <f t="shared" si="43"/>
        <v>-2751829572.6754637</v>
      </c>
      <c r="AR88" s="13">
        <f t="shared" si="43"/>
        <v>-2339558949.9027123</v>
      </c>
      <c r="AS88" s="13">
        <f t="shared" si="43"/>
        <v>-2032405733.4826732</v>
      </c>
      <c r="AT88" s="13">
        <f t="shared" si="43"/>
        <v>-1795406988.1628194</v>
      </c>
      <c r="AU88" s="13">
        <f t="shared" si="43"/>
        <v>-1606494493.0846124</v>
      </c>
      <c r="AV88" s="13">
        <f t="shared" si="43"/>
        <v>-1451509728.555037</v>
      </c>
      <c r="AW88" s="13">
        <f t="shared" si="43"/>
        <v>-1321208926.3016839</v>
      </c>
      <c r="AX88" s="13">
        <f t="shared" si="43"/>
        <v>-1209445472.4431636</v>
      </c>
      <c r="AY88" s="13">
        <f t="shared" si="43"/>
        <v>-1112053351.1829147</v>
      </c>
      <c r="AZ88" s="13">
        <f t="shared" si="43"/>
        <v>-1026151707.2006483</v>
      </c>
      <c r="BA88" s="13">
        <f t="shared" si="43"/>
        <v>-949705124.02160084</v>
      </c>
      <c r="BB88" s="13">
        <f t="shared" si="43"/>
        <v>-881241136.19211161</v>
      </c>
      <c r="BC88" s="13">
        <f t="shared" si="43"/>
        <v>-819665782.48053324</v>
      </c>
      <c r="BD88" s="13">
        <f t="shared" si="47"/>
        <v>-764141230.25061786</v>
      </c>
      <c r="BE88" s="13">
        <f t="shared" si="47"/>
        <v>-714003343.43844151</v>
      </c>
      <c r="BF88" s="13">
        <f t="shared" si="47"/>
        <v>-668705398.36880064</v>
      </c>
      <c r="BG88" s="13">
        <f t="shared" si="47"/>
        <v>-627779221.50999725</v>
      </c>
      <c r="BH88" s="13">
        <f t="shared" si="47"/>
        <v>-590808144.86926401</v>
      </c>
      <c r="BI88" s="13">
        <f t="shared" si="47"/>
        <v>-557408121.03525639</v>
      </c>
      <c r="BJ88" s="13">
        <f t="shared" si="47"/>
        <v>-527214569.46572602</v>
      </c>
      <c r="BK88" s="13">
        <f t="shared" si="47"/>
        <v>-499873313.08763123</v>
      </c>
      <c r="BL88" s="13">
        <f t="shared" si="47"/>
        <v>-475034475.67392868</v>
      </c>
      <c r="BM88" s="13">
        <f t="shared" si="47"/>
        <v>-452348547.24090737</v>
      </c>
      <c r="BN88" s="13">
        <f t="shared" si="47"/>
        <v>-431464049.51191139</v>
      </c>
      <c r="BO88" s="13">
        <f t="shared" si="47"/>
        <v>-412026385.3916449</v>
      </c>
      <c r="BP88" s="13">
        <f t="shared" si="47"/>
        <v>-393677559.99768078</v>
      </c>
      <c r="BQ88" s="13">
        <f t="shared" si="47"/>
        <v>-376056531.72182894</v>
      </c>
      <c r="BR88" s="13">
        <f t="shared" si="47"/>
        <v>-358800000</v>
      </c>
      <c r="BT88" s="47"/>
      <c r="BU88" s="26">
        <v>5.3333333333333337E-2</v>
      </c>
      <c r="BV88" s="13">
        <f t="shared" si="44"/>
        <v>0.40647187995029982</v>
      </c>
      <c r="BW88" s="13">
        <f t="shared" si="44"/>
        <v>0.40647187995029982</v>
      </c>
      <c r="BX88" s="13">
        <f t="shared" si="44"/>
        <v>0.40647187995029982</v>
      </c>
      <c r="BY88" s="13">
        <f t="shared" si="44"/>
        <v>0.40647187995029982</v>
      </c>
      <c r="BZ88" s="13">
        <f t="shared" si="44"/>
        <v>0.40647187995029982</v>
      </c>
      <c r="CA88" s="13">
        <f t="shared" si="44"/>
        <v>0.40647187995029982</v>
      </c>
      <c r="CB88" s="13">
        <f t="shared" si="44"/>
        <v>0.40647187995029982</v>
      </c>
      <c r="CC88" s="13">
        <f t="shared" si="44"/>
        <v>0.40647187995029982</v>
      </c>
      <c r="CD88" s="13">
        <f t="shared" si="44"/>
        <v>0.40647187995029982</v>
      </c>
      <c r="CE88" s="13">
        <f t="shared" si="44"/>
        <v>0.40647187995029982</v>
      </c>
      <c r="CF88" s="13">
        <f t="shared" si="44"/>
        <v>0.40647187995029982</v>
      </c>
      <c r="CG88" s="13">
        <f t="shared" si="44"/>
        <v>0.40647187995029982</v>
      </c>
      <c r="CH88" s="13">
        <f t="shared" si="44"/>
        <v>0.40647187995029982</v>
      </c>
      <c r="CI88" s="13">
        <f t="shared" si="44"/>
        <v>0.40647187995029982</v>
      </c>
      <c r="CJ88" s="13">
        <f t="shared" si="44"/>
        <v>0.40647187995029982</v>
      </c>
      <c r="CK88" s="13">
        <f t="shared" si="44"/>
        <v>0.40647187995029982</v>
      </c>
      <c r="CL88" s="13">
        <f t="shared" si="50"/>
        <v>0.40647187995029982</v>
      </c>
      <c r="CM88" s="13">
        <f t="shared" si="50"/>
        <v>0.40647187995029982</v>
      </c>
      <c r="CN88" s="13">
        <f t="shared" si="50"/>
        <v>0.40647187995029982</v>
      </c>
      <c r="CO88" s="13">
        <f t="shared" si="50"/>
        <v>0.40647187995029982</v>
      </c>
      <c r="CP88" s="13">
        <f t="shared" si="50"/>
        <v>0.40647187995029982</v>
      </c>
      <c r="CQ88" s="13">
        <f t="shared" si="50"/>
        <v>0.40647187995029982</v>
      </c>
      <c r="CR88" s="13">
        <f t="shared" si="50"/>
        <v>0.40647187995029982</v>
      </c>
      <c r="CS88" s="13">
        <f t="shared" si="50"/>
        <v>0.40647187995029982</v>
      </c>
      <c r="CT88" s="13">
        <f t="shared" si="50"/>
        <v>0.40647187995029982</v>
      </c>
      <c r="CU88" s="13">
        <f t="shared" si="48"/>
        <v>0.40647187995029982</v>
      </c>
      <c r="CV88" s="13">
        <f t="shared" si="48"/>
        <v>0.40647187995029982</v>
      </c>
      <c r="CW88" s="13">
        <f t="shared" si="48"/>
        <v>0.40647187995029982</v>
      </c>
      <c r="CX88" s="13">
        <f t="shared" si="48"/>
        <v>0.40647187995029982</v>
      </c>
      <c r="CY88" s="13">
        <f t="shared" si="48"/>
        <v>0.40647187995029982</v>
      </c>
      <c r="CZ88" s="13">
        <f t="shared" si="48"/>
        <v>0.40647187995029982</v>
      </c>
      <c r="DB88" s="47"/>
      <c r="DC88" s="26">
        <v>5.3333333333333337E-2</v>
      </c>
      <c r="DD88" s="13">
        <f t="shared" si="45"/>
        <v>178.05843601491006</v>
      </c>
      <c r="DE88" s="13">
        <f t="shared" si="45"/>
        <v>579.87546424829361</v>
      </c>
      <c r="DF88" s="13">
        <f t="shared" si="45"/>
        <v>483.79034557365065</v>
      </c>
      <c r="DG88" s="13">
        <f t="shared" si="45"/>
        <v>413.37925902233786</v>
      </c>
      <c r="DH88" s="13">
        <f t="shared" si="45"/>
        <v>360.08552006687938</v>
      </c>
      <c r="DI88" s="13">
        <f t="shared" si="45"/>
        <v>318.47618849155333</v>
      </c>
      <c r="DJ88" s="13">
        <f t="shared" si="45"/>
        <v>285.04188460551228</v>
      </c>
      <c r="DK88" s="13">
        <f t="shared" si="45"/>
        <v>257.47648583247081</v>
      </c>
      <c r="DL88" s="13">
        <f t="shared" si="45"/>
        <v>234.2386224488269</v>
      </c>
      <c r="DM88" s="13">
        <f t="shared" si="45"/>
        <v>214.28068263704836</v>
      </c>
      <c r="DN88" s="13">
        <f t="shared" si="45"/>
        <v>196.87871354188471</v>
      </c>
      <c r="DO88" s="13">
        <f t="shared" si="45"/>
        <v>181.52394836482733</v>
      </c>
      <c r="DP88" s="13">
        <f t="shared" si="45"/>
        <v>167.85252245265747</v>
      </c>
      <c r="DQ88" s="13">
        <f t="shared" si="45"/>
        <v>155.59920882957272</v>
      </c>
      <c r="DR88" s="13">
        <f t="shared" si="45"/>
        <v>144.56649174616814</v>
      </c>
      <c r="DS88" s="13">
        <f t="shared" si="45"/>
        <v>134.60358670120164</v>
      </c>
      <c r="DT88" s="13">
        <f t="shared" si="51"/>
        <v>125.59201231077903</v>
      </c>
      <c r="DU88" s="13">
        <f t="shared" si="49"/>
        <v>117.43554687999297</v>
      </c>
      <c r="DV88" s="13">
        <f t="shared" si="49"/>
        <v>110.05316661995661</v>
      </c>
      <c r="DW88" s="13">
        <f t="shared" si="49"/>
        <v>103.37404409244263</v>
      </c>
      <c r="DX88" s="13">
        <f t="shared" si="49"/>
        <v>97.33399287676761</v>
      </c>
      <c r="DY88" s="13">
        <f t="shared" si="49"/>
        <v>91.87294311971614</v>
      </c>
      <c r="DZ88" s="13">
        <f t="shared" si="49"/>
        <v>86.933162624579424</v>
      </c>
      <c r="EA88" s="13">
        <f t="shared" si="49"/>
        <v>82.458024262322638</v>
      </c>
      <c r="EB88" s="13">
        <f t="shared" si="49"/>
        <v>78.391178263388213</v>
      </c>
      <c r="EC88" s="13">
        <f t="shared" si="49"/>
        <v>74.67602718108823</v>
      </c>
      <c r="ED88" s="13">
        <f t="shared" si="49"/>
        <v>71.255428267459536</v>
      </c>
      <c r="EE88" s="13">
        <f t="shared" si="49"/>
        <v>68.07156670147954</v>
      </c>
      <c r="EF88" s="13">
        <f t="shared" si="49"/>
        <v>65.065956173777877</v>
      </c>
      <c r="EG88" s="13">
        <f t="shared" si="49"/>
        <v>62.179532468302355</v>
      </c>
      <c r="EH88" s="13">
        <f t="shared" si="49"/>
        <v>59.352812004970019</v>
      </c>
    </row>
    <row r="89" spans="5:138" x14ac:dyDescent="0.25">
      <c r="E89" s="49"/>
      <c r="F89" s="26">
        <v>0.05</v>
      </c>
      <c r="G89" s="13">
        <f t="shared" si="40"/>
        <v>300</v>
      </c>
      <c r="H89" s="13">
        <f t="shared" si="46"/>
        <v>841.37490762528182</v>
      </c>
      <c r="I89" s="13">
        <f t="shared" si="46"/>
        <v>730.73126489170932</v>
      </c>
      <c r="J89" s="13">
        <f t="shared" si="46"/>
        <v>643.08822105374725</v>
      </c>
      <c r="K89" s="13">
        <f t="shared" si="46"/>
        <v>572.24293518130264</v>
      </c>
      <c r="L89" s="13">
        <f t="shared" si="52"/>
        <v>513.88079658751781</v>
      </c>
      <c r="M89" s="13">
        <f t="shared" si="52"/>
        <v>464.94480335607659</v>
      </c>
      <c r="N89" s="13">
        <f t="shared" si="52"/>
        <v>423.24309674441167</v>
      </c>
      <c r="O89" s="13">
        <f t="shared" si="52"/>
        <v>387.19067454703338</v>
      </c>
      <c r="P89" s="13">
        <f t="shared" si="52"/>
        <v>355.633059420839</v>
      </c>
      <c r="Q89" s="13">
        <f t="shared" si="52"/>
        <v>327.72321114483407</v>
      </c>
      <c r="R89" s="13">
        <f t="shared" si="52"/>
        <v>302.83446378732936</v>
      </c>
      <c r="S89" s="13">
        <f t="shared" si="52"/>
        <v>280.49843244926706</v>
      </c>
      <c r="T89" s="13">
        <f t="shared" si="52"/>
        <v>260.36046608188406</v>
      </c>
      <c r="U89" s="13">
        <f t="shared" si="52"/>
        <v>242.14753149670742</v>
      </c>
      <c r="V89" s="13">
        <f t="shared" si="52"/>
        <v>225.64495654464832</v>
      </c>
      <c r="W89" s="13">
        <f t="shared" si="52"/>
        <v>210.67952077129451</v>
      </c>
      <c r="X89" s="13">
        <f t="shared" si="52"/>
        <v>197.1071204180318</v>
      </c>
      <c r="Y89" s="13">
        <f t="shared" si="52"/>
        <v>184.803751902974</v>
      </c>
      <c r="Z89" s="13">
        <f t="shared" si="52"/>
        <v>173.65892087110629</v>
      </c>
      <c r="AA89" s="13">
        <f t="shared" si="52"/>
        <v>163.57083878497588</v>
      </c>
      <c r="AB89" s="13">
        <f t="shared" si="52"/>
        <v>154.4429482043281</v>
      </c>
      <c r="AC89" s="13">
        <f t="shared" si="52"/>
        <v>146.18144410868126</v>
      </c>
      <c r="AD89" s="13">
        <f t="shared" si="52"/>
        <v>138.69354778846457</v>
      </c>
      <c r="AE89" s="13">
        <f t="shared" si="52"/>
        <v>131.88635310163903</v>
      </c>
      <c r="AF89" s="13">
        <f t="shared" si="52"/>
        <v>125.66611001261705</v>
      </c>
      <c r="AG89" s="13">
        <f t="shared" si="52"/>
        <v>119.93784267430192</v>
      </c>
      <c r="AH89" s="13">
        <f t="shared" si="52"/>
        <v>114.60522260060483</v>
      </c>
      <c r="AI89" s="13">
        <f t="shared" si="52"/>
        <v>109.57063427062067</v>
      </c>
      <c r="AJ89" s="13">
        <f t="shared" si="52"/>
        <v>104.73538256881504</v>
      </c>
      <c r="AK89" s="13">
        <f t="shared" si="42"/>
        <v>100</v>
      </c>
      <c r="AL89" s="47"/>
      <c r="AM89" s="26">
        <v>0.05</v>
      </c>
      <c r="AN89" s="13">
        <f t="shared" si="43"/>
        <v>-1076400000</v>
      </c>
      <c r="AO89" s="13">
        <f t="shared" si="43"/>
        <v>-3253737424.0565128</v>
      </c>
      <c r="AP89" s="13">
        <f t="shared" si="43"/>
        <v>-2764581785.9621754</v>
      </c>
      <c r="AQ89" s="13">
        <f t="shared" si="43"/>
        <v>-2399792196.7405615</v>
      </c>
      <c r="AR89" s="13">
        <f t="shared" si="43"/>
        <v>-2116080958.6164467</v>
      </c>
      <c r="AS89" s="13">
        <f t="shared" si="43"/>
        <v>-1888182032.446769</v>
      </c>
      <c r="AT89" s="13">
        <f t="shared" si="43"/>
        <v>-1700366806.5591242</v>
      </c>
      <c r="AU89" s="13">
        <f t="shared" si="43"/>
        <v>-1542315198.5097184</v>
      </c>
      <c r="AV89" s="13">
        <f t="shared" si="43"/>
        <v>-1406984168.9050255</v>
      </c>
      <c r="AW89" s="13">
        <f t="shared" si="43"/>
        <v>-1289429568.3935509</v>
      </c>
      <c r="AX89" s="13">
        <f t="shared" si="43"/>
        <v>-1186108607.5684893</v>
      </c>
      <c r="AY89" s="13">
        <f t="shared" si="43"/>
        <v>-1094441205.244849</v>
      </c>
      <c r="AZ89" s="13">
        <f t="shared" si="43"/>
        <v>-1012520801.6965699</v>
      </c>
      <c r="BA89" s="13">
        <f t="shared" si="43"/>
        <v>-938917107.18269646</v>
      </c>
      <c r="BB89" s="13">
        <f t="shared" si="43"/>
        <v>-872538365.03475058</v>
      </c>
      <c r="BC89" s="13">
        <f t="shared" si="43"/>
        <v>-812533625.10954535</v>
      </c>
      <c r="BD89" s="13">
        <f t="shared" si="47"/>
        <v>-758222644.3545953</v>
      </c>
      <c r="BE89" s="13">
        <f t="shared" si="47"/>
        <v>-709045231.00783074</v>
      </c>
      <c r="BF89" s="13">
        <f t="shared" si="47"/>
        <v>-664524470.83822763</v>
      </c>
      <c r="BG89" s="13">
        <f t="shared" si="47"/>
        <v>-624239981.71747983</v>
      </c>
      <c r="BH89" s="13">
        <f t="shared" si="47"/>
        <v>-587808488.25158167</v>
      </c>
      <c r="BI89" s="13">
        <f t="shared" si="47"/>
        <v>-554869791.32913637</v>
      </c>
      <c r="BJ89" s="13">
        <f t="shared" si="47"/>
        <v>-525076749.76952279</v>
      </c>
      <c r="BK89" s="13">
        <f t="shared" si="47"/>
        <v>-498088270.28253394</v>
      </c>
      <c r="BL89" s="13">
        <f t="shared" si="47"/>
        <v>-473564568.79534346</v>
      </c>
      <c r="BM89" s="13">
        <f t="shared" si="47"/>
        <v>-451164155.26873827</v>
      </c>
      <c r="BN89" s="13">
        <f t="shared" si="47"/>
        <v>-430542128.83975965</v>
      </c>
      <c r="BO89" s="13">
        <f t="shared" si="47"/>
        <v>-411349466.53511417</v>
      </c>
      <c r="BP89" s="13">
        <f t="shared" si="47"/>
        <v>-393233057.90523338</v>
      </c>
      <c r="BQ89" s="13">
        <f t="shared" si="47"/>
        <v>-375836287.27221376</v>
      </c>
      <c r="BR89" s="13">
        <f t="shared" si="47"/>
        <v>-358800000</v>
      </c>
      <c r="BT89" s="47"/>
      <c r="BU89" s="26">
        <v>0.05</v>
      </c>
      <c r="BV89" s="13">
        <f t="shared" si="44"/>
        <v>0.40647187995160011</v>
      </c>
      <c r="BW89" s="13">
        <f t="shared" si="44"/>
        <v>0.40647187995160011</v>
      </c>
      <c r="BX89" s="13">
        <f t="shared" si="44"/>
        <v>0.40647187995160011</v>
      </c>
      <c r="BY89" s="13">
        <f t="shared" si="44"/>
        <v>0.40647187995160011</v>
      </c>
      <c r="BZ89" s="13">
        <f t="shared" si="44"/>
        <v>0.40647187995160011</v>
      </c>
      <c r="CA89" s="13">
        <f t="shared" si="44"/>
        <v>0.40647187995160011</v>
      </c>
      <c r="CB89" s="13">
        <f t="shared" si="44"/>
        <v>0.40647187995160011</v>
      </c>
      <c r="CC89" s="13">
        <f t="shared" si="44"/>
        <v>0.40647187995160011</v>
      </c>
      <c r="CD89" s="13">
        <f t="shared" si="44"/>
        <v>0.40647187995160011</v>
      </c>
      <c r="CE89" s="13">
        <f t="shared" si="44"/>
        <v>0.40647187995160011</v>
      </c>
      <c r="CF89" s="13">
        <f t="shared" si="44"/>
        <v>0.40647187995160011</v>
      </c>
      <c r="CG89" s="13">
        <f t="shared" si="44"/>
        <v>0.40647187995160011</v>
      </c>
      <c r="CH89" s="13">
        <f t="shared" si="44"/>
        <v>0.40647187995160011</v>
      </c>
      <c r="CI89" s="13">
        <f t="shared" si="44"/>
        <v>0.40647187995160011</v>
      </c>
      <c r="CJ89" s="13">
        <f t="shared" si="44"/>
        <v>0.40647187995160011</v>
      </c>
      <c r="CK89" s="13">
        <f t="shared" si="44"/>
        <v>0.40647187995160011</v>
      </c>
      <c r="CL89" s="13">
        <f t="shared" si="50"/>
        <v>0.40647187995160011</v>
      </c>
      <c r="CM89" s="13">
        <f t="shared" si="50"/>
        <v>0.40647187995160011</v>
      </c>
      <c r="CN89" s="13">
        <f t="shared" si="50"/>
        <v>0.40647187995160011</v>
      </c>
      <c r="CO89" s="13">
        <f t="shared" si="50"/>
        <v>0.40647187995160011</v>
      </c>
      <c r="CP89" s="13">
        <f t="shared" si="50"/>
        <v>0.40647187995160011</v>
      </c>
      <c r="CQ89" s="13">
        <f t="shared" si="50"/>
        <v>0.40647187995160011</v>
      </c>
      <c r="CR89" s="13">
        <f t="shared" si="50"/>
        <v>0.40647187995160011</v>
      </c>
      <c r="CS89" s="13">
        <f t="shared" si="50"/>
        <v>0.40647187995160011</v>
      </c>
      <c r="CT89" s="13">
        <f t="shared" si="50"/>
        <v>0.40647187995160011</v>
      </c>
      <c r="CU89" s="13">
        <f t="shared" si="48"/>
        <v>0.40647187995160011</v>
      </c>
      <c r="CV89" s="13">
        <f t="shared" si="48"/>
        <v>0.40647187995160011</v>
      </c>
      <c r="CW89" s="13">
        <f t="shared" si="48"/>
        <v>0.40647187995160011</v>
      </c>
      <c r="CX89" s="13">
        <f t="shared" si="48"/>
        <v>0.40647187995160011</v>
      </c>
      <c r="CY89" s="13">
        <f t="shared" si="48"/>
        <v>0.40647187995160011</v>
      </c>
      <c r="CZ89" s="13">
        <f t="shared" si="48"/>
        <v>0.40647187995160011</v>
      </c>
      <c r="DB89" s="47"/>
      <c r="DC89" s="26">
        <v>0.05</v>
      </c>
      <c r="DD89" s="13">
        <f t="shared" si="45"/>
        <v>178.05843601451994</v>
      </c>
      <c r="DE89" s="13">
        <f t="shared" si="45"/>
        <v>423.72259555696007</v>
      </c>
      <c r="DF89" s="13">
        <f t="shared" si="45"/>
        <v>386.97305569292166</v>
      </c>
      <c r="DG89" s="13">
        <f t="shared" si="45"/>
        <v>352.30036448640379</v>
      </c>
      <c r="DH89" s="13">
        <f t="shared" si="45"/>
        <v>320.76966177569682</v>
      </c>
      <c r="DI89" s="13">
        <f t="shared" si="45"/>
        <v>292.59419932447253</v>
      </c>
      <c r="DJ89" s="13">
        <f t="shared" si="45"/>
        <v>267.5853729553441</v>
      </c>
      <c r="DK89" s="13">
        <f t="shared" si="45"/>
        <v>245.40016005868969</v>
      </c>
      <c r="DL89" s="13">
        <f t="shared" si="45"/>
        <v>225.66642316910207</v>
      </c>
      <c r="DM89" s="13">
        <f t="shared" si="45"/>
        <v>208.03962742328548</v>
      </c>
      <c r="DN89" s="13">
        <f t="shared" si="45"/>
        <v>192.22339712425577</v>
      </c>
      <c r="DO89" s="13">
        <f t="shared" si="45"/>
        <v>177.97235085549977</v>
      </c>
      <c r="DP89" s="13">
        <f t="shared" si="45"/>
        <v>165.08716946711544</v>
      </c>
      <c r="DQ89" s="13">
        <f t="shared" si="45"/>
        <v>153.4069894274262</v>
      </c>
      <c r="DR89" s="13">
        <f t="shared" si="45"/>
        <v>142.80155150342799</v>
      </c>
      <c r="DS89" s="13">
        <f t="shared" si="45"/>
        <v>133.16413829464062</v>
      </c>
      <c r="DT89" s="13">
        <f t="shared" si="51"/>
        <v>124.40563755099484</v>
      </c>
      <c r="DU89" s="13">
        <f t="shared" si="49"/>
        <v>116.44974449942298</v>
      </c>
      <c r="DV89" s="13">
        <f t="shared" si="49"/>
        <v>109.22918369565049</v>
      </c>
      <c r="DW89" s="13">
        <f t="shared" si="49"/>
        <v>102.68279123952394</v>
      </c>
      <c r="DX89" s="13">
        <f t="shared" si="49"/>
        <v>96.753300476197623</v>
      </c>
      <c r="DY89" s="13">
        <f t="shared" si="49"/>
        <v>91.385692941156236</v>
      </c>
      <c r="DZ89" s="13">
        <f t="shared" si="49"/>
        <v>86.525999117941438</v>
      </c>
      <c r="EA89" s="13">
        <f t="shared" si="49"/>
        <v>82.120455256557946</v>
      </c>
      <c r="EB89" s="13">
        <f t="shared" si="49"/>
        <v>78.114941113660194</v>
      </c>
      <c r="EC89" s="13">
        <f t="shared" si="49"/>
        <v>74.454638647344638</v>
      </c>
      <c r="ED89" s="13">
        <f t="shared" si="49"/>
        <v>71.083863701431724</v>
      </c>
      <c r="EE89" s="13">
        <f t="shared" si="49"/>
        <v>67.946032026940486</v>
      </c>
      <c r="EF89" s="13">
        <f t="shared" si="49"/>
        <v>64.983728104286683</v>
      </c>
      <c r="EG89" s="13">
        <f t="shared" si="49"/>
        <v>62.138850574977631</v>
      </c>
      <c r="EH89" s="13">
        <f t="shared" si="49"/>
        <v>59.352812004839983</v>
      </c>
    </row>
    <row r="90" spans="5:138" x14ac:dyDescent="0.25">
      <c r="E90" s="49"/>
      <c r="F90" s="26">
        <v>4.6666666666666669E-2</v>
      </c>
      <c r="G90" s="13">
        <f t="shared" si="40"/>
        <v>300</v>
      </c>
      <c r="H90" s="13">
        <f t="shared" si="46"/>
        <v>598.50844702913662</v>
      </c>
      <c r="I90" s="13">
        <f t="shared" si="46"/>
        <v>581.27742694584106</v>
      </c>
      <c r="J90" s="13">
        <f t="shared" si="46"/>
        <v>548.46484735248646</v>
      </c>
      <c r="K90" s="13">
        <f t="shared" si="46"/>
        <v>510.62584495859426</v>
      </c>
      <c r="L90" s="13">
        <f t="shared" si="52"/>
        <v>472.63420072979602</v>
      </c>
      <c r="M90" s="13">
        <f t="shared" si="52"/>
        <v>436.58250789955162</v>
      </c>
      <c r="N90" s="13">
        <f t="shared" si="52"/>
        <v>403.22870862539787</v>
      </c>
      <c r="O90" s="13">
        <f t="shared" si="52"/>
        <v>372.71423067360917</v>
      </c>
      <c r="P90" s="13">
        <f t="shared" si="52"/>
        <v>344.9164275674359</v>
      </c>
      <c r="Q90" s="13">
        <f t="shared" si="52"/>
        <v>319.61760556474997</v>
      </c>
      <c r="R90" s="13">
        <f t="shared" si="52"/>
        <v>296.58256452022897</v>
      </c>
      <c r="S90" s="13">
        <f t="shared" si="52"/>
        <v>275.59107688288975</v>
      </c>
      <c r="T90" s="13">
        <f t="shared" si="52"/>
        <v>256.44871196596722</v>
      </c>
      <c r="U90" s="13">
        <f t="shared" si="52"/>
        <v>238.98773571030671</v>
      </c>
      <c r="V90" s="13">
        <f t="shared" si="52"/>
        <v>223.0638878444276</v>
      </c>
      <c r="W90" s="13">
        <f t="shared" si="52"/>
        <v>208.551835547585</v>
      </c>
      <c r="X90" s="13">
        <f t="shared" si="52"/>
        <v>195.3405921090272</v>
      </c>
      <c r="Y90" s="13">
        <f t="shared" si="52"/>
        <v>183.32943953658605</v>
      </c>
      <c r="Z90" s="13">
        <f t="shared" si="52"/>
        <v>172.42453145064712</v>
      </c>
      <c r="AA90" s="13">
        <f t="shared" si="52"/>
        <v>162.53618514491606</v>
      </c>
      <c r="AB90" s="13">
        <f t="shared" si="52"/>
        <v>153.57680121183463</v>
      </c>
      <c r="AC90" s="13">
        <f t="shared" si="52"/>
        <v>145.45932555206622</v>
      </c>
      <c r="AD90" s="13">
        <f t="shared" si="52"/>
        <v>138.09616661528395</v>
      </c>
      <c r="AE90" s="13">
        <f t="shared" si="52"/>
        <v>131.39848777428205</v>
      </c>
      <c r="AF90" s="13">
        <f t="shared" si="52"/>
        <v>125.27580473165844</v>
      </c>
      <c r="AG90" s="13">
        <f t="shared" si="52"/>
        <v>119.63582799274599</v>
      </c>
      <c r="AH90" s="13">
        <f t="shared" si="52"/>
        <v>114.3844995283707</v>
      </c>
      <c r="AI90" s="13">
        <f t="shared" si="52"/>
        <v>109.42618039140267</v>
      </c>
      <c r="AJ90" s="13">
        <f t="shared" si="52"/>
        <v>104.66395218605713</v>
      </c>
      <c r="AK90" s="13">
        <f t="shared" si="42"/>
        <v>100</v>
      </c>
      <c r="AL90" s="47"/>
      <c r="AM90" s="26">
        <v>4.6666666666666669E-2</v>
      </c>
      <c r="AN90" s="13">
        <f t="shared" si="43"/>
        <v>-1076400000</v>
      </c>
      <c r="AO90" s="13">
        <f t="shared" si="43"/>
        <v>-1676268830.3473713</v>
      </c>
      <c r="AP90" s="13">
        <f t="shared" si="43"/>
        <v>-1868121693.6473711</v>
      </c>
      <c r="AQ90" s="13">
        <f t="shared" si="43"/>
        <v>-1872148186.9388306</v>
      </c>
      <c r="AR90" s="13">
        <f t="shared" si="43"/>
        <v>-1794199439.8476434</v>
      </c>
      <c r="AS90" s="13">
        <f t="shared" si="43"/>
        <v>-1684699636.9904249</v>
      </c>
      <c r="AT90" s="13">
        <f t="shared" si="43"/>
        <v>-1567187769.3047681</v>
      </c>
      <c r="AU90" s="13">
        <f t="shared" si="43"/>
        <v>-1452207487.4934313</v>
      </c>
      <c r="AV90" s="13">
        <f t="shared" si="43"/>
        <v>-1344084826.6301196</v>
      </c>
      <c r="AW90" s="13">
        <f t="shared" si="43"/>
        <v>-1244234752.9555979</v>
      </c>
      <c r="AX90" s="13">
        <f t="shared" si="43"/>
        <v>-1152766293.4681809</v>
      </c>
      <c r="AY90" s="13">
        <f t="shared" si="43"/>
        <v>-1069251782.160463</v>
      </c>
      <c r="AZ90" s="13">
        <f t="shared" si="43"/>
        <v>-993085802.68172061</v>
      </c>
      <c r="BA90" s="13">
        <f t="shared" si="43"/>
        <v>-923643928.01387656</v>
      </c>
      <c r="BB90" s="13">
        <f t="shared" si="43"/>
        <v>-860345179.02604067</v>
      </c>
      <c r="BC90" s="13">
        <f t="shared" si="43"/>
        <v>-802669534.68474483</v>
      </c>
      <c r="BD90" s="13">
        <f t="shared" si="47"/>
        <v>-750155684.89925575</v>
      </c>
      <c r="BE90" s="13">
        <f t="shared" si="47"/>
        <v>-702391203.88568962</v>
      </c>
      <c r="BF90" s="13">
        <f t="shared" si="47"/>
        <v>-659000857.03412902</v>
      </c>
      <c r="BG90" s="13">
        <f t="shared" si="47"/>
        <v>-619635565.48938382</v>
      </c>
      <c r="BH90" s="13">
        <f t="shared" si="47"/>
        <v>-583963004.03578234</v>
      </c>
      <c r="BI90" s="13">
        <f t="shared" si="47"/>
        <v>-551660077.99008262</v>
      </c>
      <c r="BJ90" s="13">
        <f t="shared" si="47"/>
        <v>-522407200.22930181</v>
      </c>
      <c r="BK90" s="13">
        <f t="shared" si="47"/>
        <v>-495884162.16806024</v>
      </c>
      <c r="BL90" s="13">
        <f t="shared" si="47"/>
        <v>-471767358.15920275</v>
      </c>
      <c r="BM90" s="13">
        <f t="shared" si="47"/>
        <v>-449728129.61239582</v>
      </c>
      <c r="BN90" s="13">
        <f t="shared" si="47"/>
        <v>-429432017.80766898</v>
      </c>
      <c r="BO90" s="13">
        <f t="shared" si="47"/>
        <v>-410538740.93568611</v>
      </c>
      <c r="BP90" s="13">
        <f t="shared" si="47"/>
        <v>-392702735.93794614</v>
      </c>
      <c r="BQ90" s="13">
        <f t="shared" si="47"/>
        <v>-375574127.06292391</v>
      </c>
      <c r="BR90" s="13">
        <f t="shared" si="47"/>
        <v>-358800000</v>
      </c>
      <c r="BT90" s="47"/>
      <c r="BU90" s="26">
        <v>4.6666666666666669E-2</v>
      </c>
      <c r="BV90" s="13">
        <f t="shared" si="44"/>
        <v>0.40647187995947059</v>
      </c>
      <c r="BW90" s="13">
        <f t="shared" si="44"/>
        <v>0.40647187995947059</v>
      </c>
      <c r="BX90" s="13">
        <f t="shared" si="44"/>
        <v>0.40647187995947059</v>
      </c>
      <c r="BY90" s="13">
        <f t="shared" si="44"/>
        <v>0.40647187995947059</v>
      </c>
      <c r="BZ90" s="13">
        <f t="shared" si="44"/>
        <v>0.40647187995947059</v>
      </c>
      <c r="CA90" s="13">
        <f t="shared" si="44"/>
        <v>0.40647187995947059</v>
      </c>
      <c r="CB90" s="13">
        <f t="shared" si="44"/>
        <v>0.40647187995947059</v>
      </c>
      <c r="CC90" s="13">
        <f t="shared" si="44"/>
        <v>0.40647187995947059</v>
      </c>
      <c r="CD90" s="13">
        <f t="shared" si="44"/>
        <v>0.40647187995947059</v>
      </c>
      <c r="CE90" s="13">
        <f t="shared" si="44"/>
        <v>0.40647187995947059</v>
      </c>
      <c r="CF90" s="13">
        <f t="shared" si="44"/>
        <v>0.40647187995947059</v>
      </c>
      <c r="CG90" s="13">
        <f t="shared" si="44"/>
        <v>0.40647187995947059</v>
      </c>
      <c r="CH90" s="13">
        <f t="shared" si="44"/>
        <v>0.40647187995947059</v>
      </c>
      <c r="CI90" s="13">
        <f t="shared" si="44"/>
        <v>0.40647187995947059</v>
      </c>
      <c r="CJ90" s="13">
        <f t="shared" si="44"/>
        <v>0.40647187995947059</v>
      </c>
      <c r="CK90" s="13">
        <f t="shared" si="44"/>
        <v>0.40647187995947059</v>
      </c>
      <c r="CL90" s="13">
        <f t="shared" si="50"/>
        <v>0.40647187995947059</v>
      </c>
      <c r="CM90" s="13">
        <f t="shared" si="50"/>
        <v>0.40647187995947059</v>
      </c>
      <c r="CN90" s="13">
        <f t="shared" si="50"/>
        <v>0.40647187995947059</v>
      </c>
      <c r="CO90" s="13">
        <f t="shared" si="50"/>
        <v>0.40647187995947059</v>
      </c>
      <c r="CP90" s="13">
        <f t="shared" si="50"/>
        <v>0.40647187995947059</v>
      </c>
      <c r="CQ90" s="13">
        <f t="shared" si="50"/>
        <v>0.40647187995947059</v>
      </c>
      <c r="CR90" s="13">
        <f t="shared" si="50"/>
        <v>0.40647187995947059</v>
      </c>
      <c r="CS90" s="13">
        <f t="shared" si="50"/>
        <v>0.40647187995947059</v>
      </c>
      <c r="CT90" s="13">
        <f t="shared" si="50"/>
        <v>0.40647187995947059</v>
      </c>
      <c r="CU90" s="13">
        <f t="shared" si="48"/>
        <v>0.40647187995947059</v>
      </c>
      <c r="CV90" s="13">
        <f t="shared" si="48"/>
        <v>0.40647187995947059</v>
      </c>
      <c r="CW90" s="13">
        <f t="shared" si="48"/>
        <v>0.40647187995947059</v>
      </c>
      <c r="CX90" s="13">
        <f t="shared" si="48"/>
        <v>0.40647187995947059</v>
      </c>
      <c r="CY90" s="13">
        <f t="shared" si="48"/>
        <v>0.40647187995947059</v>
      </c>
      <c r="CZ90" s="13">
        <f t="shared" si="48"/>
        <v>0.40647187995947059</v>
      </c>
      <c r="DB90" s="47"/>
      <c r="DC90" s="26">
        <v>4.6666666666666669E-2</v>
      </c>
      <c r="DD90" s="13">
        <f t="shared" si="45"/>
        <v>178.05843601215884</v>
      </c>
      <c r="DE90" s="13">
        <f t="shared" si="45"/>
        <v>256.51320657596239</v>
      </c>
      <c r="DF90" s="13">
        <f t="shared" si="45"/>
        <v>284.25571596014606</v>
      </c>
      <c r="DG90" s="13">
        <f t="shared" si="45"/>
        <v>287.06756916097828</v>
      </c>
      <c r="DH90" s="13">
        <f t="shared" si="45"/>
        <v>278.0251833019247</v>
      </c>
      <c r="DI90" s="13">
        <f t="shared" si="45"/>
        <v>263.75610726579737</v>
      </c>
      <c r="DJ90" s="13">
        <f t="shared" si="45"/>
        <v>247.59551960202083</v>
      </c>
      <c r="DK90" s="13">
        <f t="shared" si="45"/>
        <v>231.19229141182876</v>
      </c>
      <c r="DL90" s="13">
        <f t="shared" si="45"/>
        <v>215.33210928770097</v>
      </c>
      <c r="DM90" s="13">
        <f t="shared" si="45"/>
        <v>200.36158932890939</v>
      </c>
      <c r="DN90" s="13">
        <f t="shared" si="45"/>
        <v>186.40733582435476</v>
      </c>
      <c r="DO90" s="13">
        <f t="shared" si="45"/>
        <v>173.48887070807498</v>
      </c>
      <c r="DP90" s="13">
        <f t="shared" si="45"/>
        <v>161.57635171955158</v>
      </c>
      <c r="DQ90" s="13">
        <f t="shared" si="45"/>
        <v>150.61950385053981</v>
      </c>
      <c r="DR90" s="13">
        <f t="shared" si="45"/>
        <v>140.56157335529491</v>
      </c>
      <c r="DS90" s="13">
        <f t="shared" si="45"/>
        <v>131.34555815435135</v>
      </c>
      <c r="DT90" s="13">
        <f t="shared" si="51"/>
        <v>122.91653467071659</v>
      </c>
      <c r="DU90" s="13">
        <f t="shared" si="49"/>
        <v>115.22209031931206</v>
      </c>
      <c r="DV90" s="13">
        <f t="shared" si="49"/>
        <v>108.21191107702062</v>
      </c>
      <c r="DW90" s="13">
        <f t="shared" si="49"/>
        <v>101.83706341243563</v>
      </c>
      <c r="DX90" s="13">
        <f t="shared" si="49"/>
        <v>96.049238797439429</v>
      </c>
      <c r="DY90" s="13">
        <f t="shared" si="49"/>
        <v>90.800085708738251</v>
      </c>
      <c r="DZ90" s="13">
        <f t="shared" si="49"/>
        <v>86.040679150020281</v>
      </c>
      <c r="EA90" s="13">
        <f t="shared" si="49"/>
        <v>81.721139507458076</v>
      </c>
      <c r="EB90" s="13">
        <f t="shared" si="49"/>
        <v>77.790393888060279</v>
      </c>
      <c r="EC90" s="13">
        <f t="shared" si="49"/>
        <v>74.196064747636342</v>
      </c>
      <c r="ED90" s="13">
        <f t="shared" si="49"/>
        <v>70.884467602639276</v>
      </c>
      <c r="EE90" s="13">
        <f t="shared" si="49"/>
        <v>67.800699244729245</v>
      </c>
      <c r="EF90" s="13">
        <f t="shared" si="49"/>
        <v>64.888798691071884</v>
      </c>
      <c r="EG90" s="13">
        <f t="shared" si="49"/>
        <v>62.091964335036515</v>
      </c>
      <c r="EH90" s="13">
        <f t="shared" si="49"/>
        <v>59.35281200405295</v>
      </c>
    </row>
    <row r="91" spans="5:138" x14ac:dyDescent="0.25">
      <c r="E91" s="49"/>
      <c r="F91" s="26">
        <v>4.3333333333333335E-2</v>
      </c>
      <c r="G91" s="13">
        <f t="shared" si="40"/>
        <v>300</v>
      </c>
      <c r="H91" s="13">
        <f t="shared" si="46"/>
        <v>469.45345445066539</v>
      </c>
      <c r="I91" s="13">
        <f t="shared" si="46"/>
        <v>484.36023495028826</v>
      </c>
      <c r="J91" s="13">
        <f t="shared" si="46"/>
        <v>476.96796769999162</v>
      </c>
      <c r="K91" s="13">
        <f t="shared" si="46"/>
        <v>458.16964649042518</v>
      </c>
      <c r="L91" s="13">
        <f t="shared" si="52"/>
        <v>434.07163270494448</v>
      </c>
      <c r="M91" s="13">
        <f t="shared" si="52"/>
        <v>408.04394892583412</v>
      </c>
      <c r="N91" s="13">
        <f t="shared" si="52"/>
        <v>381.90444588186614</v>
      </c>
      <c r="O91" s="13">
        <f t="shared" si="52"/>
        <v>356.59861603370905</v>
      </c>
      <c r="P91" s="13">
        <f t="shared" si="52"/>
        <v>332.58757087257436</v>
      </c>
      <c r="Q91" s="13">
        <f t="shared" si="52"/>
        <v>310.0679602016084</v>
      </c>
      <c r="R91" s="13">
        <f t="shared" si="52"/>
        <v>289.09551050388183</v>
      </c>
      <c r="S91" s="13">
        <f t="shared" si="52"/>
        <v>269.65352353247562</v>
      </c>
      <c r="T91" s="13">
        <f t="shared" si="52"/>
        <v>251.69011014957056</v>
      </c>
      <c r="U91" s="13">
        <f t="shared" si="52"/>
        <v>235.13779903079961</v>
      </c>
      <c r="V91" s="13">
        <f t="shared" si="52"/>
        <v>219.92332515895595</v>
      </c>
      <c r="W91" s="13">
        <f t="shared" si="52"/>
        <v>205.97204912713133</v>
      </c>
      <c r="X91" s="13">
        <f t="shared" si="52"/>
        <v>193.20953254434625</v>
      </c>
      <c r="Y91" s="13">
        <f t="shared" si="52"/>
        <v>181.56169046081203</v>
      </c>
      <c r="Z91" s="13">
        <f t="shared" si="52"/>
        <v>170.95430950737108</v>
      </c>
      <c r="AA91" s="13">
        <f t="shared" si="52"/>
        <v>161.31235958799067</v>
      </c>
      <c r="AB91" s="13">
        <f t="shared" si="52"/>
        <v>152.55932203527834</v>
      </c>
      <c r="AC91" s="13">
        <f t="shared" si="52"/>
        <v>144.61664174219317</v>
      </c>
      <c r="AD91" s="13">
        <f t="shared" si="52"/>
        <v>137.40334670963435</v>
      </c>
      <c r="AE91" s="13">
        <f t="shared" si="52"/>
        <v>130.83584369690607</v>
      </c>
      <c r="AF91" s="13">
        <f t="shared" si="52"/>
        <v>124.82788055330724</v>
      </c>
      <c r="AG91" s="13">
        <f t="shared" si="52"/>
        <v>119.29065703831655</v>
      </c>
      <c r="AH91" s="13">
        <f t="shared" si="52"/>
        <v>114.13306229480997</v>
      </c>
      <c r="AI91" s="13">
        <f t="shared" si="52"/>
        <v>109.26201619972248</v>
      </c>
      <c r="AJ91" s="13">
        <f t="shared" si="52"/>
        <v>104.5828921850985</v>
      </c>
      <c r="AK91" s="13">
        <f t="shared" si="42"/>
        <v>100</v>
      </c>
      <c r="AL91" s="47"/>
      <c r="AM91" s="26">
        <v>4.3333333333333335E-2</v>
      </c>
      <c r="AN91" s="13">
        <f t="shared" si="43"/>
        <v>-1076400000</v>
      </c>
      <c r="AO91" s="13">
        <f t="shared" si="43"/>
        <v>-1442066048.510181</v>
      </c>
      <c r="AP91" s="13">
        <f t="shared" si="43"/>
        <v>-1598048785.3753326</v>
      </c>
      <c r="AQ91" s="13">
        <f t="shared" si="43"/>
        <v>-1633513667.2185888</v>
      </c>
      <c r="AR91" s="13">
        <f t="shared" si="43"/>
        <v>-1602510455.6989629</v>
      </c>
      <c r="AS91" s="13">
        <f t="shared" si="43"/>
        <v>-1536939632.4854517</v>
      </c>
      <c r="AT91" s="13">
        <f t="shared" si="43"/>
        <v>-1455207453.9083383</v>
      </c>
      <c r="AU91" s="13">
        <f t="shared" si="43"/>
        <v>-1367695150.6341379</v>
      </c>
      <c r="AV91" s="13">
        <f t="shared" si="43"/>
        <v>-1280100006.1723378</v>
      </c>
      <c r="AW91" s="13">
        <f t="shared" si="43"/>
        <v>-1195430008.0020919</v>
      </c>
      <c r="AX91" s="13">
        <f t="shared" si="43"/>
        <v>-1115174349.2463117</v>
      </c>
      <c r="AY91" s="13">
        <f t="shared" si="43"/>
        <v>-1039980382.4285814</v>
      </c>
      <c r="AZ91" s="13">
        <f t="shared" si="43"/>
        <v>-970039584.37780893</v>
      </c>
      <c r="BA91" s="13">
        <f t="shared" si="43"/>
        <v>-905304045.59200549</v>
      </c>
      <c r="BB91" s="13">
        <f t="shared" si="43"/>
        <v>-845605332.45672953</v>
      </c>
      <c r="BC91" s="13">
        <f t="shared" si="43"/>
        <v>-790717760.96937394</v>
      </c>
      <c r="BD91" s="13">
        <f t="shared" si="47"/>
        <v>-740390474.66088212</v>
      </c>
      <c r="BE91" s="13">
        <f t="shared" si="47"/>
        <v>-694362373.50565112</v>
      </c>
      <c r="BF91" s="13">
        <f t="shared" si="47"/>
        <v>-652367916.66895044</v>
      </c>
      <c r="BG91" s="13">
        <f t="shared" si="47"/>
        <v>-614138333.44998515</v>
      </c>
      <c r="BH91" s="13">
        <f t="shared" si="47"/>
        <v>-579400766.37496662</v>
      </c>
      <c r="BI91" s="13">
        <f t="shared" si="47"/>
        <v>-547876717.84645855</v>
      </c>
      <c r="BJ91" s="13">
        <f t="shared" si="47"/>
        <v>-519280515.40239</v>
      </c>
      <c r="BK91" s="13">
        <f t="shared" si="47"/>
        <v>-493318140.41649449</v>
      </c>
      <c r="BL91" s="13">
        <f t="shared" si="47"/>
        <v>-469686559.27690941</v>
      </c>
      <c r="BM91" s="13">
        <f t="shared" si="47"/>
        <v>-448073584.31316215</v>
      </c>
      <c r="BN91" s="13">
        <f t="shared" si="47"/>
        <v>-428158233.32644844</v>
      </c>
      <c r="BO91" s="13">
        <f t="shared" si="47"/>
        <v>-409611528.0289408</v>
      </c>
      <c r="BP91" s="13">
        <f t="shared" si="47"/>
        <v>-392097659.46706617</v>
      </c>
      <c r="BQ91" s="13">
        <f t="shared" si="47"/>
        <v>-375275444.78576797</v>
      </c>
      <c r="BR91" s="13">
        <f t="shared" si="47"/>
        <v>-358800000</v>
      </c>
      <c r="BT91" s="47"/>
      <c r="BU91" s="26">
        <v>4.3333333333333335E-2</v>
      </c>
      <c r="BV91" s="13">
        <f t="shared" si="44"/>
        <v>0.40647188000710688</v>
      </c>
      <c r="BW91" s="13">
        <f t="shared" si="44"/>
        <v>0.40647188000710688</v>
      </c>
      <c r="BX91" s="13">
        <f t="shared" si="44"/>
        <v>0.40647188000710688</v>
      </c>
      <c r="BY91" s="13">
        <f t="shared" si="44"/>
        <v>0.40647188000710688</v>
      </c>
      <c r="BZ91" s="13">
        <f t="shared" si="44"/>
        <v>0.40647188000710688</v>
      </c>
      <c r="CA91" s="13">
        <f t="shared" si="44"/>
        <v>0.40647188000710688</v>
      </c>
      <c r="CB91" s="13">
        <f t="shared" si="44"/>
        <v>0.40647188000710688</v>
      </c>
      <c r="CC91" s="13">
        <f t="shared" si="44"/>
        <v>0.40647188000710688</v>
      </c>
      <c r="CD91" s="13">
        <f t="shared" si="44"/>
        <v>0.40647188000710688</v>
      </c>
      <c r="CE91" s="13">
        <f t="shared" si="44"/>
        <v>0.40647188000710688</v>
      </c>
      <c r="CF91" s="13">
        <f t="shared" si="44"/>
        <v>0.40647188000710688</v>
      </c>
      <c r="CG91" s="13">
        <f t="shared" si="44"/>
        <v>0.40647188000710688</v>
      </c>
      <c r="CH91" s="13">
        <f t="shared" si="44"/>
        <v>0.40647188000710688</v>
      </c>
      <c r="CI91" s="13">
        <f t="shared" si="44"/>
        <v>0.40647188000710688</v>
      </c>
      <c r="CJ91" s="13">
        <f t="shared" si="44"/>
        <v>0.40647188000710688</v>
      </c>
      <c r="CK91" s="13">
        <f t="shared" si="44"/>
        <v>0.40647188000710688</v>
      </c>
      <c r="CL91" s="13">
        <f t="shared" si="50"/>
        <v>0.40647188000710688</v>
      </c>
      <c r="CM91" s="13">
        <f t="shared" si="50"/>
        <v>0.40647188000710688</v>
      </c>
      <c r="CN91" s="13">
        <f t="shared" si="50"/>
        <v>0.40647188000710688</v>
      </c>
      <c r="CO91" s="13">
        <f t="shared" si="50"/>
        <v>0.40647188000710688</v>
      </c>
      <c r="CP91" s="13">
        <f t="shared" si="50"/>
        <v>0.40647188000710688</v>
      </c>
      <c r="CQ91" s="13">
        <f t="shared" si="50"/>
        <v>0.40647188000710688</v>
      </c>
      <c r="CR91" s="13">
        <f t="shared" si="50"/>
        <v>0.40647188000710688</v>
      </c>
      <c r="CS91" s="13">
        <f t="shared" si="50"/>
        <v>0.40647188000710688</v>
      </c>
      <c r="CT91" s="13">
        <f t="shared" si="50"/>
        <v>0.40647188000710688</v>
      </c>
      <c r="CU91" s="13">
        <f t="shared" si="48"/>
        <v>0.40647188000710688</v>
      </c>
      <c r="CV91" s="13">
        <f t="shared" si="48"/>
        <v>0.40647188000710688</v>
      </c>
      <c r="CW91" s="13">
        <f t="shared" si="48"/>
        <v>0.40647188000710688</v>
      </c>
      <c r="CX91" s="13">
        <f t="shared" si="48"/>
        <v>0.40647188000710688</v>
      </c>
      <c r="CY91" s="13">
        <f t="shared" si="48"/>
        <v>0.40647188000710688</v>
      </c>
      <c r="CZ91" s="13">
        <f t="shared" si="48"/>
        <v>0.40647188000710688</v>
      </c>
      <c r="DB91" s="47"/>
      <c r="DC91" s="26">
        <v>4.3333333333333335E-2</v>
      </c>
      <c r="DD91" s="13">
        <f t="shared" si="45"/>
        <v>178.05843599786795</v>
      </c>
      <c r="DE91" s="13">
        <f t="shared" si="45"/>
        <v>226.17660078659827</v>
      </c>
      <c r="DF91" s="13">
        <f t="shared" si="45"/>
        <v>248.0873064139185</v>
      </c>
      <c r="DG91" s="13">
        <f t="shared" si="45"/>
        <v>254.03243007881554</v>
      </c>
      <c r="DH91" s="13">
        <f t="shared" si="45"/>
        <v>250.61459930988792</v>
      </c>
      <c r="DI91" s="13">
        <f t="shared" si="45"/>
        <v>241.959120578648</v>
      </c>
      <c r="DJ91" s="13">
        <f t="shared" si="45"/>
        <v>230.58543616168581</v>
      </c>
      <c r="DK91" s="13">
        <f t="shared" si="45"/>
        <v>218.00331461406276</v>
      </c>
      <c r="DL91" s="13">
        <f t="shared" si="45"/>
        <v>205.10076198640465</v>
      </c>
      <c r="DM91" s="13">
        <f t="shared" si="45"/>
        <v>192.38874211390362</v>
      </c>
      <c r="DN91" s="13">
        <f t="shared" si="45"/>
        <v>180.15239118433453</v>
      </c>
      <c r="DO91" s="13">
        <f t="shared" si="45"/>
        <v>168.54303792601527</v>
      </c>
      <c r="DP91" s="13">
        <f t="shared" si="45"/>
        <v>157.63350039870429</v>
      </c>
      <c r="DQ91" s="13">
        <f t="shared" si="45"/>
        <v>147.45092007136282</v>
      </c>
      <c r="DR91" s="13">
        <f t="shared" si="45"/>
        <v>137.99600479798966</v>
      </c>
      <c r="DS91" s="13">
        <f t="shared" si="45"/>
        <v>129.25412730513705</v>
      </c>
      <c r="DT91" s="13">
        <f t="shared" si="51"/>
        <v>121.20159245317147</v>
      </c>
      <c r="DU91" s="13">
        <f t="shared" si="49"/>
        <v>113.80907482808851</v>
      </c>
      <c r="DV91" s="13">
        <f t="shared" si="49"/>
        <v>107.04342851172667</v>
      </c>
      <c r="DW91" s="13">
        <f t="shared" si="49"/>
        <v>100.86858604928203</v>
      </c>
      <c r="DX91" s="13">
        <f t="shared" si="49"/>
        <v>95.245970842953426</v>
      </c>
      <c r="DY91" s="13">
        <f t="shared" si="49"/>
        <v>90.134670921226203</v>
      </c>
      <c r="DZ91" s="13">
        <f t="shared" si="49"/>
        <v>85.491516220478999</v>
      </c>
      <c r="EA91" s="13">
        <f t="shared" si="49"/>
        <v>81.271138243745213</v>
      </c>
      <c r="EB91" s="13">
        <f t="shared" si="49"/>
        <v>77.426053341202788</v>
      </c>
      <c r="EC91" s="13">
        <f t="shared" si="49"/>
        <v>73.906788684626818</v>
      </c>
      <c r="ED91" s="13">
        <f t="shared" si="49"/>
        <v>70.662057117898229</v>
      </c>
      <c r="EE91" s="13">
        <f t="shared" si="49"/>
        <v>67.638979727841104</v>
      </c>
      <c r="EF91" s="13">
        <f t="shared" si="49"/>
        <v>64.783350934032228</v>
      </c>
      <c r="EG91" s="13">
        <f t="shared" si="49"/>
        <v>62.039938771057912</v>
      </c>
      <c r="EH91" s="13">
        <f t="shared" si="49"/>
        <v>59.352811999289315</v>
      </c>
    </row>
    <row r="92" spans="5:138" x14ac:dyDescent="0.25">
      <c r="E92" s="49"/>
      <c r="F92" s="26">
        <v>0.04</v>
      </c>
      <c r="G92" s="13">
        <f t="shared" si="40"/>
        <v>300</v>
      </c>
      <c r="H92" s="13">
        <f t="shared" ref="H92:P104" si="53">BW92*H91+DE92</f>
        <v>398.9329899057222</v>
      </c>
      <c r="I92" s="13">
        <f t="shared" si="53"/>
        <v>421.21979117364879</v>
      </c>
      <c r="J92" s="13">
        <f t="shared" si="53"/>
        <v>424.27480806898967</v>
      </c>
      <c r="K92" s="13">
        <f t="shared" si="53"/>
        <v>415.71398809681716</v>
      </c>
      <c r="L92" s="13">
        <f t="shared" si="52"/>
        <v>400.46302256895513</v>
      </c>
      <c r="M92" s="13">
        <f t="shared" si="52"/>
        <v>381.64409401915873</v>
      </c>
      <c r="N92" s="13">
        <f t="shared" si="52"/>
        <v>361.20288873978313</v>
      </c>
      <c r="O92" s="13">
        <f t="shared" si="52"/>
        <v>340.3322352480626</v>
      </c>
      <c r="P92" s="13">
        <f t="shared" si="52"/>
        <v>319.75006593826964</v>
      </c>
      <c r="Q92" s="13">
        <f t="shared" si="52"/>
        <v>299.87809550442313</v>
      </c>
      <c r="R92" s="13">
        <f t="shared" si="52"/>
        <v>280.95490799945418</v>
      </c>
      <c r="S92" s="13">
        <f t="shared" si="52"/>
        <v>263.1066122247459</v>
      </c>
      <c r="T92" s="13">
        <f t="shared" si="52"/>
        <v>246.39046234879072</v>
      </c>
      <c r="U92" s="13">
        <f t="shared" si="52"/>
        <v>230.82145908215716</v>
      </c>
      <c r="V92" s="13">
        <f t="shared" si="52"/>
        <v>216.38834935777413</v>
      </c>
      <c r="W92" s="13">
        <f t="shared" si="52"/>
        <v>203.06309304659675</v>
      </c>
      <c r="X92" s="13">
        <f t="shared" si="52"/>
        <v>190.80635444426986</v>
      </c>
      <c r="Y92" s="13">
        <f t="shared" si="52"/>
        <v>179.57061498514506</v>
      </c>
      <c r="Z92" s="13">
        <f t="shared" si="52"/>
        <v>169.30189651638065</v>
      </c>
      <c r="AA92" s="13">
        <f t="shared" si="52"/>
        <v>159.94070307134155</v>
      </c>
      <c r="AB92" s="13">
        <f t="shared" si="52"/>
        <v>151.42255049546606</v>
      </c>
      <c r="AC92" s="13">
        <f t="shared" si="52"/>
        <v>143.67830459140197</v>
      </c>
      <c r="AD92" s="13">
        <f t="shared" si="52"/>
        <v>136.63445617057255</v>
      </c>
      <c r="AE92" s="13">
        <f t="shared" si="52"/>
        <v>130.21340442812658</v>
      </c>
      <c r="AF92" s="13">
        <f t="shared" si="52"/>
        <v>124.33378514599569</v>
      </c>
      <c r="AG92" s="13">
        <f t="shared" si="52"/>
        <v>118.91085906143095</v>
      </c>
      <c r="AH92" s="13">
        <f t="shared" si="52"/>
        <v>113.85696310106505</v>
      </c>
      <c r="AI92" s="13">
        <f t="shared" si="52"/>
        <v>109.08201979971818</v>
      </c>
      <c r="AJ92" s="13">
        <f t="shared" si="52"/>
        <v>104.49409604268224</v>
      </c>
      <c r="AK92" s="13">
        <f t="shared" si="42"/>
        <v>100</v>
      </c>
      <c r="AL92" s="47"/>
      <c r="AM92" s="26">
        <v>0.04</v>
      </c>
      <c r="AN92" s="13">
        <f t="shared" si="43"/>
        <v>-1076400000</v>
      </c>
      <c r="AO92" s="13">
        <f t="shared" si="43"/>
        <v>-1304181131.4961498</v>
      </c>
      <c r="AP92" s="13">
        <f t="shared" si="43"/>
        <v>-1422068131.3804219</v>
      </c>
      <c r="AQ92" s="13">
        <f t="shared" si="43"/>
        <v>-1463260255.529907</v>
      </c>
      <c r="AR92" s="13">
        <f t="shared" si="43"/>
        <v>-1454283042.4884377</v>
      </c>
      <c r="AS92" s="13">
        <f t="shared" si="43"/>
        <v>-1414290716.6052699</v>
      </c>
      <c r="AT92" s="13">
        <f t="shared" si="43"/>
        <v>-1356345909.1590521</v>
      </c>
      <c r="AU92" s="13">
        <f t="shared" si="43"/>
        <v>-1289028410.1567614</v>
      </c>
      <c r="AV92" s="13">
        <f t="shared" si="43"/>
        <v>-1217817490.3285556</v>
      </c>
      <c r="AW92" s="13">
        <f t="shared" si="43"/>
        <v>-1146128500.1506491</v>
      </c>
      <c r="AX92" s="13">
        <f t="shared" si="43"/>
        <v>-1076037816.5488842</v>
      </c>
      <c r="AY92" s="13">
        <f t="shared" si="43"/>
        <v>-1008768833.6711267</v>
      </c>
      <c r="AZ92" s="13">
        <f t="shared" si="43"/>
        <v>-945008554.87599504</v>
      </c>
      <c r="BA92" s="13">
        <f t="shared" si="43"/>
        <v>-885109469.24409771</v>
      </c>
      <c r="BB92" s="13">
        <f t="shared" si="43"/>
        <v>-829216036.20290089</v>
      </c>
      <c r="BC92" s="13">
        <f t="shared" si="43"/>
        <v>-777342679.2366178</v>
      </c>
      <c r="BD92" s="13">
        <f t="shared" si="47"/>
        <v>-729421124.43046558</v>
      </c>
      <c r="BE92" s="13">
        <f t="shared" si="47"/>
        <v>-685328661.14017308</v>
      </c>
      <c r="BF92" s="13">
        <f t="shared" si="47"/>
        <v>-644904724.45865381</v>
      </c>
      <c r="BG92" s="13">
        <f t="shared" si="47"/>
        <v>-607960471.0356642</v>
      </c>
      <c r="BH92" s="13">
        <f t="shared" si="47"/>
        <v>-574284264.77410328</v>
      </c>
      <c r="BI92" s="13">
        <f t="shared" si="47"/>
        <v>-543644871.93321812</v>
      </c>
      <c r="BJ92" s="13">
        <f t="shared" si="47"/>
        <v>-515793460.02843672</v>
      </c>
      <c r="BK92" s="13">
        <f t="shared" si="47"/>
        <v>-490465052.80079246</v>
      </c>
      <c r="BL92" s="13">
        <f t="shared" si="47"/>
        <v>-467379818.13251716</v>
      </c>
      <c r="BM92" s="13">
        <f t="shared" si="47"/>
        <v>-446244395.47821611</v>
      </c>
      <c r="BN92" s="13">
        <f t="shared" si="47"/>
        <v>-426753365.00325352</v>
      </c>
      <c r="BO92" s="13">
        <f t="shared" si="47"/>
        <v>-408590897.40242875</v>
      </c>
      <c r="BP92" s="13">
        <f t="shared" si="47"/>
        <v>-391432585.68742424</v>
      </c>
      <c r="BQ92" s="13">
        <f t="shared" si="47"/>
        <v>-374947438.24433726</v>
      </c>
      <c r="BR92" s="13">
        <f t="shared" si="47"/>
        <v>-358800000</v>
      </c>
      <c r="BT92" s="47"/>
      <c r="BU92" s="26">
        <v>0.04</v>
      </c>
      <c r="BV92" s="13">
        <f t="shared" si="44"/>
        <v>0.40647188029542825</v>
      </c>
      <c r="BW92" s="13">
        <f t="shared" si="44"/>
        <v>0.40647188029542825</v>
      </c>
      <c r="BX92" s="13">
        <f t="shared" si="44"/>
        <v>0.40647188029542825</v>
      </c>
      <c r="BY92" s="13">
        <f t="shared" si="44"/>
        <v>0.40647188029542825</v>
      </c>
      <c r="BZ92" s="13">
        <f t="shared" si="44"/>
        <v>0.40647188029542825</v>
      </c>
      <c r="CA92" s="13">
        <f t="shared" si="44"/>
        <v>0.40647188029542825</v>
      </c>
      <c r="CB92" s="13">
        <f t="shared" si="44"/>
        <v>0.40647188029542825</v>
      </c>
      <c r="CC92" s="13">
        <f t="shared" si="44"/>
        <v>0.40647188029542825</v>
      </c>
      <c r="CD92" s="13">
        <f t="shared" si="44"/>
        <v>0.40647188029542825</v>
      </c>
      <c r="CE92" s="13">
        <f t="shared" si="44"/>
        <v>0.40647188029542825</v>
      </c>
      <c r="CF92" s="13">
        <f t="shared" si="44"/>
        <v>0.40647188029542825</v>
      </c>
      <c r="CG92" s="13">
        <f t="shared" si="44"/>
        <v>0.40647188029542825</v>
      </c>
      <c r="CH92" s="13">
        <f t="shared" si="44"/>
        <v>0.40647188029542825</v>
      </c>
      <c r="CI92" s="13">
        <f t="shared" si="44"/>
        <v>0.40647188029542825</v>
      </c>
      <c r="CJ92" s="13">
        <f t="shared" si="44"/>
        <v>0.40647188029542825</v>
      </c>
      <c r="CK92" s="13">
        <f t="shared" si="44"/>
        <v>0.40647188029542825</v>
      </c>
      <c r="CL92" s="13">
        <f t="shared" si="50"/>
        <v>0.40647188029542825</v>
      </c>
      <c r="CM92" s="13">
        <f t="shared" si="50"/>
        <v>0.40647188029542825</v>
      </c>
      <c r="CN92" s="13">
        <f t="shared" si="50"/>
        <v>0.40647188029542825</v>
      </c>
      <c r="CO92" s="13">
        <f t="shared" si="50"/>
        <v>0.40647188029542825</v>
      </c>
      <c r="CP92" s="13">
        <f t="shared" si="50"/>
        <v>0.40647188029542825</v>
      </c>
      <c r="CQ92" s="13">
        <f t="shared" si="50"/>
        <v>0.40647188029542825</v>
      </c>
      <c r="CR92" s="13">
        <f t="shared" si="50"/>
        <v>0.40647188029542825</v>
      </c>
      <c r="CS92" s="13">
        <f t="shared" si="50"/>
        <v>0.40647188029542825</v>
      </c>
      <c r="CT92" s="13">
        <f t="shared" si="50"/>
        <v>0.40647188029542825</v>
      </c>
      <c r="CU92" s="13">
        <f t="shared" si="48"/>
        <v>0.40647188029542825</v>
      </c>
      <c r="CV92" s="13">
        <f t="shared" si="48"/>
        <v>0.40647188029542825</v>
      </c>
      <c r="CW92" s="13">
        <f t="shared" si="48"/>
        <v>0.40647188029542825</v>
      </c>
      <c r="CX92" s="13">
        <f t="shared" si="48"/>
        <v>0.40647188029542825</v>
      </c>
      <c r="CY92" s="13">
        <f t="shared" si="48"/>
        <v>0.40647188029542825</v>
      </c>
      <c r="CZ92" s="13">
        <f t="shared" si="48"/>
        <v>0.40647188029542825</v>
      </c>
      <c r="DB92" s="47"/>
      <c r="DC92" s="26">
        <v>0.04</v>
      </c>
      <c r="DD92" s="13">
        <f t="shared" si="45"/>
        <v>178.05843591137156</v>
      </c>
      <c r="DE92" s="13">
        <f t="shared" si="45"/>
        <v>208.11336156397607</v>
      </c>
      <c r="DF92" s="13">
        <f t="shared" si="45"/>
        <v>224.34097573306971</v>
      </c>
      <c r="DG92" s="13">
        <f t="shared" si="45"/>
        <v>230.400741397285</v>
      </c>
      <c r="DH92" s="13">
        <f t="shared" si="45"/>
        <v>229.4809103935624</v>
      </c>
      <c r="DI92" s="13">
        <f t="shared" si="45"/>
        <v>224.02510984046981</v>
      </c>
      <c r="DJ92" s="13">
        <f t="shared" si="45"/>
        <v>215.78570285610328</v>
      </c>
      <c r="DK92" s="13">
        <f t="shared" si="45"/>
        <v>205.96947052899742</v>
      </c>
      <c r="DL92" s="13">
        <f t="shared" si="45"/>
        <v>195.38492527809345</v>
      </c>
      <c r="DM92" s="13">
        <f t="shared" si="45"/>
        <v>184.56257064280533</v>
      </c>
      <c r="DN92" s="13">
        <f t="shared" si="45"/>
        <v>173.84418870190734</v>
      </c>
      <c r="DO92" s="13">
        <f t="shared" si="45"/>
        <v>163.44571225997461</v>
      </c>
      <c r="DP92" s="13">
        <f t="shared" si="45"/>
        <v>153.50003748621305</v>
      </c>
      <c r="DQ92" s="13">
        <f t="shared" si="45"/>
        <v>144.08551002453135</v>
      </c>
      <c r="DR92" s="13">
        <f t="shared" si="45"/>
        <v>135.24455578157952</v>
      </c>
      <c r="DS92" s="13">
        <f t="shared" si="45"/>
        <v>126.99570185959045</v>
      </c>
      <c r="DT92" s="13">
        <f t="shared" si="51"/>
        <v>119.34124694958936</v>
      </c>
      <c r="DU92" s="13">
        <f t="shared" si="49"/>
        <v>112.2721124599687</v>
      </c>
      <c r="DV92" s="13">
        <f t="shared" si="49"/>
        <v>105.77089327392227</v>
      </c>
      <c r="DW92" s="13">
        <f t="shared" si="49"/>
        <v>99.813776886312922</v>
      </c>
      <c r="DX92" s="13">
        <f t="shared" si="49"/>
        <v>94.371764954718714</v>
      </c>
      <c r="DY92" s="13">
        <f t="shared" si="49"/>
        <v>89.4114760111907</v>
      </c>
      <c r="DZ92" s="13">
        <f t="shared" si="49"/>
        <v>84.895706300442399</v>
      </c>
      <c r="EA92" s="13">
        <f t="shared" si="49"/>
        <v>80.78385947462283</v>
      </c>
      <c r="EB92" s="13">
        <f t="shared" si="49"/>
        <v>77.032313030606431</v>
      </c>
      <c r="EC92" s="13">
        <f t="shared" si="49"/>
        <v>73.594761824199779</v>
      </c>
      <c r="ED92" s="13">
        <f t="shared" si="49"/>
        <v>70.422561393389358</v>
      </c>
      <c r="EE92" s="13">
        <f t="shared" si="49"/>
        <v>67.465082666218393</v>
      </c>
      <c r="EF92" s="13">
        <f t="shared" si="49"/>
        <v>64.670082630147434</v>
      </c>
      <c r="EG92" s="13">
        <f t="shared" si="49"/>
        <v>61.98409120947121</v>
      </c>
      <c r="EH92" s="13">
        <f t="shared" si="49"/>
        <v>59.352811970457175</v>
      </c>
    </row>
    <row r="93" spans="5:138" x14ac:dyDescent="0.25">
      <c r="E93" s="49"/>
      <c r="F93" s="26">
        <v>3.6666666666666667E-2</v>
      </c>
      <c r="G93" s="13">
        <f t="shared" si="40"/>
        <v>300</v>
      </c>
      <c r="H93" s="13">
        <f t="shared" si="53"/>
        <v>359.13485296599191</v>
      </c>
      <c r="I93" s="13">
        <f t="shared" si="53"/>
        <v>379.64178202276537</v>
      </c>
      <c r="J93" s="13">
        <f t="shared" si="53"/>
        <v>385.84197593113458</v>
      </c>
      <c r="K93" s="13">
        <f t="shared" si="53"/>
        <v>382.26768883435466</v>
      </c>
      <c r="L93" s="13">
        <f t="shared" si="52"/>
        <v>372.30625020401425</v>
      </c>
      <c r="M93" s="13">
        <f t="shared" si="52"/>
        <v>358.3826691080605</v>
      </c>
      <c r="N93" s="13">
        <f t="shared" si="52"/>
        <v>342.18431581064237</v>
      </c>
      <c r="O93" s="13">
        <f t="shared" si="52"/>
        <v>324.86164425504734</v>
      </c>
      <c r="P93" s="13">
        <f t="shared" si="52"/>
        <v>307.18665193050174</v>
      </c>
      <c r="Q93" s="13">
        <f t="shared" si="52"/>
        <v>289.6700641697949</v>
      </c>
      <c r="R93" s="13">
        <f t="shared" si="52"/>
        <v>272.64458960877403</v>
      </c>
      <c r="S93" s="13">
        <f t="shared" si="52"/>
        <v>256.32249555141073</v>
      </c>
      <c r="T93" s="13">
        <f t="shared" si="52"/>
        <v>240.83465746186681</v>
      </c>
      <c r="U93" s="13">
        <f t="shared" si="52"/>
        <v>226.25665511995891</v>
      </c>
      <c r="V93" s="13">
        <f t="shared" si="52"/>
        <v>212.62601081723864</v>
      </c>
      <c r="W93" s="13">
        <f t="shared" si="52"/>
        <v>199.95347354111618</v>
      </c>
      <c r="X93" s="13">
        <f t="shared" si="52"/>
        <v>188.2303595823256</v>
      </c>
      <c r="Y93" s="13">
        <f t="shared" si="52"/>
        <v>177.43331779644586</v>
      </c>
      <c r="Z93" s="13">
        <f t="shared" si="52"/>
        <v>167.5274385169626</v>
      </c>
      <c r="AA93" s="13">
        <f t="shared" si="52"/>
        <v>158.46831656577211</v>
      </c>
      <c r="AB93" s="13">
        <f t="shared" si="52"/>
        <v>150.20346959442526</v>
      </c>
      <c r="AC93" s="13">
        <f t="shared" si="52"/>
        <v>142.67337247575898</v>
      </c>
      <c r="AD93" s="13">
        <f t="shared" si="52"/>
        <v>135.81227479557398</v>
      </c>
      <c r="AE93" s="13">
        <f t="shared" si="52"/>
        <v>129.54890645297053</v>
      </c>
      <c r="AF93" s="13">
        <f t="shared" si="52"/>
        <v>123.80713554197314</v>
      </c>
      <c r="AG93" s="13">
        <f t="shared" si="52"/>
        <v>118.50661599013969</v>
      </c>
      <c r="AH93" s="13">
        <f t="shared" si="52"/>
        <v>113.5634451160623</v>
      </c>
      <c r="AI93" s="13">
        <f t="shared" si="52"/>
        <v>108.89084015187922</v>
      </c>
      <c r="AJ93" s="13">
        <f t="shared" si="52"/>
        <v>104.39983573524346</v>
      </c>
      <c r="AK93" s="13">
        <f t="shared" si="42"/>
        <v>100</v>
      </c>
      <c r="AL93" s="47"/>
      <c r="AM93" s="26">
        <v>3.6666666666666667E-2</v>
      </c>
      <c r="AN93" s="13">
        <f t="shared" si="43"/>
        <v>-1076400000</v>
      </c>
      <c r="AO93" s="13">
        <f t="shared" si="43"/>
        <v>-1220192698.5012529</v>
      </c>
      <c r="AP93" s="13">
        <f t="shared" si="43"/>
        <v>-1305056604.680351</v>
      </c>
      <c r="AQ93" s="13">
        <f t="shared" si="43"/>
        <v>-1341104690.4588816</v>
      </c>
      <c r="AR93" s="13">
        <f t="shared" si="43"/>
        <v>-1340623149.195112</v>
      </c>
      <c r="AS93" s="13">
        <f t="shared" si="43"/>
        <v>-1314622097.3363051</v>
      </c>
      <c r="AT93" s="13">
        <f t="shared" si="43"/>
        <v>-1271840769.5763922</v>
      </c>
      <c r="AU93" s="13">
        <f t="shared" si="43"/>
        <v>-1218777267.7367904</v>
      </c>
      <c r="AV93" s="13">
        <f t="shared" si="43"/>
        <v>-1160070021.8294806</v>
      </c>
      <c r="AW93" s="13">
        <f t="shared" si="43"/>
        <v>-1098937436.742193</v>
      </c>
      <c r="AX93" s="13">
        <f t="shared" si="43"/>
        <v>-1037564039.1541176</v>
      </c>
      <c r="AY93" s="13">
        <f t="shared" si="43"/>
        <v>-977403416.64034545</v>
      </c>
      <c r="AZ93" s="13">
        <f t="shared" si="43"/>
        <v>-919401625.62316322</v>
      </c>
      <c r="BA93" s="13">
        <f t="shared" si="43"/>
        <v>-864155665.59417927</v>
      </c>
      <c r="BB93" s="13">
        <f t="shared" si="43"/>
        <v>-812022942.2540139</v>
      </c>
      <c r="BC93" s="13">
        <f t="shared" si="43"/>
        <v>-763195439.01653683</v>
      </c>
      <c r="BD93" s="13">
        <f t="shared" si="47"/>
        <v>-717749268.80175591</v>
      </c>
      <c r="BE93" s="13">
        <f t="shared" si="47"/>
        <v>-675677450.01695669</v>
      </c>
      <c r="BF93" s="13">
        <f t="shared" si="47"/>
        <v>-636911469.71679759</v>
      </c>
      <c r="BG93" s="13">
        <f t="shared" si="47"/>
        <v>-601335483.42362261</v>
      </c>
      <c r="BH93" s="13">
        <f t="shared" si="47"/>
        <v>-568795766.91006088</v>
      </c>
      <c r="BI93" s="13">
        <f t="shared" si="47"/>
        <v>-539107170.24852121</v>
      </c>
      <c r="BJ93" s="13">
        <f t="shared" si="47"/>
        <v>-512057729.48757994</v>
      </c>
      <c r="BK93" s="13">
        <f t="shared" si="47"/>
        <v>-487412187.68400556</v>
      </c>
      <c r="BL93" s="13">
        <f t="shared" si="47"/>
        <v>-464914906.07583272</v>
      </c>
      <c r="BM93" s="13">
        <f t="shared" si="47"/>
        <v>-444292465.92345595</v>
      </c>
      <c r="BN93" s="13">
        <f t="shared" si="47"/>
        <v>-425256142.60897869</v>
      </c>
      <c r="BO93" s="13">
        <f t="shared" si="47"/>
        <v>-407504355.77653921</v>
      </c>
      <c r="BP93" s="13">
        <f t="shared" si="47"/>
        <v>-390725148.89152467</v>
      </c>
      <c r="BQ93" s="13">
        <f t="shared" si="47"/>
        <v>-374598719.3486551</v>
      </c>
      <c r="BR93" s="13">
        <f t="shared" si="47"/>
        <v>-358800000</v>
      </c>
      <c r="BT93" s="47"/>
      <c r="BU93" s="26">
        <v>3.6666666666666667E-2</v>
      </c>
      <c r="BV93" s="13">
        <f t="shared" si="44"/>
        <v>0.40647188204051027</v>
      </c>
      <c r="BW93" s="13">
        <f t="shared" si="44"/>
        <v>0.40647188204051027</v>
      </c>
      <c r="BX93" s="13">
        <f t="shared" si="44"/>
        <v>0.40647188204051027</v>
      </c>
      <c r="BY93" s="13">
        <f t="shared" si="44"/>
        <v>0.40647188204051027</v>
      </c>
      <c r="BZ93" s="13">
        <f t="shared" si="44"/>
        <v>0.40647188204051027</v>
      </c>
      <c r="CA93" s="13">
        <f t="shared" si="44"/>
        <v>0.40647188204051027</v>
      </c>
      <c r="CB93" s="13">
        <f t="shared" si="44"/>
        <v>0.40647188204051027</v>
      </c>
      <c r="CC93" s="13">
        <f t="shared" si="44"/>
        <v>0.40647188204051027</v>
      </c>
      <c r="CD93" s="13">
        <f t="shared" si="44"/>
        <v>0.40647188204051027</v>
      </c>
      <c r="CE93" s="13">
        <f t="shared" si="44"/>
        <v>0.40647188204051027</v>
      </c>
      <c r="CF93" s="13">
        <f t="shared" si="44"/>
        <v>0.40647188204051027</v>
      </c>
      <c r="CG93" s="13">
        <f t="shared" si="44"/>
        <v>0.40647188204051027</v>
      </c>
      <c r="CH93" s="13">
        <f t="shared" si="44"/>
        <v>0.40647188204051027</v>
      </c>
      <c r="CI93" s="13">
        <f t="shared" si="44"/>
        <v>0.40647188204051027</v>
      </c>
      <c r="CJ93" s="13">
        <f t="shared" si="44"/>
        <v>0.40647188204051027</v>
      </c>
      <c r="CK93" s="13">
        <f t="shared" si="44"/>
        <v>0.40647188204051027</v>
      </c>
      <c r="CL93" s="13">
        <f t="shared" si="50"/>
        <v>0.40647188204051027</v>
      </c>
      <c r="CM93" s="13">
        <f t="shared" si="50"/>
        <v>0.40647188204051027</v>
      </c>
      <c r="CN93" s="13">
        <f t="shared" si="50"/>
        <v>0.40647188204051027</v>
      </c>
      <c r="CO93" s="13">
        <f t="shared" si="50"/>
        <v>0.40647188204051027</v>
      </c>
      <c r="CP93" s="13">
        <f t="shared" si="50"/>
        <v>0.40647188204051027</v>
      </c>
      <c r="CQ93" s="13">
        <f t="shared" si="50"/>
        <v>0.40647188204051027</v>
      </c>
      <c r="CR93" s="13">
        <f t="shared" si="50"/>
        <v>0.40647188204051027</v>
      </c>
      <c r="CS93" s="13">
        <f t="shared" si="50"/>
        <v>0.40647188204051027</v>
      </c>
      <c r="CT93" s="13">
        <f t="shared" si="50"/>
        <v>0.40647188204051027</v>
      </c>
      <c r="CU93" s="13">
        <f t="shared" si="48"/>
        <v>0.40647188204051027</v>
      </c>
      <c r="CV93" s="13">
        <f t="shared" si="48"/>
        <v>0.40647188204051027</v>
      </c>
      <c r="CW93" s="13">
        <f t="shared" si="48"/>
        <v>0.40647188204051027</v>
      </c>
      <c r="CX93" s="13">
        <f t="shared" si="48"/>
        <v>0.40647188204051027</v>
      </c>
      <c r="CY93" s="13">
        <f t="shared" si="48"/>
        <v>0.40647188204051027</v>
      </c>
      <c r="CZ93" s="13">
        <f t="shared" si="48"/>
        <v>0.40647188204051027</v>
      </c>
      <c r="DB93" s="47"/>
      <c r="DC93" s="26">
        <v>3.6666666666666667E-2</v>
      </c>
      <c r="DD93" s="13">
        <f t="shared" si="45"/>
        <v>178.05843538784694</v>
      </c>
      <c r="DE93" s="13">
        <f t="shared" si="45"/>
        <v>196.97980975096513</v>
      </c>
      <c r="DF93" s="13">
        <f t="shared" si="45"/>
        <v>208.42778075170159</v>
      </c>
      <c r="DG93" s="13">
        <f t="shared" si="45"/>
        <v>213.38619619295608</v>
      </c>
      <c r="DH93" s="13">
        <f t="shared" si="45"/>
        <v>213.29164170207508</v>
      </c>
      <c r="DI93" s="13">
        <f t="shared" si="45"/>
        <v>209.52929173277971</v>
      </c>
      <c r="DJ93" s="13">
        <f t="shared" si="45"/>
        <v>203.2550759424476</v>
      </c>
      <c r="DK93" s="13">
        <f t="shared" si="45"/>
        <v>195.36549782611368</v>
      </c>
      <c r="DL93" s="13">
        <f t="shared" si="45"/>
        <v>186.52616007471366</v>
      </c>
      <c r="DM93" s="13">
        <f t="shared" si="45"/>
        <v>177.217240845996</v>
      </c>
      <c r="DN93" s="13">
        <f t="shared" si="45"/>
        <v>167.77805030738813</v>
      </c>
      <c r="DO93" s="13">
        <f t="shared" si="45"/>
        <v>158.44431938571751</v>
      </c>
      <c r="DP93" s="13">
        <f t="shared" si="45"/>
        <v>149.37705570311556</v>
      </c>
      <c r="DQ93" s="13">
        <f t="shared" si="45"/>
        <v>140.68386251412235</v>
      </c>
      <c r="DR93" s="13">
        <f t="shared" si="45"/>
        <v>132.43422223149787</v>
      </c>
      <c r="DS93" s="13">
        <f t="shared" si="45"/>
        <v>124.67023120214476</v>
      </c>
      <c r="DT93" s="13">
        <f t="shared" si="51"/>
        <v>117.41403593749874</v>
      </c>
      <c r="DU93" s="13">
        <f t="shared" si="49"/>
        <v>110.67294158607457</v>
      </c>
      <c r="DV93" s="13">
        <f t="shared" si="49"/>
        <v>104.44291196426208</v>
      </c>
      <c r="DW93" s="13">
        <f t="shared" si="49"/>
        <v>98.71097800692165</v>
      </c>
      <c r="DX93" s="13">
        <f t="shared" si="49"/>
        <v>93.456917973481509</v>
      </c>
      <c r="DY93" s="13">
        <f t="shared" si="49"/>
        <v>88.654460511158959</v>
      </c>
      <c r="DZ93" s="13">
        <f t="shared" si="49"/>
        <v>84.27218160010213</v>
      </c>
      <c r="EA93" s="13">
        <f t="shared" si="49"/>
        <v>80.274210244339741</v>
      </c>
      <c r="EB93" s="13">
        <f t="shared" si="49"/>
        <v>76.620818888167818</v>
      </c>
      <c r="EC93" s="13">
        <f t="shared" si="49"/>
        <v>73.268947892459835</v>
      </c>
      <c r="ED93" s="13">
        <f t="shared" si="49"/>
        <v>70.172695312385997</v>
      </c>
      <c r="EE93" s="13">
        <f t="shared" si="49"/>
        <v>67.28379104095545</v>
      </c>
      <c r="EF93" s="13">
        <f t="shared" si="49"/>
        <v>64.552066267107563</v>
      </c>
      <c r="EG93" s="13">
        <f t="shared" si="49"/>
        <v>61.925923854652567</v>
      </c>
      <c r="EH93" s="13">
        <f t="shared" si="49"/>
        <v>59.35281179594898</v>
      </c>
    </row>
    <row r="94" spans="5:138" x14ac:dyDescent="0.25">
      <c r="E94" s="49"/>
      <c r="F94" s="26">
        <v>3.3333333333333333E-2</v>
      </c>
      <c r="G94" s="13">
        <f t="shared" si="40"/>
        <v>300</v>
      </c>
      <c r="H94" s="13">
        <f t="shared" si="53"/>
        <v>335.85438606025343</v>
      </c>
      <c r="I94" s="13">
        <f t="shared" si="53"/>
        <v>351.85558669249315</v>
      </c>
      <c r="J94" s="13">
        <f t="shared" si="53"/>
        <v>357.86719190488077</v>
      </c>
      <c r="K94" s="13">
        <f t="shared" si="53"/>
        <v>356.29803651453756</v>
      </c>
      <c r="L94" s="13">
        <f t="shared" si="52"/>
        <v>349.2733252776477</v>
      </c>
      <c r="M94" s="13">
        <f t="shared" si="52"/>
        <v>338.51164206733148</v>
      </c>
      <c r="N94" s="13">
        <f t="shared" si="52"/>
        <v>325.33483886985761</v>
      </c>
      <c r="O94" s="13">
        <f t="shared" si="52"/>
        <v>310.72766141604882</v>
      </c>
      <c r="P94" s="13">
        <f t="shared" si="52"/>
        <v>295.40784429578866</v>
      </c>
      <c r="Q94" s="13">
        <f t="shared" ref="Q94:AJ104" si="54">CF94*Q93+DN94</f>
        <v>279.89008865330828</v>
      </c>
      <c r="R94" s="13">
        <f t="shared" si="54"/>
        <v>264.53846708184653</v>
      </c>
      <c r="S94" s="13">
        <f t="shared" si="54"/>
        <v>249.60685434070808</v>
      </c>
      <c r="T94" s="13">
        <f t="shared" si="54"/>
        <v>235.26896981624694</v>
      </c>
      <c r="U94" s="13">
        <f t="shared" si="54"/>
        <v>221.64014495399221</v>
      </c>
      <c r="V94" s="13">
        <f t="shared" si="54"/>
        <v>208.79282391818032</v>
      </c>
      <c r="W94" s="13">
        <f t="shared" si="54"/>
        <v>196.76747583847828</v>
      </c>
      <c r="X94" s="13">
        <f t="shared" si="54"/>
        <v>185.58022949439771</v>
      </c>
      <c r="Y94" s="13">
        <f t="shared" si="54"/>
        <v>175.22821252486017</v>
      </c>
      <c r="Z94" s="13">
        <f t="shared" si="54"/>
        <v>165.69331046325448</v>
      </c>
      <c r="AA94" s="13">
        <f t="shared" si="54"/>
        <v>156.94485588820498</v>
      </c>
      <c r="AB94" s="13">
        <f t="shared" si="54"/>
        <v>148.94160576011791</v>
      </c>
      <c r="AC94" s="13">
        <f t="shared" si="54"/>
        <v>141.6332546005612</v>
      </c>
      <c r="AD94" s="13">
        <f t="shared" si="54"/>
        <v>134.96165242601353</v>
      </c>
      <c r="AE94" s="13">
        <f t="shared" si="54"/>
        <v>128.86184091197524</v>
      </c>
      <c r="AF94" s="13">
        <f t="shared" si="54"/>
        <v>123.26298265320268</v>
      </c>
      <c r="AG94" s="13">
        <f t="shared" si="54"/>
        <v>118.08923175064615</v>
      </c>
      <c r="AH94" s="13">
        <f t="shared" si="54"/>
        <v>113.26057575422192</v>
      </c>
      <c r="AI94" s="13">
        <f t="shared" si="54"/>
        <v>108.69366668119433</v>
      </c>
      <c r="AJ94" s="13">
        <f t="shared" si="54"/>
        <v>104.30265061364969</v>
      </c>
      <c r="AK94" s="13">
        <f t="shared" si="42"/>
        <v>100</v>
      </c>
      <c r="AL94" s="47"/>
      <c r="AM94" s="26">
        <v>3.3333333333333333E-2</v>
      </c>
      <c r="AN94" s="13">
        <f t="shared" si="43"/>
        <v>-1076400000</v>
      </c>
      <c r="AO94" s="13">
        <f t="shared" si="43"/>
        <v>-1167227104.0401361</v>
      </c>
      <c r="AP94" s="13">
        <f t="shared" si="43"/>
        <v>-1225613904.4017746</v>
      </c>
      <c r="AQ94" s="13">
        <f t="shared" si="43"/>
        <v>-1252736636.6177018</v>
      </c>
      <c r="AR94" s="13">
        <f t="shared" si="43"/>
        <v>-1253731721.5743511</v>
      </c>
      <c r="AS94" s="13">
        <f t="shared" si="43"/>
        <v>-1234652993.4634199</v>
      </c>
      <c r="AT94" s="13">
        <f t="shared" si="43"/>
        <v>-1201106163.8326449</v>
      </c>
      <c r="AU94" s="13">
        <f t="shared" si="43"/>
        <v>-1157759559.9944859</v>
      </c>
      <c r="AV94" s="13">
        <f t="shared" si="43"/>
        <v>-1108276406.1144235</v>
      </c>
      <c r="AW94" s="13">
        <f t="shared" si="43"/>
        <v>-1055424585.754922</v>
      </c>
      <c r="AX94" s="13">
        <f t="shared" si="43"/>
        <v>-1001241079.8286431</v>
      </c>
      <c r="AY94" s="13">
        <f t="shared" si="43"/>
        <v>-947194675.32667065</v>
      </c>
      <c r="AZ94" s="13">
        <f t="shared" si="43"/>
        <v>-894325021.35270023</v>
      </c>
      <c r="BA94" s="13">
        <f t="shared" si="43"/>
        <v>-843352837.86360681</v>
      </c>
      <c r="BB94" s="13">
        <f t="shared" si="43"/>
        <v>-794763377.94063962</v>
      </c>
      <c r="BC94" s="13">
        <f t="shared" si="43"/>
        <v>-748867789.57029796</v>
      </c>
      <c r="BD94" s="13">
        <f t="shared" si="47"/>
        <v>-705847350.18254507</v>
      </c>
      <c r="BE94" s="13">
        <f t="shared" si="47"/>
        <v>-665784966.19272935</v>
      </c>
      <c r="BF94" s="13">
        <f t="shared" si="47"/>
        <v>-628687479.90088737</v>
      </c>
      <c r="BG94" s="13">
        <f t="shared" si="47"/>
        <v>-594501493.13784385</v>
      </c>
      <c r="BH94" s="13">
        <f t="shared" si="47"/>
        <v>-563124708.74709821</v>
      </c>
      <c r="BI94" s="13">
        <f t="shared" si="47"/>
        <v>-534414230.99553204</v>
      </c>
      <c r="BJ94" s="13">
        <f t="shared" si="47"/>
        <v>-508192842.29666454</v>
      </c>
      <c r="BK94" s="13">
        <f t="shared" si="47"/>
        <v>-484253962.2713576</v>
      </c>
      <c r="BL94" s="13">
        <f t="shared" si="47"/>
        <v>-462365771.09780931</v>
      </c>
      <c r="BM94" s="13">
        <f t="shared" si="47"/>
        <v>-442274820.39328736</v>
      </c>
      <c r="BN94" s="13">
        <f t="shared" si="47"/>
        <v>-423709343.91637719</v>
      </c>
      <c r="BO94" s="13">
        <f t="shared" si="47"/>
        <v>-406382403.71528679</v>
      </c>
      <c r="BP94" s="13">
        <f t="shared" si="47"/>
        <v>-389994955.00105751</v>
      </c>
      <c r="BQ94" s="13">
        <f t="shared" si="47"/>
        <v>-374238877.77764881</v>
      </c>
      <c r="BR94" s="13">
        <f t="shared" si="47"/>
        <v>-358800000</v>
      </c>
      <c r="BT94" s="47"/>
      <c r="BU94" s="26">
        <v>3.3333333333333333E-2</v>
      </c>
      <c r="BV94" s="13">
        <f t="shared" si="44"/>
        <v>0.40647189260272093</v>
      </c>
      <c r="BW94" s="13">
        <f t="shared" si="44"/>
        <v>0.40647189260272093</v>
      </c>
      <c r="BX94" s="13">
        <f t="shared" si="44"/>
        <v>0.40647189260272093</v>
      </c>
      <c r="BY94" s="13">
        <f t="shared" si="44"/>
        <v>0.40647189260272093</v>
      </c>
      <c r="BZ94" s="13">
        <f t="shared" si="44"/>
        <v>0.40647189260272093</v>
      </c>
      <c r="CA94" s="13">
        <f t="shared" si="44"/>
        <v>0.40647189260272093</v>
      </c>
      <c r="CB94" s="13">
        <f t="shared" si="44"/>
        <v>0.40647189260272093</v>
      </c>
      <c r="CC94" s="13">
        <f t="shared" si="44"/>
        <v>0.40647189260272093</v>
      </c>
      <c r="CD94" s="13">
        <f t="shared" si="44"/>
        <v>0.40647189260272093</v>
      </c>
      <c r="CE94" s="13">
        <f t="shared" si="44"/>
        <v>0.40647189260272093</v>
      </c>
      <c r="CF94" s="13">
        <f t="shared" si="44"/>
        <v>0.40647189260272093</v>
      </c>
      <c r="CG94" s="13">
        <f t="shared" si="44"/>
        <v>0.40647189260272093</v>
      </c>
      <c r="CH94" s="13">
        <f t="shared" si="44"/>
        <v>0.40647189260272093</v>
      </c>
      <c r="CI94" s="13">
        <f t="shared" si="44"/>
        <v>0.40647189260272093</v>
      </c>
      <c r="CJ94" s="13">
        <f t="shared" si="44"/>
        <v>0.40647189260272093</v>
      </c>
      <c r="CK94" s="13">
        <f t="shared" si="44"/>
        <v>0.40647189260272093</v>
      </c>
      <c r="CL94" s="13">
        <f t="shared" si="50"/>
        <v>0.40647189260272093</v>
      </c>
      <c r="CM94" s="13">
        <f t="shared" si="50"/>
        <v>0.40647189260272093</v>
      </c>
      <c r="CN94" s="13">
        <f t="shared" si="50"/>
        <v>0.40647189260272093</v>
      </c>
      <c r="CO94" s="13">
        <f t="shared" si="50"/>
        <v>0.40647189260272093</v>
      </c>
      <c r="CP94" s="13">
        <f t="shared" si="50"/>
        <v>0.40647189260272093</v>
      </c>
      <c r="CQ94" s="13">
        <f t="shared" si="50"/>
        <v>0.40647189260272093</v>
      </c>
      <c r="CR94" s="13">
        <f t="shared" si="50"/>
        <v>0.40647189260272093</v>
      </c>
      <c r="CS94" s="13">
        <f t="shared" si="50"/>
        <v>0.40647189260272093</v>
      </c>
      <c r="CT94" s="13">
        <f t="shared" si="50"/>
        <v>0.40647189260272093</v>
      </c>
      <c r="CU94" s="13">
        <f t="shared" si="48"/>
        <v>0.40647189260272093</v>
      </c>
      <c r="CV94" s="13">
        <f t="shared" si="48"/>
        <v>0.40647189260272093</v>
      </c>
      <c r="CW94" s="13">
        <f t="shared" si="48"/>
        <v>0.40647189260272093</v>
      </c>
      <c r="CX94" s="13">
        <f t="shared" si="48"/>
        <v>0.40647189260272093</v>
      </c>
      <c r="CY94" s="13">
        <f t="shared" si="48"/>
        <v>0.40647189260272093</v>
      </c>
      <c r="CZ94" s="13">
        <f t="shared" si="48"/>
        <v>0.40647189260272093</v>
      </c>
      <c r="DB94" s="47"/>
      <c r="DC94" s="26">
        <v>3.3333333333333333E-2</v>
      </c>
      <c r="DD94" s="13">
        <f t="shared" si="45"/>
        <v>178.05843221918371</v>
      </c>
      <c r="DE94" s="13">
        <f t="shared" si="45"/>
        <v>189.87616267556677</v>
      </c>
      <c r="DF94" s="13">
        <f t="shared" si="45"/>
        <v>197.5418730426301</v>
      </c>
      <c r="DG94" s="13">
        <f t="shared" si="45"/>
        <v>201.03327370257898</v>
      </c>
      <c r="DH94" s="13">
        <f t="shared" si="45"/>
        <v>200.91696555316943</v>
      </c>
      <c r="DI94" s="13">
        <f t="shared" si="45"/>
        <v>197.94129912939985</v>
      </c>
      <c r="DJ94" s="13">
        <f t="shared" si="45"/>
        <v>192.83916027896345</v>
      </c>
      <c r="DK94" s="13">
        <f t="shared" si="45"/>
        <v>186.24653240333865</v>
      </c>
      <c r="DL94" s="13">
        <f t="shared" si="45"/>
        <v>178.68053404166787</v>
      </c>
      <c r="DM94" s="13">
        <f t="shared" si="45"/>
        <v>170.54510450330437</v>
      </c>
      <c r="DN94" s="13">
        <f t="shared" si="45"/>
        <v>162.14734943986014</v>
      </c>
      <c r="DO94" s="13">
        <f t="shared" si="45"/>
        <v>153.716104735676</v>
      </c>
      <c r="DP94" s="13">
        <f t="shared" si="45"/>
        <v>145.41896445727366</v>
      </c>
      <c r="DQ94" s="13">
        <f t="shared" si="45"/>
        <v>137.37645079339393</v>
      </c>
      <c r="DR94" s="13">
        <f t="shared" si="45"/>
        <v>129.67317413342141</v>
      </c>
      <c r="DS94" s="13">
        <f t="shared" si="45"/>
        <v>122.36632688473073</v>
      </c>
      <c r="DT94" s="13">
        <f t="shared" si="51"/>
        <v>115.49200901573272</v>
      </c>
      <c r="DU94" s="13">
        <f t="shared" si="49"/>
        <v>109.0698789896791</v>
      </c>
      <c r="DV94" s="13">
        <f t="shared" si="49"/>
        <v>103.10655602935876</v>
      </c>
      <c r="DW94" s="13">
        <f t="shared" si="49"/>
        <v>97.598115466378729</v>
      </c>
      <c r="DX94" s="13">
        <f t="shared" si="49"/>
        <v>92.531939336148469</v>
      </c>
      <c r="DY94" s="13">
        <f t="shared" si="49"/>
        <v>87.888117198576623</v>
      </c>
      <c r="DZ94" s="13">
        <f t="shared" si="49"/>
        <v>83.640538866326494</v>
      </c>
      <c r="EA94" s="13">
        <f t="shared" si="49"/>
        <v>79.757780051175772</v>
      </c>
      <c r="EB94" s="13">
        <f t="shared" si="49"/>
        <v>76.203851721423462</v>
      </c>
      <c r="EC94" s="13">
        <f t="shared" si="49"/>
        <v>72.938861951735262</v>
      </c>
      <c r="ED94" s="13">
        <f t="shared" si="49"/>
        <v>69.919623263190189</v>
      </c>
      <c r="EE94" s="13">
        <f t="shared" si="49"/>
        <v>67.100227287410846</v>
      </c>
      <c r="EF94" s="13">
        <f t="shared" si="49"/>
        <v>64.43260079755963</v>
      </c>
      <c r="EG94" s="13">
        <f t="shared" si="49"/>
        <v>61.867051794932102</v>
      </c>
      <c r="EH94" s="13">
        <f t="shared" si="49"/>
        <v>59.352810739727914</v>
      </c>
    </row>
    <row r="95" spans="5:138" x14ac:dyDescent="0.25">
      <c r="E95" s="49"/>
      <c r="F95" s="26">
        <v>3.0000000000000002E-2</v>
      </c>
      <c r="G95" s="13">
        <f t="shared" si="40"/>
        <v>300</v>
      </c>
      <c r="H95" s="13">
        <f t="shared" si="53"/>
        <v>321.70880638737799</v>
      </c>
      <c r="I95" s="13">
        <f t="shared" si="53"/>
        <v>332.96889393489994</v>
      </c>
      <c r="J95" s="13">
        <f t="shared" si="53"/>
        <v>337.45058370882265</v>
      </c>
      <c r="K95" s="13">
        <f t="shared" si="53"/>
        <v>336.28626666810447</v>
      </c>
      <c r="L95" s="13">
        <f t="shared" si="53"/>
        <v>330.71858818528597</v>
      </c>
      <c r="M95" s="13">
        <f t="shared" si="53"/>
        <v>321.89510968963157</v>
      </c>
      <c r="N95" s="13">
        <f t="shared" si="53"/>
        <v>310.79015465143107</v>
      </c>
      <c r="O95" s="13">
        <f t="shared" si="53"/>
        <v>298.19137013414201</v>
      </c>
      <c r="P95" s="13">
        <f t="shared" si="53"/>
        <v>284.71569356406303</v>
      </c>
      <c r="Q95" s="13">
        <f t="shared" si="54"/>
        <v>270.83585184682823</v>
      </c>
      <c r="R95" s="13">
        <f t="shared" si="54"/>
        <v>256.90803164742988</v>
      </c>
      <c r="S95" s="13">
        <f t="shared" si="54"/>
        <v>243.19661699999588</v>
      </c>
      <c r="T95" s="13">
        <f t="shared" si="54"/>
        <v>229.89464106847419</v>
      </c>
      <c r="U95" s="13">
        <f t="shared" si="54"/>
        <v>217.13992999437446</v>
      </c>
      <c r="V95" s="13">
        <f t="shared" si="54"/>
        <v>205.02747823847781</v>
      </c>
      <c r="W95" s="13">
        <f t="shared" si="54"/>
        <v>193.618761499588</v>
      </c>
      <c r="X95" s="13">
        <f t="shared" si="54"/>
        <v>182.94867361738034</v>
      </c>
      <c r="Y95" s="13">
        <f t="shared" si="54"/>
        <v>173.03067890504036</v>
      </c>
      <c r="Z95" s="13">
        <f t="shared" si="54"/>
        <v>163.86065699996021</v>
      </c>
      <c r="AA95" s="13">
        <f t="shared" si="54"/>
        <v>155.41980926372511</v>
      </c>
      <c r="AB95" s="13">
        <f t="shared" si="54"/>
        <v>147.67690387551369</v>
      </c>
      <c r="AC95" s="13">
        <f t="shared" si="54"/>
        <v>140.59006310462649</v>
      </c>
      <c r="AD95" s="13">
        <f t="shared" si="54"/>
        <v>134.10823938813886</v>
      </c>
      <c r="AE95" s="13">
        <f t="shared" si="54"/>
        <v>128.17248408942385</v>
      </c>
      <c r="AF95" s="13">
        <f t="shared" si="54"/>
        <v>122.71708130221093</v>
      </c>
      <c r="AG95" s="13">
        <f t="shared" si="54"/>
        <v>117.67059620799827</v>
      </c>
      <c r="AH95" s="13">
        <f t="shared" si="54"/>
        <v>112.95687114862825</v>
      </c>
      <c r="AI95" s="13">
        <f t="shared" si="54"/>
        <v>108.49599104893159</v>
      </c>
      <c r="AJ95" s="13">
        <f t="shared" si="54"/>
        <v>104.20523182638594</v>
      </c>
      <c r="AK95" s="13">
        <f t="shared" si="42"/>
        <v>100</v>
      </c>
      <c r="AL95" s="47"/>
      <c r="AM95" s="26">
        <v>3.0000000000000002E-2</v>
      </c>
      <c r="AN95" s="13">
        <f t="shared" si="43"/>
        <v>-1076400000</v>
      </c>
      <c r="AO95" s="13">
        <f t="shared" si="43"/>
        <v>-1132682405.5357673</v>
      </c>
      <c r="AP95" s="13">
        <f t="shared" si="43"/>
        <v>-1170571976.1264436</v>
      </c>
      <c r="AQ95" s="13">
        <f t="shared" si="43"/>
        <v>-1188222770.6229005</v>
      </c>
      <c r="AR95" s="13">
        <f t="shared" si="43"/>
        <v>-1187318767.9340134</v>
      </c>
      <c r="AS95" s="13">
        <f t="shared" si="43"/>
        <v>-1171008218.8803654</v>
      </c>
      <c r="AT95" s="13">
        <f t="shared" si="43"/>
        <v>-1142764354.6001272</v>
      </c>
      <c r="AU95" s="13">
        <f t="shared" si="43"/>
        <v>-1105823635.950515</v>
      </c>
      <c r="AV95" s="13">
        <f t="shared" si="43"/>
        <v>-1062957766.835714</v>
      </c>
      <c r="AW95" s="13">
        <f t="shared" si="43"/>
        <v>-1016423711.4570549</v>
      </c>
      <c r="AX95" s="13">
        <f t="shared" si="43"/>
        <v>-967998780.92455256</v>
      </c>
      <c r="AY95" s="13">
        <f t="shared" si="43"/>
        <v>-919048823.41643226</v>
      </c>
      <c r="AZ95" s="13">
        <f t="shared" si="43"/>
        <v>-870602593.03419638</v>
      </c>
      <c r="BA95" s="13">
        <f t="shared" si="43"/>
        <v>-823419839.7933253</v>
      </c>
      <c r="BB95" s="13">
        <f t="shared" si="43"/>
        <v>-778048541.89676392</v>
      </c>
      <c r="BC95" s="13">
        <f t="shared" si="43"/>
        <v>-734870680.72251821</v>
      </c>
      <c r="BD95" s="13">
        <f t="shared" si="47"/>
        <v>-694137741.74520862</v>
      </c>
      <c r="BE95" s="13">
        <f t="shared" si="47"/>
        <v>-655997737.82836163</v>
      </c>
      <c r="BF95" s="13">
        <f t="shared" si="47"/>
        <v>-620515587.71454608</v>
      </c>
      <c r="BG95" s="13">
        <f t="shared" si="47"/>
        <v>-587688469.00597453</v>
      </c>
      <c r="BH95" s="13">
        <f t="shared" si="47"/>
        <v>-557457472.04802227</v>
      </c>
      <c r="BI95" s="13">
        <f t="shared" si="47"/>
        <v>-529716591.08845299</v>
      </c>
      <c r="BJ95" s="13">
        <f t="shared" si="47"/>
        <v>-504319836.21888274</v>
      </c>
      <c r="BK95" s="13">
        <f t="shared" si="47"/>
        <v>-481087043.74811912</v>
      </c>
      <c r="BL95" s="13">
        <f t="shared" si="47"/>
        <v>-459808802.12410009</v>
      </c>
      <c r="BM95" s="13">
        <f t="shared" si="47"/>
        <v>-440250789.01256645</v>
      </c>
      <c r="BN95" s="13">
        <f t="shared" si="47"/>
        <v>-422157725.21406907</v>
      </c>
      <c r="BO95" s="13">
        <f t="shared" si="47"/>
        <v>-405257085.76617473</v>
      </c>
      <c r="BP95" s="13">
        <f t="shared" si="47"/>
        <v>-389262661.90979552</v>
      </c>
      <c r="BQ95" s="13">
        <f t="shared" si="47"/>
        <v>-373878034.8697443</v>
      </c>
      <c r="BR95" s="13">
        <f t="shared" si="47"/>
        <v>-358800000</v>
      </c>
      <c r="BT95" s="47"/>
      <c r="BU95" s="26">
        <v>3.0000000000000002E-2</v>
      </c>
      <c r="BV95" s="13">
        <f t="shared" si="44"/>
        <v>0.40647195653111551</v>
      </c>
      <c r="BW95" s="13">
        <f t="shared" si="44"/>
        <v>0.40647195653111551</v>
      </c>
      <c r="BX95" s="13">
        <f t="shared" si="44"/>
        <v>0.40647195653111551</v>
      </c>
      <c r="BY95" s="13">
        <f t="shared" si="44"/>
        <v>0.40647195653111551</v>
      </c>
      <c r="BZ95" s="13">
        <f t="shared" si="44"/>
        <v>0.40647195653111551</v>
      </c>
      <c r="CA95" s="13">
        <f t="shared" si="44"/>
        <v>0.40647195653111551</v>
      </c>
      <c r="CB95" s="13">
        <f t="shared" si="44"/>
        <v>0.40647195653111551</v>
      </c>
      <c r="CC95" s="13">
        <f t="shared" si="44"/>
        <v>0.40647195653111551</v>
      </c>
      <c r="CD95" s="13">
        <f t="shared" si="44"/>
        <v>0.40647195653111551</v>
      </c>
      <c r="CE95" s="13">
        <f t="shared" si="44"/>
        <v>0.40647195653111551</v>
      </c>
      <c r="CF95" s="13">
        <f t="shared" si="44"/>
        <v>0.40647195653111551</v>
      </c>
      <c r="CG95" s="13">
        <f t="shared" si="44"/>
        <v>0.40647195653111551</v>
      </c>
      <c r="CH95" s="13">
        <f t="shared" si="44"/>
        <v>0.40647195653111551</v>
      </c>
      <c r="CI95" s="13">
        <f t="shared" si="44"/>
        <v>0.40647195653111551</v>
      </c>
      <c r="CJ95" s="13">
        <f t="shared" si="44"/>
        <v>0.40647195653111551</v>
      </c>
      <c r="CK95" s="13">
        <f t="shared" si="44"/>
        <v>0.40647195653111551</v>
      </c>
      <c r="CL95" s="13">
        <f t="shared" si="50"/>
        <v>0.40647195653111551</v>
      </c>
      <c r="CM95" s="13">
        <f t="shared" si="50"/>
        <v>0.40647195653111551</v>
      </c>
      <c r="CN95" s="13">
        <f t="shared" si="50"/>
        <v>0.40647195653111551</v>
      </c>
      <c r="CO95" s="13">
        <f t="shared" si="50"/>
        <v>0.40647195653111551</v>
      </c>
      <c r="CP95" s="13">
        <f t="shared" si="50"/>
        <v>0.40647195653111551</v>
      </c>
      <c r="CQ95" s="13">
        <f t="shared" si="50"/>
        <v>0.40647195653111551</v>
      </c>
      <c r="CR95" s="13">
        <f t="shared" si="50"/>
        <v>0.40647195653111551</v>
      </c>
      <c r="CS95" s="13">
        <f t="shared" si="50"/>
        <v>0.40647195653111551</v>
      </c>
      <c r="CT95" s="13">
        <f t="shared" si="50"/>
        <v>0.40647195653111551</v>
      </c>
      <c r="CU95" s="13">
        <f t="shared" si="48"/>
        <v>0.40647195653111551</v>
      </c>
      <c r="CV95" s="13">
        <f t="shared" si="48"/>
        <v>0.40647195653111551</v>
      </c>
      <c r="CW95" s="13">
        <f t="shared" si="48"/>
        <v>0.40647195653111551</v>
      </c>
      <c r="CX95" s="13">
        <f t="shared" si="48"/>
        <v>0.40647195653111551</v>
      </c>
      <c r="CY95" s="13">
        <f t="shared" si="48"/>
        <v>0.40647195653111551</v>
      </c>
      <c r="CZ95" s="13">
        <f t="shared" si="48"/>
        <v>0.40647195653111551</v>
      </c>
      <c r="DB95" s="47"/>
      <c r="DC95" s="26">
        <v>3.0000000000000002E-2</v>
      </c>
      <c r="DD95" s="13">
        <f t="shared" si="45"/>
        <v>178.05841304066536</v>
      </c>
      <c r="DE95" s="13">
        <f t="shared" si="45"/>
        <v>185.1934169759102</v>
      </c>
      <c r="DF95" s="13">
        <f t="shared" si="45"/>
        <v>189.94946519559869</v>
      </c>
      <c r="DG95" s="13">
        <f t="shared" si="45"/>
        <v>191.98760603694959</v>
      </c>
      <c r="DH95" s="13">
        <f t="shared" si="45"/>
        <v>191.46110665784556</v>
      </c>
      <c r="DI95" s="13">
        <f t="shared" si="45"/>
        <v>188.74877629555175</v>
      </c>
      <c r="DJ95" s="13">
        <f t="shared" si="45"/>
        <v>184.2996202299627</v>
      </c>
      <c r="DK95" s="13">
        <f t="shared" si="45"/>
        <v>178.55066616826485</v>
      </c>
      <c r="DL95" s="13">
        <f t="shared" si="45"/>
        <v>171.88928965002262</v>
      </c>
      <c r="DM95" s="13">
        <f t="shared" si="45"/>
        <v>164.6406891185147</v>
      </c>
      <c r="DN95" s="13">
        <f t="shared" si="45"/>
        <v>157.06837989825064</v>
      </c>
      <c r="DO95" s="13">
        <f t="shared" si="45"/>
        <v>149.38056335492959</v>
      </c>
      <c r="DP95" s="13">
        <f t="shared" si="45"/>
        <v>141.73843055255111</v>
      </c>
      <c r="DQ95" s="13">
        <f t="shared" si="45"/>
        <v>134.26440259620432</v>
      </c>
      <c r="DR95" s="13">
        <f t="shared" si="45"/>
        <v>127.04942662908519</v>
      </c>
      <c r="DS95" s="13">
        <f t="shared" si="45"/>
        <v>120.15905059079837</v>
      </c>
      <c r="DT95" s="13">
        <f t="shared" si="51"/>
        <v>113.63830061383275</v>
      </c>
      <c r="DU95" s="13">
        <f t="shared" si="49"/>
        <v>107.51551464129908</v>
      </c>
      <c r="DV95" s="13">
        <f t="shared" si="49"/>
        <v>101.80532452061033</v>
      </c>
      <c r="DW95" s="13">
        <f t="shared" si="49"/>
        <v>96.510972911843623</v>
      </c>
      <c r="DX95" s="13">
        <f t="shared" si="49"/>
        <v>91.626126623352462</v>
      </c>
      <c r="DY95" s="13">
        <f t="shared" si="49"/>
        <v>87.136317973312515</v>
      </c>
      <c r="DZ95" s="13">
        <f t="shared" si="49"/>
        <v>83.020116997266754</v>
      </c>
      <c r="EA95" s="13">
        <f t="shared" si="49"/>
        <v>79.250112469864774</v>
      </c>
      <c r="EB95" s="13">
        <f t="shared" si="49"/>
        <v>75.793759491731933</v>
      </c>
      <c r="EC95" s="13">
        <f t="shared" si="49"/>
        <v>72.614135575302683</v>
      </c>
      <c r="ED95" s="13">
        <f t="shared" si="49"/>
        <v>69.670635133056805</v>
      </c>
      <c r="EE95" s="13">
        <f t="shared" si="49"/>
        <v>66.919623323969049</v>
      </c>
      <c r="EF95" s="13">
        <f t="shared" si="49"/>
        <v>64.315063690485616</v>
      </c>
      <c r="EG95" s="13">
        <f t="shared" si="49"/>
        <v>61.809129360074394</v>
      </c>
      <c r="EH95" s="13">
        <f t="shared" si="49"/>
        <v>59.352804346888455</v>
      </c>
    </row>
    <row r="96" spans="5:138" x14ac:dyDescent="0.25">
      <c r="E96" s="49"/>
      <c r="F96" s="26">
        <v>2.6666666666666668E-2</v>
      </c>
      <c r="G96" s="13">
        <f t="shared" si="40"/>
        <v>300</v>
      </c>
      <c r="H96" s="13">
        <f t="shared" si="53"/>
        <v>312.78274163772608</v>
      </c>
      <c r="I96" s="13">
        <f t="shared" si="53"/>
        <v>319.9083884507312</v>
      </c>
      <c r="J96" s="13">
        <f t="shared" si="53"/>
        <v>322.48081699207734</v>
      </c>
      <c r="K96" s="13">
        <f t="shared" si="53"/>
        <v>320.93062166977415</v>
      </c>
      <c r="L96" s="13">
        <f t="shared" si="53"/>
        <v>315.93440073747502</v>
      </c>
      <c r="M96" s="13">
        <f t="shared" si="53"/>
        <v>308.22430169991981</v>
      </c>
      <c r="N96" s="13">
        <f t="shared" si="53"/>
        <v>298.48977935542473</v>
      </c>
      <c r="O96" s="13">
        <f t="shared" si="53"/>
        <v>287.33451585841567</v>
      </c>
      <c r="P96" s="13">
        <f t="shared" si="53"/>
        <v>275.26417013929472</v>
      </c>
      <c r="Q96" s="13">
        <f t="shared" si="54"/>
        <v>262.6898893161615</v>
      </c>
      <c r="R96" s="13">
        <f t="shared" si="54"/>
        <v>249.93875421652672</v>
      </c>
      <c r="S96" s="13">
        <f t="shared" si="54"/>
        <v>237.2662996500539</v>
      </c>
      <c r="T96" s="13">
        <f t="shared" si="54"/>
        <v>224.86865347054686</v>
      </c>
      <c r="U96" s="13">
        <f t="shared" si="54"/>
        <v>212.89322395336819</v>
      </c>
      <c r="V96" s="13">
        <f t="shared" si="54"/>
        <v>201.44761835518597</v>
      </c>
      <c r="W96" s="13">
        <f t="shared" si="54"/>
        <v>190.60685259917918</v>
      </c>
      <c r="X96" s="13">
        <f t="shared" si="54"/>
        <v>180.41907501350283</v>
      </c>
      <c r="Y96" s="13">
        <f t="shared" si="54"/>
        <v>170.91007480134101</v>
      </c>
      <c r="Z96" s="13">
        <f t="shared" si="54"/>
        <v>162.08683646175842</v>
      </c>
      <c r="AA96" s="13">
        <f t="shared" si="54"/>
        <v>153.94036737118324</v>
      </c>
      <c r="AB96" s="13">
        <f t="shared" si="54"/>
        <v>146.44798460368492</v>
      </c>
      <c r="AC96" s="13">
        <f t="shared" si="54"/>
        <v>139.57520740591815</v>
      </c>
      <c r="AD96" s="13">
        <f t="shared" si="54"/>
        <v>133.27736721415869</v>
      </c>
      <c r="AE96" s="13">
        <f t="shared" si="54"/>
        <v>127.50101876174028</v>
      </c>
      <c r="AF96" s="13">
        <f t="shared" si="54"/>
        <v>122.1852134535782</v>
      </c>
      <c r="AG96" s="13">
        <f t="shared" si="54"/>
        <v>117.26267901806264</v>
      </c>
      <c r="AH96" s="13">
        <f t="shared" si="54"/>
        <v>112.66093657083732</v>
      </c>
      <c r="AI96" s="13">
        <f t="shared" si="54"/>
        <v>108.30337676299038</v>
      </c>
      <c r="AJ96" s="13">
        <f t="shared" si="54"/>
        <v>104.11030988050587</v>
      </c>
      <c r="AK96" s="13">
        <f t="shared" si="42"/>
        <v>100</v>
      </c>
      <c r="AL96" s="47"/>
      <c r="AM96" s="26">
        <v>2.6666666666666668E-2</v>
      </c>
      <c r="AN96" s="13">
        <f t="shared" si="43"/>
        <v>-1076400000</v>
      </c>
      <c r="AO96" s="13">
        <f t="shared" si="43"/>
        <v>-1109450677.6465411</v>
      </c>
      <c r="AP96" s="13">
        <f t="shared" si="43"/>
        <v>-1131730021.5080929</v>
      </c>
      <c r="AQ96" s="13">
        <f t="shared" si="43"/>
        <v>-1140718868.7869906</v>
      </c>
      <c r="AR96" s="13">
        <f t="shared" si="43"/>
        <v>-1136530421.0906951</v>
      </c>
      <c r="AS96" s="13">
        <f t="shared" si="43"/>
        <v>-1120665572.2485051</v>
      </c>
      <c r="AT96" s="13">
        <f t="shared" si="43"/>
        <v>-1095206096.7067456</v>
      </c>
      <c r="AU96" s="13">
        <f t="shared" si="43"/>
        <v>-1062338749.5826453</v>
      </c>
      <c r="AV96" s="13">
        <f t="shared" si="43"/>
        <v>-1024103370.5453259</v>
      </c>
      <c r="AW96" s="13">
        <f t="shared" si="43"/>
        <v>-982280683.06764114</v>
      </c>
      <c r="AX96" s="13">
        <f t="shared" si="43"/>
        <v>-938360676.80594027</v>
      </c>
      <c r="AY96" s="13">
        <f t="shared" si="43"/>
        <v>-893553279.46028066</v>
      </c>
      <c r="AZ96" s="13">
        <f t="shared" si="43"/>
        <v>-848818106.13348484</v>
      </c>
      <c r="BA96" s="13">
        <f t="shared" si="43"/>
        <v>-804900149.40740478</v>
      </c>
      <c r="BB96" s="13">
        <f t="shared" si="43"/>
        <v>-762364600.52352345</v>
      </c>
      <c r="BC96" s="13">
        <f t="shared" si="43"/>
        <v>-721627746.60981643</v>
      </c>
      <c r="BD96" s="13">
        <f t="shared" si="47"/>
        <v>-682982982.3590188</v>
      </c>
      <c r="BE96" s="13">
        <f t="shared" si="47"/>
        <v>-646622048.85008359</v>
      </c>
      <c r="BF96" s="13">
        <f t="shared" si="47"/>
        <v>-612652091.65133047</v>
      </c>
      <c r="BG96" s="13">
        <f t="shared" si="47"/>
        <v>-581109282.05749702</v>
      </c>
      <c r="BH96" s="13">
        <f t="shared" si="47"/>
        <v>-551969730.2292906</v>
      </c>
      <c r="BI96" s="13">
        <f t="shared" si="47"/>
        <v>-525158329.8077637</v>
      </c>
      <c r="BJ96" s="13">
        <f t="shared" si="47"/>
        <v>-500556060.8351143</v>
      </c>
      <c r="BK96" s="13">
        <f t="shared" si="47"/>
        <v>-478006167.0923788</v>
      </c>
      <c r="BL96" s="13">
        <f t="shared" si="47"/>
        <v>-457319526.58761615</v>
      </c>
      <c r="BM96" s="13">
        <f t="shared" si="47"/>
        <v>-438279453.51871866</v>
      </c>
      <c r="BN96" s="13">
        <f t="shared" si="47"/>
        <v>-420646106.3503803</v>
      </c>
      <c r="BO96" s="13">
        <f t="shared" si="47"/>
        <v>-404160627.74325234</v>
      </c>
      <c r="BP96" s="13">
        <f t="shared" si="47"/>
        <v>-388549105.48154986</v>
      </c>
      <c r="BQ96" s="13">
        <f t="shared" si="47"/>
        <v>-373526416.84778446</v>
      </c>
      <c r="BR96" s="13">
        <f t="shared" si="47"/>
        <v>-358800000</v>
      </c>
      <c r="BT96" s="47"/>
      <c r="BU96" s="26">
        <v>2.6666666666666668E-2</v>
      </c>
      <c r="BV96" s="13">
        <f t="shared" si="44"/>
        <v>0.40647234346137129</v>
      </c>
      <c r="BW96" s="13">
        <f t="shared" si="44"/>
        <v>0.40647234346137129</v>
      </c>
      <c r="BX96" s="13">
        <f t="shared" si="44"/>
        <v>0.40647234346137129</v>
      </c>
      <c r="BY96" s="13">
        <f t="shared" si="44"/>
        <v>0.40647234346137129</v>
      </c>
      <c r="BZ96" s="13">
        <f t="shared" si="44"/>
        <v>0.40647234346137129</v>
      </c>
      <c r="CA96" s="13">
        <f t="shared" si="44"/>
        <v>0.40647234346137129</v>
      </c>
      <c r="CB96" s="13">
        <f t="shared" si="44"/>
        <v>0.40647234346137129</v>
      </c>
      <c r="CC96" s="13">
        <f t="shared" si="44"/>
        <v>0.40647234346137129</v>
      </c>
      <c r="CD96" s="13">
        <f t="shared" si="44"/>
        <v>0.40647234346137129</v>
      </c>
      <c r="CE96" s="13">
        <f t="shared" si="44"/>
        <v>0.40647234346137129</v>
      </c>
      <c r="CF96" s="13">
        <f t="shared" si="44"/>
        <v>0.40647234346137129</v>
      </c>
      <c r="CG96" s="13">
        <f t="shared" si="44"/>
        <v>0.40647234346137129</v>
      </c>
      <c r="CH96" s="13">
        <f t="shared" si="44"/>
        <v>0.40647234346137129</v>
      </c>
      <c r="CI96" s="13">
        <f t="shared" si="44"/>
        <v>0.40647234346137129</v>
      </c>
      <c r="CJ96" s="13">
        <f t="shared" si="44"/>
        <v>0.40647234346137129</v>
      </c>
      <c r="CK96" s="13">
        <f t="shared" si="44"/>
        <v>0.40647234346137129</v>
      </c>
      <c r="CL96" s="13">
        <f t="shared" si="50"/>
        <v>0.40647234346137129</v>
      </c>
      <c r="CM96" s="13">
        <f t="shared" si="50"/>
        <v>0.40647234346137129</v>
      </c>
      <c r="CN96" s="13">
        <f t="shared" si="50"/>
        <v>0.40647234346137129</v>
      </c>
      <c r="CO96" s="13">
        <f t="shared" si="50"/>
        <v>0.40647234346137129</v>
      </c>
      <c r="CP96" s="13">
        <f t="shared" si="50"/>
        <v>0.40647234346137129</v>
      </c>
      <c r="CQ96" s="13">
        <f t="shared" si="50"/>
        <v>0.40647234346137129</v>
      </c>
      <c r="CR96" s="13">
        <f t="shared" si="50"/>
        <v>0.40647234346137129</v>
      </c>
      <c r="CS96" s="13">
        <f t="shared" si="50"/>
        <v>0.40647234346137129</v>
      </c>
      <c r="CT96" s="13">
        <f t="shared" si="50"/>
        <v>0.40647234346137129</v>
      </c>
      <c r="CU96" s="13">
        <f t="shared" si="48"/>
        <v>0.40647234346137129</v>
      </c>
      <c r="CV96" s="13">
        <f t="shared" si="48"/>
        <v>0.40647234346137129</v>
      </c>
      <c r="CW96" s="13">
        <f t="shared" si="48"/>
        <v>0.40647234346137129</v>
      </c>
      <c r="CX96" s="13">
        <f t="shared" si="48"/>
        <v>0.40647234346137129</v>
      </c>
      <c r="CY96" s="13">
        <f t="shared" si="48"/>
        <v>0.40647234346137129</v>
      </c>
      <c r="CZ96" s="13">
        <f t="shared" si="48"/>
        <v>0.40647234346137129</v>
      </c>
      <c r="DB96" s="47"/>
      <c r="DC96" s="26">
        <v>2.6666666666666668E-2</v>
      </c>
      <c r="DD96" s="13">
        <f t="shared" si="45"/>
        <v>178.05829696158864</v>
      </c>
      <c r="DE96" s="13">
        <f t="shared" si="45"/>
        <v>182.01700919328795</v>
      </c>
      <c r="DF96" s="13">
        <f t="shared" si="45"/>
        <v>184.56574183327163</v>
      </c>
      <c r="DG96" s="13">
        <f t="shared" si="45"/>
        <v>185.31648742954457</v>
      </c>
      <c r="DH96" s="13">
        <f t="shared" si="45"/>
        <v>184.23955478331411</v>
      </c>
      <c r="DI96" s="13">
        <f t="shared" si="45"/>
        <v>181.50644117156565</v>
      </c>
      <c r="DJ96" s="13">
        <f t="shared" si="45"/>
        <v>177.38284211562012</v>
      </c>
      <c r="DK96" s="13">
        <f t="shared" si="45"/>
        <v>172.16217686953556</v>
      </c>
      <c r="DL96" s="13">
        <f t="shared" si="45"/>
        <v>166.12797084003381</v>
      </c>
      <c r="DM96" s="13">
        <f t="shared" si="45"/>
        <v>159.53511495608035</v>
      </c>
      <c r="DN96" s="13">
        <f t="shared" si="45"/>
        <v>152.60260592262446</v>
      </c>
      <c r="DO96" s="13">
        <f t="shared" si="45"/>
        <v>145.51274453874774</v>
      </c>
      <c r="DP96" s="13">
        <f t="shared" si="45"/>
        <v>138.41360081618799</v>
      </c>
      <c r="DQ96" s="13">
        <f t="shared" si="45"/>
        <v>131.42283996623334</v>
      </c>
      <c r="DR96" s="13">
        <f t="shared" si="45"/>
        <v>124.63184774951671</v>
      </c>
      <c r="DS96" s="13">
        <f t="shared" si="45"/>
        <v>118.10961880161659</v>
      </c>
      <c r="DT96" s="13">
        <f t="shared" si="51"/>
        <v>111.90618087435331</v>
      </c>
      <c r="DU96" s="13">
        <f t="shared" si="49"/>
        <v>106.05549891509669</v>
      </c>
      <c r="DV96" s="13">
        <f t="shared" si="49"/>
        <v>100.57788925609721</v>
      </c>
      <c r="DW96" s="13">
        <f t="shared" si="49"/>
        <v>95.482011209864638</v>
      </c>
      <c r="DX96" s="13">
        <f t="shared" si="49"/>
        <v>90.766513279437547</v>
      </c>
      <c r="DY96" s="13">
        <f t="shared" si="49"/>
        <v>86.421407410285198</v>
      </c>
      <c r="DZ96" s="13">
        <f t="shared" si="49"/>
        <v>82.429234988398534</v>
      </c>
      <c r="EA96" s="13">
        <f t="shared" si="49"/>
        <v>78.766076872583326</v>
      </c>
      <c r="EB96" s="13">
        <f t="shared" si="49"/>
        <v>75.402448786646843</v>
      </c>
      <c r="EC96" s="13">
        <f t="shared" si="49"/>
        <v>72.304113833928895</v>
      </c>
      <c r="ED96" s="13">
        <f t="shared" si="49"/>
        <v>69.432836020900837</v>
      </c>
      <c r="EE96" s="13">
        <f t="shared" si="49"/>
        <v>66.747092444990244</v>
      </c>
      <c r="EF96" s="13">
        <f t="shared" si="49"/>
        <v>64.202757025167188</v>
      </c>
      <c r="EG96" s="13">
        <f t="shared" si="49"/>
        <v>61.753765099099297</v>
      </c>
      <c r="EH96" s="13">
        <f t="shared" si="49"/>
        <v>59.352765653862882</v>
      </c>
    </row>
    <row r="97" spans="5:138" x14ac:dyDescent="0.25">
      <c r="E97" s="49"/>
      <c r="F97" s="26">
        <v>2.3333333333333334E-2</v>
      </c>
      <c r="G97" s="13">
        <f t="shared" si="40"/>
        <v>300</v>
      </c>
      <c r="H97" s="13">
        <f t="shared" si="53"/>
        <v>306.95179750392435</v>
      </c>
      <c r="I97" s="13">
        <f t="shared" si="53"/>
        <v>310.73708012915438</v>
      </c>
      <c r="J97" s="13">
        <f t="shared" si="53"/>
        <v>311.45846635759841</v>
      </c>
      <c r="K97" s="13">
        <f t="shared" si="53"/>
        <v>309.19059248314784</v>
      </c>
      <c r="L97" s="13">
        <f t="shared" si="53"/>
        <v>304.26786005235857</v>
      </c>
      <c r="M97" s="13">
        <f t="shared" si="53"/>
        <v>297.13868641372665</v>
      </c>
      <c r="N97" s="13">
        <f t="shared" si="53"/>
        <v>288.2769834663311</v>
      </c>
      <c r="O97" s="13">
        <f t="shared" si="53"/>
        <v>278.13294476014568</v>
      </c>
      <c r="P97" s="13">
        <f t="shared" si="53"/>
        <v>267.10906202663955</v>
      </c>
      <c r="Q97" s="13">
        <f t="shared" si="54"/>
        <v>255.55132921555449</v>
      </c>
      <c r="R97" s="13">
        <f t="shared" si="54"/>
        <v>243.74893829978225</v>
      </c>
      <c r="S97" s="13">
        <f t="shared" si="54"/>
        <v>231.93824727859214</v>
      </c>
      <c r="T97" s="13">
        <f t="shared" si="54"/>
        <v>220.30850626994254</v>
      </c>
      <c r="U97" s="13">
        <f t="shared" si="54"/>
        <v>209.00793989814974</v>
      </c>
      <c r="V97" s="13">
        <f t="shared" si="54"/>
        <v>198.14947539184357</v>
      </c>
      <c r="W97" s="13">
        <f t="shared" si="54"/>
        <v>187.81581441539743</v>
      </c>
      <c r="X97" s="13">
        <f t="shared" si="54"/>
        <v>178.06377406623508</v>
      </c>
      <c r="Y97" s="13">
        <f t="shared" si="54"/>
        <v>168.927938508241</v>
      </c>
      <c r="Z97" s="13">
        <f t="shared" si="54"/>
        <v>160.42371330696051</v>
      </c>
      <c r="AA97" s="13">
        <f t="shared" si="54"/>
        <v>152.54988873915215</v>
      </c>
      <c r="AB97" s="13">
        <f t="shared" si="54"/>
        <v>145.29081387056576</v>
      </c>
      <c r="AC97" s="13">
        <f t="shared" si="54"/>
        <v>138.61827038772188</v>
      </c>
      <c r="AD97" s="13">
        <f t="shared" si="54"/>
        <v>132.49311979187482</v>
      </c>
      <c r="AE97" s="13">
        <f t="shared" si="54"/>
        <v>126.8667825957736</v>
      </c>
      <c r="AF97" s="13">
        <f t="shared" si="54"/>
        <v>121.68259496550584</v>
      </c>
      <c r="AG97" s="13">
        <f t="shared" si="54"/>
        <v>116.87707727895517</v>
      </c>
      <c r="AH97" s="13">
        <f t="shared" si="54"/>
        <v>112.38114031983672</v>
      </c>
      <c r="AI97" s="13">
        <f t="shared" si="54"/>
        <v>108.12124806740172</v>
      </c>
      <c r="AJ97" s="13">
        <f t="shared" si="54"/>
        <v>104.02055097894234</v>
      </c>
      <c r="AK97" s="13">
        <f t="shared" si="42"/>
        <v>100</v>
      </c>
      <c r="AL97" s="47"/>
      <c r="AM97" s="26">
        <v>2.3333333333333334E-2</v>
      </c>
      <c r="AN97" s="13">
        <f t="shared" si="43"/>
        <v>-1076400000</v>
      </c>
      <c r="AO97" s="13">
        <f t="shared" si="43"/>
        <v>-1093421725.3230913</v>
      </c>
      <c r="AP97" s="13">
        <f t="shared" si="43"/>
        <v>-1103911509.9219513</v>
      </c>
      <c r="AQ97" s="13">
        <f t="shared" si="43"/>
        <v>-1105519026.6257133</v>
      </c>
      <c r="AR97" s="13">
        <f t="shared" si="43"/>
        <v>-1097715600.7069502</v>
      </c>
      <c r="AS97" s="13">
        <f t="shared" si="43"/>
        <v>-1081100141.0960693</v>
      </c>
      <c r="AT97" s="13">
        <f t="shared" si="43"/>
        <v>-1056874711.8478541</v>
      </c>
      <c r="AU97" s="13">
        <f t="shared" si="43"/>
        <v>-1026488511.6927408</v>
      </c>
      <c r="AV97" s="13">
        <f t="shared" si="43"/>
        <v>-991417021.78385615</v>
      </c>
      <c r="AW97" s="13">
        <f t="shared" si="43"/>
        <v>-953037988.82888472</v>
      </c>
      <c r="AX97" s="13">
        <f t="shared" si="43"/>
        <v>-912571375.23903978</v>
      </c>
      <c r="AY97" s="13">
        <f t="shared" si="43"/>
        <v>-871058612.33337545</v>
      </c>
      <c r="AZ97" s="13">
        <f t="shared" si="43"/>
        <v>-829364142.39366138</v>
      </c>
      <c r="BA97" s="13">
        <f t="shared" si="43"/>
        <v>-788188260.57413089</v>
      </c>
      <c r="BB97" s="13">
        <f t="shared" si="43"/>
        <v>-748084587.07755947</v>
      </c>
      <c r="BC97" s="13">
        <f t="shared" si="43"/>
        <v>-709478398.42787337</v>
      </c>
      <c r="BD97" s="13">
        <f t="shared" si="47"/>
        <v>-672683886.84300232</v>
      </c>
      <c r="BE97" s="13">
        <f t="shared" si="47"/>
        <v>-637919522.98479056</v>
      </c>
      <c r="BF97" s="13">
        <f t="shared" si="47"/>
        <v>-605321321.45886576</v>
      </c>
      <c r="BG97" s="13">
        <f t="shared" si="47"/>
        <v>-574954130.47976029</v>
      </c>
      <c r="BH97" s="13">
        <f t="shared" si="47"/>
        <v>-546821208.91334748</v>
      </c>
      <c r="BI97" s="13">
        <f t="shared" si="47"/>
        <v>-520872394.17425966</v>
      </c>
      <c r="BJ97" s="13">
        <f t="shared" si="47"/>
        <v>-497011151.98291796</v>
      </c>
      <c r="BK97" s="13">
        <f t="shared" si="47"/>
        <v>-475100762.73229146</v>
      </c>
      <c r="BL97" s="13">
        <f t="shared" si="47"/>
        <v>-454969855.48977554</v>
      </c>
      <c r="BM97" s="13">
        <f t="shared" si="47"/>
        <v>-436417458.00653476</v>
      </c>
      <c r="BN97" s="13">
        <f t="shared" si="47"/>
        <v>-419217693.48017001</v>
      </c>
      <c r="BO97" s="13">
        <f t="shared" si="47"/>
        <v>-403124223.59307969</v>
      </c>
      <c r="BP97" s="13">
        <f t="shared" si="47"/>
        <v>-387874512.5549466</v>
      </c>
      <c r="BQ97" s="13">
        <f t="shared" si="47"/>
        <v>-373193967.91748923</v>
      </c>
      <c r="BR97" s="13">
        <f t="shared" si="47"/>
        <v>-358800000</v>
      </c>
      <c r="BT97" s="47"/>
      <c r="BU97" s="26">
        <v>2.3333333333333334E-2</v>
      </c>
      <c r="BV97" s="13">
        <f t="shared" si="44"/>
        <v>0.40647468537622489</v>
      </c>
      <c r="BW97" s="13">
        <f t="shared" si="44"/>
        <v>0.40647468537622489</v>
      </c>
      <c r="BX97" s="13">
        <f t="shared" si="44"/>
        <v>0.40647468537622489</v>
      </c>
      <c r="BY97" s="13">
        <f t="shared" si="44"/>
        <v>0.40647468537622489</v>
      </c>
      <c r="BZ97" s="13">
        <f t="shared" si="44"/>
        <v>0.40647468537622489</v>
      </c>
      <c r="CA97" s="13">
        <f t="shared" si="44"/>
        <v>0.40647468537622489</v>
      </c>
      <c r="CB97" s="13">
        <f t="shared" si="44"/>
        <v>0.40647468537622489</v>
      </c>
      <c r="CC97" s="13">
        <f t="shared" si="44"/>
        <v>0.40647468537622489</v>
      </c>
      <c r="CD97" s="13">
        <f t="shared" si="44"/>
        <v>0.40647468537622489</v>
      </c>
      <c r="CE97" s="13">
        <f t="shared" si="44"/>
        <v>0.40647468537622489</v>
      </c>
      <c r="CF97" s="13">
        <f t="shared" si="44"/>
        <v>0.40647468537622489</v>
      </c>
      <c r="CG97" s="13">
        <f t="shared" si="44"/>
        <v>0.40647468537622489</v>
      </c>
      <c r="CH97" s="13">
        <f t="shared" si="44"/>
        <v>0.40647468537622489</v>
      </c>
      <c r="CI97" s="13">
        <f t="shared" si="44"/>
        <v>0.40647468537622489</v>
      </c>
      <c r="CJ97" s="13">
        <f t="shared" si="44"/>
        <v>0.40647468537622489</v>
      </c>
      <c r="CK97" s="13">
        <f t="shared" ref="CK97:CK104" si="55">$B$20/($B$21-$B$22*CK98)</f>
        <v>0.40647468537622489</v>
      </c>
      <c r="CL97" s="13">
        <f t="shared" si="50"/>
        <v>0.40647468537622489</v>
      </c>
      <c r="CM97" s="13">
        <f t="shared" si="50"/>
        <v>0.40647468537622489</v>
      </c>
      <c r="CN97" s="13">
        <f t="shared" si="50"/>
        <v>0.40647468537622489</v>
      </c>
      <c r="CO97" s="13">
        <f t="shared" si="50"/>
        <v>0.40647468537622489</v>
      </c>
      <c r="CP97" s="13">
        <f t="shared" si="50"/>
        <v>0.40647468537622489</v>
      </c>
      <c r="CQ97" s="13">
        <f t="shared" si="50"/>
        <v>0.40647468537622489</v>
      </c>
      <c r="CR97" s="13">
        <f t="shared" si="50"/>
        <v>0.40647468537622489</v>
      </c>
      <c r="CS97" s="13">
        <f t="shared" si="50"/>
        <v>0.40647468537622489</v>
      </c>
      <c r="CT97" s="13">
        <f t="shared" si="50"/>
        <v>0.40647468537622489</v>
      </c>
      <c r="CU97" s="13">
        <f t="shared" si="48"/>
        <v>0.40647468537622489</v>
      </c>
      <c r="CV97" s="13">
        <f t="shared" si="48"/>
        <v>0.40647468537622489</v>
      </c>
      <c r="CW97" s="13">
        <f t="shared" si="48"/>
        <v>0.40647468537622489</v>
      </c>
      <c r="CX97" s="13">
        <f t="shared" si="48"/>
        <v>0.40647468537622489</v>
      </c>
      <c r="CY97" s="13">
        <f t="shared" si="48"/>
        <v>0.40647468537622489</v>
      </c>
      <c r="CZ97" s="13">
        <f t="shared" si="48"/>
        <v>0.40647468537622489</v>
      </c>
      <c r="DB97" s="47"/>
      <c r="DC97" s="26">
        <v>2.3333333333333334E-2</v>
      </c>
      <c r="DD97" s="13">
        <f t="shared" si="45"/>
        <v>178.05759438713258</v>
      </c>
      <c r="DE97" s="13">
        <f t="shared" si="45"/>
        <v>179.8135310056166</v>
      </c>
      <c r="DF97" s="13">
        <f t="shared" si="45"/>
        <v>180.70241858442824</v>
      </c>
      <c r="DG97" s="13">
        <f t="shared" si="45"/>
        <v>180.37817773087582</v>
      </c>
      <c r="DH97" s="13">
        <f t="shared" si="45"/>
        <v>178.74041901233011</v>
      </c>
      <c r="DI97" s="13">
        <f t="shared" si="45"/>
        <v>175.84852391306725</v>
      </c>
      <c r="DJ97" s="13">
        <f t="shared" si="45"/>
        <v>171.85331035494511</v>
      </c>
      <c r="DK97" s="13">
        <f t="shared" si="45"/>
        <v>166.94844431481604</v>
      </c>
      <c r="DL97" s="13">
        <f t="shared" si="45"/>
        <v>161.33873782886627</v>
      </c>
      <c r="DM97" s="13">
        <f t="shared" si="45"/>
        <v>155.22114507392206</v>
      </c>
      <c r="DN97" s="13">
        <f t="shared" si="45"/>
        <v>148.7745391042524</v>
      </c>
      <c r="DO97" s="13">
        <f t="shared" si="45"/>
        <v>142.15516181629397</v>
      </c>
      <c r="DP97" s="13">
        <f t="shared" si="45"/>
        <v>135.49550277795541</v>
      </c>
      <c r="DQ97" s="13">
        <f t="shared" si="45"/>
        <v>128.90509109952666</v>
      </c>
      <c r="DR97" s="13">
        <f t="shared" si="45"/>
        <v>122.47223367297423</v>
      </c>
      <c r="DS97" s="13">
        <f t="shared" si="45"/>
        <v>116.26611810112954</v>
      </c>
      <c r="DT97" s="13">
        <f t="shared" si="51"/>
        <v>110.33895397459358</v>
      </c>
      <c r="DU97" s="13">
        <f t="shared" si="49"/>
        <v>104.727987314252</v>
      </c>
      <c r="DV97" s="13">
        <f t="shared" si="49"/>
        <v>99.457319625738847</v>
      </c>
      <c r="DW97" s="13">
        <f t="shared" si="49"/>
        <v>94.539517452539641</v>
      </c>
      <c r="DX97" s="13">
        <f t="shared" si="49"/>
        <v>89.977026345249982</v>
      </c>
      <c r="DY97" s="13">
        <f t="shared" si="49"/>
        <v>85.763415404800696</v>
      </c>
      <c r="DZ97" s="13">
        <f t="shared" si="49"/>
        <v>81.884481871079956</v>
      </c>
      <c r="EA97" s="13">
        <f t="shared" si="49"/>
        <v>78.319243885728071</v>
      </c>
      <c r="EB97" s="13">
        <f t="shared" si="49"/>
        <v>75.040846109447074</v>
      </c>
      <c r="EC97" s="13">
        <f t="shared" si="49"/>
        <v>72.017398769335756</v>
      </c>
      <c r="ED97" s="13">
        <f t="shared" si="49"/>
        <v>69.212766718714903</v>
      </c>
      <c r="EE97" s="13">
        <f t="shared" si="49"/>
        <v>66.58732157301479</v>
      </c>
      <c r="EF97" s="13">
        <f t="shared" si="49"/>
        <v>64.098667072482456</v>
      </c>
      <c r="EG97" s="13">
        <f t="shared" si="49"/>
        <v>61.702345525842439</v>
      </c>
      <c r="EH97" s="13">
        <f t="shared" si="49"/>
        <v>59.35253146237752</v>
      </c>
    </row>
    <row r="98" spans="5:138" x14ac:dyDescent="0.25">
      <c r="E98" s="49"/>
      <c r="F98" s="26">
        <v>0.02</v>
      </c>
      <c r="G98" s="13">
        <f t="shared" si="40"/>
        <v>300</v>
      </c>
      <c r="H98" s="13">
        <f t="shared" si="53"/>
        <v>303.03421668437113</v>
      </c>
      <c r="I98" s="13">
        <f t="shared" si="53"/>
        <v>304.22594900116542</v>
      </c>
      <c r="J98" s="13">
        <f t="shared" si="53"/>
        <v>303.33320525581263</v>
      </c>
      <c r="K98" s="13">
        <f t="shared" si="53"/>
        <v>300.26704762564799</v>
      </c>
      <c r="L98" s="13">
        <f t="shared" si="53"/>
        <v>295.16483163096018</v>
      </c>
      <c r="M98" s="13">
        <f t="shared" si="53"/>
        <v>288.28951919627661</v>
      </c>
      <c r="N98" s="13">
        <f t="shared" si="53"/>
        <v>279.96015496478691</v>
      </c>
      <c r="O98" s="13">
        <f t="shared" si="53"/>
        <v>270.50721521152451</v>
      </c>
      <c r="P98" s="13">
        <f t="shared" si="53"/>
        <v>260.24606157647167</v>
      </c>
      <c r="Q98" s="13">
        <f t="shared" si="54"/>
        <v>249.46271935320095</v>
      </c>
      <c r="R98" s="13">
        <f t="shared" si="54"/>
        <v>238.40757124444917</v>
      </c>
      <c r="S98" s="13">
        <f t="shared" si="54"/>
        <v>227.29383955493893</v>
      </c>
      <c r="T98" s="13">
        <f t="shared" si="54"/>
        <v>216.29876001678335</v>
      </c>
      <c r="U98" s="13">
        <f t="shared" si="54"/>
        <v>205.56611025766603</v>
      </c>
      <c r="V98" s="13">
        <f t="shared" si="54"/>
        <v>195.20928394494106</v>
      </c>
      <c r="W98" s="13">
        <f t="shared" si="54"/>
        <v>185.31445141988704</v>
      </c>
      <c r="X98" s="13">
        <f t="shared" si="54"/>
        <v>175.94356934236367</v>
      </c>
      <c r="Y98" s="13">
        <f t="shared" si="54"/>
        <v>167.13713600951365</v>
      </c>
      <c r="Z98" s="13">
        <f t="shared" si="54"/>
        <v>158.91666572356692</v>
      </c>
      <c r="AA98" s="13">
        <f t="shared" si="54"/>
        <v>151.28689606913326</v>
      </c>
      <c r="AB98" s="13">
        <f t="shared" si="54"/>
        <v>144.23776052713987</v>
      </c>
      <c r="AC98" s="13">
        <f t="shared" si="54"/>
        <v>137.74616481112656</v>
      </c>
      <c r="AD98" s="13">
        <f t="shared" si="54"/>
        <v>131.77760451474921</v>
      </c>
      <c r="AE98" s="13">
        <f t="shared" si="54"/>
        <v>126.28765765296154</v>
      </c>
      <c r="AF98" s="13">
        <f t="shared" si="54"/>
        <v>121.22338051842382</v>
      </c>
      <c r="AG98" s="13">
        <f t="shared" si="54"/>
        <v>116.52463008011846</v>
      </c>
      <c r="AH98" s="13">
        <f t="shared" si="54"/>
        <v>112.12533147813429</v>
      </c>
      <c r="AI98" s="13">
        <f t="shared" si="54"/>
        <v>107.95470524400886</v>
      </c>
      <c r="AJ98" s="13">
        <f t="shared" si="54"/>
        <v>103.938465747658</v>
      </c>
      <c r="AK98" s="13">
        <f t="shared" si="42"/>
        <v>100</v>
      </c>
      <c r="AL98" s="47"/>
      <c r="AM98" s="26">
        <v>0.02</v>
      </c>
      <c r="AN98" s="13">
        <f t="shared" si="43"/>
        <v>-1076400000</v>
      </c>
      <c r="AO98" s="13">
        <f t="shared" si="43"/>
        <v>-1082157977.25686</v>
      </c>
      <c r="AP98" s="13">
        <f t="shared" si="43"/>
        <v>-1083803540.5988207</v>
      </c>
      <c r="AQ98" s="13">
        <f t="shared" si="43"/>
        <v>-1079385615.8874385</v>
      </c>
      <c r="AR98" s="13">
        <f t="shared" si="43"/>
        <v>-1068172134.8836105</v>
      </c>
      <c r="AS98" s="13">
        <f t="shared" si="43"/>
        <v>-1050288350.0297238</v>
      </c>
      <c r="AT98" s="13">
        <f t="shared" si="43"/>
        <v>-1026394645.4373411</v>
      </c>
      <c r="AU98" s="13">
        <f t="shared" ref="AU98:BJ104" si="56">-($B$12*$B$11)/$B$8*N63</f>
        <v>-997437759.66414309</v>
      </c>
      <c r="AV98" s="13">
        <f t="shared" si="56"/>
        <v>-964476049.58836794</v>
      </c>
      <c r="AW98" s="13">
        <f t="shared" si="56"/>
        <v>-928566244.38005078</v>
      </c>
      <c r="AX98" s="13">
        <f t="shared" si="56"/>
        <v>-890696125.13292825</v>
      </c>
      <c r="AY98" s="13">
        <f t="shared" si="56"/>
        <v>-851749036.93296063</v>
      </c>
      <c r="AZ98" s="13">
        <f t="shared" si="56"/>
        <v>-812489107.4439187</v>
      </c>
      <c r="BA98" s="13">
        <f t="shared" si="56"/>
        <v>-773559094.66499734</v>
      </c>
      <c r="BB98" s="13">
        <f t="shared" si="56"/>
        <v>-735485355.06758082</v>
      </c>
      <c r="BC98" s="13">
        <f t="shared" si="56"/>
        <v>-698686375.3895942</v>
      </c>
      <c r="BD98" s="13">
        <f t="shared" si="47"/>
        <v>-663482696.97354424</v>
      </c>
      <c r="BE98" s="13">
        <f t="shared" si="47"/>
        <v>-630106993.99471819</v>
      </c>
      <c r="BF98" s="13">
        <f t="shared" si="47"/>
        <v>-598713665.05914521</v>
      </c>
      <c r="BG98" s="13">
        <f t="shared" si="47"/>
        <v>-569387662.77771163</v>
      </c>
      <c r="BH98" s="13">
        <f t="shared" si="47"/>
        <v>-542152495.98084414</v>
      </c>
      <c r="BI98" s="13">
        <f t="shared" si="47"/>
        <v>-516977450.38623029</v>
      </c>
      <c r="BJ98" s="13">
        <f t="shared" si="47"/>
        <v>-493784124.33207983</v>
      </c>
      <c r="BK98" s="13">
        <f t="shared" si="47"/>
        <v>-472452392.07771677</v>
      </c>
      <c r="BL98" s="13">
        <f t="shared" si="47"/>
        <v>-452825904.31442279</v>
      </c>
      <c r="BM98" s="13">
        <f t="shared" si="47"/>
        <v>-434717223.79688078</v>
      </c>
      <c r="BN98" s="13">
        <f t="shared" si="47"/>
        <v>-417912679.1591844</v>
      </c>
      <c r="BO98" s="13">
        <f t="shared" si="47"/>
        <v>-402177005.17717373</v>
      </c>
      <c r="BP98" s="13">
        <f t="shared" si="47"/>
        <v>-387257824.55385369</v>
      </c>
      <c r="BQ98" s="13">
        <f t="shared" si="47"/>
        <v>-372890015.38887388</v>
      </c>
      <c r="BR98" s="13">
        <f t="shared" si="47"/>
        <v>-358800000</v>
      </c>
      <c r="BT98" s="47"/>
      <c r="BU98" s="26">
        <v>0.02</v>
      </c>
      <c r="BV98" s="13">
        <f t="shared" ref="BV98:CJ104" si="57">$B$20/($B$21-$B$22*BV99)</f>
        <v>0.40648885983862293</v>
      </c>
      <c r="BW98" s="13">
        <f t="shared" si="57"/>
        <v>0.40648885983862293</v>
      </c>
      <c r="BX98" s="13">
        <f t="shared" si="57"/>
        <v>0.40648885983862293</v>
      </c>
      <c r="BY98" s="13">
        <f t="shared" si="57"/>
        <v>0.40648885983862293</v>
      </c>
      <c r="BZ98" s="13">
        <f t="shared" si="57"/>
        <v>0.40648885983862293</v>
      </c>
      <c r="CA98" s="13">
        <f t="shared" si="57"/>
        <v>0.40648885983862293</v>
      </c>
      <c r="CB98" s="13">
        <f t="shared" si="57"/>
        <v>0.40648885983862293</v>
      </c>
      <c r="CC98" s="13">
        <f t="shared" si="57"/>
        <v>0.40648885983862293</v>
      </c>
      <c r="CD98" s="13">
        <f t="shared" si="57"/>
        <v>0.40648885983862293</v>
      </c>
      <c r="CE98" s="13">
        <f t="shared" si="57"/>
        <v>0.40648885983862293</v>
      </c>
      <c r="CF98" s="13">
        <f t="shared" si="57"/>
        <v>0.40648885983862293</v>
      </c>
      <c r="CG98" s="13">
        <f t="shared" si="57"/>
        <v>0.40648885983862293</v>
      </c>
      <c r="CH98" s="13">
        <f t="shared" si="57"/>
        <v>0.40648885983862293</v>
      </c>
      <c r="CI98" s="13">
        <f t="shared" si="57"/>
        <v>0.40648885983862293</v>
      </c>
      <c r="CJ98" s="13">
        <f t="shared" si="57"/>
        <v>0.40648885983862293</v>
      </c>
      <c r="CK98" s="13">
        <f t="shared" si="55"/>
        <v>0.40648885983862293</v>
      </c>
      <c r="CL98" s="13">
        <f t="shared" si="50"/>
        <v>0.40648885983862293</v>
      </c>
      <c r="CM98" s="13">
        <f t="shared" si="50"/>
        <v>0.40648885983862293</v>
      </c>
      <c r="CN98" s="13">
        <f t="shared" si="50"/>
        <v>0.40648885983862293</v>
      </c>
      <c r="CO98" s="13">
        <f t="shared" si="50"/>
        <v>0.40648885983862293</v>
      </c>
      <c r="CP98" s="13">
        <f t="shared" si="50"/>
        <v>0.40648885983862293</v>
      </c>
      <c r="CQ98" s="13">
        <f t="shared" si="50"/>
        <v>0.40648885983862293</v>
      </c>
      <c r="CR98" s="13">
        <f t="shared" si="50"/>
        <v>0.40648885983862293</v>
      </c>
      <c r="CS98" s="13">
        <f t="shared" si="50"/>
        <v>0.40648885983862293</v>
      </c>
      <c r="CT98" s="13">
        <f t="shared" si="50"/>
        <v>0.40648885983862293</v>
      </c>
      <c r="CU98" s="13">
        <f t="shared" si="48"/>
        <v>0.40648885983862293</v>
      </c>
      <c r="CV98" s="13">
        <f t="shared" si="48"/>
        <v>0.40648885983862293</v>
      </c>
      <c r="CW98" s="13">
        <f t="shared" si="48"/>
        <v>0.40648885983862293</v>
      </c>
      <c r="CX98" s="13">
        <f t="shared" si="48"/>
        <v>0.40648885983862293</v>
      </c>
      <c r="CY98" s="13">
        <f t="shared" si="48"/>
        <v>0.40648885983862293</v>
      </c>
      <c r="CZ98" s="13">
        <f t="shared" si="48"/>
        <v>0.40648885983862293</v>
      </c>
      <c r="DB98" s="47"/>
      <c r="DC98" s="26">
        <v>0.02</v>
      </c>
      <c r="DD98" s="13">
        <f t="shared" si="45"/>
        <v>178.05334204841316</v>
      </c>
      <c r="DE98" s="13">
        <f t="shared" si="45"/>
        <v>178.26173049158507</v>
      </c>
      <c r="DF98" s="13">
        <f t="shared" si="45"/>
        <v>177.91478758988265</v>
      </c>
      <c r="DG98" s="13">
        <f t="shared" si="45"/>
        <v>176.72880837902636</v>
      </c>
      <c r="DH98" s="13">
        <f t="shared" si="45"/>
        <v>174.58451621434494</v>
      </c>
      <c r="DI98" s="13">
        <f t="shared" si="45"/>
        <v>171.48333611273929</v>
      </c>
      <c r="DJ98" s="13">
        <f t="shared" si="45"/>
        <v>167.50595334201478</v>
      </c>
      <c r="DK98" s="13">
        <f t="shared" ref="DK98:DS104" si="58">(DK99*$B$22-AU98)/($B$21-$B$22*CC99)</f>
        <v>162.77877263784043</v>
      </c>
      <c r="DL98" s="13">
        <f t="shared" si="58"/>
        <v>157.44927161241421</v>
      </c>
      <c r="DM98" s="13">
        <f t="shared" si="58"/>
        <v>151.66920350069896</v>
      </c>
      <c r="DN98" s="13">
        <f t="shared" si="58"/>
        <v>145.58395091012565</v>
      </c>
      <c r="DO98" s="13">
        <f t="shared" si="58"/>
        <v>139.32634322809582</v>
      </c>
      <c r="DP98" s="13">
        <f t="shared" si="58"/>
        <v>133.01352586569541</v>
      </c>
      <c r="DQ98" s="13">
        <f t="shared" si="58"/>
        <v>126.74580649036429</v>
      </c>
      <c r="DR98" s="13">
        <f t="shared" si="58"/>
        <v>120.6067110712477</v>
      </c>
      <c r="DS98" s="13">
        <f t="shared" si="58"/>
        <v>114.6637296152893</v>
      </c>
      <c r="DT98" s="13">
        <f t="shared" si="51"/>
        <v>108.96941515850973</v>
      </c>
      <c r="DU98" s="13">
        <f t="shared" si="49"/>
        <v>103.5626288436176</v>
      </c>
      <c r="DV98" s="13">
        <f t="shared" si="49"/>
        <v>98.469810890409747</v>
      </c>
      <c r="DW98" s="13">
        <f t="shared" si="49"/>
        <v>93.706213410342428</v>
      </c>
      <c r="DX98" s="13">
        <f t="shared" si="49"/>
        <v>89.277065727046534</v>
      </c>
      <c r="DY98" s="13">
        <f t="shared" si="49"/>
        <v>85.178663251868016</v>
      </c>
      <c r="DZ98" s="13">
        <f t="shared" si="49"/>
        <v>81.399382128419532</v>
      </c>
      <c r="EA98" s="13">
        <f t="shared" si="49"/>
        <v>77.920627314087923</v>
      </c>
      <c r="EB98" s="13">
        <f t="shared" si="49"/>
        <v>74.717723844211079</v>
      </c>
      <c r="EC98" s="13">
        <f t="shared" si="49"/>
        <v>71.760761228690399</v>
      </c>
      <c r="ED98" s="13">
        <f t="shared" si="49"/>
        <v>69.015400195725348</v>
      </c>
      <c r="EE98" s="13">
        <f t="shared" si="49"/>
        <v>66.443649882159562</v>
      </c>
      <c r="EF98" s="13">
        <f t="shared" si="49"/>
        <v>64.004622392761831</v>
      </c>
      <c r="EG98" s="13">
        <f t="shared" si="49"/>
        <v>61.655270580442384</v>
      </c>
      <c r="EH98" s="13">
        <f t="shared" si="49"/>
        <v>59.351114016137714</v>
      </c>
    </row>
    <row r="99" spans="5:138" x14ac:dyDescent="0.25">
      <c r="E99" s="49"/>
      <c r="F99" s="26">
        <v>1.6666666666666666E-2</v>
      </c>
      <c r="G99" s="13">
        <f t="shared" si="40"/>
        <v>300</v>
      </c>
      <c r="H99" s="13">
        <f t="shared" si="53"/>
        <v>300.35547456207962</v>
      </c>
      <c r="I99" s="13">
        <f t="shared" si="53"/>
        <v>299.5890121768868</v>
      </c>
      <c r="J99" s="13">
        <f t="shared" si="53"/>
        <v>297.37555878456243</v>
      </c>
      <c r="K99" s="13">
        <f t="shared" si="53"/>
        <v>293.56235107665407</v>
      </c>
      <c r="L99" s="13">
        <f t="shared" si="53"/>
        <v>288.17848578496319</v>
      </c>
      <c r="M99" s="13">
        <f t="shared" si="53"/>
        <v>281.36985667421294</v>
      </c>
      <c r="N99" s="13">
        <f t="shared" si="53"/>
        <v>273.34846567810075</v>
      </c>
      <c r="O99" s="13">
        <f t="shared" si="53"/>
        <v>264.35584281038695</v>
      </c>
      <c r="P99" s="13">
        <f t="shared" si="53"/>
        <v>254.63828444908873</v>
      </c>
      <c r="Q99" s="13">
        <f t="shared" si="54"/>
        <v>244.43114135228626</v>
      </c>
      <c r="R99" s="13">
        <f t="shared" si="54"/>
        <v>233.94961691668198</v>
      </c>
      <c r="S99" s="13">
        <f t="shared" si="54"/>
        <v>223.38401851708335</v>
      </c>
      <c r="T99" s="13">
        <f t="shared" si="54"/>
        <v>212.89791624556159</v>
      </c>
      <c r="U99" s="13">
        <f t="shared" si="54"/>
        <v>202.6281087661979</v>
      </c>
      <c r="V99" s="13">
        <f t="shared" si="54"/>
        <v>192.68564694365551</v>
      </c>
      <c r="W99" s="13">
        <f t="shared" si="54"/>
        <v>183.15742531350958</v>
      </c>
      <c r="X99" s="13">
        <f t="shared" si="54"/>
        <v>174.10803437831893</v>
      </c>
      <c r="Y99" s="13">
        <f t="shared" si="54"/>
        <v>165.58169074339247</v>
      </c>
      <c r="Z99" s="13">
        <f t="shared" si="54"/>
        <v>157.60414322192366</v>
      </c>
      <c r="AA99" s="13">
        <f t="shared" si="54"/>
        <v>150.18450415157963</v>
      </c>
      <c r="AB99" s="13">
        <f t="shared" si="54"/>
        <v>143.31698602070617</v>
      </c>
      <c r="AC99" s="13">
        <f t="shared" si="54"/>
        <v>136.98254112106315</v>
      </c>
      <c r="AD99" s="13">
        <f t="shared" si="54"/>
        <v>131.1504111992669</v>
      </c>
      <c r="AE99" s="13">
        <f t="shared" si="54"/>
        <v>125.77959825227585</v>
      </c>
      <c r="AF99" s="13">
        <f t="shared" si="54"/>
        <v>120.8202688498983</v>
      </c>
      <c r="AG99" s="13">
        <f t="shared" si="54"/>
        <v>116.21510403304032</v>
      </c>
      <c r="AH99" s="13">
        <f t="shared" si="54"/>
        <v>111.90060576840577</v>
      </c>
      <c r="AI99" s="13">
        <f t="shared" si="54"/>
        <v>107.80836963357494</v>
      </c>
      <c r="AJ99" s="13">
        <f t="shared" si="54"/>
        <v>103.86633213804591</v>
      </c>
      <c r="AK99" s="13">
        <f t="shared" si="42"/>
        <v>100</v>
      </c>
      <c r="AL99" s="47"/>
      <c r="AM99" s="26">
        <v>1.6666666666666666E-2</v>
      </c>
      <c r="AN99" s="13">
        <f t="shared" ref="AN99:AT104" si="59">-($B$12*$B$11)/$B$8*G64</f>
        <v>-1076400000</v>
      </c>
      <c r="AO99" s="13">
        <f t="shared" si="59"/>
        <v>-1074178902.3755953</v>
      </c>
      <c r="AP99" s="13">
        <f t="shared" si="59"/>
        <v>-1069259436.2833318</v>
      </c>
      <c r="AQ99" s="13">
        <f t="shared" si="59"/>
        <v>-1060089471.9209054</v>
      </c>
      <c r="AR99" s="13">
        <f t="shared" si="59"/>
        <v>-1045924833.7430683</v>
      </c>
      <c r="AS99" s="13">
        <f t="shared" si="59"/>
        <v>-1026655600.7307787</v>
      </c>
      <c r="AT99" s="13">
        <f t="shared" si="59"/>
        <v>-1002616748.333012</v>
      </c>
      <c r="AU99" s="13">
        <f t="shared" si="56"/>
        <v>-974421391.55102456</v>
      </c>
      <c r="AV99" s="13">
        <f t="shared" si="56"/>
        <v>-942829773.89153683</v>
      </c>
      <c r="AW99" s="13">
        <f t="shared" si="56"/>
        <v>-908654248.60672486</v>
      </c>
      <c r="AX99" s="13">
        <f t="shared" si="56"/>
        <v>-872694935.4501853</v>
      </c>
      <c r="AY99" s="13">
        <f t="shared" si="56"/>
        <v>-835699174.00516498</v>
      </c>
      <c r="AZ99" s="13">
        <f t="shared" si="56"/>
        <v>-798338267.23031151</v>
      </c>
      <c r="BA99" s="13">
        <f t="shared" si="56"/>
        <v>-761196139.48889875</v>
      </c>
      <c r="BB99" s="13">
        <f t="shared" si="56"/>
        <v>-724765811.54815042</v>
      </c>
      <c r="BC99" s="13">
        <f t="shared" si="56"/>
        <v>-689450743.82296157</v>
      </c>
      <c r="BD99" s="13">
        <f t="shared" si="56"/>
        <v>-655569022.98056126</v>
      </c>
      <c r="BE99" s="13">
        <f t="shared" si="56"/>
        <v>-623359060.05771744</v>
      </c>
      <c r="BF99" s="13">
        <f t="shared" si="56"/>
        <v>-592985962.40910685</v>
      </c>
      <c r="BG99" s="13">
        <f t="shared" si="56"/>
        <v>-564548079.76990712</v>
      </c>
      <c r="BH99" s="13">
        <f t="shared" si="56"/>
        <v>-538083447.17875338</v>
      </c>
      <c r="BI99" s="13">
        <f t="shared" si="56"/>
        <v>-513575988.33278197</v>
      </c>
      <c r="BJ99" s="13">
        <f t="shared" si="56"/>
        <v>-490961428.20236474</v>
      </c>
      <c r="BK99" s="13">
        <f t="shared" ref="BK99:BR104" si="60">-($B$12*$B$11)/$B$8*AD64</f>
        <v>-470132912.45993954</v>
      </c>
      <c r="BL99" s="13">
        <f t="shared" si="60"/>
        <v>-450946356.83902693</v>
      </c>
      <c r="BM99" s="13">
        <f t="shared" si="60"/>
        <v>-433225561.00690687</v>
      </c>
      <c r="BN99" s="13">
        <f t="shared" si="60"/>
        <v>-416767124.87738836</v>
      </c>
      <c r="BO99" s="13">
        <f t="shared" si="60"/>
        <v>-401345204.3174988</v>
      </c>
      <c r="BP99" s="13">
        <f t="shared" si="60"/>
        <v>-386716140.26264405</v>
      </c>
      <c r="BQ99" s="13">
        <f t="shared" si="60"/>
        <v>-372622991.74057847</v>
      </c>
      <c r="BR99" s="13">
        <f t="shared" si="60"/>
        <v>-358800000</v>
      </c>
      <c r="BT99" s="47"/>
      <c r="BU99" s="26">
        <v>1.6666666666666666E-2</v>
      </c>
      <c r="BV99" s="13">
        <f t="shared" si="57"/>
        <v>0.40657464742411625</v>
      </c>
      <c r="BW99" s="13">
        <f t="shared" si="57"/>
        <v>0.40657464742411625</v>
      </c>
      <c r="BX99" s="13">
        <f t="shared" si="57"/>
        <v>0.40657464742411625</v>
      </c>
      <c r="BY99" s="13">
        <f t="shared" si="57"/>
        <v>0.40657464742411625</v>
      </c>
      <c r="BZ99" s="13">
        <f t="shared" si="57"/>
        <v>0.40657464742411625</v>
      </c>
      <c r="CA99" s="13">
        <f t="shared" si="57"/>
        <v>0.40657464742411625</v>
      </c>
      <c r="CB99" s="13">
        <f t="shared" si="57"/>
        <v>0.40657464742411625</v>
      </c>
      <c r="CC99" s="13">
        <f t="shared" si="57"/>
        <v>0.40657464742411625</v>
      </c>
      <c r="CD99" s="13">
        <f t="shared" si="57"/>
        <v>0.40657464742411625</v>
      </c>
      <c r="CE99" s="13">
        <f t="shared" si="57"/>
        <v>0.40657464742411625</v>
      </c>
      <c r="CF99" s="13">
        <f t="shared" si="57"/>
        <v>0.40657464742411625</v>
      </c>
      <c r="CG99" s="13">
        <f t="shared" si="57"/>
        <v>0.40657464742411625</v>
      </c>
      <c r="CH99" s="13">
        <f t="shared" si="57"/>
        <v>0.40657464742411625</v>
      </c>
      <c r="CI99" s="13">
        <f t="shared" si="57"/>
        <v>0.40657464742411625</v>
      </c>
      <c r="CJ99" s="13">
        <f t="shared" si="57"/>
        <v>0.40657464742411625</v>
      </c>
      <c r="CK99" s="13">
        <f t="shared" si="55"/>
        <v>0.40657464742411625</v>
      </c>
      <c r="CL99" s="13">
        <f t="shared" si="50"/>
        <v>0.40657464742411625</v>
      </c>
      <c r="CM99" s="13">
        <f t="shared" si="50"/>
        <v>0.40657464742411625</v>
      </c>
      <c r="CN99" s="13">
        <f t="shared" si="50"/>
        <v>0.40657464742411625</v>
      </c>
      <c r="CO99" s="13">
        <f t="shared" si="50"/>
        <v>0.40657464742411625</v>
      </c>
      <c r="CP99" s="13">
        <f t="shared" si="50"/>
        <v>0.40657464742411625</v>
      </c>
      <c r="CQ99" s="13">
        <f t="shared" si="50"/>
        <v>0.40657464742411625</v>
      </c>
      <c r="CR99" s="13">
        <f t="shared" si="50"/>
        <v>0.40657464742411625</v>
      </c>
      <c r="CS99" s="13">
        <f t="shared" si="50"/>
        <v>0.40657464742411625</v>
      </c>
      <c r="CT99" s="13">
        <f t="shared" si="50"/>
        <v>0.40657464742411625</v>
      </c>
      <c r="CU99" s="13">
        <f t="shared" si="48"/>
        <v>0.40657464742411625</v>
      </c>
      <c r="CV99" s="13">
        <f t="shared" si="48"/>
        <v>0.40657464742411625</v>
      </c>
      <c r="CW99" s="13">
        <f t="shared" si="48"/>
        <v>0.40657464742411625</v>
      </c>
      <c r="CX99" s="13">
        <f t="shared" si="48"/>
        <v>0.40657464742411625</v>
      </c>
      <c r="CY99" s="13">
        <f t="shared" si="48"/>
        <v>0.40657464742411625</v>
      </c>
      <c r="CZ99" s="13">
        <f t="shared" si="48"/>
        <v>0.40657464742411625</v>
      </c>
      <c r="DB99" s="47"/>
      <c r="DC99" s="26">
        <v>1.6666666666666666E-2</v>
      </c>
      <c r="DD99" s="13">
        <f t="shared" ref="DD99:DJ104" si="61">(DD100*$B$22-AN99)/($B$21-$B$22*BV100)</f>
        <v>178.02760577276516</v>
      </c>
      <c r="DE99" s="13">
        <f t="shared" si="61"/>
        <v>177.14944475618819</v>
      </c>
      <c r="DF99" s="13">
        <f t="shared" si="61"/>
        <v>175.89845422447078</v>
      </c>
      <c r="DG99" s="13">
        <f t="shared" si="61"/>
        <v>174.04796780565331</v>
      </c>
      <c r="DH99" s="13">
        <f t="shared" si="61"/>
        <v>171.48138205517589</v>
      </c>
      <c r="DI99" s="13">
        <f t="shared" si="61"/>
        <v>168.17194843260694</v>
      </c>
      <c r="DJ99" s="13">
        <f t="shared" si="61"/>
        <v>164.1586470509188</v>
      </c>
      <c r="DK99" s="13">
        <f t="shared" si="58"/>
        <v>159.52376438049154</v>
      </c>
      <c r="DL99" s="13">
        <f t="shared" si="58"/>
        <v>154.37446716008182</v>
      </c>
      <c r="DM99" s="13">
        <f t="shared" si="58"/>
        <v>148.82883372011992</v>
      </c>
      <c r="DN99" s="13">
        <f t="shared" si="58"/>
        <v>143.00592418579734</v>
      </c>
      <c r="DO99" s="13">
        <f t="shared" si="58"/>
        <v>137.01914269473016</v>
      </c>
      <c r="DP99" s="13">
        <f t="shared" si="58"/>
        <v>130.97210583836039</v>
      </c>
      <c r="DQ99" s="13">
        <f t="shared" si="58"/>
        <v>124.95632415346437</v>
      </c>
      <c r="DR99" s="13">
        <f t="shared" si="58"/>
        <v>119.05013996584034</v>
      </c>
      <c r="DS99" s="13">
        <f t="shared" si="58"/>
        <v>113.3185011498269</v>
      </c>
      <c r="DT99" s="13">
        <f t="shared" si="51"/>
        <v>107.81326756487549</v>
      </c>
      <c r="DU99" s="13">
        <f t="shared" si="49"/>
        <v>102.57383970640687</v>
      </c>
      <c r="DV99" s="13">
        <f t="shared" si="49"/>
        <v>97.627968598847872</v>
      </c>
      <c r="DW99" s="13">
        <f t="shared" si="49"/>
        <v>92.992655885548302</v>
      </c>
      <c r="DX99" s="13">
        <f t="shared" si="49"/>
        <v>88.675087722382841</v>
      </c>
      <c r="DY99" s="13">
        <f t="shared" si="49"/>
        <v>84.67356938914017</v>
      </c>
      <c r="DZ99" s="13">
        <f t="shared" si="49"/>
        <v>80.978442728955159</v>
      </c>
      <c r="EA99" s="13">
        <f t="shared" si="49"/>
        <v>77.572978105288115</v>
      </c>
      <c r="EB99" s="13">
        <f t="shared" si="49"/>
        <v>74.434238368005509</v>
      </c>
      <c r="EC99" s="13">
        <f t="shared" si="49"/>
        <v>71.533915656060657</v>
      </c>
      <c r="ED99" s="13">
        <f t="shared" si="49"/>
        <v>68.839143641990589</v>
      </c>
      <c r="EE99" s="13">
        <f t="shared" si="49"/>
        <v>66.313288655371153</v>
      </c>
      <c r="EF99" s="13">
        <f t="shared" si="49"/>
        <v>63.916723411217646</v>
      </c>
      <c r="EG99" s="13">
        <f t="shared" si="49"/>
        <v>61.607587072888272</v>
      </c>
      <c r="EH99" s="13">
        <f t="shared" si="49"/>
        <v>59.342535257588374</v>
      </c>
    </row>
    <row r="100" spans="5:138" x14ac:dyDescent="0.25">
      <c r="E100" s="49"/>
      <c r="F100" s="26">
        <v>1.3333333333333334E-2</v>
      </c>
      <c r="G100" s="13">
        <f t="shared" si="40"/>
        <v>300</v>
      </c>
      <c r="H100" s="13">
        <f t="shared" si="53"/>
        <v>298.52130740431619</v>
      </c>
      <c r="I100" s="13">
        <f t="shared" si="53"/>
        <v>296.32065975051586</v>
      </c>
      <c r="J100" s="13">
        <f t="shared" si="53"/>
        <v>293.08313767517325</v>
      </c>
      <c r="K100" s="13">
        <f t="shared" si="53"/>
        <v>288.63951006388379</v>
      </c>
      <c r="L100" s="13">
        <f t="shared" si="53"/>
        <v>282.96238299830657</v>
      </c>
      <c r="M100" s="13">
        <f t="shared" si="53"/>
        <v>276.1261114019232</v>
      </c>
      <c r="N100" s="13">
        <f t="shared" si="53"/>
        <v>268.27129409721181</v>
      </c>
      <c r="O100" s="13">
        <f t="shared" si="53"/>
        <v>259.57620715131009</v>
      </c>
      <c r="P100" s="13">
        <f t="shared" si="53"/>
        <v>250.23531794890516</v>
      </c>
      <c r="Q100" s="13">
        <f t="shared" si="54"/>
        <v>240.44400772862224</v>
      </c>
      <c r="R100" s="13">
        <f t="shared" si="54"/>
        <v>230.38829338405719</v>
      </c>
      <c r="S100" s="13">
        <f t="shared" si="54"/>
        <v>220.23834994516574</v>
      </c>
      <c r="T100" s="13">
        <f t="shared" si="54"/>
        <v>210.14479807824711</v>
      </c>
      <c r="U100" s="13">
        <f t="shared" si="54"/>
        <v>200.2369291841423</v>
      </c>
      <c r="V100" s="13">
        <f t="shared" si="54"/>
        <v>190.62224120103528</v>
      </c>
      <c r="W100" s="13">
        <f t="shared" si="54"/>
        <v>181.38682892798022</v>
      </c>
      <c r="X100" s="13">
        <f t="shared" si="54"/>
        <v>172.59630793883719</v>
      </c>
      <c r="Y100" s="13">
        <f t="shared" si="54"/>
        <v>164.29705320147053</v>
      </c>
      <c r="Z100" s="13">
        <f t="shared" si="54"/>
        <v>156.51760770345794</v>
      </c>
      <c r="AA100" s="13">
        <f t="shared" si="54"/>
        <v>149.27016868743522</v>
      </c>
      <c r="AB100" s="13">
        <f t="shared" si="54"/>
        <v>142.55209497067631</v>
      </c>
      <c r="AC100" s="13">
        <f t="shared" si="54"/>
        <v>136.34740277882818</v>
      </c>
      <c r="AD100" s="13">
        <f t="shared" si="54"/>
        <v>130.62823308258413</v>
      </c>
      <c r="AE100" s="13">
        <f t="shared" si="54"/>
        <v>125.35628322118887</v>
      </c>
      <c r="AF100" s="13">
        <f t="shared" si="54"/>
        <v>120.48420153560664</v>
      </c>
      <c r="AG100" s="13">
        <f t="shared" si="54"/>
        <v>115.95694716305404</v>
      </c>
      <c r="AH100" s="13">
        <f t="shared" si="54"/>
        <v>111.71311899093354</v>
      </c>
      <c r="AI100" s="13">
        <f t="shared" si="54"/>
        <v>107.68625865662479</v>
      </c>
      <c r="AJ100" s="13">
        <f t="shared" si="54"/>
        <v>103.80613282088072</v>
      </c>
      <c r="AK100" s="13">
        <f t="shared" si="42"/>
        <v>100</v>
      </c>
      <c r="AL100" s="47"/>
      <c r="AM100" s="26">
        <v>1.3333333333333334E-2</v>
      </c>
      <c r="AN100" s="13">
        <f t="shared" si="59"/>
        <v>-1076400000</v>
      </c>
      <c r="AO100" s="13">
        <f t="shared" si="59"/>
        <v>-1068567614.7072587</v>
      </c>
      <c r="AP100" s="13">
        <f t="shared" si="59"/>
        <v>-1058876801.7980886</v>
      </c>
      <c r="AQ100" s="13">
        <f t="shared" si="59"/>
        <v>-1046099543.1890216</v>
      </c>
      <c r="AR100" s="13">
        <f t="shared" si="59"/>
        <v>-1029549333.6109066</v>
      </c>
      <c r="AS100" s="13">
        <f t="shared" si="59"/>
        <v>-1009008675.6083701</v>
      </c>
      <c r="AT100" s="13">
        <f t="shared" si="59"/>
        <v>-984622157.16063559</v>
      </c>
      <c r="AU100" s="13">
        <f t="shared" si="56"/>
        <v>-956787154.38778949</v>
      </c>
      <c r="AV100" s="13">
        <f t="shared" si="56"/>
        <v>-926057886.41580403</v>
      </c>
      <c r="AW100" s="13">
        <f t="shared" si="56"/>
        <v>-893068540.63788283</v>
      </c>
      <c r="AX100" s="13">
        <f t="shared" si="56"/>
        <v>-858475689.97737491</v>
      </c>
      <c r="AY100" s="13">
        <f t="shared" si="56"/>
        <v>-822917631.0914824</v>
      </c>
      <c r="AZ100" s="13">
        <f t="shared" si="56"/>
        <v>-786987384.71324372</v>
      </c>
      <c r="BA100" s="13">
        <f t="shared" si="56"/>
        <v>-751216114.33181584</v>
      </c>
      <c r="BB100" s="13">
        <f t="shared" si="56"/>
        <v>-716064143.73277235</v>
      </c>
      <c r="BC100" s="13">
        <f t="shared" si="56"/>
        <v>-681917307.94148278</v>
      </c>
      <c r="BD100" s="13">
        <f t="shared" si="56"/>
        <v>-649086912.58897531</v>
      </c>
      <c r="BE100" s="13">
        <f t="shared" si="56"/>
        <v>-617812041.35990763</v>
      </c>
      <c r="BF100" s="13">
        <f t="shared" si="56"/>
        <v>-588263322.19444442</v>
      </c>
      <c r="BG100" s="13">
        <f t="shared" si="56"/>
        <v>-560547544.59502041</v>
      </c>
      <c r="BH100" s="13">
        <f t="shared" si="56"/>
        <v>-534712726.2031914</v>
      </c>
      <c r="BI100" s="13">
        <f t="shared" si="56"/>
        <v>-510753372.49718302</v>
      </c>
      <c r="BJ100" s="13">
        <f t="shared" si="56"/>
        <v>-488615773.70116663</v>
      </c>
      <c r="BK100" s="13">
        <f t="shared" si="60"/>
        <v>-468203250.11592627</v>
      </c>
      <c r="BL100" s="13">
        <f t="shared" si="60"/>
        <v>-449381300.77952248</v>
      </c>
      <c r="BM100" s="13">
        <f t="shared" si="60"/>
        <v>-431982637.95379114</v>
      </c>
      <c r="BN100" s="13">
        <f t="shared" si="60"/>
        <v>-415812106.72962517</v>
      </c>
      <c r="BO100" s="13">
        <f t="shared" si="60"/>
        <v>-400651498.81853592</v>
      </c>
      <c r="BP100" s="13">
        <f t="shared" si="60"/>
        <v>-386264274.95096266</v>
      </c>
      <c r="BQ100" s="13">
        <f t="shared" si="60"/>
        <v>-372400212.98561531</v>
      </c>
      <c r="BR100" s="13">
        <f t="shared" si="60"/>
        <v>-358800000</v>
      </c>
      <c r="BT100" s="47"/>
      <c r="BU100" s="26">
        <v>1.3333333333333334E-2</v>
      </c>
      <c r="BV100" s="13">
        <f t="shared" si="57"/>
        <v>0.40709372886650147</v>
      </c>
      <c r="BW100" s="13">
        <f t="shared" si="57"/>
        <v>0.40709372886650147</v>
      </c>
      <c r="BX100" s="13">
        <f t="shared" si="57"/>
        <v>0.40709372886650147</v>
      </c>
      <c r="BY100" s="13">
        <f t="shared" si="57"/>
        <v>0.40709372886650147</v>
      </c>
      <c r="BZ100" s="13">
        <f t="shared" si="57"/>
        <v>0.40709372886650147</v>
      </c>
      <c r="CA100" s="13">
        <f t="shared" si="57"/>
        <v>0.40709372886650147</v>
      </c>
      <c r="CB100" s="13">
        <f t="shared" si="57"/>
        <v>0.40709372886650147</v>
      </c>
      <c r="CC100" s="13">
        <f t="shared" si="57"/>
        <v>0.40709372886650147</v>
      </c>
      <c r="CD100" s="13">
        <f t="shared" si="57"/>
        <v>0.40709372886650147</v>
      </c>
      <c r="CE100" s="13">
        <f t="shared" si="57"/>
        <v>0.40709372886650147</v>
      </c>
      <c r="CF100" s="13">
        <f t="shared" si="57"/>
        <v>0.40709372886650147</v>
      </c>
      <c r="CG100" s="13">
        <f t="shared" si="57"/>
        <v>0.40709372886650147</v>
      </c>
      <c r="CH100" s="13">
        <f t="shared" si="57"/>
        <v>0.40709372886650147</v>
      </c>
      <c r="CI100" s="13">
        <f t="shared" si="57"/>
        <v>0.40709372886650147</v>
      </c>
      <c r="CJ100" s="13">
        <f t="shared" si="57"/>
        <v>0.40709372886650147</v>
      </c>
      <c r="CK100" s="13">
        <f t="shared" si="55"/>
        <v>0.40709372886650147</v>
      </c>
      <c r="CL100" s="13">
        <f t="shared" si="50"/>
        <v>0.40709372886650147</v>
      </c>
      <c r="CM100" s="13">
        <f t="shared" si="50"/>
        <v>0.40709372886650147</v>
      </c>
      <c r="CN100" s="13">
        <f t="shared" si="50"/>
        <v>0.40709372886650147</v>
      </c>
      <c r="CO100" s="13">
        <f t="shared" si="50"/>
        <v>0.40709372886650147</v>
      </c>
      <c r="CP100" s="13">
        <f t="shared" si="50"/>
        <v>0.40709372886650147</v>
      </c>
      <c r="CQ100" s="13">
        <f t="shared" si="50"/>
        <v>0.40709372886650147</v>
      </c>
      <c r="CR100" s="13">
        <f t="shared" si="50"/>
        <v>0.40709372886650147</v>
      </c>
      <c r="CS100" s="13">
        <f t="shared" si="50"/>
        <v>0.40709372886650147</v>
      </c>
      <c r="CT100" s="13">
        <f t="shared" si="50"/>
        <v>0.40709372886650147</v>
      </c>
      <c r="CU100" s="13">
        <f t="shared" si="48"/>
        <v>0.40709372886650147</v>
      </c>
      <c r="CV100" s="13">
        <f t="shared" si="48"/>
        <v>0.40709372886650147</v>
      </c>
      <c r="CW100" s="13">
        <f t="shared" si="48"/>
        <v>0.40709372886650147</v>
      </c>
      <c r="CX100" s="13">
        <f t="shared" si="48"/>
        <v>0.40709372886650147</v>
      </c>
      <c r="CY100" s="13">
        <f t="shared" si="48"/>
        <v>0.40709372886650147</v>
      </c>
      <c r="CZ100" s="13">
        <f t="shared" si="48"/>
        <v>0.40709372886650147</v>
      </c>
      <c r="DB100" s="47"/>
      <c r="DC100" s="26">
        <v>1.3333333333333334E-2</v>
      </c>
      <c r="DD100" s="13">
        <f t="shared" si="61"/>
        <v>177.87188134004958</v>
      </c>
      <c r="DE100" s="13">
        <f t="shared" si="61"/>
        <v>176.24847727937157</v>
      </c>
      <c r="DF100" s="13">
        <f t="shared" si="61"/>
        <v>174.3598516559953</v>
      </c>
      <c r="DG100" s="13">
        <f t="shared" si="61"/>
        <v>172.02341257580622</v>
      </c>
      <c r="DH100" s="13">
        <f t="shared" si="61"/>
        <v>169.1321179092717</v>
      </c>
      <c r="DI100" s="13">
        <f t="shared" si="61"/>
        <v>165.64672864100382</v>
      </c>
      <c r="DJ100" s="13">
        <f t="shared" si="61"/>
        <v>161.58220725778477</v>
      </c>
      <c r="DK100" s="13">
        <f t="shared" si="58"/>
        <v>156.99284792437689</v>
      </c>
      <c r="DL100" s="13">
        <f t="shared" si="58"/>
        <v>151.95860135398294</v>
      </c>
      <c r="DM100" s="13">
        <f t="shared" si="58"/>
        <v>146.57366922035678</v>
      </c>
      <c r="DN100" s="13">
        <f t="shared" si="58"/>
        <v>140.93762294442513</v>
      </c>
      <c r="DO100" s="13">
        <f t="shared" si="58"/>
        <v>135.14887146655556</v>
      </c>
      <c r="DP100" s="13">
        <f t="shared" si="58"/>
        <v>129.30011687786265</v>
      </c>
      <c r="DQ100" s="13">
        <f t="shared" si="58"/>
        <v>123.47539148593332</v>
      </c>
      <c r="DR100" s="13">
        <f t="shared" si="58"/>
        <v>117.74829681334377</v>
      </c>
      <c r="DS100" s="13">
        <f t="shared" si="58"/>
        <v>112.18112268768836</v>
      </c>
      <c r="DT100" s="13">
        <f t="shared" si="51"/>
        <v>106.82458968751585</v>
      </c>
      <c r="DU100" s="13">
        <f t="shared" si="49"/>
        <v>101.7180189981503</v>
      </c>
      <c r="DV100" s="13">
        <f t="shared" si="49"/>
        <v>96.889785284723033</v>
      </c>
      <c r="DW100" s="13">
        <f t="shared" si="49"/>
        <v>92.357949354434879</v>
      </c>
      <c r="DX100" s="13">
        <f t="shared" ref="DX100:EH104" si="62">(DX101*$B$22-BH100)/($B$21-$B$22*CP101)</f>
        <v>88.130998874402096</v>
      </c>
      <c r="DY100" s="13">
        <f t="shared" si="62"/>
        <v>84.208648721598763</v>
      </c>
      <c r="DZ100" s="13">
        <f t="shared" si="62"/>
        <v>80.582669324245714</v>
      </c>
      <c r="EA100" s="13">
        <f t="shared" si="62"/>
        <v>77.237723145099608</v>
      </c>
      <c r="EB100" s="13">
        <f t="shared" si="62"/>
        <v>74.152197553339406</v>
      </c>
      <c r="EC100" s="13">
        <f t="shared" si="62"/>
        <v>71.299027766848326</v>
      </c>
      <c r="ED100" s="13">
        <f t="shared" si="62"/>
        <v>68.646507111635259</v>
      </c>
      <c r="EE100" s="13">
        <f t="shared" si="62"/>
        <v>66.159084126252893</v>
      </c>
      <c r="EF100" s="13">
        <f t="shared" si="62"/>
        <v>63.798147459474663</v>
      </c>
      <c r="EG100" s="13">
        <f t="shared" si="62"/>
        <v>61.522800367117071</v>
      </c>
      <c r="EH100" s="13">
        <f t="shared" si="62"/>
        <v>59.290627113349856</v>
      </c>
    </row>
    <row r="101" spans="5:138" x14ac:dyDescent="0.25">
      <c r="E101" s="49"/>
      <c r="F101" s="26">
        <v>0.01</v>
      </c>
      <c r="G101" s="13">
        <f t="shared" si="40"/>
        <v>300</v>
      </c>
      <c r="H101" s="13">
        <f t="shared" si="53"/>
        <v>297.29748716911979</v>
      </c>
      <c r="I101" s="13">
        <f t="shared" si="53"/>
        <v>294.09620234510191</v>
      </c>
      <c r="J101" s="13">
        <f t="shared" si="53"/>
        <v>290.11505347146033</v>
      </c>
      <c r="K101" s="13">
        <f t="shared" si="53"/>
        <v>285.18749719080165</v>
      </c>
      <c r="L101" s="13">
        <f t="shared" si="53"/>
        <v>279.25844315598658</v>
      </c>
      <c r="M101" s="13">
        <f t="shared" si="53"/>
        <v>272.3602237502771</v>
      </c>
      <c r="N101" s="13">
        <f t="shared" si="53"/>
        <v>264.58790242767708</v>
      </c>
      <c r="O101" s="13">
        <f t="shared" si="53"/>
        <v>256.0771378794546</v>
      </c>
      <c r="P101" s="13">
        <f t="shared" si="53"/>
        <v>246.98592153635173</v>
      </c>
      <c r="Q101" s="13">
        <f t="shared" si="54"/>
        <v>237.48040303078466</v>
      </c>
      <c r="R101" s="13">
        <f t="shared" si="54"/>
        <v>227.7244494578369</v>
      </c>
      <c r="S101" s="13">
        <f t="shared" si="54"/>
        <v>217.87234680561784</v>
      </c>
      <c r="T101" s="13">
        <f t="shared" si="54"/>
        <v>208.06400386574774</v>
      </c>
      <c r="U101" s="13">
        <f t="shared" si="54"/>
        <v>198.42206800303603</v>
      </c>
      <c r="V101" s="13">
        <f t="shared" si="54"/>
        <v>189.05045224291547</v>
      </c>
      <c r="W101" s="13">
        <f t="shared" si="54"/>
        <v>180.03387254356619</v>
      </c>
      <c r="X101" s="13">
        <f t="shared" si="54"/>
        <v>171.43808669854388</v>
      </c>
      <c r="Y101" s="13">
        <f t="shared" si="54"/>
        <v>163.31060519878332</v>
      </c>
      <c r="Z101" s="13">
        <f t="shared" si="54"/>
        <v>155.68170789634163</v>
      </c>
      <c r="AA101" s="13">
        <f t="shared" si="54"/>
        <v>148.56564941829708</v>
      </c>
      <c r="AB101" s="13">
        <f t="shared" si="54"/>
        <v>141.96197306499511</v>
      </c>
      <c r="AC101" s="13">
        <f t="shared" si="54"/>
        <v>135.85687976733448</v>
      </c>
      <c r="AD101" s="13">
        <f t="shared" si="54"/>
        <v>130.22461781237135</v>
      </c>
      <c r="AE101" s="13">
        <f t="shared" si="54"/>
        <v>125.02887239737318</v>
      </c>
      <c r="AF101" s="13">
        <f t="shared" si="54"/>
        <v>120.22414319618582</v>
      </c>
      <c r="AG101" s="13">
        <f t="shared" si="54"/>
        <v>115.75710422819158</v>
      </c>
      <c r="AH101" s="13">
        <f t="shared" si="54"/>
        <v>111.567944319967</v>
      </c>
      <c r="AI101" s="13">
        <f t="shared" si="54"/>
        <v>107.59168901035268</v>
      </c>
      <c r="AJ101" s="13">
        <f t="shared" si="54"/>
        <v>103.75950634808865</v>
      </c>
      <c r="AK101" s="13">
        <f t="shared" si="42"/>
        <v>100</v>
      </c>
      <c r="AL101" s="47"/>
      <c r="AM101" s="26">
        <v>0.01</v>
      </c>
      <c r="AN101" s="13">
        <f t="shared" si="59"/>
        <v>-1076400000</v>
      </c>
      <c r="AO101" s="13">
        <f t="shared" si="59"/>
        <v>-1064750896.195809</v>
      </c>
      <c r="AP101" s="13">
        <f t="shared" si="59"/>
        <v>-1051740774.8450638</v>
      </c>
      <c r="AQ101" s="13">
        <f t="shared" si="59"/>
        <v>-1036376111.0432922</v>
      </c>
      <c r="AR101" s="13">
        <f t="shared" si="59"/>
        <v>-1018040018.2072009</v>
      </c>
      <c r="AS101" s="13">
        <f t="shared" si="59"/>
        <v>-996471725.64841521</v>
      </c>
      <c r="AT101" s="13">
        <f t="shared" si="59"/>
        <v>-971708281.56334531</v>
      </c>
      <c r="AU101" s="13">
        <f t="shared" si="56"/>
        <v>-944012731.6408385</v>
      </c>
      <c r="AV101" s="13">
        <f t="shared" si="56"/>
        <v>-913803354.43579578</v>
      </c>
      <c r="AW101" s="13">
        <f t="shared" si="56"/>
        <v>-881591497.52654505</v>
      </c>
      <c r="AX101" s="13">
        <f t="shared" si="56"/>
        <v>-847930961.89050078</v>
      </c>
      <c r="AY101" s="13">
        <f t="shared" si="56"/>
        <v>-813379171.91466033</v>
      </c>
      <c r="AZ101" s="13">
        <f t="shared" si="56"/>
        <v>-778468965.21931863</v>
      </c>
      <c r="BA101" s="13">
        <f t="shared" si="56"/>
        <v>-743689262.50945091</v>
      </c>
      <c r="BB101" s="13">
        <f t="shared" si="56"/>
        <v>-709472785.18611038</v>
      </c>
      <c r="BC101" s="13">
        <f t="shared" si="56"/>
        <v>-676189144.89815903</v>
      </c>
      <c r="BD101" s="13">
        <f t="shared" si="56"/>
        <v>-644141890.23099196</v>
      </c>
      <c r="BE101" s="13">
        <f t="shared" si="56"/>
        <v>-613568378.54241204</v>
      </c>
      <c r="BF101" s="13">
        <f t="shared" si="56"/>
        <v>-584641602.89237261</v>
      </c>
      <c r="BG101" s="13">
        <f t="shared" si="56"/>
        <v>-557473326.86062467</v>
      </c>
      <c r="BH101" s="13">
        <f t="shared" si="56"/>
        <v>-532118059.47321224</v>
      </c>
      <c r="BI101" s="13">
        <f t="shared" si="56"/>
        <v>-508577541.27014118</v>
      </c>
      <c r="BJ101" s="13">
        <f t="shared" si="56"/>
        <v>-486805516.62570739</v>
      </c>
      <c r="BK101" s="13">
        <f t="shared" si="60"/>
        <v>-466712643.45838201</v>
      </c>
      <c r="BL101" s="13">
        <f t="shared" si="60"/>
        <v>-448171445.74121201</v>
      </c>
      <c r="BM101" s="13">
        <f t="shared" si="60"/>
        <v>-431021252.1627475</v>
      </c>
      <c r="BN101" s="13">
        <f t="shared" si="60"/>
        <v>-415073090.28249127</v>
      </c>
      <c r="BO101" s="13">
        <f t="shared" si="60"/>
        <v>-400114522.98612559</v>
      </c>
      <c r="BP101" s="13">
        <f t="shared" si="60"/>
        <v>-385914425.54080194</v>
      </c>
      <c r="BQ101" s="13">
        <f t="shared" si="60"/>
        <v>-372227708.95554799</v>
      </c>
      <c r="BR101" s="13">
        <f t="shared" si="60"/>
        <v>-358800000</v>
      </c>
      <c r="BT101" s="47"/>
      <c r="BU101" s="26">
        <v>0.01</v>
      </c>
      <c r="BV101" s="13">
        <f t="shared" si="57"/>
        <v>0.41022990753415084</v>
      </c>
      <c r="BW101" s="13">
        <f t="shared" si="57"/>
        <v>0.41022990753415084</v>
      </c>
      <c r="BX101" s="13">
        <f t="shared" si="57"/>
        <v>0.41022990753415084</v>
      </c>
      <c r="BY101" s="13">
        <f t="shared" si="57"/>
        <v>0.41022990753415084</v>
      </c>
      <c r="BZ101" s="13">
        <f t="shared" si="57"/>
        <v>0.41022990753415084</v>
      </c>
      <c r="CA101" s="13">
        <f t="shared" si="57"/>
        <v>0.41022990753415084</v>
      </c>
      <c r="CB101" s="13">
        <f t="shared" si="57"/>
        <v>0.41022990753415084</v>
      </c>
      <c r="CC101" s="13">
        <f t="shared" si="57"/>
        <v>0.41022990753415084</v>
      </c>
      <c r="CD101" s="13">
        <f t="shared" si="57"/>
        <v>0.41022990753415084</v>
      </c>
      <c r="CE101" s="13">
        <f t="shared" si="57"/>
        <v>0.41022990753415084</v>
      </c>
      <c r="CF101" s="13">
        <f t="shared" si="57"/>
        <v>0.41022990753415084</v>
      </c>
      <c r="CG101" s="13">
        <f t="shared" si="57"/>
        <v>0.41022990753415084</v>
      </c>
      <c r="CH101" s="13">
        <f t="shared" si="57"/>
        <v>0.41022990753415084</v>
      </c>
      <c r="CI101" s="13">
        <f t="shared" si="57"/>
        <v>0.41022990753415084</v>
      </c>
      <c r="CJ101" s="13">
        <f t="shared" si="57"/>
        <v>0.41022990753415084</v>
      </c>
      <c r="CK101" s="13">
        <f t="shared" si="55"/>
        <v>0.41022990753415084</v>
      </c>
      <c r="CL101" s="13">
        <f t="shared" si="50"/>
        <v>0.41022990753415084</v>
      </c>
      <c r="CM101" s="13">
        <f t="shared" si="50"/>
        <v>0.41022990753415084</v>
      </c>
      <c r="CN101" s="13">
        <f t="shared" si="50"/>
        <v>0.41022990753415084</v>
      </c>
      <c r="CO101" s="13">
        <f t="shared" si="50"/>
        <v>0.41022990753415084</v>
      </c>
      <c r="CP101" s="13">
        <f t="shared" si="50"/>
        <v>0.41022990753415084</v>
      </c>
      <c r="CQ101" s="13">
        <f t="shared" si="50"/>
        <v>0.41022990753415084</v>
      </c>
      <c r="CR101" s="13">
        <f t="shared" si="50"/>
        <v>0.41022990753415084</v>
      </c>
      <c r="CS101" s="13">
        <f t="shared" si="50"/>
        <v>0.41022990753415084</v>
      </c>
      <c r="CT101" s="13">
        <f t="shared" si="50"/>
        <v>0.41022990753415084</v>
      </c>
      <c r="CU101" s="13">
        <f t="shared" si="48"/>
        <v>0.41022990753415084</v>
      </c>
      <c r="CV101" s="13">
        <f t="shared" si="48"/>
        <v>0.41022990753415084</v>
      </c>
      <c r="CW101" s="13">
        <f t="shared" si="48"/>
        <v>0.41022990753415084</v>
      </c>
      <c r="CX101" s="13">
        <f t="shared" si="48"/>
        <v>0.41022990753415084</v>
      </c>
      <c r="CY101" s="13">
        <f t="shared" si="48"/>
        <v>0.41022990753415084</v>
      </c>
      <c r="CZ101" s="13">
        <f t="shared" si="48"/>
        <v>0.41022990753415084</v>
      </c>
      <c r="DB101" s="47"/>
      <c r="DC101" s="26">
        <v>0.01</v>
      </c>
      <c r="DD101" s="13">
        <f t="shared" si="61"/>
        <v>176.93102773975474</v>
      </c>
      <c r="DE101" s="13">
        <f t="shared" si="61"/>
        <v>174.83511883567334</v>
      </c>
      <c r="DF101" s="13">
        <f t="shared" si="61"/>
        <v>172.53660549518924</v>
      </c>
      <c r="DG101" s="13">
        <f t="shared" si="61"/>
        <v>169.88358500315522</v>
      </c>
      <c r="DH101" s="13">
        <f t="shared" si="61"/>
        <v>166.77893766659199</v>
      </c>
      <c r="DI101" s="13">
        <f t="shared" si="61"/>
        <v>163.1788109429483</v>
      </c>
      <c r="DJ101" s="13">
        <f t="shared" si="61"/>
        <v>159.0850346021015</v>
      </c>
      <c r="DK101" s="13">
        <f t="shared" si="58"/>
        <v>154.53499425611088</v>
      </c>
      <c r="DL101" s="13">
        <f t="shared" si="58"/>
        <v>149.59121442170706</v>
      </c>
      <c r="DM101" s="13">
        <f t="shared" si="58"/>
        <v>144.33191019239354</v>
      </c>
      <c r="DN101" s="13">
        <f t="shared" si="58"/>
        <v>138.84307997313132</v>
      </c>
      <c r="DO101" s="13">
        <f t="shared" si="58"/>
        <v>133.21228116594432</v>
      </c>
      <c r="DP101" s="13">
        <f t="shared" si="58"/>
        <v>127.52398887213856</v>
      </c>
      <c r="DQ101" s="13">
        <f t="shared" si="58"/>
        <v>121.85632278132564</v>
      </c>
      <c r="DR101" s="13">
        <f t="shared" si="58"/>
        <v>116.27889105890301</v>
      </c>
      <c r="DS101" s="13">
        <f t="shared" si="58"/>
        <v>110.85150786106216</v>
      </c>
      <c r="DT101" s="13">
        <f t="shared" si="51"/>
        <v>105.62357048452802</v>
      </c>
      <c r="DU101" s="13">
        <f t="shared" si="51"/>
        <v>100.63391925205889</v>
      </c>
      <c r="DV101" s="13">
        <f t="shared" si="51"/>
        <v>95.911040255810619</v>
      </c>
      <c r="DW101" s="13">
        <f t="shared" si="51"/>
        <v>91.473504160685593</v>
      </c>
      <c r="DX101" s="13">
        <f t="shared" si="62"/>
        <v>87.330561920043451</v>
      </c>
      <c r="DY101" s="13">
        <f t="shared" si="62"/>
        <v>83.482840326375069</v>
      </c>
      <c r="DZ101" s="13">
        <f t="shared" si="62"/>
        <v>79.923097332854184</v>
      </c>
      <c r="EA101" s="13">
        <f t="shared" si="62"/>
        <v>76.63700983355335</v>
      </c>
      <c r="EB101" s="13">
        <f t="shared" si="62"/>
        <v>73.603975922720039</v>
      </c>
      <c r="EC101" s="13">
        <f t="shared" si="62"/>
        <v>70.797920340907922</v>
      </c>
      <c r="ED101" s="13">
        <f t="shared" si="62"/>
        <v>68.188096515549503</v>
      </c>
      <c r="EE101" s="13">
        <f t="shared" si="62"/>
        <v>65.739881845964746</v>
      </c>
      <c r="EF101" s="13">
        <f t="shared" si="62"/>
        <v>63.415565078946841</v>
      </c>
      <c r="EG101" s="13">
        <f t="shared" si="62"/>
        <v>61.175126079500963</v>
      </c>
      <c r="EH101" s="13">
        <f t="shared" si="62"/>
        <v>58.977009246584913</v>
      </c>
    </row>
    <row r="102" spans="5:138" x14ac:dyDescent="0.25">
      <c r="E102" s="49"/>
      <c r="F102" s="26">
        <v>6.6666666666666671E-3</v>
      </c>
      <c r="G102" s="13">
        <f t="shared" si="40"/>
        <v>300</v>
      </c>
      <c r="H102" s="13">
        <f t="shared" si="53"/>
        <v>296.54528233657868</v>
      </c>
      <c r="I102" s="13">
        <f t="shared" si="53"/>
        <v>292.71145488393006</v>
      </c>
      <c r="J102" s="13">
        <f t="shared" si="53"/>
        <v>288.24762163787005</v>
      </c>
      <c r="K102" s="13">
        <f t="shared" si="53"/>
        <v>282.99459584269425</v>
      </c>
      <c r="L102" s="13">
        <f t="shared" si="53"/>
        <v>276.88483384392384</v>
      </c>
      <c r="M102" s="13">
        <f t="shared" si="53"/>
        <v>269.92771804371529</v>
      </c>
      <c r="N102" s="13">
        <f t="shared" si="53"/>
        <v>262.19162724840004</v>
      </c>
      <c r="O102" s="13">
        <f t="shared" si="53"/>
        <v>253.78614017177478</v>
      </c>
      <c r="P102" s="13">
        <f t="shared" si="53"/>
        <v>244.84618428947101</v>
      </c>
      <c r="Q102" s="13">
        <f t="shared" si="54"/>
        <v>235.51890562375738</v>
      </c>
      <c r="R102" s="13">
        <f t="shared" si="54"/>
        <v>225.95339604853899</v>
      </c>
      <c r="S102" s="13">
        <f t="shared" si="54"/>
        <v>216.29306229390531</v>
      </c>
      <c r="T102" s="13">
        <f t="shared" si="54"/>
        <v>206.67025877422716</v>
      </c>
      <c r="U102" s="13">
        <f t="shared" si="54"/>
        <v>197.20276112356814</v>
      </c>
      <c r="V102" s="13">
        <f t="shared" si="54"/>
        <v>187.99167723393134</v>
      </c>
      <c r="W102" s="13">
        <f t="shared" si="54"/>
        <v>179.12044380536554</v>
      </c>
      <c r="X102" s="13">
        <f t="shared" si="54"/>
        <v>170.65461824374904</v>
      </c>
      <c r="Y102" s="13">
        <f t="shared" si="54"/>
        <v>162.64223655862318</v>
      </c>
      <c r="Z102" s="13">
        <f t="shared" si="54"/>
        <v>155.11456197121788</v>
      </c>
      <c r="AA102" s="13">
        <f t="shared" si="54"/>
        <v>148.08709407177679</v>
      </c>
      <c r="AB102" s="13">
        <f t="shared" si="54"/>
        <v>141.56074441705817</v>
      </c>
      <c r="AC102" s="13">
        <f t="shared" si="54"/>
        <v>135.52311230644196</v>
      </c>
      <c r="AD102" s="13">
        <f t="shared" si="54"/>
        <v>129.94981540505864</v>
      </c>
      <c r="AE102" s="13">
        <f t="shared" si="54"/>
        <v>124.80584525002197</v>
      </c>
      <c r="AF102" s="13">
        <f t="shared" si="54"/>
        <v>120.04692872757838</v>
      </c>
      <c r="AG102" s="13">
        <f t="shared" si="54"/>
        <v>115.62088440643542</v>
      </c>
      <c r="AH102" s="13">
        <f t="shared" si="54"/>
        <v>111.46896801468066</v>
      </c>
      <c r="AI102" s="13">
        <f t="shared" si="54"/>
        <v>107.52720502310075</v>
      </c>
      <c r="AJ102" s="13">
        <f t="shared" si="54"/>
        <v>103.72771075002944</v>
      </c>
      <c r="AK102" s="13">
        <f t="shared" si="42"/>
        <v>100</v>
      </c>
      <c r="AL102" s="47"/>
      <c r="AM102" s="26">
        <v>6.6666666666666671E-3</v>
      </c>
      <c r="AN102" s="13">
        <f t="shared" si="59"/>
        <v>-1076400000</v>
      </c>
      <c r="AO102" s="13">
        <f t="shared" si="59"/>
        <v>-1062374676.4212412</v>
      </c>
      <c r="AP102" s="13">
        <f t="shared" si="59"/>
        <v>-1047267758.7006879</v>
      </c>
      <c r="AQ102" s="13">
        <f t="shared" si="59"/>
        <v>-1030235213.7001313</v>
      </c>
      <c r="AR102" s="13">
        <f t="shared" si="59"/>
        <v>-1010715379.8024899</v>
      </c>
      <c r="AS102" s="13">
        <f t="shared" si="59"/>
        <v>-988433432.89130557</v>
      </c>
      <c r="AT102" s="13">
        <f t="shared" si="59"/>
        <v>-963369637.22498059</v>
      </c>
      <c r="AU102" s="13">
        <f t="shared" si="56"/>
        <v>-935709679.09641159</v>
      </c>
      <c r="AV102" s="13">
        <f t="shared" si="56"/>
        <v>-905789838.29695857</v>
      </c>
      <c r="AW102" s="13">
        <f t="shared" si="56"/>
        <v>-874044859.04769671</v>
      </c>
      <c r="AX102" s="13">
        <f t="shared" si="56"/>
        <v>-840962666.27008367</v>
      </c>
      <c r="AY102" s="13">
        <f t="shared" si="56"/>
        <v>-807047538.14313519</v>
      </c>
      <c r="AZ102" s="13">
        <f t="shared" si="56"/>
        <v>-772791782.10314691</v>
      </c>
      <c r="BA102" s="13">
        <f t="shared" si="56"/>
        <v>-738655109.55746937</v>
      </c>
      <c r="BB102" s="13">
        <f t="shared" si="56"/>
        <v>-705050530.42928565</v>
      </c>
      <c r="BC102" s="13">
        <f t="shared" si="56"/>
        <v>-672335508.81949258</v>
      </c>
      <c r="BD102" s="13">
        <f t="shared" si="56"/>
        <v>-640807204.62142444</v>
      </c>
      <c r="BE102" s="13">
        <f t="shared" si="56"/>
        <v>-610700786.14520144</v>
      </c>
      <c r="BF102" s="13">
        <f t="shared" si="56"/>
        <v>-582189982.40666282</v>
      </c>
      <c r="BG102" s="13">
        <f t="shared" si="56"/>
        <v>-555389220.78508317</v>
      </c>
      <c r="BH102" s="13">
        <f t="shared" si="56"/>
        <v>-530356851.6348539</v>
      </c>
      <c r="BI102" s="13">
        <f t="shared" si="56"/>
        <v>-507099090.91459382</v>
      </c>
      <c r="BJ102" s="13">
        <f t="shared" si="56"/>
        <v>-485574415.04988676</v>
      </c>
      <c r="BK102" s="13">
        <f t="shared" si="60"/>
        <v>-465698221.8171345</v>
      </c>
      <c r="BL102" s="13">
        <f t="shared" si="60"/>
        <v>-447347630.8184945</v>
      </c>
      <c r="BM102" s="13">
        <f t="shared" si="60"/>
        <v>-430366341.03050244</v>
      </c>
      <c r="BN102" s="13">
        <f t="shared" si="60"/>
        <v>-414569494.52363646</v>
      </c>
      <c r="BO102" s="13">
        <f t="shared" si="60"/>
        <v>-399748517.79207128</v>
      </c>
      <c r="BP102" s="13">
        <f t="shared" si="60"/>
        <v>-385675927.63817257</v>
      </c>
      <c r="BQ102" s="13">
        <f t="shared" si="60"/>
        <v>-372110099.11001194</v>
      </c>
      <c r="BR102" s="13">
        <f t="shared" si="60"/>
        <v>-358800000</v>
      </c>
      <c r="BT102" s="47"/>
      <c r="BU102" s="26">
        <v>6.6666666666666671E-3</v>
      </c>
      <c r="BV102" s="13">
        <f t="shared" si="57"/>
        <v>0.42900919305413682</v>
      </c>
      <c r="BW102" s="13">
        <f t="shared" si="57"/>
        <v>0.42900919305413682</v>
      </c>
      <c r="BX102" s="13">
        <f t="shared" si="57"/>
        <v>0.42900919305413682</v>
      </c>
      <c r="BY102" s="13">
        <f t="shared" si="57"/>
        <v>0.42900919305413682</v>
      </c>
      <c r="BZ102" s="13">
        <f t="shared" si="57"/>
        <v>0.42900919305413682</v>
      </c>
      <c r="CA102" s="13">
        <f t="shared" si="57"/>
        <v>0.42900919305413682</v>
      </c>
      <c r="CB102" s="13">
        <f t="shared" si="57"/>
        <v>0.42900919305413682</v>
      </c>
      <c r="CC102" s="13">
        <f t="shared" si="57"/>
        <v>0.42900919305413682</v>
      </c>
      <c r="CD102" s="13">
        <f t="shared" si="57"/>
        <v>0.42900919305413682</v>
      </c>
      <c r="CE102" s="13">
        <f t="shared" si="57"/>
        <v>0.42900919305413682</v>
      </c>
      <c r="CF102" s="13">
        <f t="shared" si="57"/>
        <v>0.42900919305413682</v>
      </c>
      <c r="CG102" s="13">
        <f t="shared" si="57"/>
        <v>0.42900919305413682</v>
      </c>
      <c r="CH102" s="13">
        <f t="shared" si="57"/>
        <v>0.42900919305413682</v>
      </c>
      <c r="CI102" s="13">
        <f t="shared" si="57"/>
        <v>0.42900919305413682</v>
      </c>
      <c r="CJ102" s="13">
        <f t="shared" si="57"/>
        <v>0.42900919305413682</v>
      </c>
      <c r="CK102" s="13">
        <f t="shared" si="55"/>
        <v>0.42900919305413682</v>
      </c>
      <c r="CL102" s="13">
        <f t="shared" si="50"/>
        <v>0.42900919305413682</v>
      </c>
      <c r="CM102" s="13">
        <f t="shared" si="50"/>
        <v>0.42900919305413682</v>
      </c>
      <c r="CN102" s="13">
        <f t="shared" si="50"/>
        <v>0.42900919305413682</v>
      </c>
      <c r="CO102" s="13">
        <f t="shared" si="50"/>
        <v>0.42900919305413682</v>
      </c>
      <c r="CP102" s="13">
        <f t="shared" si="50"/>
        <v>0.42900919305413682</v>
      </c>
      <c r="CQ102" s="13">
        <f t="shared" si="50"/>
        <v>0.42900919305413682</v>
      </c>
      <c r="CR102" s="13">
        <f t="shared" si="50"/>
        <v>0.42900919305413682</v>
      </c>
      <c r="CS102" s="13">
        <f t="shared" si="50"/>
        <v>0.42900919305413682</v>
      </c>
      <c r="CT102" s="13">
        <f t="shared" si="50"/>
        <v>0.42900919305413682</v>
      </c>
      <c r="CU102" s="13">
        <f t="shared" si="48"/>
        <v>0.42900919305413682</v>
      </c>
      <c r="CV102" s="13">
        <f t="shared" si="48"/>
        <v>0.42900919305413682</v>
      </c>
      <c r="CW102" s="13">
        <f t="shared" si="48"/>
        <v>0.42900919305413682</v>
      </c>
      <c r="CX102" s="13">
        <f t="shared" si="48"/>
        <v>0.42900919305413682</v>
      </c>
      <c r="CY102" s="13">
        <f t="shared" si="48"/>
        <v>0.42900919305413682</v>
      </c>
      <c r="CZ102" s="13">
        <f t="shared" si="48"/>
        <v>0.42900919305413682</v>
      </c>
      <c r="DB102" s="47"/>
      <c r="DC102" s="26">
        <v>6.6666666666666671E-3</v>
      </c>
      <c r="DD102" s="13">
        <f t="shared" si="61"/>
        <v>171.29724208375893</v>
      </c>
      <c r="DE102" s="13">
        <f t="shared" si="61"/>
        <v>169.00192726913204</v>
      </c>
      <c r="DF102" s="13">
        <f t="shared" si="61"/>
        <v>166.54148043557174</v>
      </c>
      <c r="DG102" s="13">
        <f t="shared" si="61"/>
        <v>163.7855966552211</v>
      </c>
      <c r="DH102" s="13">
        <f t="shared" si="61"/>
        <v>160.64653780373951</v>
      </c>
      <c r="DI102" s="13">
        <f t="shared" si="61"/>
        <v>157.08039449201948</v>
      </c>
      <c r="DJ102" s="13">
        <f t="shared" si="61"/>
        <v>153.08267823256475</v>
      </c>
      <c r="DK102" s="13">
        <f t="shared" si="58"/>
        <v>148.6809847360156</v>
      </c>
      <c r="DL102" s="13">
        <f t="shared" si="58"/>
        <v>143.92669389049701</v>
      </c>
      <c r="DM102" s="13">
        <f t="shared" si="58"/>
        <v>138.88695339542841</v>
      </c>
      <c r="DN102" s="13">
        <f t="shared" si="58"/>
        <v>133.63762955334926</v>
      </c>
      <c r="DO102" s="13">
        <f t="shared" si="58"/>
        <v>128.25751374793484</v>
      </c>
      <c r="DP102" s="13">
        <f t="shared" si="58"/>
        <v>122.82382260201615</v>
      </c>
      <c r="DQ102" s="13">
        <f t="shared" si="58"/>
        <v>117.40888837216993</v>
      </c>
      <c r="DR102" s="13">
        <f t="shared" si="58"/>
        <v>112.07786984545258</v>
      </c>
      <c r="DS102" s="13">
        <f t="shared" si="58"/>
        <v>106.88729527067854</v>
      </c>
      <c r="DT102" s="13">
        <f t="shared" si="51"/>
        <v>101.8842574230389</v>
      </c>
      <c r="DU102" s="13">
        <f t="shared" si="51"/>
        <v>97.106103010461567</v>
      </c>
      <c r="DV102" s="13">
        <f t="shared" si="51"/>
        <v>92.580485605110425</v>
      </c>
      <c r="DW102" s="13">
        <f t="shared" si="51"/>
        <v>88.325678093318515</v>
      </c>
      <c r="DX102" s="13">
        <f t="shared" si="62"/>
        <v>84.351064699269372</v>
      </c>
      <c r="DY102" s="13">
        <f t="shared" si="62"/>
        <v>80.657752908071515</v>
      </c>
      <c r="DZ102" s="13">
        <f t="shared" si="62"/>
        <v>77.239261946604898</v>
      </c>
      <c r="EA102" s="13">
        <f t="shared" si="62"/>
        <v>74.08225720158984</v>
      </c>
      <c r="EB102" s="13">
        <f t="shared" si="62"/>
        <v>71.167309594356269</v>
      </c>
      <c r="EC102" s="13">
        <f t="shared" si="62"/>
        <v>68.4696660693577</v>
      </c>
      <c r="ED102" s="13">
        <f t="shared" si="62"/>
        <v>65.960022531215344</v>
      </c>
      <c r="EE102" s="13">
        <f t="shared" si="62"/>
        <v>63.605294251262748</v>
      </c>
      <c r="EF102" s="13">
        <f t="shared" si="62"/>
        <v>61.369381341437695</v>
      </c>
      <c r="EG102" s="13">
        <f t="shared" si="62"/>
        <v>59.213928659940343</v>
      </c>
      <c r="EH102" s="13">
        <f t="shared" si="62"/>
        <v>57.09908069458632</v>
      </c>
    </row>
    <row r="103" spans="5:138" x14ac:dyDescent="0.25">
      <c r="E103" s="49"/>
      <c r="F103" s="26">
        <v>3.3333333333333335E-3</v>
      </c>
      <c r="G103" s="13">
        <f t="shared" si="40"/>
        <v>300</v>
      </c>
      <c r="H103" s="13">
        <f t="shared" si="53"/>
        <v>296.18674818094667</v>
      </c>
      <c r="I103" s="13">
        <f t="shared" si="53"/>
        <v>292.04674158286775</v>
      </c>
      <c r="J103" s="13">
        <f t="shared" si="53"/>
        <v>287.34570978895283</v>
      </c>
      <c r="K103" s="13">
        <f t="shared" si="53"/>
        <v>281.92952784750889</v>
      </c>
      <c r="L103" s="13">
        <f t="shared" si="53"/>
        <v>275.72604359966135</v>
      </c>
      <c r="M103" s="13">
        <f t="shared" si="53"/>
        <v>268.73458796900604</v>
      </c>
      <c r="N103" s="13">
        <f t="shared" si="53"/>
        <v>261.01126498478669</v>
      </c>
      <c r="O103" s="13">
        <f t="shared" si="53"/>
        <v>252.65331459920827</v>
      </c>
      <c r="P103" s="13">
        <f t="shared" si="53"/>
        <v>243.78452679692003</v>
      </c>
      <c r="Q103" s="13">
        <f t="shared" si="54"/>
        <v>234.54271428145427</v>
      </c>
      <c r="R103" s="13">
        <f t="shared" si="54"/>
        <v>225.0696003394882</v>
      </c>
      <c r="S103" s="13">
        <f t="shared" si="54"/>
        <v>215.50308343615063</v>
      </c>
      <c r="T103" s="13">
        <f>CI103*T102+DQ103</f>
        <v>205.9716293649428</v>
      </c>
      <c r="U103" s="13">
        <f t="shared" si="54"/>
        <v>196.59045339436034</v>
      </c>
      <c r="V103" s="13">
        <f t="shared" si="54"/>
        <v>187.45914113698899</v>
      </c>
      <c r="W103" s="13">
        <f t="shared" si="54"/>
        <v>178.66038408944203</v>
      </c>
      <c r="X103" s="13">
        <f t="shared" si="54"/>
        <v>170.25955174870543</v>
      </c>
      <c r="Y103" s="13">
        <f t="shared" si="54"/>
        <v>162.30487332080054</v>
      </c>
      <c r="Z103" s="13">
        <f t="shared" si="54"/>
        <v>154.82805072426964</v>
      </c>
      <c r="AA103" s="13">
        <f t="shared" si="54"/>
        <v>147.84516720223266</v>
      </c>
      <c r="AB103" s="13">
        <f t="shared" si="54"/>
        <v>141.3577911444379</v>
      </c>
      <c r="AC103" s="13">
        <f t="shared" si="54"/>
        <v>135.35420279376851</v>
      </c>
      <c r="AD103" s="13">
        <f t="shared" si="54"/>
        <v>129.81069315625223</v>
      </c>
      <c r="AE103" s="13">
        <f t="shared" si="54"/>
        <v>124.69290069653178</v>
      </c>
      <c r="AF103" s="13">
        <f t="shared" si="54"/>
        <v>119.95716335173634</v>
      </c>
      <c r="AG103" s="13">
        <f t="shared" si="54"/>
        <v>115.55187200657633</v>
      </c>
      <c r="AH103" s="13">
        <f t="shared" si="54"/>
        <v>111.41881766219694</v>
      </c>
      <c r="AI103" s="13">
        <f t="shared" si="54"/>
        <v>107.49452876162486</v>
      </c>
      <c r="AJ103" s="13">
        <f t="shared" si="54"/>
        <v>103.71159801696874</v>
      </c>
      <c r="AK103" s="13">
        <f t="shared" si="42"/>
        <v>100</v>
      </c>
      <c r="AL103" s="47"/>
      <c r="AM103" s="26">
        <v>3.3333333333333335E-3</v>
      </c>
      <c r="AN103" s="13">
        <f t="shared" si="59"/>
        <v>-1076400000</v>
      </c>
      <c r="AO103" s="13">
        <f t="shared" si="59"/>
        <v>-1061233721.0689198</v>
      </c>
      <c r="AP103" s="13">
        <f t="shared" si="59"/>
        <v>-1045111795.7329313</v>
      </c>
      <c r="AQ103" s="13">
        <f t="shared" si="59"/>
        <v>-1027262491.6682452</v>
      </c>
      <c r="AR103" s="13">
        <f t="shared" si="59"/>
        <v>-1007153764.4167941</v>
      </c>
      <c r="AS103" s="13">
        <f t="shared" si="59"/>
        <v>-984507652.82433832</v>
      </c>
      <c r="AT103" s="13">
        <f t="shared" si="59"/>
        <v>-959280143.12349749</v>
      </c>
      <c r="AU103" s="13">
        <f t="shared" si="56"/>
        <v>-931621718.99405539</v>
      </c>
      <c r="AV103" s="13">
        <f t="shared" si="56"/>
        <v>-901830194.91153395</v>
      </c>
      <c r="AW103" s="13">
        <f t="shared" si="56"/>
        <v>-870303620.12818813</v>
      </c>
      <c r="AX103" s="13">
        <f t="shared" si="56"/>
        <v>-837497826.6847229</v>
      </c>
      <c r="AY103" s="13">
        <f t="shared" si="56"/>
        <v>-803890811.78261316</v>
      </c>
      <c r="AZ103" s="13">
        <f t="shared" si="56"/>
        <v>-769954550.8978039</v>
      </c>
      <c r="BA103" s="13">
        <f t="shared" si="56"/>
        <v>-736133880.40697742</v>
      </c>
      <c r="BB103" s="13">
        <f t="shared" si="56"/>
        <v>-702831592.78004444</v>
      </c>
      <c r="BC103" s="13">
        <f t="shared" si="56"/>
        <v>-670398698.95817518</v>
      </c>
      <c r="BD103" s="13">
        <f t="shared" si="56"/>
        <v>-639128810.88899457</v>
      </c>
      <c r="BE103" s="13">
        <f t="shared" si="56"/>
        <v>-609255696.38487446</v>
      </c>
      <c r="BF103" s="13">
        <f t="shared" si="56"/>
        <v>-580953201.67044652</v>
      </c>
      <c r="BG103" s="13">
        <f t="shared" si="56"/>
        <v>-554336889.43631375</v>
      </c>
      <c r="BH103" s="13">
        <f t="shared" si="56"/>
        <v>-529466882.68169802</v>
      </c>
      <c r="BI103" s="13">
        <f t="shared" si="56"/>
        <v>-506351528.07759511</v>
      </c>
      <c r="BJ103" s="13">
        <f t="shared" si="56"/>
        <v>-484951594.24157327</v>
      </c>
      <c r="BK103" s="13">
        <f t="shared" si="60"/>
        <v>-465184800.93457437</v>
      </c>
      <c r="BL103" s="13">
        <f t="shared" si="60"/>
        <v>-446930537.24770647</v>
      </c>
      <c r="BM103" s="13">
        <f t="shared" si="60"/>
        <v>-430034673.45004398</v>
      </c>
      <c r="BN103" s="13">
        <f t="shared" si="60"/>
        <v>-414314405.42417914</v>
      </c>
      <c r="BO103" s="13">
        <f t="shared" si="60"/>
        <v>-399563095.31268013</v>
      </c>
      <c r="BP103" s="13">
        <f t="shared" si="60"/>
        <v>-385555089.47419977</v>
      </c>
      <c r="BQ103" s="13">
        <f t="shared" si="60"/>
        <v>-372050506.97001243</v>
      </c>
      <c r="BR103" s="13">
        <f t="shared" si="60"/>
        <v>-358800000</v>
      </c>
      <c r="BT103" s="47"/>
      <c r="BU103" s="26">
        <v>3.3333333333333335E-3</v>
      </c>
      <c r="BV103" s="13">
        <f t="shared" si="57"/>
        <v>0.5357142857142857</v>
      </c>
      <c r="BW103" s="13">
        <f t="shared" si="57"/>
        <v>0.5357142857142857</v>
      </c>
      <c r="BX103" s="13">
        <f t="shared" si="57"/>
        <v>0.5357142857142857</v>
      </c>
      <c r="BY103" s="13">
        <f t="shared" si="57"/>
        <v>0.5357142857142857</v>
      </c>
      <c r="BZ103" s="13">
        <f t="shared" si="57"/>
        <v>0.5357142857142857</v>
      </c>
      <c r="CA103" s="13">
        <f t="shared" si="57"/>
        <v>0.5357142857142857</v>
      </c>
      <c r="CB103" s="13">
        <f t="shared" si="57"/>
        <v>0.5357142857142857</v>
      </c>
      <c r="CC103" s="13">
        <f t="shared" si="57"/>
        <v>0.5357142857142857</v>
      </c>
      <c r="CD103" s="13">
        <f t="shared" si="57"/>
        <v>0.5357142857142857</v>
      </c>
      <c r="CE103" s="13">
        <f t="shared" si="57"/>
        <v>0.5357142857142857</v>
      </c>
      <c r="CF103" s="13">
        <f t="shared" si="57"/>
        <v>0.5357142857142857</v>
      </c>
      <c r="CG103" s="13">
        <f t="shared" si="57"/>
        <v>0.5357142857142857</v>
      </c>
      <c r="CH103" s="13">
        <f t="shared" si="57"/>
        <v>0.5357142857142857</v>
      </c>
      <c r="CI103" s="13">
        <f t="shared" si="57"/>
        <v>0.5357142857142857</v>
      </c>
      <c r="CJ103" s="13">
        <f t="shared" si="57"/>
        <v>0.5357142857142857</v>
      </c>
      <c r="CK103" s="13">
        <f t="shared" si="55"/>
        <v>0.5357142857142857</v>
      </c>
      <c r="CL103" s="13">
        <f t="shared" si="50"/>
        <v>0.5357142857142857</v>
      </c>
      <c r="CM103" s="13">
        <f t="shared" si="50"/>
        <v>0.5357142857142857</v>
      </c>
      <c r="CN103" s="13">
        <f t="shared" si="50"/>
        <v>0.5357142857142857</v>
      </c>
      <c r="CO103" s="13">
        <f t="shared" si="50"/>
        <v>0.5357142857142857</v>
      </c>
      <c r="CP103" s="13">
        <f t="shared" si="50"/>
        <v>0.5357142857142857</v>
      </c>
      <c r="CQ103" s="13">
        <f t="shared" si="50"/>
        <v>0.5357142857142857</v>
      </c>
      <c r="CR103" s="13">
        <f t="shared" si="50"/>
        <v>0.5357142857142857</v>
      </c>
      <c r="CS103" s="13">
        <f t="shared" si="50"/>
        <v>0.5357142857142857</v>
      </c>
      <c r="CT103" s="13">
        <f t="shared" si="50"/>
        <v>0.5357142857142857</v>
      </c>
      <c r="CU103" s="13">
        <f t="shared" si="48"/>
        <v>0.5357142857142857</v>
      </c>
      <c r="CV103" s="13">
        <f t="shared" si="48"/>
        <v>0.5357142857142857</v>
      </c>
      <c r="CW103" s="13">
        <f t="shared" si="48"/>
        <v>0.5357142857142857</v>
      </c>
      <c r="CX103" s="13">
        <f t="shared" si="48"/>
        <v>0.5357142857142857</v>
      </c>
      <c r="CY103" s="13">
        <f t="shared" si="48"/>
        <v>0.5357142857142857</v>
      </c>
      <c r="CZ103" s="13">
        <f t="shared" si="48"/>
        <v>0.5357142857142857</v>
      </c>
      <c r="DB103" s="47"/>
      <c r="DC103" s="26">
        <v>3.3333333333333335E-3</v>
      </c>
      <c r="DD103" s="13">
        <f t="shared" si="61"/>
        <v>139.28571428571431</v>
      </c>
      <c r="DE103" s="13">
        <f t="shared" si="61"/>
        <v>137.32320407206521</v>
      </c>
      <c r="DF103" s="13">
        <f t="shared" si="61"/>
        <v>135.23703360933376</v>
      </c>
      <c r="DG103" s="13">
        <f t="shared" si="61"/>
        <v>132.92734105437958</v>
      </c>
      <c r="DH103" s="13">
        <f t="shared" si="61"/>
        <v>130.32528007463694</v>
      </c>
      <c r="DI103" s="13">
        <f t="shared" si="61"/>
        <v>127.39488261184503</v>
      </c>
      <c r="DJ103" s="13">
        <f t="shared" si="61"/>
        <v>124.13045330273002</v>
      </c>
      <c r="DK103" s="13">
        <f t="shared" si="58"/>
        <v>120.55146467314383</v>
      </c>
      <c r="DL103" s="13">
        <f t="shared" si="58"/>
        <v>116.69645379290037</v>
      </c>
      <c r="DM103" s="13">
        <f t="shared" si="58"/>
        <v>112.61692807041773</v>
      </c>
      <c r="DN103" s="13">
        <f t="shared" si="58"/>
        <v>108.37187198301281</v>
      </c>
      <c r="DO103" s="13">
        <f t="shared" si="58"/>
        <v>104.02313817062802</v>
      </c>
      <c r="DP103" s="13">
        <f t="shared" si="58"/>
        <v>99.631800064415629</v>
      </c>
      <c r="DQ103" s="13">
        <f t="shared" si="58"/>
        <v>95.255419307321105</v>
      </c>
      <c r="DR103" s="13">
        <f t="shared" si="58"/>
        <v>90.946117078163113</v>
      </c>
      <c r="DS103" s="13">
        <f t="shared" si="58"/>
        <v>86.749314047382924</v>
      </c>
      <c r="DT103" s="13">
        <f t="shared" si="51"/>
        <v>82.70300347942478</v>
      </c>
      <c r="DU103" s="13">
        <f t="shared" si="51"/>
        <v>78.837434832411304</v>
      </c>
      <c r="DV103" s="13">
        <f t="shared" si="51"/>
        <v>75.175103735823839</v>
      </c>
      <c r="DW103" s="13">
        <f t="shared" si="51"/>
        <v>71.730963953974353</v>
      </c>
      <c r="DX103" s="13">
        <f t="shared" si="62"/>
        <v>68.512795378066528</v>
      </c>
      <c r="DY103" s="13">
        <f t="shared" si="62"/>
        <v>65.521678063871008</v>
      </c>
      <c r="DZ103" s="13">
        <f t="shared" si="62"/>
        <v>62.752535486746034</v>
      </c>
      <c r="EA103" s="13">
        <f t="shared" si="62"/>
        <v>60.194720617827954</v>
      </c>
      <c r="EB103" s="13">
        <f t="shared" si="62"/>
        <v>57.832626455448569</v>
      </c>
      <c r="EC103" s="13">
        <f t="shared" si="62"/>
        <v>55.646308676247934</v>
      </c>
      <c r="ED103" s="13">
        <f t="shared" si="62"/>
        <v>53.612112503128778</v>
      </c>
      <c r="EE103" s="13">
        <f t="shared" si="62"/>
        <v>51.703299082903747</v>
      </c>
      <c r="EF103" s="13">
        <f t="shared" si="62"/>
        <v>49.89066892782089</v>
      </c>
      <c r="EG103" s="13">
        <f t="shared" si="62"/>
        <v>48.14318154373867</v>
      </c>
      <c r="EH103" s="13">
        <f t="shared" si="62"/>
        <v>46.428571428571438</v>
      </c>
    </row>
    <row r="104" spans="5:138" x14ac:dyDescent="0.25">
      <c r="E104" s="49"/>
      <c r="F104" s="26">
        <v>0</v>
      </c>
      <c r="G104" s="13">
        <f t="shared" si="40"/>
        <v>300</v>
      </c>
      <c r="H104" s="13">
        <f t="shared" si="53"/>
        <v>296.18674818094667</v>
      </c>
      <c r="I104" s="13">
        <f t="shared" si="53"/>
        <v>292.04674158286775</v>
      </c>
      <c r="J104" s="13">
        <f t="shared" si="53"/>
        <v>287.34570978895283</v>
      </c>
      <c r="K104" s="13">
        <f t="shared" si="53"/>
        <v>281.92952784750889</v>
      </c>
      <c r="L104" s="13">
        <f t="shared" si="53"/>
        <v>275.72604359966135</v>
      </c>
      <c r="M104" s="13">
        <f t="shared" si="53"/>
        <v>268.73458796900604</v>
      </c>
      <c r="N104" s="13">
        <f t="shared" si="53"/>
        <v>261.01126498478669</v>
      </c>
      <c r="O104" s="13">
        <f t="shared" si="53"/>
        <v>252.65331459920827</v>
      </c>
      <c r="P104" s="13">
        <f t="shared" si="53"/>
        <v>243.78452679692003</v>
      </c>
      <c r="Q104" s="13">
        <f t="shared" si="54"/>
        <v>234.54271428145427</v>
      </c>
      <c r="R104" s="13">
        <f t="shared" si="54"/>
        <v>225.0696003394882</v>
      </c>
      <c r="S104" s="13">
        <f t="shared" si="54"/>
        <v>215.50308343615063</v>
      </c>
      <c r="T104" s="13">
        <f t="shared" si="54"/>
        <v>205.9716293649428</v>
      </c>
      <c r="U104" s="13">
        <f t="shared" si="54"/>
        <v>196.59045339436034</v>
      </c>
      <c r="V104" s="13">
        <f t="shared" si="54"/>
        <v>187.45914113698899</v>
      </c>
      <c r="W104" s="13">
        <f t="shared" si="54"/>
        <v>178.66038408944203</v>
      </c>
      <c r="X104" s="13">
        <f t="shared" si="54"/>
        <v>170.25955174870543</v>
      </c>
      <c r="Y104" s="13">
        <f t="shared" si="54"/>
        <v>162.30487332080054</v>
      </c>
      <c r="Z104" s="13">
        <f t="shared" si="54"/>
        <v>154.82805072426964</v>
      </c>
      <c r="AA104" s="13">
        <f t="shared" si="54"/>
        <v>147.84516720223266</v>
      </c>
      <c r="AB104" s="13">
        <f t="shared" si="54"/>
        <v>141.3577911444379</v>
      </c>
      <c r="AC104" s="13">
        <f t="shared" si="54"/>
        <v>135.35420279376851</v>
      </c>
      <c r="AD104" s="13">
        <f t="shared" si="54"/>
        <v>129.81069315625223</v>
      </c>
      <c r="AE104" s="13">
        <f t="shared" si="54"/>
        <v>124.69290069653178</v>
      </c>
      <c r="AF104" s="13">
        <f t="shared" si="54"/>
        <v>119.95716335173634</v>
      </c>
      <c r="AG104" s="13">
        <f t="shared" si="54"/>
        <v>115.55187200657633</v>
      </c>
      <c r="AH104" s="13">
        <f t="shared" si="54"/>
        <v>111.41881766219694</v>
      </c>
      <c r="AI104" s="13">
        <f t="shared" si="54"/>
        <v>107.49452876162486</v>
      </c>
      <c r="AJ104" s="13">
        <f t="shared" si="54"/>
        <v>103.71159801696874</v>
      </c>
      <c r="AK104" s="13">
        <f t="shared" si="42"/>
        <v>100</v>
      </c>
      <c r="AL104" s="47"/>
      <c r="AM104" s="26">
        <v>0</v>
      </c>
      <c r="AN104" s="13">
        <f t="shared" si="59"/>
        <v>-1076400000</v>
      </c>
      <c r="AO104" s="13">
        <f t="shared" si="59"/>
        <v>-1061233721.0689198</v>
      </c>
      <c r="AP104" s="13">
        <f t="shared" si="59"/>
        <v>-1045111795.7329313</v>
      </c>
      <c r="AQ104" s="13">
        <f t="shared" si="59"/>
        <v>-1027262491.6682452</v>
      </c>
      <c r="AR104" s="13">
        <f t="shared" si="59"/>
        <v>-1007153764.4167941</v>
      </c>
      <c r="AS104" s="13">
        <f t="shared" si="59"/>
        <v>-984507652.82433832</v>
      </c>
      <c r="AT104" s="13">
        <f t="shared" si="59"/>
        <v>-959280143.12349749</v>
      </c>
      <c r="AU104" s="13">
        <f t="shared" si="56"/>
        <v>-931621718.99405539</v>
      </c>
      <c r="AV104" s="13">
        <f t="shared" si="56"/>
        <v>-901830194.91153395</v>
      </c>
      <c r="AW104" s="13">
        <f t="shared" si="56"/>
        <v>-870303620.12818813</v>
      </c>
      <c r="AX104" s="13">
        <f t="shared" si="56"/>
        <v>-837497826.6847229</v>
      </c>
      <c r="AY104" s="13">
        <f t="shared" si="56"/>
        <v>-803890811.78261316</v>
      </c>
      <c r="AZ104" s="13">
        <f t="shared" si="56"/>
        <v>-769954550.8978039</v>
      </c>
      <c r="BA104" s="13">
        <f t="shared" si="56"/>
        <v>-736133880.40697742</v>
      </c>
      <c r="BB104" s="13">
        <f t="shared" si="56"/>
        <v>-702831592.78004444</v>
      </c>
      <c r="BC104" s="13">
        <f t="shared" si="56"/>
        <v>-670398698.95817518</v>
      </c>
      <c r="BD104" s="13">
        <f t="shared" si="56"/>
        <v>-639128810.88899457</v>
      </c>
      <c r="BE104" s="13">
        <f t="shared" si="56"/>
        <v>-609255696.38487446</v>
      </c>
      <c r="BF104" s="13">
        <f t="shared" si="56"/>
        <v>-580953201.67044652</v>
      </c>
      <c r="BG104" s="13">
        <f t="shared" si="56"/>
        <v>-554336889.43631375</v>
      </c>
      <c r="BH104" s="13">
        <f t="shared" si="56"/>
        <v>-529466882.68169802</v>
      </c>
      <c r="BI104" s="13">
        <f t="shared" si="56"/>
        <v>-506351528.07759511</v>
      </c>
      <c r="BJ104" s="13">
        <f t="shared" si="56"/>
        <v>-484951594.24157327</v>
      </c>
      <c r="BK104" s="13">
        <f t="shared" si="60"/>
        <v>-465184800.93457437</v>
      </c>
      <c r="BL104" s="13">
        <f t="shared" si="60"/>
        <v>-446930537.24770647</v>
      </c>
      <c r="BM104" s="13">
        <f t="shared" si="60"/>
        <v>-430034673.45004398</v>
      </c>
      <c r="BN104" s="13">
        <f t="shared" si="60"/>
        <v>-414314405.42417914</v>
      </c>
      <c r="BO104" s="13">
        <f t="shared" si="60"/>
        <v>-399563095.31268013</v>
      </c>
      <c r="BP104" s="13">
        <f t="shared" si="60"/>
        <v>-385555089.47419977</v>
      </c>
      <c r="BQ104" s="13">
        <f t="shared" si="60"/>
        <v>-372050506.97001243</v>
      </c>
      <c r="BR104" s="13">
        <f t="shared" si="60"/>
        <v>-358800000</v>
      </c>
      <c r="BT104" s="47"/>
      <c r="BU104" s="26">
        <v>0</v>
      </c>
      <c r="BV104" s="13">
        <v>1</v>
      </c>
      <c r="BW104" s="13">
        <v>1</v>
      </c>
      <c r="BX104" s="13">
        <v>1</v>
      </c>
      <c r="BY104" s="13">
        <v>1</v>
      </c>
      <c r="BZ104" s="13">
        <v>1</v>
      </c>
      <c r="CA104" s="13">
        <v>1</v>
      </c>
      <c r="CB104" s="13">
        <v>1</v>
      </c>
      <c r="CC104" s="13">
        <v>1</v>
      </c>
      <c r="CD104" s="13">
        <v>1</v>
      </c>
      <c r="CE104" s="13">
        <v>1</v>
      </c>
      <c r="CF104" s="13">
        <v>1</v>
      </c>
      <c r="CG104" s="13">
        <v>1</v>
      </c>
      <c r="CH104" s="13">
        <v>1</v>
      </c>
      <c r="CI104" s="13">
        <v>1</v>
      </c>
      <c r="CJ104" s="13">
        <v>1</v>
      </c>
      <c r="CK104" s="13">
        <v>1</v>
      </c>
      <c r="CL104" s="13">
        <v>1</v>
      </c>
      <c r="CM104" s="13">
        <v>1</v>
      </c>
      <c r="CN104" s="13">
        <v>1</v>
      </c>
      <c r="CO104" s="13">
        <v>1</v>
      </c>
      <c r="CP104" s="13">
        <v>1</v>
      </c>
      <c r="CQ104" s="13">
        <v>1</v>
      </c>
      <c r="CR104" s="13">
        <v>1</v>
      </c>
      <c r="CS104" s="13">
        <v>1</v>
      </c>
      <c r="CT104" s="13">
        <v>1</v>
      </c>
      <c r="CU104" s="13">
        <v>1</v>
      </c>
      <c r="CV104" s="13">
        <v>1</v>
      </c>
      <c r="CW104" s="13">
        <v>1</v>
      </c>
      <c r="CX104" s="13">
        <v>1</v>
      </c>
      <c r="CY104" s="13">
        <v>1</v>
      </c>
      <c r="CZ104" s="13">
        <v>1</v>
      </c>
      <c r="DB104" s="47"/>
      <c r="DC104" s="26">
        <v>0</v>
      </c>
      <c r="DD104" s="13">
        <v>0</v>
      </c>
      <c r="DE104" s="13">
        <v>0</v>
      </c>
      <c r="DF104" s="13">
        <v>0</v>
      </c>
      <c r="DG104" s="13">
        <v>0</v>
      </c>
      <c r="DH104" s="13">
        <v>0</v>
      </c>
      <c r="DI104" s="13">
        <v>0</v>
      </c>
      <c r="DJ104" s="13">
        <v>0</v>
      </c>
      <c r="DK104" s="13">
        <v>0</v>
      </c>
      <c r="DL104" s="13">
        <v>0</v>
      </c>
      <c r="DM104" s="13">
        <v>0</v>
      </c>
      <c r="DN104" s="13">
        <v>0</v>
      </c>
      <c r="DO104" s="13">
        <v>0</v>
      </c>
      <c r="DP104" s="13">
        <v>0</v>
      </c>
      <c r="DQ104" s="13">
        <v>0</v>
      </c>
      <c r="DR104" s="13">
        <v>0</v>
      </c>
      <c r="DS104" s="13">
        <v>0</v>
      </c>
      <c r="DT104" s="13">
        <v>0</v>
      </c>
      <c r="DU104" s="13">
        <v>0</v>
      </c>
      <c r="DV104" s="13">
        <v>0</v>
      </c>
      <c r="DW104" s="13">
        <v>0</v>
      </c>
      <c r="DX104" s="13">
        <v>0</v>
      </c>
      <c r="DY104" s="13">
        <v>0</v>
      </c>
      <c r="DZ104" s="13">
        <v>0</v>
      </c>
      <c r="EA104" s="13">
        <v>0</v>
      </c>
      <c r="EB104" s="13">
        <v>0</v>
      </c>
      <c r="EC104" s="13">
        <v>0</v>
      </c>
      <c r="ED104" s="13">
        <v>0</v>
      </c>
      <c r="EE104" s="13">
        <v>0</v>
      </c>
      <c r="EF104" s="13">
        <v>0</v>
      </c>
      <c r="EG104" s="13">
        <v>0</v>
      </c>
      <c r="EH104" s="13">
        <v>0</v>
      </c>
    </row>
  </sheetData>
  <mergeCells count="15">
    <mergeCell ref="AL38:AL69"/>
    <mergeCell ref="BT38:BT69"/>
    <mergeCell ref="DB38:DB69"/>
    <mergeCell ref="E73:E104"/>
    <mergeCell ref="AL73:AL104"/>
    <mergeCell ref="BT73:BT104"/>
    <mergeCell ref="DB73:DB104"/>
    <mergeCell ref="A1:B2"/>
    <mergeCell ref="A10:B10"/>
    <mergeCell ref="A15:B15"/>
    <mergeCell ref="A19:B19"/>
    <mergeCell ref="A24:B24"/>
    <mergeCell ref="E38:E69"/>
    <mergeCell ref="E2:F2"/>
    <mergeCell ref="E1:F1"/>
  </mergeCells>
  <conditionalFormatting sqref="G3:AK3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fitToWidth="0" fitToHeight="0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Neyacny_2D_0000000">
                <anchor moveWithCells="1">
                  <from>
                    <xdr:col>0</xdr:col>
                    <xdr:colOff>76200</xdr:colOff>
                    <xdr:row>31</xdr:row>
                    <xdr:rowOff>95250</xdr:rowOff>
                  </from>
                  <to>
                    <xdr:col>3</xdr:col>
                    <xdr:colOff>142875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Neyawny_2D">
                <anchor moveWithCells="1">
                  <from>
                    <xdr:col>0</xdr:col>
                    <xdr:colOff>57150</xdr:colOff>
                    <xdr:row>29</xdr:row>
                    <xdr:rowOff>123825</xdr:rowOff>
                  </from>
                  <to>
                    <xdr:col>3</xdr:col>
                    <xdr:colOff>123825</xdr:colOff>
                    <xdr:row>30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EH162"/>
  <sheetViews>
    <sheetView zoomScale="55" zoomScaleNormal="55" workbookViewId="0">
      <selection sqref="A1:EH104"/>
    </sheetView>
  </sheetViews>
  <sheetFormatPr defaultRowHeight="15" x14ac:dyDescent="0.25"/>
  <cols>
    <col min="1" max="1" width="14.28515625" customWidth="1"/>
    <col min="2" max="2" width="13.7109375" customWidth="1"/>
    <col min="5" max="5" width="11.28515625" customWidth="1"/>
    <col min="6" max="6" width="11.85546875" customWidth="1"/>
    <col min="8" max="37" width="10.5703125" bestFit="1" customWidth="1"/>
    <col min="40" max="40" width="11.7109375" bestFit="1" customWidth="1"/>
    <col min="73" max="73" width="10.42578125" customWidth="1"/>
  </cols>
  <sheetData>
    <row r="1" spans="1:39" ht="16.5" customHeight="1" x14ac:dyDescent="0.25">
      <c r="A1" s="42" t="s">
        <v>27</v>
      </c>
      <c r="B1" s="42"/>
      <c r="E1" s="25" t="s">
        <v>38</v>
      </c>
      <c r="F1" s="25"/>
      <c r="G1" s="25">
        <v>1</v>
      </c>
      <c r="H1" s="25">
        <v>2</v>
      </c>
      <c r="I1" s="25">
        <v>3</v>
      </c>
      <c r="J1" s="25">
        <v>4</v>
      </c>
      <c r="K1" s="25">
        <v>5</v>
      </c>
      <c r="L1" s="25">
        <v>6</v>
      </c>
      <c r="M1" s="25">
        <v>7</v>
      </c>
      <c r="N1" s="25">
        <v>8</v>
      </c>
      <c r="O1" s="25">
        <v>9</v>
      </c>
      <c r="P1" s="25">
        <v>10</v>
      </c>
      <c r="Q1" s="25">
        <v>11</v>
      </c>
      <c r="R1" s="25">
        <v>12</v>
      </c>
      <c r="S1" s="25">
        <v>13</v>
      </c>
      <c r="T1" s="25">
        <v>14</v>
      </c>
      <c r="U1" s="25">
        <v>15</v>
      </c>
      <c r="V1" s="25">
        <v>16</v>
      </c>
      <c r="W1" s="25">
        <v>17</v>
      </c>
      <c r="X1" s="25">
        <v>18</v>
      </c>
      <c r="Y1" s="25">
        <v>19</v>
      </c>
      <c r="Z1" s="25">
        <v>20</v>
      </c>
      <c r="AA1" s="25">
        <v>21</v>
      </c>
      <c r="AB1" s="25">
        <v>22</v>
      </c>
      <c r="AC1" s="25">
        <v>23</v>
      </c>
      <c r="AD1" s="25">
        <v>24</v>
      </c>
      <c r="AE1" s="25">
        <v>25</v>
      </c>
      <c r="AF1" s="25">
        <v>26</v>
      </c>
      <c r="AG1" s="25">
        <v>27</v>
      </c>
      <c r="AH1" s="25">
        <v>28</v>
      </c>
      <c r="AI1" s="25">
        <v>29</v>
      </c>
      <c r="AJ1" s="25">
        <v>30</v>
      </c>
      <c r="AK1" s="25">
        <v>31</v>
      </c>
      <c r="AL1" s="24"/>
      <c r="AM1" s="35"/>
    </row>
    <row r="2" spans="1:39" x14ac:dyDescent="0.25">
      <c r="A2" s="42"/>
      <c r="B2" s="42"/>
      <c r="E2" s="25"/>
      <c r="F2" s="25" t="s">
        <v>39</v>
      </c>
      <c r="G2" s="25">
        <v>0</v>
      </c>
      <c r="H2" s="26">
        <f>$B$5*(H1-1)</f>
        <v>3.3333333333333335E-3</v>
      </c>
      <c r="I2" s="26">
        <f t="shared" ref="I2:AK2" si="0">$B$5*(I1-1)</f>
        <v>6.6666666666666671E-3</v>
      </c>
      <c r="J2" s="26">
        <f t="shared" si="0"/>
        <v>0.01</v>
      </c>
      <c r="K2" s="26">
        <f t="shared" si="0"/>
        <v>1.3333333333333334E-2</v>
      </c>
      <c r="L2" s="26">
        <f t="shared" si="0"/>
        <v>1.6666666666666666E-2</v>
      </c>
      <c r="M2" s="26">
        <f t="shared" si="0"/>
        <v>0.02</v>
      </c>
      <c r="N2" s="26">
        <f t="shared" si="0"/>
        <v>2.3333333333333334E-2</v>
      </c>
      <c r="O2" s="26">
        <f t="shared" si="0"/>
        <v>2.6666666666666668E-2</v>
      </c>
      <c r="P2" s="26">
        <f t="shared" si="0"/>
        <v>3.0000000000000002E-2</v>
      </c>
      <c r="Q2" s="26">
        <f t="shared" si="0"/>
        <v>3.3333333333333333E-2</v>
      </c>
      <c r="R2" s="26">
        <f t="shared" si="0"/>
        <v>3.6666666666666667E-2</v>
      </c>
      <c r="S2" s="26">
        <f t="shared" si="0"/>
        <v>0.04</v>
      </c>
      <c r="T2" s="26">
        <f t="shared" si="0"/>
        <v>4.3333333333333335E-2</v>
      </c>
      <c r="U2" s="26">
        <f t="shared" si="0"/>
        <v>4.6666666666666669E-2</v>
      </c>
      <c r="V2" s="26">
        <f t="shared" si="0"/>
        <v>0.05</v>
      </c>
      <c r="W2" s="26">
        <f t="shared" si="0"/>
        <v>5.3333333333333337E-2</v>
      </c>
      <c r="X2" s="26">
        <f t="shared" si="0"/>
        <v>5.6666666666666671E-2</v>
      </c>
      <c r="Y2" s="26">
        <f t="shared" si="0"/>
        <v>6.0000000000000005E-2</v>
      </c>
      <c r="Z2" s="26">
        <f t="shared" si="0"/>
        <v>6.3333333333333339E-2</v>
      </c>
      <c r="AA2" s="26">
        <f t="shared" si="0"/>
        <v>6.6666666666666666E-2</v>
      </c>
      <c r="AB2" s="26">
        <f t="shared" si="0"/>
        <v>7.0000000000000007E-2</v>
      </c>
      <c r="AC2" s="26">
        <f t="shared" si="0"/>
        <v>7.3333333333333334E-2</v>
      </c>
      <c r="AD2" s="26">
        <f t="shared" si="0"/>
        <v>7.6666666666666675E-2</v>
      </c>
      <c r="AE2" s="26">
        <f t="shared" si="0"/>
        <v>0.08</v>
      </c>
      <c r="AF2" s="26">
        <f t="shared" si="0"/>
        <v>8.3333333333333343E-2</v>
      </c>
      <c r="AG2" s="26">
        <f t="shared" si="0"/>
        <v>8.666666666666667E-2</v>
      </c>
      <c r="AH2" s="26">
        <f t="shared" si="0"/>
        <v>9.0000000000000011E-2</v>
      </c>
      <c r="AI2" s="26">
        <f t="shared" si="0"/>
        <v>9.3333333333333338E-2</v>
      </c>
      <c r="AJ2" s="26">
        <f t="shared" si="0"/>
        <v>9.6666666666666679E-2</v>
      </c>
      <c r="AK2" s="26">
        <f t="shared" si="0"/>
        <v>0.1</v>
      </c>
      <c r="AL2" s="24"/>
      <c r="AM2" s="36"/>
    </row>
    <row r="3" spans="1:39" x14ac:dyDescent="0.25">
      <c r="A3" s="16" t="s">
        <v>0</v>
      </c>
      <c r="B3" s="17">
        <v>0.1</v>
      </c>
      <c r="E3" s="25">
        <v>31</v>
      </c>
      <c r="F3" s="26">
        <f t="shared" ref="F3:F31" si="1">$B$6*(E3-1)</f>
        <v>0.1</v>
      </c>
      <c r="G3" s="13">
        <f>$B$16</f>
        <v>300</v>
      </c>
      <c r="H3" s="13">
        <v>326.26948848293875</v>
      </c>
      <c r="I3" s="13">
        <v>337.58715307174924</v>
      </c>
      <c r="J3" s="13">
        <v>345.31409792452439</v>
      </c>
      <c r="K3" s="13">
        <v>349.92522254564682</v>
      </c>
      <c r="L3" s="13">
        <v>351.72928737449007</v>
      </c>
      <c r="M3" s="13">
        <v>351.00174511695832</v>
      </c>
      <c r="N3" s="13">
        <v>348.02636788467316</v>
      </c>
      <c r="O3" s="13">
        <v>343.09774008948898</v>
      </c>
      <c r="P3" s="13">
        <v>336.51048366589589</v>
      </c>
      <c r="Q3" s="13">
        <v>328.54687205176845</v>
      </c>
      <c r="R3" s="13">
        <v>319.46723526927315</v>
      </c>
      <c r="S3" s="13">
        <v>309.5041388537897</v>
      </c>
      <c r="T3" s="13">
        <v>298.8599045773887</v>
      </c>
      <c r="U3" s="13">
        <v>287.70660770915026</v>
      </c>
      <c r="V3" s="13">
        <v>276.18768797443641</v>
      </c>
      <c r="W3" s="13">
        <v>264.42047367300785</v>
      </c>
      <c r="X3" s="13">
        <v>252.49911154673714</v>
      </c>
      <c r="Y3" s="13">
        <v>240.49756589564191</v>
      </c>
      <c r="Z3" s="13">
        <v>228.47248310515391</v>
      </c>
      <c r="AA3" s="13">
        <v>216.46581258316152</v>
      </c>
      <c r="AB3" s="13">
        <v>204.50713860293433</v>
      </c>
      <c r="AC3" s="13">
        <v>192.61571741999501</v>
      </c>
      <c r="AD3" s="13">
        <v>180.80223719869278</v>
      </c>
      <c r="AE3" s="13">
        <v>169.07033024963869</v>
      </c>
      <c r="AF3" s="13">
        <v>157.41787191558726</v>
      </c>
      <c r="AG3" s="13">
        <v>145.83810102009551</v>
      </c>
      <c r="AH3" s="13">
        <v>134.32059505299748</v>
      </c>
      <c r="AI3" s="13">
        <v>122.85213047915784</v>
      </c>
      <c r="AJ3" s="13">
        <v>111.41745552405541</v>
      </c>
      <c r="AK3" s="13">
        <f>$B$17</f>
        <v>100</v>
      </c>
      <c r="AL3" s="26">
        <f>$B$6*(AM3-1)</f>
        <v>0.1</v>
      </c>
      <c r="AM3" s="25">
        <v>31</v>
      </c>
    </row>
    <row r="4" spans="1:39" x14ac:dyDescent="0.25">
      <c r="A4" s="16" t="s">
        <v>28</v>
      </c>
      <c r="B4" s="17">
        <v>0.1</v>
      </c>
      <c r="E4" s="25">
        <v>30</v>
      </c>
      <c r="F4" s="26">
        <f t="shared" si="1"/>
        <v>9.6666666666666679E-2</v>
      </c>
      <c r="G4" s="13">
        <f t="shared" ref="G4:G33" si="2">$B$16</f>
        <v>300</v>
      </c>
      <c r="H4" s="13">
        <v>326.26948848293875</v>
      </c>
      <c r="I4" s="13">
        <v>337.58715307174924</v>
      </c>
      <c r="J4" s="13">
        <v>345.31409792452439</v>
      </c>
      <c r="K4" s="13">
        <v>349.92522254564688</v>
      </c>
      <c r="L4" s="13">
        <v>351.72928737449007</v>
      </c>
      <c r="M4" s="13">
        <v>351.00174511695832</v>
      </c>
      <c r="N4" s="13">
        <v>348.02636788467316</v>
      </c>
      <c r="O4" s="13">
        <v>343.09774008948898</v>
      </c>
      <c r="P4" s="13">
        <v>336.51048366589589</v>
      </c>
      <c r="Q4" s="13">
        <v>328.54687205176845</v>
      </c>
      <c r="R4" s="13">
        <v>319.46723526927315</v>
      </c>
      <c r="S4" s="13">
        <v>309.50413885378975</v>
      </c>
      <c r="T4" s="13">
        <v>298.85990457738876</v>
      </c>
      <c r="U4" s="13">
        <v>287.70660770915026</v>
      </c>
      <c r="V4" s="13">
        <v>276.18768797443641</v>
      </c>
      <c r="W4" s="13">
        <v>264.4204736730079</v>
      </c>
      <c r="X4" s="13">
        <v>252.49911154673714</v>
      </c>
      <c r="Y4" s="13">
        <v>240.49756589564191</v>
      </c>
      <c r="Z4" s="13">
        <v>228.47248310515391</v>
      </c>
      <c r="AA4" s="13">
        <v>216.46581258316155</v>
      </c>
      <c r="AB4" s="13">
        <v>204.50713860293433</v>
      </c>
      <c r="AC4" s="13">
        <v>192.61571741999501</v>
      </c>
      <c r="AD4" s="13">
        <v>180.80223719869281</v>
      </c>
      <c r="AE4" s="13">
        <v>169.07033024963869</v>
      </c>
      <c r="AF4" s="13">
        <v>157.41787191558726</v>
      </c>
      <c r="AG4" s="13">
        <v>145.83810102009551</v>
      </c>
      <c r="AH4" s="13">
        <v>134.32059505299748</v>
      </c>
      <c r="AI4" s="13">
        <v>122.85213047915784</v>
      </c>
      <c r="AJ4" s="13">
        <v>111.41745552405541</v>
      </c>
      <c r="AK4" s="13">
        <f t="shared" ref="AK4:AK33" si="3">$B$17</f>
        <v>100</v>
      </c>
      <c r="AL4" s="26">
        <f t="shared" ref="AL4:AL33" si="4">$B$6*(AM4-1)</f>
        <v>9.6666666666666679E-2</v>
      </c>
      <c r="AM4" s="25">
        <v>30</v>
      </c>
    </row>
    <row r="5" spans="1:39" x14ac:dyDescent="0.25">
      <c r="A5" s="16" t="s">
        <v>1</v>
      </c>
      <c r="B5" s="37">
        <f>B3/30</f>
        <v>3.3333333333333335E-3</v>
      </c>
      <c r="E5" s="25">
        <v>29</v>
      </c>
      <c r="F5" s="26">
        <f t="shared" si="1"/>
        <v>9.3333333333333338E-2</v>
      </c>
      <c r="G5" s="13">
        <f t="shared" si="2"/>
        <v>300</v>
      </c>
      <c r="H5" s="13">
        <v>332.35665861960126</v>
      </c>
      <c r="I5" s="13">
        <v>342.06101935514084</v>
      </c>
      <c r="J5" s="13">
        <v>348.90470084628367</v>
      </c>
      <c r="K5" s="13">
        <v>352.99149589493868</v>
      </c>
      <c r="L5" s="13">
        <v>354.42672329424016</v>
      </c>
      <c r="M5" s="13">
        <v>353.38904575238882</v>
      </c>
      <c r="N5" s="13">
        <v>350.1244630757792</v>
      </c>
      <c r="O5" s="13">
        <v>344.9183931748417</v>
      </c>
      <c r="P5" s="13">
        <v>338.06776639491693</v>
      </c>
      <c r="Q5" s="13">
        <v>329.86004340731563</v>
      </c>
      <c r="R5" s="13">
        <v>320.55992291070822</v>
      </c>
      <c r="S5" s="13">
        <v>310.40236786849158</v>
      </c>
      <c r="T5" s="13">
        <v>299.59014362492098</v>
      </c>
      <c r="U5" s="13">
        <v>288.29426686370516</v>
      </c>
      <c r="V5" s="13">
        <v>276.65614549415892</v>
      </c>
      <c r="W5" s="13">
        <v>264.79055965146358</v>
      </c>
      <c r="X5" s="13">
        <v>252.78893228949693</v>
      </c>
      <c r="Y5" s="13">
        <v>240.72255642635207</v>
      </c>
      <c r="Z5" s="13">
        <v>228.64559638315512</v>
      </c>
      <c r="AA5" s="13">
        <v>216.59777837619245</v>
      </c>
      <c r="AB5" s="13">
        <v>204.60674645314396</v>
      </c>
      <c r="AC5" s="13">
        <v>192.6900949160636</v>
      </c>
      <c r="AD5" s="13">
        <v>180.85710687346273</v>
      </c>
      <c r="AE5" s="13">
        <v>169.11023663407778</v>
      </c>
      <c r="AF5" s="13">
        <v>157.44637552129961</v>
      </c>
      <c r="AG5" s="13">
        <v>145.8579391299333</v>
      </c>
      <c r="AH5" s="13">
        <v>134.33381084099258</v>
      </c>
      <c r="AI5" s="13">
        <v>122.86017265405073</v>
      </c>
      <c r="AJ5" s="13">
        <v>111.42125074643394</v>
      </c>
      <c r="AK5" s="13">
        <f t="shared" si="3"/>
        <v>100</v>
      </c>
      <c r="AL5" s="26">
        <f t="shared" si="4"/>
        <v>9.3333333333333338E-2</v>
      </c>
      <c r="AM5" s="25">
        <v>29</v>
      </c>
    </row>
    <row r="6" spans="1:39" x14ac:dyDescent="0.25">
      <c r="A6" s="16" t="s">
        <v>29</v>
      </c>
      <c r="B6" s="37">
        <f>B4/30</f>
        <v>3.3333333333333335E-3</v>
      </c>
      <c r="C6" s="15" t="s">
        <v>34</v>
      </c>
      <c r="E6" s="25">
        <v>28</v>
      </c>
      <c r="F6" s="26">
        <f t="shared" si="1"/>
        <v>9.0000000000000011E-2</v>
      </c>
      <c r="G6" s="13">
        <v>350</v>
      </c>
      <c r="H6" s="13">
        <v>347.11389928520566</v>
      </c>
      <c r="I6" s="13">
        <v>351.73932335444863</v>
      </c>
      <c r="J6" s="13">
        <v>356.23001501664783</v>
      </c>
      <c r="K6" s="13">
        <v>359.11766089823982</v>
      </c>
      <c r="L6" s="13">
        <v>359.79395674817505</v>
      </c>
      <c r="M6" s="13">
        <v>358.14167913027171</v>
      </c>
      <c r="N6" s="13">
        <v>354.30346259243834</v>
      </c>
      <c r="O6" s="13">
        <v>348.54258868657212</v>
      </c>
      <c r="P6" s="13">
        <v>341.1626754927496</v>
      </c>
      <c r="Q6" s="13">
        <v>332.46384816928708</v>
      </c>
      <c r="R6" s="13">
        <v>322.72083217604734</v>
      </c>
      <c r="S6" s="13">
        <v>312.17379260988889</v>
      </c>
      <c r="T6" s="13">
        <v>301.02627514805476</v>
      </c>
      <c r="U6" s="13">
        <v>289.44685730099701</v>
      </c>
      <c r="V6" s="13">
        <v>277.57252548364175</v>
      </c>
      <c r="W6" s="13">
        <v>265.5126555952823</v>
      </c>
      <c r="X6" s="13">
        <v>253.35299350464069</v>
      </c>
      <c r="Y6" s="13">
        <v>241.1593373592911</v>
      </c>
      <c r="Z6" s="13">
        <v>228.98079873371546</v>
      </c>
      <c r="AA6" s="13">
        <v>216.85261610018773</v>
      </c>
      <c r="AB6" s="13">
        <v>204.79854399079827</v>
      </c>
      <c r="AC6" s="13">
        <v>192.83286411427758</v>
      </c>
      <c r="AD6" s="13">
        <v>180.96207244624998</v>
      </c>
      <c r="AE6" s="13">
        <v>169.18629599369524</v>
      </c>
      <c r="AF6" s="13">
        <v>157.50048868813121</v>
      </c>
      <c r="AG6" s="13">
        <v>145.89545006223142</v>
      </c>
      <c r="AH6" s="13">
        <v>134.35870432809116</v>
      </c>
      <c r="AI6" s="13">
        <v>122.87527189683981</v>
      </c>
      <c r="AJ6" s="13">
        <v>111.4283605966026</v>
      </c>
      <c r="AK6" s="13">
        <f t="shared" si="3"/>
        <v>100</v>
      </c>
      <c r="AL6" s="26">
        <f t="shared" si="4"/>
        <v>9.0000000000000011E-2</v>
      </c>
      <c r="AM6" s="25">
        <v>28</v>
      </c>
    </row>
    <row r="7" spans="1:39" x14ac:dyDescent="0.25">
      <c r="A7" s="16" t="s">
        <v>3</v>
      </c>
      <c r="B7" s="17">
        <v>120</v>
      </c>
      <c r="C7">
        <v>121</v>
      </c>
      <c r="E7" s="25">
        <v>27</v>
      </c>
      <c r="F7" s="26">
        <f t="shared" si="1"/>
        <v>8.666666666666667E-2</v>
      </c>
      <c r="G7" s="13">
        <v>450</v>
      </c>
      <c r="H7" s="13">
        <v>359.44571491594809</v>
      </c>
      <c r="I7" s="13">
        <v>360.95695961814471</v>
      </c>
      <c r="J7" s="13">
        <v>364.50805864480799</v>
      </c>
      <c r="K7" s="13">
        <v>366.99381024177842</v>
      </c>
      <c r="L7" s="13">
        <v>367.23943233410682</v>
      </c>
      <c r="M7" s="13">
        <v>364.99885814256106</v>
      </c>
      <c r="N7" s="13">
        <v>360.44284846927104</v>
      </c>
      <c r="O7" s="13">
        <v>353.90196209697763</v>
      </c>
      <c r="P7" s="13">
        <v>345.74188139391049</v>
      </c>
      <c r="Q7" s="13">
        <v>336.30688082465321</v>
      </c>
      <c r="R7" s="13">
        <v>325.8977292576576</v>
      </c>
      <c r="S7" s="13">
        <v>314.76639028140187</v>
      </c>
      <c r="T7" s="13">
        <v>303.11838661476253</v>
      </c>
      <c r="U7" s="13">
        <v>291.11819151793492</v>
      </c>
      <c r="V7" s="13">
        <v>278.89537697075315</v>
      </c>
      <c r="W7" s="13">
        <v>266.55048000097213</v>
      </c>
      <c r="X7" s="13">
        <v>254.16017604498063</v>
      </c>
      <c r="Y7" s="13">
        <v>241.78165626889142</v>
      </c>
      <c r="Z7" s="13">
        <v>229.45624702929544</v>
      </c>
      <c r="AA7" s="13">
        <v>217.21236573069427</v>
      </c>
      <c r="AB7" s="13">
        <v>205.067921548275</v>
      </c>
      <c r="AC7" s="13">
        <v>193.03226449408356</v>
      </c>
      <c r="AD7" s="13">
        <v>181.10777370255806</v>
      </c>
      <c r="AE7" s="13">
        <v>169.29116130265953</v>
      </c>
      <c r="AF7" s="13">
        <v>157.57455445234876</v>
      </c>
      <c r="AG7" s="13">
        <v>145.94640608802575</v>
      </c>
      <c r="AH7" s="13">
        <v>134.39227496817841</v>
      </c>
      <c r="AI7" s="13">
        <v>122.8955075995575</v>
      </c>
      <c r="AJ7" s="13">
        <v>111.43784842525545</v>
      </c>
      <c r="AK7" s="13">
        <f t="shared" si="3"/>
        <v>100</v>
      </c>
      <c r="AL7" s="26">
        <f t="shared" si="4"/>
        <v>8.666666666666667E-2</v>
      </c>
      <c r="AM7" s="25">
        <v>27</v>
      </c>
    </row>
    <row r="8" spans="1:39" x14ac:dyDescent="0.25">
      <c r="A8" s="16" t="s">
        <v>2</v>
      </c>
      <c r="B8" s="17">
        <v>1</v>
      </c>
      <c r="E8" s="25">
        <v>26</v>
      </c>
      <c r="F8" s="26">
        <f t="shared" si="1"/>
        <v>8.3333333333333343E-2</v>
      </c>
      <c r="G8" s="13">
        <f t="shared" si="2"/>
        <v>300</v>
      </c>
      <c r="H8" s="13">
        <v>339.22588835886944</v>
      </c>
      <c r="I8" s="13">
        <v>356.63224655624401</v>
      </c>
      <c r="J8" s="13">
        <v>368.24887661727581</v>
      </c>
      <c r="K8" s="13">
        <v>374.42976902528517</v>
      </c>
      <c r="L8" s="13">
        <v>375.94967420721616</v>
      </c>
      <c r="M8" s="13">
        <v>373.68220268901399</v>
      </c>
      <c r="N8" s="13">
        <v>368.44586149779769</v>
      </c>
      <c r="O8" s="13">
        <v>360.94361446828719</v>
      </c>
      <c r="P8" s="13">
        <v>351.75038839217683</v>
      </c>
      <c r="Q8" s="13">
        <v>341.3225394367762</v>
      </c>
      <c r="R8" s="13">
        <v>330.01541051651986</v>
      </c>
      <c r="S8" s="13">
        <v>318.10213209438245</v>
      </c>
      <c r="T8" s="13">
        <v>305.7906667756539</v>
      </c>
      <c r="U8" s="13">
        <v>293.23808418312393</v>
      </c>
      <c r="V8" s="13">
        <v>280.56199937923839</v>
      </c>
      <c r="W8" s="13">
        <v>267.84950248525837</v>
      </c>
      <c r="X8" s="13">
        <v>255.16402477875874</v>
      </c>
      <c r="Y8" s="13">
        <v>242.55057699080695</v>
      </c>
      <c r="Z8" s="13">
        <v>230.039736195903</v>
      </c>
      <c r="AA8" s="13">
        <v>217.65068626081541</v>
      </c>
      <c r="AB8" s="13">
        <v>205.39354990182699</v>
      </c>
      <c r="AC8" s="13">
        <v>193.27119396881304</v>
      </c>
      <c r="AD8" s="13">
        <v>181.28064459131895</v>
      </c>
      <c r="AE8" s="13">
        <v>169.41421414971433</v>
      </c>
      <c r="AF8" s="13">
        <v>157.66041587273145</v>
      </c>
      <c r="AG8" s="13">
        <v>146.00472239932839</v>
      </c>
      <c r="AH8" s="13">
        <v>134.43021031136385</v>
      </c>
      <c r="AI8" s="13">
        <v>122.91812218977462</v>
      </c>
      <c r="AJ8" s="13">
        <v>111.44837021329553</v>
      </c>
      <c r="AK8" s="13">
        <f t="shared" si="3"/>
        <v>100</v>
      </c>
      <c r="AL8" s="26">
        <f t="shared" si="4"/>
        <v>8.3333333333333343E-2</v>
      </c>
      <c r="AM8" s="25">
        <v>26</v>
      </c>
    </row>
    <row r="9" spans="1:39" x14ac:dyDescent="0.25">
      <c r="E9" s="25">
        <v>25</v>
      </c>
      <c r="F9" s="26">
        <f t="shared" si="1"/>
        <v>0.08</v>
      </c>
      <c r="G9" s="13">
        <f t="shared" si="2"/>
        <v>300</v>
      </c>
      <c r="H9" s="13">
        <v>328.02163615713482</v>
      </c>
      <c r="I9" s="13">
        <v>359.22415724065058</v>
      </c>
      <c r="J9" s="13">
        <v>377.74867888986967</v>
      </c>
      <c r="K9" s="13">
        <v>386.6947071450341</v>
      </c>
      <c r="L9" s="13">
        <v>388.6353660351258</v>
      </c>
      <c r="M9" s="13">
        <v>385.56550011451026</v>
      </c>
      <c r="N9" s="13">
        <v>378.97372277263628</v>
      </c>
      <c r="O9" s="13">
        <v>369.94572766674764</v>
      </c>
      <c r="P9" s="13">
        <v>359.26224700454094</v>
      </c>
      <c r="Q9" s="13">
        <v>347.47987738078268</v>
      </c>
      <c r="R9" s="13">
        <v>334.99336870312891</v>
      </c>
      <c r="S9" s="13">
        <v>322.08178071364273</v>
      </c>
      <c r="T9" s="13">
        <v>308.94186210563919</v>
      </c>
      <c r="U9" s="13">
        <v>295.71181673088313</v>
      </c>
      <c r="V9" s="13">
        <v>282.48806188805554</v>
      </c>
      <c r="W9" s="13">
        <v>269.33698170461025</v>
      </c>
      <c r="X9" s="13">
        <v>256.30315528968447</v>
      </c>
      <c r="Y9" s="13">
        <v>243.41512510822616</v>
      </c>
      <c r="Z9" s="13">
        <v>230.68945973550177</v>
      </c>
      <c r="AA9" s="13">
        <v>218.13363862773051</v>
      </c>
      <c r="AB9" s="13">
        <v>205.74812517844396</v>
      </c>
      <c r="AC9" s="13">
        <v>193.52788103892311</v>
      </c>
      <c r="AD9" s="13">
        <v>181.46349593328515</v>
      </c>
      <c r="AE9" s="13">
        <v>169.54205283006809</v>
      </c>
      <c r="AF9" s="13">
        <v>157.74781095870929</v>
      </c>
      <c r="AG9" s="13">
        <v>146.06276353808849</v>
      </c>
      <c r="AH9" s="13">
        <v>134.46710955297507</v>
      </c>
      <c r="AI9" s="13">
        <v>122.93966694685614</v>
      </c>
      <c r="AJ9" s="13">
        <v>111.45824647316581</v>
      </c>
      <c r="AK9" s="13">
        <f t="shared" si="3"/>
        <v>100</v>
      </c>
      <c r="AL9" s="26">
        <f t="shared" si="4"/>
        <v>0.08</v>
      </c>
      <c r="AM9" s="25">
        <v>25</v>
      </c>
    </row>
    <row r="10" spans="1:39" x14ac:dyDescent="0.25">
      <c r="A10" s="46" t="s">
        <v>30</v>
      </c>
      <c r="B10" s="46"/>
      <c r="E10" s="25">
        <v>24</v>
      </c>
      <c r="F10" s="26">
        <f t="shared" si="1"/>
        <v>7.6666666666666675E-2</v>
      </c>
      <c r="G10" s="13">
        <v>75</v>
      </c>
      <c r="H10" s="13">
        <v>318.32293522689793</v>
      </c>
      <c r="I10" s="13">
        <v>368.87099048310836</v>
      </c>
      <c r="J10" s="13">
        <v>394.94412044289561</v>
      </c>
      <c r="K10" s="13">
        <v>405.6116972555908</v>
      </c>
      <c r="L10" s="13">
        <v>406.5542169923836</v>
      </c>
      <c r="M10" s="13">
        <v>401.37107411131529</v>
      </c>
      <c r="N10" s="13">
        <v>392.36011099914265</v>
      </c>
      <c r="O10" s="13">
        <v>380.99495350857717</v>
      </c>
      <c r="P10" s="13">
        <v>368.22297868923931</v>
      </c>
      <c r="Q10" s="13">
        <v>354.65374764964997</v>
      </c>
      <c r="R10" s="13">
        <v>340.67915981861591</v>
      </c>
      <c r="S10" s="13">
        <v>326.55045031779457</v>
      </c>
      <c r="T10" s="13">
        <v>312.42766703836838</v>
      </c>
      <c r="U10" s="13">
        <v>298.41150650238035</v>
      </c>
      <c r="V10" s="13">
        <v>284.56381000761695</v>
      </c>
      <c r="W10" s="13">
        <v>270.92076275746524</v>
      </c>
      <c r="X10" s="13">
        <v>257.50139783578362</v>
      </c>
      <c r="Y10" s="13">
        <v>244.31308209441062</v>
      </c>
      <c r="Z10" s="13">
        <v>231.35506538556521</v>
      </c>
      <c r="AA10" s="13">
        <v>218.6207902727777</v>
      </c>
      <c r="AB10" s="13">
        <v>206.09941124285163</v>
      </c>
      <c r="AC10" s="13">
        <v>193.7768122480208</v>
      </c>
      <c r="AD10" s="13">
        <v>181.63630800752105</v>
      </c>
      <c r="AE10" s="13">
        <v>169.65914778519212</v>
      </c>
      <c r="AF10" s="13">
        <v>157.82489733883085</v>
      </c>
      <c r="AG10" s="13">
        <v>146.1117470101299</v>
      </c>
      <c r="AH10" s="13">
        <v>134.49677606919886</v>
      </c>
      <c r="AI10" s="13">
        <v>122.95619194943617</v>
      </c>
      <c r="AJ10" s="13">
        <v>111.46555565934725</v>
      </c>
      <c r="AK10" s="13">
        <f t="shared" si="3"/>
        <v>100</v>
      </c>
      <c r="AL10" s="26">
        <f t="shared" si="4"/>
        <v>7.6666666666666675E-2</v>
      </c>
      <c r="AM10" s="25">
        <v>24</v>
      </c>
    </row>
    <row r="11" spans="1:39" x14ac:dyDescent="0.25">
      <c r="A11" s="18" t="s">
        <v>4</v>
      </c>
      <c r="B11" s="19">
        <v>460</v>
      </c>
      <c r="E11" s="25">
        <v>23</v>
      </c>
      <c r="F11" s="26">
        <f t="shared" si="1"/>
        <v>7.3333333333333334E-2</v>
      </c>
      <c r="G11" s="13">
        <f t="shared" si="2"/>
        <v>300</v>
      </c>
      <c r="H11" s="13">
        <v>381.26441432958444</v>
      </c>
      <c r="I11" s="13">
        <v>419.66369197665301</v>
      </c>
      <c r="J11" s="13">
        <v>436.2039599957285</v>
      </c>
      <c r="K11" s="13">
        <v>438.96346840063165</v>
      </c>
      <c r="L11" s="13">
        <v>433.29091954878044</v>
      </c>
      <c r="M11" s="13">
        <v>422.6258907197402</v>
      </c>
      <c r="N11" s="13">
        <v>409.13254999179657</v>
      </c>
      <c r="O11" s="13">
        <v>394.14768721390624</v>
      </c>
      <c r="P11" s="13">
        <v>378.48228214013147</v>
      </c>
      <c r="Q11" s="13">
        <v>362.6183539437244</v>
      </c>
      <c r="R11" s="13">
        <v>346.83479804644435</v>
      </c>
      <c r="S11" s="13">
        <v>331.28659492535121</v>
      </c>
      <c r="T11" s="13">
        <v>316.05404747930226</v>
      </c>
      <c r="U11" s="13">
        <v>301.17304221603456</v>
      </c>
      <c r="V11" s="13">
        <v>286.65343439269304</v>
      </c>
      <c r="W11" s="13">
        <v>272.49007362124235</v>
      </c>
      <c r="X11" s="13">
        <v>258.66931190201535</v>
      </c>
      <c r="Y11" s="13">
        <v>245.17276726842846</v>
      </c>
      <c r="Z11" s="13">
        <v>231.97944132492844</v>
      </c>
      <c r="AA11" s="13">
        <v>219.06686608844791</v>
      </c>
      <c r="AB11" s="13">
        <v>206.41169218941093</v>
      </c>
      <c r="AC11" s="13">
        <v>193.98996732693541</v>
      </c>
      <c r="AD11" s="13">
        <v>181.77725328633423</v>
      </c>
      <c r="AE11" s="13">
        <v>169.74866814372788</v>
      </c>
      <c r="AF11" s="13">
        <v>157.87890268694781</v>
      </c>
      <c r="AG11" s="13">
        <v>146.14223733802902</v>
      </c>
      <c r="AH11" s="13">
        <v>134.512572231658</v>
      </c>
      <c r="AI11" s="13">
        <v>122.96347503119262</v>
      </c>
      <c r="AJ11" s="13">
        <v>111.46824635554341</v>
      </c>
      <c r="AK11" s="13">
        <f t="shared" si="3"/>
        <v>100</v>
      </c>
      <c r="AL11" s="26">
        <f t="shared" si="4"/>
        <v>7.3333333333333334E-2</v>
      </c>
      <c r="AM11" s="25">
        <v>23</v>
      </c>
    </row>
    <row r="12" spans="1:39" x14ac:dyDescent="0.25">
      <c r="A12" s="18" t="s">
        <v>5</v>
      </c>
      <c r="B12" s="19">
        <v>7800</v>
      </c>
      <c r="E12" s="25">
        <v>22</v>
      </c>
      <c r="F12" s="26">
        <f t="shared" si="1"/>
        <v>7.0000000000000007E-2</v>
      </c>
      <c r="G12" s="13">
        <f t="shared" si="2"/>
        <v>300</v>
      </c>
      <c r="H12" s="13">
        <v>463.51990873281682</v>
      </c>
      <c r="I12" s="13">
        <v>488.65570733247807</v>
      </c>
      <c r="J12" s="13">
        <v>491.3413805239021</v>
      </c>
      <c r="K12" s="13">
        <v>481.90254123728471</v>
      </c>
      <c r="L12" s="13">
        <v>466.25681033700488</v>
      </c>
      <c r="M12" s="13">
        <v>447.73871937211527</v>
      </c>
      <c r="N12" s="13">
        <v>428.18445537124853</v>
      </c>
      <c r="O12" s="13">
        <v>408.57064491447352</v>
      </c>
      <c r="P12" s="13">
        <v>389.38748272598281</v>
      </c>
      <c r="Q12" s="13">
        <v>370.85493566065657</v>
      </c>
      <c r="R12" s="13">
        <v>353.04686743478436</v>
      </c>
      <c r="S12" s="13">
        <v>335.96145503737318</v>
      </c>
      <c r="T12" s="13">
        <v>319.56047128956152</v>
      </c>
      <c r="U12" s="13">
        <v>303.79065350817132</v>
      </c>
      <c r="V12" s="13">
        <v>288.59486759788081</v>
      </c>
      <c r="W12" s="13">
        <v>273.91754295759267</v>
      </c>
      <c r="X12" s="13">
        <v>259.70696142934037</v>
      </c>
      <c r="Y12" s="13">
        <v>245.91587952347484</v>
      </c>
      <c r="Z12" s="13">
        <v>232.50132106736095</v>
      </c>
      <c r="AA12" s="13">
        <v>219.4240055633968</v>
      </c>
      <c r="AB12" s="13">
        <v>206.64766349179655</v>
      </c>
      <c r="AC12" s="13">
        <v>194.13836769810101</v>
      </c>
      <c r="AD12" s="13">
        <v>181.86394131148859</v>
      </c>
      <c r="AE12" s="13">
        <v>169.79346479502317</v>
      </c>
      <c r="AF12" s="13">
        <v>157.89688455634803</v>
      </c>
      <c r="AG12" s="13">
        <v>146.14471536469156</v>
      </c>
      <c r="AH12" s="13">
        <v>134.50782416416124</v>
      </c>
      <c r="AI12" s="13">
        <v>122.95728116543634</v>
      </c>
      <c r="AJ12" s="13">
        <v>111.4642638603849</v>
      </c>
      <c r="AK12" s="13">
        <f t="shared" si="3"/>
        <v>100</v>
      </c>
      <c r="AL12" s="26">
        <f t="shared" si="4"/>
        <v>7.0000000000000007E-2</v>
      </c>
      <c r="AM12" s="25">
        <v>22</v>
      </c>
    </row>
    <row r="13" spans="1:39" x14ac:dyDescent="0.25">
      <c r="A13" s="18" t="s">
        <v>35</v>
      </c>
      <c r="B13" s="19">
        <v>46</v>
      </c>
      <c r="E13" s="25">
        <v>21</v>
      </c>
      <c r="F13" s="26">
        <f t="shared" si="1"/>
        <v>6.6666666666666666E-2</v>
      </c>
      <c r="G13" s="13">
        <f t="shared" si="2"/>
        <v>300</v>
      </c>
      <c r="H13" s="13">
        <v>598.64330998218429</v>
      </c>
      <c r="I13" s="13">
        <v>589.25175640971372</v>
      </c>
      <c r="J13" s="13">
        <v>564.71706915470236</v>
      </c>
      <c r="K13" s="13">
        <v>534.96026944023333</v>
      </c>
      <c r="L13" s="13">
        <v>504.54292315203378</v>
      </c>
      <c r="M13" s="13">
        <v>475.40997760996868</v>
      </c>
      <c r="N13" s="13">
        <v>448.25255423118955</v>
      </c>
      <c r="O13" s="13">
        <v>423.18312187107949</v>
      </c>
      <c r="P13" s="13">
        <v>400.06692002810894</v>
      </c>
      <c r="Q13" s="13">
        <v>378.68141747263655</v>
      </c>
      <c r="R13" s="13">
        <v>358.7900356749642</v>
      </c>
      <c r="S13" s="13">
        <v>340.17355040598841</v>
      </c>
      <c r="T13" s="13">
        <v>322.64103448628521</v>
      </c>
      <c r="U13" s="13">
        <v>306.03130900035097</v>
      </c>
      <c r="V13" s="13">
        <v>290.21034721651472</v>
      </c>
      <c r="W13" s="13">
        <v>275.06727635825746</v>
      </c>
      <c r="X13" s="13">
        <v>260.51021008558376</v>
      </c>
      <c r="Y13" s="13">
        <v>246.46243980923015</v>
      </c>
      <c r="Z13" s="13">
        <v>232.85916894245693</v>
      </c>
      <c r="AA13" s="13">
        <v>219.64481313817396</v>
      </c>
      <c r="AB13" s="13">
        <v>206.77082020696446</v>
      </c>
      <c r="AC13" s="13">
        <v>194.19393897402375</v>
      </c>
      <c r="AD13" s="13">
        <v>181.8748629527733</v>
      </c>
      <c r="AE13" s="13">
        <v>169.77718037336109</v>
      </c>
      <c r="AF13" s="13">
        <v>157.86657089073003</v>
      </c>
      <c r="AG13" s="13">
        <v>146.11019841871024</v>
      </c>
      <c r="AH13" s="13">
        <v>134.476257780309</v>
      </c>
      <c r="AI13" s="13">
        <v>122.93363979216265</v>
      </c>
      <c r="AJ13" s="13">
        <v>111.45168493725517</v>
      </c>
      <c r="AK13" s="13">
        <f t="shared" si="3"/>
        <v>100</v>
      </c>
      <c r="AL13" s="26">
        <f t="shared" si="4"/>
        <v>6.6666666666666666E-2</v>
      </c>
      <c r="AM13" s="25">
        <v>21</v>
      </c>
    </row>
    <row r="14" spans="1:39" x14ac:dyDescent="0.25">
      <c r="A14" s="12"/>
      <c r="B14" s="12"/>
      <c r="E14" s="25">
        <v>20</v>
      </c>
      <c r="F14" s="26">
        <f t="shared" si="1"/>
        <v>6.3333333333333339E-2</v>
      </c>
      <c r="G14" s="13">
        <v>1100</v>
      </c>
      <c r="H14" s="13">
        <v>844.76265313014596</v>
      </c>
      <c r="I14" s="13">
        <v>741.05489514650071</v>
      </c>
      <c r="J14" s="13">
        <v>660.73116076765518</v>
      </c>
      <c r="K14" s="13">
        <v>597.12942196599829</v>
      </c>
      <c r="L14" s="13">
        <v>545.66859258528484</v>
      </c>
      <c r="M14" s="13">
        <v>503.13822194670769</v>
      </c>
      <c r="N14" s="13">
        <v>467.25689049892355</v>
      </c>
      <c r="O14" s="13">
        <v>436.38527386380821</v>
      </c>
      <c r="P14" s="13">
        <v>409.33396115352804</v>
      </c>
      <c r="Q14" s="13">
        <v>385.2321007332273</v>
      </c>
      <c r="R14" s="13">
        <v>363.43635894137105</v>
      </c>
      <c r="S14" s="13">
        <v>343.46715621251366</v>
      </c>
      <c r="T14" s="13">
        <v>324.96361493231336</v>
      </c>
      <c r="U14" s="13">
        <v>307.65147001103418</v>
      </c>
      <c r="V14" s="13">
        <v>291.32003215385589</v>
      </c>
      <c r="W14" s="13">
        <v>275.80552090598695</v>
      </c>
      <c r="X14" s="13">
        <v>260.9789139386948</v>
      </c>
      <c r="Y14" s="13">
        <v>246.73702403135974</v>
      </c>
      <c r="Z14" s="13">
        <v>232.99590219486248</v>
      </c>
      <c r="AA14" s="13">
        <v>219.68593169857297</v>
      </c>
      <c r="AB14" s="13">
        <v>206.74816191097528</v>
      </c>
      <c r="AC14" s="13">
        <v>194.13155885938744</v>
      </c>
      <c r="AD14" s="13">
        <v>181.79093888900485</v>
      </c>
      <c r="AE14" s="13">
        <v>169.68541472776838</v>
      </c>
      <c r="AF14" s="13">
        <v>157.77722778622092</v>
      </c>
      <c r="AG14" s="13">
        <v>146.03087219448068</v>
      </c>
      <c r="AH14" s="13">
        <v>134.41243869879048</v>
      </c>
      <c r="AI14" s="13">
        <v>122.88912270989047</v>
      </c>
      <c r="AJ14" s="13">
        <v>111.42885229950456</v>
      </c>
      <c r="AK14" s="13">
        <f t="shared" si="3"/>
        <v>100</v>
      </c>
      <c r="AL14" s="26">
        <f t="shared" si="4"/>
        <v>6.3333333333333339E-2</v>
      </c>
      <c r="AM14" s="25">
        <v>20</v>
      </c>
    </row>
    <row r="15" spans="1:39" x14ac:dyDescent="0.25">
      <c r="A15" s="45" t="s">
        <v>31</v>
      </c>
      <c r="B15" s="45"/>
      <c r="E15" s="25">
        <v>19</v>
      </c>
      <c r="F15" s="26">
        <f t="shared" si="1"/>
        <v>6.0000000000000005E-2</v>
      </c>
      <c r="G15" s="13">
        <v>1500</v>
      </c>
      <c r="H15" s="13">
        <v>1032.7897190558442</v>
      </c>
      <c r="I15" s="13">
        <v>857.63476316706942</v>
      </c>
      <c r="J15" s="13">
        <v>734.09506226734356</v>
      </c>
      <c r="K15" s="13">
        <v>644.03131252090998</v>
      </c>
      <c r="L15" s="13">
        <v>576.13147452686371</v>
      </c>
      <c r="M15" s="13">
        <v>523.2220454837186</v>
      </c>
      <c r="N15" s="13">
        <v>480.67287380503615</v>
      </c>
      <c r="O15" s="13">
        <v>445.44023355215381</v>
      </c>
      <c r="P15" s="13">
        <v>415.48570427501886</v>
      </c>
      <c r="Q15" s="13">
        <v>389.41852303346303</v>
      </c>
      <c r="R15" s="13">
        <v>366.27228609397224</v>
      </c>
      <c r="S15" s="13">
        <v>345.36339032587068</v>
      </c>
      <c r="T15" s="13">
        <v>326.19984989647605</v>
      </c>
      <c r="U15" s="13">
        <v>308.42158805278063</v>
      </c>
      <c r="V15" s="13">
        <v>291.76068253565927</v>
      </c>
      <c r="W15" s="13">
        <v>276.01445431859145</v>
      </c>
      <c r="X15" s="13">
        <v>261.02695419111512</v>
      </c>
      <c r="Y15" s="13">
        <v>246.67602956361591</v>
      </c>
      <c r="Z15" s="13">
        <v>232.86415999004336</v>
      </c>
      <c r="AA15" s="13">
        <v>219.51187941499572</v>
      </c>
      <c r="AB15" s="13">
        <v>206.55300205982195</v>
      </c>
      <c r="AC15" s="13">
        <v>193.93112496420187</v>
      </c>
      <c r="AD15" s="13">
        <v>181.59704681129045</v>
      </c>
      <c r="AE15" s="13">
        <v>169.50685249815882</v>
      </c>
      <c r="AF15" s="13">
        <v>157.62048625297504</v>
      </c>
      <c r="AG15" s="13">
        <v>145.90068565959447</v>
      </c>
      <c r="AH15" s="13">
        <v>134.3121827826225</v>
      </c>
      <c r="AI15" s="13">
        <v>122.82110184464129</v>
      </c>
      <c r="AJ15" s="13">
        <v>111.39449891689384</v>
      </c>
      <c r="AK15" s="13">
        <f t="shared" si="3"/>
        <v>100</v>
      </c>
      <c r="AL15" s="26">
        <f t="shared" si="4"/>
        <v>6.0000000000000005E-2</v>
      </c>
      <c r="AM15" s="25">
        <v>19</v>
      </c>
    </row>
    <row r="16" spans="1:39" x14ac:dyDescent="0.25">
      <c r="A16" s="20" t="s">
        <v>36</v>
      </c>
      <c r="B16" s="14">
        <v>300</v>
      </c>
      <c r="E16" s="25">
        <v>18</v>
      </c>
      <c r="F16" s="26">
        <f t="shared" si="1"/>
        <v>5.6666666666666671E-2</v>
      </c>
      <c r="G16" s="13">
        <v>1700</v>
      </c>
      <c r="H16" s="13">
        <v>1107.8882994082517</v>
      </c>
      <c r="I16" s="13">
        <v>903.58321066404631</v>
      </c>
      <c r="J16" s="13">
        <v>762.60870522418236</v>
      </c>
      <c r="K16" s="13">
        <v>661.95401752322596</v>
      </c>
      <c r="L16" s="13">
        <v>587.51076193794302</v>
      </c>
      <c r="M16" s="13">
        <v>530.48572701638568</v>
      </c>
      <c r="N16" s="13">
        <v>485.30068596561489</v>
      </c>
      <c r="O16" s="13">
        <v>448.35021157776305</v>
      </c>
      <c r="P16" s="13">
        <v>417.25847138208508</v>
      </c>
      <c r="Q16" s="13">
        <v>390.4288462221283</v>
      </c>
      <c r="R16" s="13">
        <v>366.76715298470185</v>
      </c>
      <c r="S16" s="13">
        <v>345.5089647494973</v>
      </c>
      <c r="T16" s="13">
        <v>326.11013194368917</v>
      </c>
      <c r="U16" s="13">
        <v>308.17619615089984</v>
      </c>
      <c r="V16" s="13">
        <v>291.41608638464271</v>
      </c>
      <c r="W16" s="13">
        <v>275.61121021195601</v>
      </c>
      <c r="X16" s="13">
        <v>260.59446303053102</v>
      </c>
      <c r="Y16" s="13">
        <v>246.23573410164119</v>
      </c>
      <c r="Z16" s="13">
        <v>232.4317408589601</v>
      </c>
      <c r="AA16" s="13">
        <v>219.0987962294613</v>
      </c>
      <c r="AB16" s="13">
        <v>206.16759704653191</v>
      </c>
      <c r="AC16" s="13">
        <v>193.5794278196102</v>
      </c>
      <c r="AD16" s="13">
        <v>181.28337073413468</v>
      </c>
      <c r="AE16" s="13">
        <v>169.23424073725579</v>
      </c>
      <c r="AF16" s="13">
        <v>157.39104899450922</v>
      </c>
      <c r="AG16" s="13">
        <v>145.71585440654837</v>
      </c>
      <c r="AH16" s="13">
        <v>134.17290097204699</v>
      </c>
      <c r="AI16" s="13">
        <v>122.72796472043417</v>
      </c>
      <c r="AJ16" s="13">
        <v>111.34785163906406</v>
      </c>
      <c r="AK16" s="13">
        <f t="shared" si="3"/>
        <v>100</v>
      </c>
      <c r="AL16" s="26">
        <f t="shared" si="4"/>
        <v>5.6666666666666671E-2</v>
      </c>
      <c r="AM16" s="25">
        <v>18</v>
      </c>
    </row>
    <row r="17" spans="1:39" x14ac:dyDescent="0.25">
      <c r="A17" s="20" t="s">
        <v>37</v>
      </c>
      <c r="B17" s="14">
        <v>100</v>
      </c>
      <c r="E17" s="25">
        <v>17</v>
      </c>
      <c r="F17" s="26">
        <f t="shared" si="1"/>
        <v>5.3333333333333337E-2</v>
      </c>
      <c r="G17" s="13">
        <v>1500</v>
      </c>
      <c r="H17" s="13">
        <v>1034.1248328639001</v>
      </c>
      <c r="I17" s="13">
        <v>858.87515353532831</v>
      </c>
      <c r="J17" s="13">
        <v>734.95371391185472</v>
      </c>
      <c r="K17" s="13">
        <v>644.40799068712658</v>
      </c>
      <c r="L17" s="13">
        <v>576.02935365922849</v>
      </c>
      <c r="M17" s="13">
        <v>522.69527322415024</v>
      </c>
      <c r="N17" s="13">
        <v>479.79580739132859</v>
      </c>
      <c r="O17" s="13">
        <v>444.29060506960076</v>
      </c>
      <c r="P17" s="13">
        <v>414.13619698601497</v>
      </c>
      <c r="Q17" s="13">
        <v>387.93315937531293</v>
      </c>
      <c r="R17" s="13">
        <v>364.7054176064928</v>
      </c>
      <c r="S17" s="13">
        <v>343.75999764069445</v>
      </c>
      <c r="T17" s="13">
        <v>324.59643105681641</v>
      </c>
      <c r="U17" s="13">
        <v>306.84725111734508</v>
      </c>
      <c r="V17" s="13">
        <v>290.23825023010886</v>
      </c>
      <c r="W17" s="13">
        <v>274.5614930318954</v>
      </c>
      <c r="X17" s="13">
        <v>259.65669402074974</v>
      </c>
      <c r="Y17" s="13">
        <v>245.3981688280453</v>
      </c>
      <c r="Z17" s="13">
        <v>231.68555965792962</v>
      </c>
      <c r="AA17" s="13">
        <v>218.43715750798464</v>
      </c>
      <c r="AB17" s="13">
        <v>205.58503916327896</v>
      </c>
      <c r="AC17" s="13">
        <v>193.07149152326963</v>
      </c>
      <c r="AD17" s="13">
        <v>180.84636186322854</v>
      </c>
      <c r="AE17" s="13">
        <v>168.86508232599812</v>
      </c>
      <c r="AF17" s="13">
        <v>157.08719030662019</v>
      </c>
      <c r="AG17" s="13">
        <v>145.47521602517395</v>
      </c>
      <c r="AH17" s="13">
        <v>133.9938424873373</v>
      </c>
      <c r="AI17" s="13">
        <v>122.60926634598061</v>
      </c>
      <c r="AJ17" s="13">
        <v>111.28870422430472</v>
      </c>
      <c r="AK17" s="13">
        <f t="shared" si="3"/>
        <v>100</v>
      </c>
      <c r="AL17" s="26">
        <f t="shared" si="4"/>
        <v>5.3333333333333337E-2</v>
      </c>
      <c r="AM17" s="25">
        <v>17</v>
      </c>
    </row>
    <row r="18" spans="1:39" x14ac:dyDescent="0.25">
      <c r="A18" s="12"/>
      <c r="B18" s="12"/>
      <c r="E18" s="25">
        <v>16</v>
      </c>
      <c r="F18" s="26">
        <f t="shared" si="1"/>
        <v>0.05</v>
      </c>
      <c r="G18" s="13">
        <v>1100</v>
      </c>
      <c r="H18" s="13">
        <v>847.98240426351117</v>
      </c>
      <c r="I18" s="13">
        <v>743.8718041997688</v>
      </c>
      <c r="J18" s="13">
        <v>662.61380128104838</v>
      </c>
      <c r="K18" s="13">
        <v>597.93380524831241</v>
      </c>
      <c r="L18" s="13">
        <v>545.44811929829677</v>
      </c>
      <c r="M18" s="13">
        <v>502.03414292321884</v>
      </c>
      <c r="N18" s="13">
        <v>465.4386781856083</v>
      </c>
      <c r="O18" s="13">
        <v>434.02035172641627</v>
      </c>
      <c r="P18" s="13">
        <v>406.57391915057894</v>
      </c>
      <c r="Q18" s="13">
        <v>382.20773300475935</v>
      </c>
      <c r="R18" s="13">
        <v>360.25714928037166</v>
      </c>
      <c r="S18" s="13">
        <v>340.22281284975361</v>
      </c>
      <c r="T18" s="13">
        <v>321.72639585691456</v>
      </c>
      <c r="U18" s="13">
        <v>304.47867343845849</v>
      </c>
      <c r="V18" s="13">
        <v>288.25636564358877</v>
      </c>
      <c r="W18" s="13">
        <v>272.88523624310346</v>
      </c>
      <c r="X18" s="13">
        <v>258.22767899031606</v>
      </c>
      <c r="Y18" s="13">
        <v>244.17354026422129</v>
      </c>
      <c r="Z18" s="13">
        <v>230.63329085863501</v>
      </c>
      <c r="AA18" s="13">
        <v>217.53291520838684</v>
      </c>
      <c r="AB18" s="13">
        <v>204.81006593598795</v>
      </c>
      <c r="AC18" s="13">
        <v>192.41115800474174</v>
      </c>
      <c r="AD18" s="13">
        <v>180.28916593477385</v>
      </c>
      <c r="AE18" s="13">
        <v>168.4019506380061</v>
      </c>
      <c r="AF18" s="13">
        <v>156.71098723870969</v>
      </c>
      <c r="AG18" s="13">
        <v>145.18039718047856</v>
      </c>
      <c r="AH18" s="13">
        <v>133.77621073576498</v>
      </c>
      <c r="AI18" s="13">
        <v>122.46580233459733</v>
      </c>
      <c r="AJ18" s="13">
        <v>111.21745271447799</v>
      </c>
      <c r="AK18" s="13">
        <f t="shared" si="3"/>
        <v>100</v>
      </c>
      <c r="AL18" s="26">
        <f t="shared" si="4"/>
        <v>0.05</v>
      </c>
      <c r="AM18" s="25">
        <v>16</v>
      </c>
    </row>
    <row r="19" spans="1:39" x14ac:dyDescent="0.25">
      <c r="A19" s="44" t="s">
        <v>32</v>
      </c>
      <c r="B19" s="44"/>
      <c r="E19" s="25">
        <v>15</v>
      </c>
      <c r="F19" s="26">
        <f t="shared" si="1"/>
        <v>4.6666666666666669E-2</v>
      </c>
      <c r="G19" s="13">
        <f t="shared" si="2"/>
        <v>300</v>
      </c>
      <c r="H19" s="13">
        <v>605.10458060798032</v>
      </c>
      <c r="I19" s="13">
        <v>594.39537170707331</v>
      </c>
      <c r="J19" s="13">
        <v>567.95686293764538</v>
      </c>
      <c r="K19" s="13">
        <v>536.2725680297815</v>
      </c>
      <c r="L19" s="13">
        <v>504.14730305735475</v>
      </c>
      <c r="M19" s="13">
        <v>473.60817720267715</v>
      </c>
      <c r="N19" s="13">
        <v>445.3518998468569</v>
      </c>
      <c r="O19" s="13">
        <v>419.46362460742512</v>
      </c>
      <c r="P19" s="13">
        <v>395.77002442035285</v>
      </c>
      <c r="Q19" s="13">
        <v>374.00887328966041</v>
      </c>
      <c r="R19" s="13">
        <v>353.90705573003402</v>
      </c>
      <c r="S19" s="13">
        <v>335.21342389777101</v>
      </c>
      <c r="T19" s="13">
        <v>317.70990707071405</v>
      </c>
      <c r="U19" s="13">
        <v>301.21260295178109</v>
      </c>
      <c r="V19" s="13">
        <v>285.56865358303293</v>
      </c>
      <c r="W19" s="13">
        <v>270.65170734740406</v>
      </c>
      <c r="X19" s="13">
        <v>256.35725922960279</v>
      </c>
      <c r="Y19" s="13">
        <v>242.59841306840428</v>
      </c>
      <c r="Z19" s="13">
        <v>229.30224779197778</v>
      </c>
      <c r="AA19" s="13">
        <v>216.4068028179974</v>
      </c>
      <c r="AB19" s="13">
        <v>203.85862773208942</v>
      </c>
      <c r="AC19" s="13">
        <v>191.61081797747929</v>
      </c>
      <c r="AD19" s="13">
        <v>179.62145631682216</v>
      </c>
      <c r="AE19" s="13">
        <v>167.85238671218343</v>
      </c>
      <c r="AF19" s="13">
        <v>156.26825695941213</v>
      </c>
      <c r="AG19" s="13">
        <v>144.83577614036437</v>
      </c>
      <c r="AH19" s="13">
        <v>133.52314157778008</v>
      </c>
      <c r="AI19" s="13">
        <v>122.29959712729527</v>
      </c>
      <c r="AJ19" s="13">
        <v>111.1350903007133</v>
      </c>
      <c r="AK19" s="13">
        <f t="shared" si="3"/>
        <v>100</v>
      </c>
      <c r="AL19" s="26">
        <f t="shared" si="4"/>
        <v>4.6666666666666669E-2</v>
      </c>
      <c r="AM19" s="25">
        <v>15</v>
      </c>
    </row>
    <row r="20" spans="1:39" x14ac:dyDescent="0.25">
      <c r="A20" s="21" t="s">
        <v>19</v>
      </c>
      <c r="B20" s="22">
        <f>B13/(B5^2)</f>
        <v>4139999.9999999991</v>
      </c>
      <c r="E20" s="25">
        <v>14</v>
      </c>
      <c r="F20" s="26">
        <f t="shared" si="1"/>
        <v>4.3333333333333335E-2</v>
      </c>
      <c r="G20" s="13">
        <f t="shared" si="2"/>
        <v>300</v>
      </c>
      <c r="H20" s="13">
        <v>476.03829174326665</v>
      </c>
      <c r="I20" s="13">
        <v>497.45571795686942</v>
      </c>
      <c r="J20" s="13">
        <v>496.42661595524532</v>
      </c>
      <c r="K20" s="13">
        <v>483.77248217260563</v>
      </c>
      <c r="L20" s="13">
        <v>465.53083362585437</v>
      </c>
      <c r="M20" s="13">
        <v>445.00632272267376</v>
      </c>
      <c r="N20" s="13">
        <v>423.95567321353087</v>
      </c>
      <c r="O20" s="13">
        <v>403.2681998454363</v>
      </c>
      <c r="P20" s="13">
        <v>383.35441947434072</v>
      </c>
      <c r="Q20" s="13">
        <v>364.36652417804913</v>
      </c>
      <c r="R20" s="13">
        <v>346.32238745397001</v>
      </c>
      <c r="S20" s="13">
        <v>329.1744403869659</v>
      </c>
      <c r="T20" s="13">
        <v>312.84719033829629</v>
      </c>
      <c r="U20" s="13">
        <v>297.25702102118214</v>
      </c>
      <c r="V20" s="13">
        <v>282.3220797625209</v>
      </c>
      <c r="W20" s="13">
        <v>267.96670532964708</v>
      </c>
      <c r="X20" s="13">
        <v>254.12292527855152</v>
      </c>
      <c r="Y20" s="13">
        <v>240.73044850258412</v>
      </c>
      <c r="Z20" s="13">
        <v>227.73594731311499</v>
      </c>
      <c r="AA20" s="13">
        <v>215.09206317201847</v>
      </c>
      <c r="AB20" s="13">
        <v>202.75636568239327</v>
      </c>
      <c r="AC20" s="13">
        <v>190.69037924568144</v>
      </c>
      <c r="AD20" s="13">
        <v>178.85872772158922</v>
      </c>
      <c r="AE20" s="13">
        <v>167.22841250666534</v>
      </c>
      <c r="AF20" s="13">
        <v>155.76822103402432</v>
      </c>
      <c r="AG20" s="13">
        <v>144.44825352128339</v>
      </c>
      <c r="AH20" s="13">
        <v>133.23955168487436</v>
      </c>
      <c r="AI20" s="13">
        <v>122.11381171078293</v>
      </c>
      <c r="AJ20" s="13">
        <v>111.04316366739278</v>
      </c>
      <c r="AK20" s="13">
        <f t="shared" si="3"/>
        <v>100</v>
      </c>
      <c r="AL20" s="26">
        <f t="shared" si="4"/>
        <v>4.3333333333333335E-2</v>
      </c>
      <c r="AM20" s="25">
        <v>14</v>
      </c>
    </row>
    <row r="21" spans="1:39" x14ac:dyDescent="0.25">
      <c r="A21" s="21" t="s">
        <v>20</v>
      </c>
      <c r="B21" s="22">
        <f>(2*B13)/(B5^2)+(B12*B11)/B8</f>
        <v>11867999.999999998</v>
      </c>
      <c r="E21" s="25">
        <v>13</v>
      </c>
      <c r="F21" s="26">
        <f t="shared" si="1"/>
        <v>0.04</v>
      </c>
      <c r="G21" s="13">
        <f t="shared" si="2"/>
        <v>300</v>
      </c>
      <c r="H21" s="13">
        <v>405.50673362953279</v>
      </c>
      <c r="I21" s="13">
        <v>434.29321553105467</v>
      </c>
      <c r="J21" s="13">
        <v>443.70068785925548</v>
      </c>
      <c r="K21" s="13">
        <v>441.27372414661761</v>
      </c>
      <c r="L21" s="13">
        <v>431.86928971334385</v>
      </c>
      <c r="M21" s="13">
        <v>418.54430876043199</v>
      </c>
      <c r="N21" s="13">
        <v>403.18344450622277</v>
      </c>
      <c r="O21" s="13">
        <v>386.92344245909078</v>
      </c>
      <c r="P21" s="13">
        <v>370.43172478325948</v>
      </c>
      <c r="Q21" s="13">
        <v>354.08562162952126</v>
      </c>
      <c r="R21" s="13">
        <v>338.08592528723022</v>
      </c>
      <c r="S21" s="13">
        <v>322.5279226064082</v>
      </c>
      <c r="T21" s="13">
        <v>307.44530011317931</v>
      </c>
      <c r="U21" s="13">
        <v>292.836936390875</v>
      </c>
      <c r="V21" s="13">
        <v>278.68300054301858</v>
      </c>
      <c r="W21" s="13">
        <v>264.95442761527113</v>
      </c>
      <c r="X21" s="13">
        <v>251.61833236057078</v>
      </c>
      <c r="Y21" s="13">
        <v>238.64096254876961</v>
      </c>
      <c r="Z21" s="13">
        <v>225.98918677204779</v>
      </c>
      <c r="AA21" s="13">
        <v>213.63113094727072</v>
      </c>
      <c r="AB21" s="13">
        <v>201.53633954595412</v>
      </c>
      <c r="AC21" s="13">
        <v>189.67568909547046</v>
      </c>
      <c r="AD21" s="13">
        <v>178.02118921862814</v>
      </c>
      <c r="AE21" s="13">
        <v>166.54574934260052</v>
      </c>
      <c r="AF21" s="13">
        <v>155.22295399362912</v>
      </c>
      <c r="AG21" s="13">
        <v>144.02686802447545</v>
      </c>
      <c r="AH21" s="13">
        <v>132.93188002103454</v>
      </c>
      <c r="AI21" s="13">
        <v>121.91258426820218</v>
      </c>
      <c r="AJ21" s="13">
        <v>110.94369700410017</v>
      </c>
      <c r="AK21" s="13">
        <f t="shared" si="3"/>
        <v>100</v>
      </c>
      <c r="AL21" s="26">
        <f t="shared" si="4"/>
        <v>0.04</v>
      </c>
      <c r="AM21" s="25">
        <v>13</v>
      </c>
    </row>
    <row r="22" spans="1:39" x14ac:dyDescent="0.25">
      <c r="A22" s="21" t="s">
        <v>21</v>
      </c>
      <c r="B22" s="22">
        <f>B20</f>
        <v>4139999.9999999991</v>
      </c>
      <c r="E22" s="25">
        <v>12</v>
      </c>
      <c r="F22" s="26">
        <f t="shared" si="1"/>
        <v>3.6666666666666667E-2</v>
      </c>
      <c r="G22" s="13">
        <f t="shared" si="2"/>
        <v>300</v>
      </c>
      <c r="H22" s="13">
        <v>365.6978415554139</v>
      </c>
      <c r="I22" s="13">
        <v>392.69382069686185</v>
      </c>
      <c r="J22" s="13">
        <v>405.23608699917463</v>
      </c>
      <c r="K22" s="13">
        <v>407.78564026691487</v>
      </c>
      <c r="L22" s="13">
        <v>403.66119875512902</v>
      </c>
      <c r="M22" s="13">
        <v>395.22262163711332</v>
      </c>
      <c r="N22" s="13">
        <v>384.09635684189027</v>
      </c>
      <c r="O22" s="13">
        <v>371.37686711977028</v>
      </c>
      <c r="P22" s="13">
        <v>357.78572155612022</v>
      </c>
      <c r="Q22" s="13">
        <v>343.78933188171334</v>
      </c>
      <c r="R22" s="13">
        <v>329.68267431085121</v>
      </c>
      <c r="S22" s="13">
        <v>315.64724141087322</v>
      </c>
      <c r="T22" s="13">
        <v>301.79037574931169</v>
      </c>
      <c r="U22" s="13">
        <v>288.17155709621801</v>
      </c>
      <c r="V22" s="13">
        <v>274.81973941806541</v>
      </c>
      <c r="W22" s="13">
        <v>261.74464394618843</v>
      </c>
      <c r="X22" s="13">
        <v>248.94402238934964</v>
      </c>
      <c r="Y22" s="13">
        <v>236.40826324963135</v>
      </c>
      <c r="Z22" s="13">
        <v>224.12326583982701</v>
      </c>
      <c r="AA22" s="13">
        <v>212.0721986916835</v>
      </c>
      <c r="AB22" s="13">
        <v>200.23655024738338</v>
      </c>
      <c r="AC22" s="13">
        <v>188.59673941311166</v>
      </c>
      <c r="AD22" s="13">
        <v>177.13245988807273</v>
      </c>
      <c r="AE22" s="13">
        <v>165.82286997719348</v>
      </c>
      <c r="AF22" s="13">
        <v>154.64669845968314</v>
      </c>
      <c r="AG22" s="13">
        <v>143.58230998905674</v>
      </c>
      <c r="AH22" s="13">
        <v>132.60775572577387</v>
      </c>
      <c r="AI22" s="13">
        <v>121.70082330488253</v>
      </c>
      <c r="AJ22" s="13">
        <v>110.83909273121793</v>
      </c>
      <c r="AK22" s="13">
        <f t="shared" si="3"/>
        <v>100</v>
      </c>
      <c r="AL22" s="26">
        <f t="shared" si="4"/>
        <v>3.6666666666666667E-2</v>
      </c>
      <c r="AM22" s="25">
        <v>12</v>
      </c>
    </row>
    <row r="23" spans="1:39" x14ac:dyDescent="0.25">
      <c r="A23" s="12"/>
      <c r="B23" s="12"/>
      <c r="E23" s="25">
        <v>11</v>
      </c>
      <c r="F23" s="26">
        <f t="shared" si="1"/>
        <v>3.3333333333333333E-2</v>
      </c>
      <c r="G23" s="13">
        <f t="shared" si="2"/>
        <v>300</v>
      </c>
      <c r="H23" s="13">
        <v>342.40709158341156</v>
      </c>
      <c r="I23" s="13">
        <v>364.88717836647828</v>
      </c>
      <c r="J23" s="13">
        <v>377.23092871492531</v>
      </c>
      <c r="K23" s="13">
        <v>381.77603750288336</v>
      </c>
      <c r="L23" s="13">
        <v>380.57920801777675</v>
      </c>
      <c r="M23" s="13">
        <v>375.29397792404905</v>
      </c>
      <c r="N23" s="13">
        <v>367.18137319407856</v>
      </c>
      <c r="O23" s="13">
        <v>357.1702361518212</v>
      </c>
      <c r="P23" s="13">
        <v>345.92795121427957</v>
      </c>
      <c r="Q23" s="13">
        <v>333.92497374356867</v>
      </c>
      <c r="R23" s="13">
        <v>321.48770063758036</v>
      </c>
      <c r="S23" s="13">
        <v>308.83927704694202</v>
      </c>
      <c r="T23" s="13">
        <v>296.12992266495684</v>
      </c>
      <c r="U23" s="13">
        <v>283.45889005499663</v>
      </c>
      <c r="V23" s="13">
        <v>270.89006412310738</v>
      </c>
      <c r="W23" s="13">
        <v>258.46288342013247</v>
      </c>
      <c r="X23" s="13">
        <v>246.19989774440933</v>
      </c>
      <c r="Y23" s="13">
        <v>234.11194884520523</v>
      </c>
      <c r="Z23" s="13">
        <v>222.20169511080547</v>
      </c>
      <c r="AA23" s="13">
        <v>210.46599675720097</v>
      </c>
      <c r="AB23" s="13">
        <v>198.89752622890006</v>
      </c>
      <c r="AC23" s="13">
        <v>187.48585831122949</v>
      </c>
      <c r="AD23" s="13">
        <v>176.21821571379502</v>
      </c>
      <c r="AE23" s="13">
        <v>165.07999028693752</v>
      </c>
      <c r="AF23" s="13">
        <v>154.05512112485076</v>
      </c>
      <c r="AG23" s="13">
        <v>143.12638377658686</v>
      </c>
      <c r="AH23" s="13">
        <v>132.27562612652517</v>
      </c>
      <c r="AI23" s="13">
        <v>121.48397371596425</v>
      </c>
      <c r="AJ23" s="13">
        <v>110.73201859528201</v>
      </c>
      <c r="AK23" s="13">
        <f t="shared" si="3"/>
        <v>100</v>
      </c>
      <c r="AL23" s="26">
        <f t="shared" si="4"/>
        <v>3.3333333333333333E-2</v>
      </c>
      <c r="AM23" s="25">
        <v>11</v>
      </c>
    </row>
    <row r="24" spans="1:39" x14ac:dyDescent="0.25">
      <c r="A24" s="43" t="s">
        <v>33</v>
      </c>
      <c r="B24" s="43"/>
      <c r="E24" s="25">
        <v>10</v>
      </c>
      <c r="F24" s="26">
        <f t="shared" si="1"/>
        <v>3.0000000000000002E-2</v>
      </c>
      <c r="G24" s="13">
        <f t="shared" si="2"/>
        <v>300</v>
      </c>
      <c r="H24" s="13">
        <v>328.25183054343847</v>
      </c>
      <c r="I24" s="13">
        <v>345.98123504969658</v>
      </c>
      <c r="J24" s="13">
        <v>356.78572362096423</v>
      </c>
      <c r="K24" s="13">
        <v>361.72665498648149</v>
      </c>
      <c r="L24" s="13">
        <v>361.97827638526803</v>
      </c>
      <c r="M24" s="13">
        <v>358.6232006634192</v>
      </c>
      <c r="N24" s="13">
        <v>352.57501596599985</v>
      </c>
      <c r="O24" s="13">
        <v>344.56554859924358</v>
      </c>
      <c r="P24" s="13">
        <v>335.16145946674459</v>
      </c>
      <c r="Q24" s="13">
        <v>324.79129353690774</v>
      </c>
      <c r="R24" s="13">
        <v>313.77361517649581</v>
      </c>
      <c r="S24" s="13">
        <v>302.34212128564099</v>
      </c>
      <c r="T24" s="13">
        <v>290.66637658092702</v>
      </c>
      <c r="U24" s="13">
        <v>278.86814819628086</v>
      </c>
      <c r="V24" s="13">
        <v>267.03387985281336</v>
      </c>
      <c r="W24" s="13">
        <v>255.22401399479992</v>
      </c>
      <c r="X24" s="13">
        <v>243.47985190645414</v>
      </c>
      <c r="Y24" s="13">
        <v>231.82854795299733</v>
      </c>
      <c r="Z24" s="13">
        <v>220.28672060171721</v>
      </c>
      <c r="AA24" s="13">
        <v>208.8630554632586</v>
      </c>
      <c r="AB24" s="13">
        <v>197.56018412209647</v>
      </c>
      <c r="AC24" s="13">
        <v>186.37604906829102</v>
      </c>
      <c r="AD24" s="13">
        <v>175.30490818997623</v>
      </c>
      <c r="AE24" s="13">
        <v>164.33808937518245</v>
      </c>
      <c r="AF24" s="13">
        <v>153.46457396460184</v>
      </c>
      <c r="AG24" s="13">
        <v>142.67146454504081</v>
      </c>
      <c r="AH24" s="13">
        <v>131.94437577141733</v>
      </c>
      <c r="AI24" s="13">
        <v>121.2677748999794</v>
      </c>
      <c r="AJ24" s="13">
        <v>110.62529025365676</v>
      </c>
      <c r="AK24" s="13">
        <f t="shared" si="3"/>
        <v>100</v>
      </c>
      <c r="AL24" s="26">
        <f t="shared" si="4"/>
        <v>3.0000000000000002E-2</v>
      </c>
      <c r="AM24" s="25">
        <v>10</v>
      </c>
    </row>
    <row r="25" spans="1:39" x14ac:dyDescent="0.25">
      <c r="A25" s="23" t="s">
        <v>19</v>
      </c>
      <c r="B25" s="23">
        <f>B13/(B6^2)</f>
        <v>4139999.9999999991</v>
      </c>
      <c r="E25" s="25">
        <v>9</v>
      </c>
      <c r="F25" s="26">
        <f t="shared" si="1"/>
        <v>2.6666666666666668E-2</v>
      </c>
      <c r="G25" s="13">
        <f t="shared" si="2"/>
        <v>300</v>
      </c>
      <c r="H25" s="13">
        <v>319.31680981019099</v>
      </c>
      <c r="I25" s="13">
        <v>332.90292138000291</v>
      </c>
      <c r="J25" s="13">
        <v>341.78950269496715</v>
      </c>
      <c r="K25" s="13">
        <v>346.33621558574839</v>
      </c>
      <c r="L25" s="13">
        <v>347.15135577307507</v>
      </c>
      <c r="M25" s="13">
        <v>344.90221249495693</v>
      </c>
      <c r="N25" s="13">
        <v>340.21758912124199</v>
      </c>
      <c r="O25" s="13">
        <v>333.64542350637231</v>
      </c>
      <c r="P25" s="13">
        <v>325.64116618718214</v>
      </c>
      <c r="Q25" s="13">
        <v>316.57184140016363</v>
      </c>
      <c r="R25" s="13">
        <v>306.72695706253285</v>
      </c>
      <c r="S25" s="13">
        <v>296.33140013140445</v>
      </c>
      <c r="T25" s="13">
        <v>285.55785890500454</v>
      </c>
      <c r="U25" s="13">
        <v>274.53770102228788</v>
      </c>
      <c r="V25" s="13">
        <v>263.36999086533774</v>
      </c>
      <c r="W25" s="13">
        <v>252.12870861215148</v>
      </c>
      <c r="X25" s="13">
        <v>240.8683974631891</v>
      </c>
      <c r="Y25" s="13">
        <v>229.62851440401784</v>
      </c>
      <c r="Z25" s="13">
        <v>218.43675127572368</v>
      </c>
      <c r="AA25" s="13">
        <v>207.31155955643843</v>
      </c>
      <c r="AB25" s="13">
        <v>196.26407154156357</v>
      </c>
      <c r="AC25" s="13">
        <v>185.29957115019636</v>
      </c>
      <c r="AD25" s="13">
        <v>174.41863306504143</v>
      </c>
      <c r="AE25" s="13">
        <v>163.61802041494633</v>
      </c>
      <c r="AF25" s="13">
        <v>152.89140854354534</v>
      </c>
      <c r="AG25" s="13">
        <v>142.22998484815326</v>
      </c>
      <c r="AH25" s="13">
        <v>131.62296134356382</v>
      </c>
      <c r="AI25" s="13">
        <v>121.05802666725742</v>
      </c>
      <c r="AJ25" s="13">
        <v>110.52175697500307</v>
      </c>
      <c r="AK25" s="13">
        <f t="shared" si="3"/>
        <v>100</v>
      </c>
      <c r="AL25" s="26">
        <f t="shared" si="4"/>
        <v>2.6666666666666668E-2</v>
      </c>
      <c r="AM25" s="25">
        <v>9</v>
      </c>
    </row>
    <row r="26" spans="1:39" x14ac:dyDescent="0.25">
      <c r="A26" s="23" t="s">
        <v>20</v>
      </c>
      <c r="B26" s="23">
        <f>(2*B13)/(B6^2)+(B12*B11)/B8</f>
        <v>11867999.999999998</v>
      </c>
      <c r="D26" t="s">
        <v>48</v>
      </c>
      <c r="E26" s="25">
        <v>8</v>
      </c>
      <c r="F26" s="26">
        <f t="shared" si="1"/>
        <v>2.3333333333333334E-2</v>
      </c>
      <c r="G26" s="13">
        <f t="shared" si="2"/>
        <v>300</v>
      </c>
      <c r="H26" s="13">
        <v>313.47775088796527</v>
      </c>
      <c r="I26" s="13">
        <v>323.71547752487993</v>
      </c>
      <c r="J26" s="13">
        <v>330.74318261287863</v>
      </c>
      <c r="K26" s="13">
        <v>334.5646601688415</v>
      </c>
      <c r="L26" s="13">
        <v>335.44609583407134</v>
      </c>
      <c r="M26" s="13">
        <v>333.77113052833789</v>
      </c>
      <c r="N26" s="13">
        <v>329.95310074142651</v>
      </c>
      <c r="O26" s="13">
        <v>324.3865249994318</v>
      </c>
      <c r="P26" s="13">
        <v>317.42374836808017</v>
      </c>
      <c r="Q26" s="13">
        <v>309.36669541967984</v>
      </c>
      <c r="R26" s="13">
        <v>300.46702995912631</v>
      </c>
      <c r="S26" s="13">
        <v>290.93049771622248</v>
      </c>
      <c r="T26" s="13">
        <v>280.92293542098241</v>
      </c>
      <c r="U26" s="13">
        <v>270.5765436952704</v>
      </c>
      <c r="V26" s="13">
        <v>259.99571400705463</v>
      </c>
      <c r="W26" s="13">
        <v>249.26211000617494</v>
      </c>
      <c r="X26" s="13">
        <v>238.4389322586876</v>
      </c>
      <c r="Y26" s="13">
        <v>227.5744125214884</v>
      </c>
      <c r="Z26" s="13">
        <v>216.70463516177489</v>
      </c>
      <c r="AA26" s="13">
        <v>205.85579817336486</v>
      </c>
      <c r="AB26" s="13">
        <v>195.04602217918119</v>
      </c>
      <c r="AC26" s="13">
        <v>184.28680320392874</v>
      </c>
      <c r="AD26" s="13">
        <v>173.58418963266962</v>
      </c>
      <c r="AE26" s="13">
        <v>162.93974864583564</v>
      </c>
      <c r="AF26" s="13">
        <v>152.35137393056482</v>
      </c>
      <c r="AG26" s="13">
        <v>141.8139751064428</v>
      </c>
      <c r="AH26" s="13">
        <v>131.32008009940353</v>
      </c>
      <c r="AI26" s="13">
        <v>120.86037446443103</v>
      </c>
      <c r="AJ26" s="13">
        <v>110.42419613468786</v>
      </c>
      <c r="AK26" s="13">
        <f t="shared" si="3"/>
        <v>100</v>
      </c>
      <c r="AL26" s="26">
        <f t="shared" si="4"/>
        <v>2.3333333333333334E-2</v>
      </c>
      <c r="AM26" s="25">
        <v>8</v>
      </c>
    </row>
    <row r="27" spans="1:39" x14ac:dyDescent="0.25">
      <c r="A27" s="23" t="s">
        <v>21</v>
      </c>
      <c r="B27" s="23">
        <f>B25</f>
        <v>4139999.9999999991</v>
      </c>
      <c r="E27" s="25">
        <v>7</v>
      </c>
      <c r="F27" s="26">
        <f t="shared" si="1"/>
        <v>0.02</v>
      </c>
      <c r="G27" s="13">
        <f t="shared" si="2"/>
        <v>300</v>
      </c>
      <c r="H27" s="13">
        <v>309.55300255108568</v>
      </c>
      <c r="I27" s="13">
        <v>317.1900944348256</v>
      </c>
      <c r="J27" s="13">
        <v>322.59675014007996</v>
      </c>
      <c r="K27" s="13">
        <v>325.61326933253565</v>
      </c>
      <c r="L27" s="13">
        <v>326.30886814751869</v>
      </c>
      <c r="M27" s="13">
        <v>324.88180436914251</v>
      </c>
      <c r="N27" s="13">
        <v>321.59061437838437</v>
      </c>
      <c r="O27" s="13">
        <v>316.71016061574807</v>
      </c>
      <c r="P27" s="13">
        <v>310.50571257580953</v>
      </c>
      <c r="Q27" s="13">
        <v>303.21927342952006</v>
      </c>
      <c r="R27" s="13">
        <v>295.06373722562211</v>
      </c>
      <c r="S27" s="13">
        <v>286.22174542179823</v>
      </c>
      <c r="T27" s="13">
        <v>276.84714346701315</v>
      </c>
      <c r="U27" s="13">
        <v>267.06769966956779</v>
      </c>
      <c r="V27" s="13">
        <v>256.98827820992926</v>
      </c>
      <c r="W27" s="13">
        <v>246.69400940052861</v>
      </c>
      <c r="X27" s="13">
        <v>236.25322328777673</v>
      </c>
      <c r="Y27" s="13">
        <v>225.72004792032732</v>
      </c>
      <c r="Z27" s="13">
        <v>215.13665118550233</v>
      </c>
      <c r="AA27" s="13">
        <v>204.53514624128184</v>
      </c>
      <c r="AB27" s="13">
        <v>193.93919955408796</v>
      </c>
      <c r="AC27" s="13">
        <v>183.36538671448889</v>
      </c>
      <c r="AD27" s="13">
        <v>172.82434041629492</v>
      </c>
      <c r="AE27" s="13">
        <v>162.32173082180074</v>
      </c>
      <c r="AF27" s="13">
        <v>151.85911308419901</v>
      </c>
      <c r="AG27" s="13">
        <v>141.43467121423964</v>
      </c>
      <c r="AH27" s="13">
        <v>131.04388235516657</v>
      </c>
      <c r="AI27" s="13">
        <v>120.6801211328534</v>
      </c>
      <c r="AJ27" s="13">
        <v>110.33522016122032</v>
      </c>
      <c r="AK27" s="13">
        <f t="shared" si="3"/>
        <v>100</v>
      </c>
      <c r="AL27" s="26">
        <f t="shared" si="4"/>
        <v>0.02</v>
      </c>
      <c r="AM27" s="25">
        <v>7</v>
      </c>
    </row>
    <row r="28" spans="1:39" x14ac:dyDescent="0.25">
      <c r="E28" s="25">
        <v>6</v>
      </c>
      <c r="F28" s="26">
        <f t="shared" si="1"/>
        <v>1.6666666666666666E-2</v>
      </c>
      <c r="G28" s="13">
        <f t="shared" si="2"/>
        <v>300</v>
      </c>
      <c r="H28" s="13">
        <v>306.86813476800336</v>
      </c>
      <c r="I28" s="13">
        <v>312.5409772916729</v>
      </c>
      <c r="J28" s="13">
        <v>316.62100974886641</v>
      </c>
      <c r="K28" s="13">
        <v>318.88477449482309</v>
      </c>
      <c r="L28" s="13">
        <v>319.29329427751429</v>
      </c>
      <c r="M28" s="13">
        <v>317.92782050450455</v>
      </c>
      <c r="N28" s="13">
        <v>314.93990423540458</v>
      </c>
      <c r="O28" s="13">
        <v>310.51551394451383</v>
      </c>
      <c r="P28" s="13">
        <v>304.85090045851575</v>
      </c>
      <c r="Q28" s="13">
        <v>298.13743279615755</v>
      </c>
      <c r="R28" s="13">
        <v>290.55285946653231</v>
      </c>
      <c r="S28" s="13">
        <v>282.25693384725167</v>
      </c>
      <c r="T28" s="13">
        <v>273.389855487543</v>
      </c>
      <c r="U28" s="13">
        <v>264.07242627414757</v>
      </c>
      <c r="V28" s="13">
        <v>254.40717293952747</v>
      </c>
      <c r="W28" s="13">
        <v>244.47994826163051</v>
      </c>
      <c r="X28" s="13">
        <v>234.36170750593175</v>
      </c>
      <c r="Y28" s="13">
        <v>224.1102817745998</v>
      </c>
      <c r="Z28" s="13">
        <v>213.77205190903754</v>
      </c>
      <c r="AA28" s="13">
        <v>203.38347834425414</v>
      </c>
      <c r="AB28" s="13">
        <v>192.97247358572764</v>
      </c>
      <c r="AC28" s="13">
        <v>182.55962180195601</v>
      </c>
      <c r="AD28" s="13">
        <v>172.15925929217252</v>
      </c>
      <c r="AE28" s="13">
        <v>161.78043360659962</v>
      </c>
      <c r="AF28" s="13">
        <v>151.42776004474996</v>
      </c>
      <c r="AG28" s="13">
        <v>141.10219353507034</v>
      </c>
      <c r="AH28" s="13">
        <v>130.8017323826802</v>
      </c>
      <c r="AI28" s="13">
        <v>120.522068594088</v>
      </c>
      <c r="AJ28" s="13">
        <v>110.25719776230059</v>
      </c>
      <c r="AK28" s="13">
        <f t="shared" si="3"/>
        <v>100</v>
      </c>
      <c r="AL28" s="26">
        <f t="shared" si="4"/>
        <v>1.6666666666666666E-2</v>
      </c>
      <c r="AM28" s="25">
        <v>6</v>
      </c>
    </row>
    <row r="29" spans="1:39" x14ac:dyDescent="0.25">
      <c r="E29" s="25">
        <v>5</v>
      </c>
      <c r="F29" s="26">
        <f t="shared" si="1"/>
        <v>1.3333333333333334E-2</v>
      </c>
      <c r="G29" s="13">
        <f t="shared" si="2"/>
        <v>300</v>
      </c>
      <c r="H29" s="13">
        <v>305.02896529895924</v>
      </c>
      <c r="I29" s="13">
        <v>309.26267822832546</v>
      </c>
      <c r="J29" s="13">
        <v>312.31381287327827</v>
      </c>
      <c r="K29" s="13">
        <v>313.94249945922445</v>
      </c>
      <c r="L29" s="13">
        <v>314.05332349408559</v>
      </c>
      <c r="M29" s="13">
        <v>312.65604799915059</v>
      </c>
      <c r="N29" s="13">
        <v>309.83086778781887</v>
      </c>
      <c r="O29" s="13">
        <v>305.70054009280358</v>
      </c>
      <c r="P29" s="13">
        <v>300.4095247960372</v>
      </c>
      <c r="Q29" s="13">
        <v>294.10925437264348</v>
      </c>
      <c r="R29" s="13">
        <v>286.9483184001038</v>
      </c>
      <c r="S29" s="13">
        <v>279.06635983374377</v>
      </c>
      <c r="T29" s="13">
        <v>270.59064491318213</v>
      </c>
      <c r="U29" s="13">
        <v>261.63447849939422</v>
      </c>
      <c r="V29" s="13">
        <v>252.29683876624281</v>
      </c>
      <c r="W29" s="13">
        <v>242.66277733848489</v>
      </c>
      <c r="X29" s="13">
        <v>232.80426750591309</v>
      </c>
      <c r="Y29" s="13">
        <v>222.78128627161968</v>
      </c>
      <c r="Z29" s="13">
        <v>212.64299104380271</v>
      </c>
      <c r="AA29" s="13">
        <v>202.42890472190868</v>
      </c>
      <c r="AB29" s="13">
        <v>192.17005921556125</v>
      </c>
      <c r="AC29" s="13">
        <v>181.8900715942064</v>
      </c>
      <c r="AD29" s="13">
        <v>171.60614263593334</v>
      </c>
      <c r="AE29" s="13">
        <v>161.32997718466805</v>
      </c>
      <c r="AF29" s="13">
        <v>151.06863137542524</v>
      </c>
      <c r="AG29" s="13">
        <v>140.82529482939361</v>
      </c>
      <c r="AH29" s="13">
        <v>130.6000173196399</v>
      </c>
      <c r="AI29" s="13">
        <v>120.39038982674808</v>
      </c>
      <c r="AJ29" s="13">
        <v>110.19218978897855</v>
      </c>
      <c r="AK29" s="13">
        <f t="shared" si="3"/>
        <v>100</v>
      </c>
      <c r="AL29" s="26">
        <f t="shared" si="4"/>
        <v>1.3333333333333334E-2</v>
      </c>
      <c r="AM29" s="25">
        <v>5</v>
      </c>
    </row>
    <row r="30" spans="1:39" x14ac:dyDescent="0.25">
      <c r="E30" s="25">
        <v>4</v>
      </c>
      <c r="F30" s="26">
        <f t="shared" si="1"/>
        <v>0.01</v>
      </c>
      <c r="G30" s="13">
        <f t="shared" si="2"/>
        <v>300</v>
      </c>
      <c r="H30" s="13">
        <v>303.80133309509216</v>
      </c>
      <c r="I30" s="13">
        <v>307.03064107517997</v>
      </c>
      <c r="J30" s="13">
        <v>309.33446893152166</v>
      </c>
      <c r="K30" s="13">
        <v>310.475677075882</v>
      </c>
      <c r="L30" s="13">
        <v>310.33119528958599</v>
      </c>
      <c r="M30" s="13">
        <v>308.86880250354841</v>
      </c>
      <c r="N30" s="13">
        <v>306.12319387634875</v>
      </c>
      <c r="O30" s="13">
        <v>302.17454180787468</v>
      </c>
      <c r="P30" s="13">
        <v>297.13085922018365</v>
      </c>
      <c r="Q30" s="13">
        <v>291.1143721100637</v>
      </c>
      <c r="R30" s="13">
        <v>284.25154126550774</v>
      </c>
      <c r="S30" s="13">
        <v>276.66613730383722</v>
      </c>
      <c r="T30" s="13">
        <v>268.47472686873141</v>
      </c>
      <c r="U30" s="13">
        <v>259.78397858378401</v>
      </c>
      <c r="V30" s="13">
        <v>250.68928903571123</v>
      </c>
      <c r="W30" s="13">
        <v>241.27432992588592</v>
      </c>
      <c r="X30" s="13">
        <v>231.61121139083355</v>
      </c>
      <c r="Y30" s="13">
        <v>221.7610364577742</v>
      </c>
      <c r="Z30" s="13">
        <v>211.77468597933631</v>
      </c>
      <c r="AA30" s="13">
        <v>201.69372313689129</v>
      </c>
      <c r="AB30" s="13">
        <v>191.55134380395691</v>
      </c>
      <c r="AC30" s="13">
        <v>181.37332610606379</v>
      </c>
      <c r="AD30" s="13">
        <v>171.17895166022629</v>
      </c>
      <c r="AE30" s="13">
        <v>160.98188417431999</v>
      </c>
      <c r="AF30" s="13">
        <v>150.7909999227565</v>
      </c>
      <c r="AG30" s="13">
        <v>140.61117033537559</v>
      </c>
      <c r="AH30" s="13">
        <v>130.44400048990559</v>
      </c>
      <c r="AI30" s="13">
        <v>120.28852938996843</v>
      </c>
      <c r="AJ30" s="13">
        <v>110.14189905386698</v>
      </c>
      <c r="AK30" s="13">
        <f t="shared" si="3"/>
        <v>100</v>
      </c>
      <c r="AL30" s="26">
        <f t="shared" si="4"/>
        <v>0.01</v>
      </c>
      <c r="AM30" s="25">
        <v>4</v>
      </c>
    </row>
    <row r="31" spans="1:39" x14ac:dyDescent="0.25">
      <c r="E31" s="25">
        <v>3</v>
      </c>
      <c r="F31" s="26">
        <f t="shared" si="1"/>
        <v>6.6666666666666671E-3</v>
      </c>
      <c r="G31" s="13">
        <f t="shared" si="2"/>
        <v>300</v>
      </c>
      <c r="H31" s="13">
        <v>303.04655795445922</v>
      </c>
      <c r="I31" s="13">
        <v>305.64078279475461</v>
      </c>
      <c r="J31" s="13">
        <v>307.45944496317935</v>
      </c>
      <c r="K31" s="13">
        <v>308.27279008304663</v>
      </c>
      <c r="L31" s="13">
        <v>307.94532207346981</v>
      </c>
      <c r="M31" s="13">
        <v>306.42189581047535</v>
      </c>
      <c r="N31" s="13">
        <v>303.71054588600748</v>
      </c>
      <c r="O31" s="13">
        <v>299.86538666539951</v>
      </c>
      <c r="P31" s="13">
        <v>294.97138666526649</v>
      </c>
      <c r="Q31" s="13">
        <v>289.13178521477539</v>
      </c>
      <c r="R31" s="13">
        <v>282.45828204578481</v>
      </c>
      <c r="S31" s="13">
        <v>275.06377977954742</v>
      </c>
      <c r="T31" s="13">
        <v>267.05729896052969</v>
      </c>
      <c r="U31" s="13">
        <v>258.54064173867403</v>
      </c>
      <c r="V31" s="13">
        <v>249.60640180822435</v>
      </c>
      <c r="W31" s="13">
        <v>240.33697088108278</v>
      </c>
      <c r="X31" s="13">
        <v>230.80425508185965</v>
      </c>
      <c r="Y31" s="13">
        <v>221.06987655020725</v>
      </c>
      <c r="Z31" s="13">
        <v>211.18569045801382</v>
      </c>
      <c r="AA31" s="13">
        <v>201.19449341712436</v>
      </c>
      <c r="AB31" s="13">
        <v>191.13083572127107</v>
      </c>
      <c r="AC31" s="13">
        <v>181.02187791808839</v>
      </c>
      <c r="AD31" s="13">
        <v>170.88825314957293</v>
      </c>
      <c r="AE31" s="13">
        <v>160.7449119137766</v>
      </c>
      <c r="AF31" s="13">
        <v>150.60193666515642</v>
      </c>
      <c r="AG31" s="13">
        <v>140.46532108317103</v>
      </c>
      <c r="AH31" s="13">
        <v>130.33771379508869</v>
      </c>
      <c r="AI31" s="13">
        <v>120.21912954600496</v>
      </c>
      <c r="AJ31" s="13">
        <v>110.10763280677726</v>
      </c>
      <c r="AK31" s="13">
        <f t="shared" si="3"/>
        <v>100</v>
      </c>
      <c r="AL31" s="26">
        <f t="shared" si="4"/>
        <v>6.6666666666666671E-3</v>
      </c>
      <c r="AM31" s="25">
        <v>3</v>
      </c>
    </row>
    <row r="32" spans="1:39" x14ac:dyDescent="0.25">
      <c r="C32">
        <v>0</v>
      </c>
      <c r="E32" s="25">
        <v>2</v>
      </c>
      <c r="F32" s="26">
        <f>$B$6*(E32-1)</f>
        <v>3.3333333333333335E-3</v>
      </c>
      <c r="G32" s="13">
        <f t="shared" si="2"/>
        <v>300</v>
      </c>
      <c r="H32" s="13">
        <v>302.68672988301546</v>
      </c>
      <c r="I32" s="13">
        <v>304.97349666242962</v>
      </c>
      <c r="J32" s="13">
        <v>306.55371116779651</v>
      </c>
      <c r="K32" s="13">
        <v>307.2026952291672</v>
      </c>
      <c r="L32" s="13">
        <v>306.78035807759989</v>
      </c>
      <c r="M32" s="13">
        <v>305.22151616220492</v>
      </c>
      <c r="N32" s="13">
        <v>302.52194142053031</v>
      </c>
      <c r="O32" s="13">
        <v>298.72342050258135</v>
      </c>
      <c r="P32" s="13">
        <v>293.89979427538918</v>
      </c>
      <c r="Q32" s="13">
        <v>288.14497727824289</v>
      </c>
      <c r="R32" s="13">
        <v>281.56330778634606</v>
      </c>
      <c r="S32" s="13">
        <v>274.26218582505214</v>
      </c>
      <c r="T32" s="13">
        <v>266.3467474848344</v>
      </c>
      <c r="U32" s="13">
        <v>257.91623719613261</v>
      </c>
      <c r="V32" s="13">
        <v>249.06172750146317</v>
      </c>
      <c r="W32" s="13">
        <v>239.86486454069521</v>
      </c>
      <c r="X32" s="13">
        <v>230.39736470465053</v>
      </c>
      <c r="Y32" s="13">
        <v>220.72104010414395</v>
      </c>
      <c r="Z32" s="13">
        <v>210.88818005222538</v>
      </c>
      <c r="AA32" s="13">
        <v>200.94215900767671</v>
      </c>
      <c r="AB32" s="13">
        <v>190.91817713175271</v>
      </c>
      <c r="AC32" s="13">
        <v>180.8440678879287</v>
      </c>
      <c r="AD32" s="13">
        <v>170.74112877167366</v>
      </c>
      <c r="AE32" s="13">
        <v>160.62494736716931</v>
      </c>
      <c r="AF32" s="13">
        <v>150.50620659205617</v>
      </c>
      <c r="AG32" s="13">
        <v>140.39146121619251</v>
      </c>
      <c r="AH32" s="13">
        <v>130.28388338466499</v>
      </c>
      <c r="AI32" s="13">
        <v>120.18397863753196</v>
      </c>
      <c r="AJ32" s="13">
        <v>110.0902763467854</v>
      </c>
      <c r="AK32" s="13">
        <f t="shared" si="3"/>
        <v>100</v>
      </c>
      <c r="AL32" s="26">
        <f t="shared" si="4"/>
        <v>3.3333333333333335E-3</v>
      </c>
      <c r="AM32" s="25">
        <v>2</v>
      </c>
    </row>
    <row r="33" spans="5:138" x14ac:dyDescent="0.25">
      <c r="E33" s="25">
        <v>1</v>
      </c>
      <c r="F33" s="26">
        <v>0</v>
      </c>
      <c r="G33" s="13">
        <f t="shared" si="2"/>
        <v>300</v>
      </c>
      <c r="H33" s="13">
        <v>302.68672988301546</v>
      </c>
      <c r="I33" s="13">
        <v>304.97349666242962</v>
      </c>
      <c r="J33" s="13">
        <v>306.55371116779651</v>
      </c>
      <c r="K33" s="13">
        <v>307.2026952291672</v>
      </c>
      <c r="L33" s="13">
        <v>306.78035807759989</v>
      </c>
      <c r="M33" s="13">
        <v>305.22151616220492</v>
      </c>
      <c r="N33" s="13">
        <v>302.52194142053031</v>
      </c>
      <c r="O33" s="13">
        <v>298.72342050258135</v>
      </c>
      <c r="P33" s="13">
        <v>293.89979427538918</v>
      </c>
      <c r="Q33" s="13">
        <v>288.14497727824289</v>
      </c>
      <c r="R33" s="13">
        <v>281.56330778634606</v>
      </c>
      <c r="S33" s="13">
        <v>274.26218582505214</v>
      </c>
      <c r="T33" s="13">
        <v>266.3467474848344</v>
      </c>
      <c r="U33" s="13">
        <v>257.91623719613261</v>
      </c>
      <c r="V33" s="13">
        <v>249.06172750146317</v>
      </c>
      <c r="W33" s="13">
        <v>239.86486454069521</v>
      </c>
      <c r="X33" s="13">
        <v>230.39736470465053</v>
      </c>
      <c r="Y33" s="13">
        <v>220.72104010414395</v>
      </c>
      <c r="Z33" s="13">
        <v>210.88818005222538</v>
      </c>
      <c r="AA33" s="13">
        <v>200.94215900767671</v>
      </c>
      <c r="AB33" s="13">
        <v>190.91817713175271</v>
      </c>
      <c r="AC33" s="13">
        <v>180.8440678879287</v>
      </c>
      <c r="AD33" s="13">
        <v>170.74112877167366</v>
      </c>
      <c r="AE33" s="13">
        <v>160.62494736716931</v>
      </c>
      <c r="AF33" s="13">
        <v>150.50620659205617</v>
      </c>
      <c r="AG33" s="13">
        <v>140.39146121619251</v>
      </c>
      <c r="AH33" s="13">
        <v>130.28388338466499</v>
      </c>
      <c r="AI33" s="13">
        <v>120.18397863753196</v>
      </c>
      <c r="AJ33" s="13">
        <v>110.0902763467854</v>
      </c>
      <c r="AK33" s="13">
        <f t="shared" si="3"/>
        <v>100</v>
      </c>
      <c r="AL33" s="26">
        <f t="shared" si="4"/>
        <v>0</v>
      </c>
      <c r="AM33" s="25">
        <v>1</v>
      </c>
    </row>
    <row r="34" spans="5:138" x14ac:dyDescent="0.25">
      <c r="E34" s="32"/>
      <c r="F34" s="29"/>
      <c r="G34" s="25">
        <v>0</v>
      </c>
      <c r="H34" s="26">
        <f>$B$5*(H35-1)</f>
        <v>3.3333333333333335E-3</v>
      </c>
      <c r="I34" s="26">
        <f t="shared" ref="I34:AK34" si="5">$B$5*(I35-1)</f>
        <v>6.6666666666666671E-3</v>
      </c>
      <c r="J34" s="26">
        <f t="shared" si="5"/>
        <v>0.01</v>
      </c>
      <c r="K34" s="26">
        <f t="shared" si="5"/>
        <v>1.3333333333333334E-2</v>
      </c>
      <c r="L34" s="26">
        <f t="shared" si="5"/>
        <v>1.6666666666666666E-2</v>
      </c>
      <c r="M34" s="26">
        <f t="shared" si="5"/>
        <v>0.02</v>
      </c>
      <c r="N34" s="26">
        <f t="shared" si="5"/>
        <v>2.3333333333333334E-2</v>
      </c>
      <c r="O34" s="26">
        <f t="shared" si="5"/>
        <v>2.6666666666666668E-2</v>
      </c>
      <c r="P34" s="26">
        <f t="shared" si="5"/>
        <v>3.0000000000000002E-2</v>
      </c>
      <c r="Q34" s="26">
        <f t="shared" si="5"/>
        <v>3.3333333333333333E-2</v>
      </c>
      <c r="R34" s="26">
        <f t="shared" si="5"/>
        <v>3.6666666666666667E-2</v>
      </c>
      <c r="S34" s="26">
        <f t="shared" si="5"/>
        <v>0.04</v>
      </c>
      <c r="T34" s="26">
        <f t="shared" si="5"/>
        <v>4.3333333333333335E-2</v>
      </c>
      <c r="U34" s="26">
        <f t="shared" si="5"/>
        <v>4.6666666666666669E-2</v>
      </c>
      <c r="V34" s="26">
        <f t="shared" si="5"/>
        <v>0.05</v>
      </c>
      <c r="W34" s="26">
        <f t="shared" si="5"/>
        <v>5.3333333333333337E-2</v>
      </c>
      <c r="X34" s="26">
        <f t="shared" si="5"/>
        <v>5.6666666666666671E-2</v>
      </c>
      <c r="Y34" s="26">
        <f t="shared" si="5"/>
        <v>6.0000000000000005E-2</v>
      </c>
      <c r="Z34" s="26">
        <f t="shared" si="5"/>
        <v>6.3333333333333339E-2</v>
      </c>
      <c r="AA34" s="26">
        <f t="shared" si="5"/>
        <v>6.6666666666666666E-2</v>
      </c>
      <c r="AB34" s="26">
        <f t="shared" si="5"/>
        <v>7.0000000000000007E-2</v>
      </c>
      <c r="AC34" s="26">
        <f t="shared" si="5"/>
        <v>7.3333333333333334E-2</v>
      </c>
      <c r="AD34" s="26">
        <f t="shared" si="5"/>
        <v>7.6666666666666675E-2</v>
      </c>
      <c r="AE34" s="26">
        <f t="shared" si="5"/>
        <v>0.08</v>
      </c>
      <c r="AF34" s="26">
        <f t="shared" si="5"/>
        <v>8.3333333333333343E-2</v>
      </c>
      <c r="AG34" s="26">
        <f t="shared" si="5"/>
        <v>8.666666666666667E-2</v>
      </c>
      <c r="AH34" s="26">
        <f t="shared" si="5"/>
        <v>9.0000000000000011E-2</v>
      </c>
      <c r="AI34" s="26">
        <f t="shared" si="5"/>
        <v>9.3333333333333338E-2</v>
      </c>
      <c r="AJ34" s="26">
        <f t="shared" si="5"/>
        <v>9.6666666666666679E-2</v>
      </c>
      <c r="AK34" s="26">
        <f t="shared" si="5"/>
        <v>0.1</v>
      </c>
      <c r="AL34" s="24"/>
      <c r="AM34" s="29"/>
      <c r="AN34" s="28"/>
    </row>
    <row r="35" spans="5:138" x14ac:dyDescent="0.25">
      <c r="E35" s="33"/>
      <c r="F35" s="30"/>
      <c r="G35" s="25">
        <v>1</v>
      </c>
      <c r="H35" s="25">
        <v>2</v>
      </c>
      <c r="I35" s="25">
        <v>3</v>
      </c>
      <c r="J35" s="25">
        <v>4</v>
      </c>
      <c r="K35" s="25">
        <v>5</v>
      </c>
      <c r="L35" s="25">
        <v>6</v>
      </c>
      <c r="M35" s="25">
        <v>7</v>
      </c>
      <c r="N35" s="25">
        <v>8</v>
      </c>
      <c r="O35" s="25">
        <v>9</v>
      </c>
      <c r="P35" s="25">
        <v>10</v>
      </c>
      <c r="Q35" s="25">
        <v>11</v>
      </c>
      <c r="R35" s="25">
        <v>12</v>
      </c>
      <c r="S35" s="25">
        <v>13</v>
      </c>
      <c r="T35" s="25">
        <v>14</v>
      </c>
      <c r="U35" s="25">
        <v>15</v>
      </c>
      <c r="V35" s="25">
        <v>16</v>
      </c>
      <c r="W35" s="25">
        <v>17</v>
      </c>
      <c r="X35" s="25">
        <v>18</v>
      </c>
      <c r="Y35" s="25">
        <v>19</v>
      </c>
      <c r="Z35" s="25">
        <v>20</v>
      </c>
      <c r="AA35" s="25">
        <v>21</v>
      </c>
      <c r="AB35" s="25">
        <v>22</v>
      </c>
      <c r="AC35" s="25">
        <v>23</v>
      </c>
      <c r="AD35" s="25">
        <v>24</v>
      </c>
      <c r="AE35" s="25">
        <v>25</v>
      </c>
      <c r="AF35" s="25">
        <v>26</v>
      </c>
      <c r="AG35" s="25">
        <v>27</v>
      </c>
      <c r="AH35" s="25">
        <v>28</v>
      </c>
      <c r="AI35" s="25">
        <v>29</v>
      </c>
      <c r="AJ35" s="25">
        <v>30</v>
      </c>
      <c r="AK35" s="25">
        <v>31</v>
      </c>
      <c r="AL35" s="34"/>
      <c r="AM35" s="30"/>
      <c r="AN35" s="28"/>
    </row>
    <row r="36" spans="5:138" x14ac:dyDescent="0.25"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28"/>
      <c r="AM36" s="31"/>
    </row>
    <row r="37" spans="5:138" x14ac:dyDescent="0.25">
      <c r="AL37" s="28"/>
      <c r="AM37" s="31"/>
    </row>
    <row r="38" spans="5:138" x14ac:dyDescent="0.25">
      <c r="E38" s="48" t="s">
        <v>40</v>
      </c>
      <c r="F38" s="25" t="s">
        <v>39</v>
      </c>
      <c r="G38" s="25">
        <v>0</v>
      </c>
      <c r="H38" s="26">
        <v>3.3333333333333335E-3</v>
      </c>
      <c r="I38" s="26">
        <v>6.6666666666666671E-3</v>
      </c>
      <c r="J38" s="26">
        <v>0.01</v>
      </c>
      <c r="K38" s="26">
        <v>1.3333333333333334E-2</v>
      </c>
      <c r="L38" s="26">
        <v>1.6666666666666666E-2</v>
      </c>
      <c r="M38" s="26">
        <v>0.02</v>
      </c>
      <c r="N38" s="26">
        <v>2.3333333333333334E-2</v>
      </c>
      <c r="O38" s="26">
        <v>2.6666666666666668E-2</v>
      </c>
      <c r="P38" s="26">
        <v>3.0000000000000002E-2</v>
      </c>
      <c r="Q38" s="26">
        <v>3.3333333333333333E-2</v>
      </c>
      <c r="R38" s="26">
        <v>3.6666666666666667E-2</v>
      </c>
      <c r="S38" s="26">
        <v>0.04</v>
      </c>
      <c r="T38" s="26">
        <v>4.3333333333333335E-2</v>
      </c>
      <c r="U38" s="26">
        <v>4.6666666666666669E-2</v>
      </c>
      <c r="V38" s="26">
        <v>0.05</v>
      </c>
      <c r="W38" s="26">
        <v>5.3333333333333337E-2</v>
      </c>
      <c r="X38" s="26">
        <v>5.6666666666666671E-2</v>
      </c>
      <c r="Y38" s="26">
        <v>6.0000000000000005E-2</v>
      </c>
      <c r="Z38" s="26">
        <v>6.3333333333333339E-2</v>
      </c>
      <c r="AA38" s="26">
        <v>6.6666666666666666E-2</v>
      </c>
      <c r="AB38" s="26">
        <v>7.0000000000000007E-2</v>
      </c>
      <c r="AC38" s="26">
        <v>7.3333333333333334E-2</v>
      </c>
      <c r="AD38" s="26">
        <v>7.6666666666666675E-2</v>
      </c>
      <c r="AE38" s="26">
        <v>0.08</v>
      </c>
      <c r="AF38" s="26">
        <v>8.3333333333333343E-2</v>
      </c>
      <c r="AG38" s="26">
        <v>8.666666666666667E-2</v>
      </c>
      <c r="AH38" s="26">
        <v>9.0000000000000011E-2</v>
      </c>
      <c r="AI38" s="26">
        <v>9.3333333333333338E-2</v>
      </c>
      <c r="AJ38" s="26">
        <v>9.6666666666666679E-2</v>
      </c>
      <c r="AK38" s="26">
        <v>0.1</v>
      </c>
      <c r="AL38" s="47" t="s">
        <v>41</v>
      </c>
      <c r="AM38" s="25" t="s">
        <v>39</v>
      </c>
      <c r="AN38" s="25">
        <v>0</v>
      </c>
      <c r="AO38" s="26">
        <v>3.3333333333333335E-3</v>
      </c>
      <c r="AP38" s="26">
        <v>6.6666666666666671E-3</v>
      </c>
      <c r="AQ38" s="26">
        <v>0.01</v>
      </c>
      <c r="AR38" s="26">
        <v>1.3333333333333334E-2</v>
      </c>
      <c r="AS38" s="26">
        <v>1.6666666666666666E-2</v>
      </c>
      <c r="AT38" s="26">
        <v>0.02</v>
      </c>
      <c r="AU38" s="26">
        <v>2.3333333333333334E-2</v>
      </c>
      <c r="AV38" s="26">
        <v>2.6666666666666668E-2</v>
      </c>
      <c r="AW38" s="26">
        <v>3.0000000000000002E-2</v>
      </c>
      <c r="AX38" s="26">
        <v>3.3333333333333333E-2</v>
      </c>
      <c r="AY38" s="26">
        <v>3.6666666666666667E-2</v>
      </c>
      <c r="AZ38" s="26">
        <v>0.04</v>
      </c>
      <c r="BA38" s="26">
        <v>4.3333333333333335E-2</v>
      </c>
      <c r="BB38" s="26">
        <v>4.6666666666666669E-2</v>
      </c>
      <c r="BC38" s="26">
        <v>0.05</v>
      </c>
      <c r="BD38" s="26">
        <v>5.3333333333333337E-2</v>
      </c>
      <c r="BE38" s="26">
        <v>5.6666666666666671E-2</v>
      </c>
      <c r="BF38" s="26">
        <v>6.0000000000000005E-2</v>
      </c>
      <c r="BG38" s="26">
        <v>6.3333333333333339E-2</v>
      </c>
      <c r="BH38" s="26">
        <v>6.6666666666666666E-2</v>
      </c>
      <c r="BI38" s="26">
        <v>7.0000000000000007E-2</v>
      </c>
      <c r="BJ38" s="26">
        <v>7.3333333333333334E-2</v>
      </c>
      <c r="BK38" s="26">
        <v>7.6666666666666675E-2</v>
      </c>
      <c r="BL38" s="26">
        <v>0.08</v>
      </c>
      <c r="BM38" s="26">
        <v>8.3333333333333343E-2</v>
      </c>
      <c r="BN38" s="26">
        <v>8.666666666666667E-2</v>
      </c>
      <c r="BO38" s="26">
        <v>9.0000000000000011E-2</v>
      </c>
      <c r="BP38" s="26">
        <v>9.3333333333333338E-2</v>
      </c>
      <c r="BQ38" s="26">
        <v>9.6666666666666679E-2</v>
      </c>
      <c r="BR38" s="26">
        <v>0.1</v>
      </c>
      <c r="BT38" s="47" t="s">
        <v>43</v>
      </c>
      <c r="BU38" s="25" t="s">
        <v>39</v>
      </c>
      <c r="BV38" s="25">
        <v>0</v>
      </c>
      <c r="BW38" s="26">
        <v>3.3333333333333335E-3</v>
      </c>
      <c r="BX38" s="26">
        <v>6.6666666666666671E-3</v>
      </c>
      <c r="BY38" s="26">
        <v>0.01</v>
      </c>
      <c r="BZ38" s="26">
        <v>1.3333333333333334E-2</v>
      </c>
      <c r="CA38" s="26">
        <v>1.6666666666666666E-2</v>
      </c>
      <c r="CB38" s="26">
        <v>0.02</v>
      </c>
      <c r="CC38" s="26">
        <v>2.3333333333333334E-2</v>
      </c>
      <c r="CD38" s="26">
        <v>2.6666666666666668E-2</v>
      </c>
      <c r="CE38" s="26">
        <v>3.0000000000000002E-2</v>
      </c>
      <c r="CF38" s="26">
        <v>3.3333333333333333E-2</v>
      </c>
      <c r="CG38" s="26">
        <v>3.6666666666666667E-2</v>
      </c>
      <c r="CH38" s="26">
        <v>0.04</v>
      </c>
      <c r="CI38" s="26">
        <v>4.3333333333333335E-2</v>
      </c>
      <c r="CJ38" s="26">
        <v>4.6666666666666669E-2</v>
      </c>
      <c r="CK38" s="26">
        <v>0.05</v>
      </c>
      <c r="CL38" s="26">
        <v>5.3333333333333337E-2</v>
      </c>
      <c r="CM38" s="26">
        <v>5.6666666666666671E-2</v>
      </c>
      <c r="CN38" s="26">
        <v>6.0000000000000005E-2</v>
      </c>
      <c r="CO38" s="26">
        <v>6.3333333333333339E-2</v>
      </c>
      <c r="CP38" s="26">
        <v>6.6666666666666666E-2</v>
      </c>
      <c r="CQ38" s="26">
        <v>7.0000000000000007E-2</v>
      </c>
      <c r="CR38" s="26">
        <v>7.3333333333333334E-2</v>
      </c>
      <c r="CS38" s="26">
        <v>7.6666666666666675E-2</v>
      </c>
      <c r="CT38" s="26">
        <v>0.08</v>
      </c>
      <c r="CU38" s="26">
        <v>8.3333333333333343E-2</v>
      </c>
      <c r="CV38" s="26">
        <v>8.666666666666667E-2</v>
      </c>
      <c r="CW38" s="26">
        <v>9.0000000000000011E-2</v>
      </c>
      <c r="CX38" s="26">
        <v>9.3333333333333338E-2</v>
      </c>
      <c r="CY38" s="26">
        <v>9.6666666666666679E-2</v>
      </c>
      <c r="CZ38" s="26">
        <v>0.1</v>
      </c>
      <c r="DB38" s="47" t="s">
        <v>42</v>
      </c>
      <c r="DC38" s="25" t="s">
        <v>39</v>
      </c>
      <c r="DD38" s="25">
        <v>0</v>
      </c>
      <c r="DE38" s="26">
        <v>3.3333333333333335E-3</v>
      </c>
      <c r="DF38" s="26">
        <v>6.6666666666666671E-3</v>
      </c>
      <c r="DG38" s="26">
        <v>0.01</v>
      </c>
      <c r="DH38" s="26">
        <v>1.3333333333333334E-2</v>
      </c>
      <c r="DI38" s="26">
        <v>1.6666666666666666E-2</v>
      </c>
      <c r="DJ38" s="26">
        <v>0.02</v>
      </c>
      <c r="DK38" s="26">
        <v>2.3333333333333334E-2</v>
      </c>
      <c r="DL38" s="26">
        <v>2.6666666666666668E-2</v>
      </c>
      <c r="DM38" s="26">
        <v>3.0000000000000002E-2</v>
      </c>
      <c r="DN38" s="26">
        <v>3.3333333333333333E-2</v>
      </c>
      <c r="DO38" s="26">
        <v>3.6666666666666667E-2</v>
      </c>
      <c r="DP38" s="26">
        <v>0.04</v>
      </c>
      <c r="DQ38" s="26">
        <v>4.3333333333333335E-2</v>
      </c>
      <c r="DR38" s="26">
        <v>4.6666666666666669E-2</v>
      </c>
      <c r="DS38" s="26">
        <v>0.05</v>
      </c>
      <c r="DT38" s="26">
        <v>5.3333333333333337E-2</v>
      </c>
      <c r="DU38" s="26">
        <v>5.6666666666666671E-2</v>
      </c>
      <c r="DV38" s="26">
        <v>6.0000000000000005E-2</v>
      </c>
      <c r="DW38" s="26">
        <v>6.3333333333333339E-2</v>
      </c>
      <c r="DX38" s="26">
        <v>6.6666666666666666E-2</v>
      </c>
      <c r="DY38" s="26">
        <v>7.0000000000000007E-2</v>
      </c>
      <c r="DZ38" s="26">
        <v>7.3333333333333334E-2</v>
      </c>
      <c r="EA38" s="26">
        <v>7.6666666666666675E-2</v>
      </c>
      <c r="EB38" s="26">
        <v>0.08</v>
      </c>
      <c r="EC38" s="26">
        <v>8.3333333333333343E-2</v>
      </c>
      <c r="ED38" s="26">
        <v>8.666666666666667E-2</v>
      </c>
      <c r="EE38" s="26">
        <v>9.0000000000000011E-2</v>
      </c>
      <c r="EF38" s="26">
        <v>9.3333333333333338E-2</v>
      </c>
      <c r="EG38" s="26">
        <v>9.6666666666666679E-2</v>
      </c>
      <c r="EH38" s="26">
        <v>0.1</v>
      </c>
    </row>
    <row r="39" spans="5:138" x14ac:dyDescent="0.25">
      <c r="E39" s="49"/>
      <c r="F39" s="26">
        <v>0.1</v>
      </c>
      <c r="G39">
        <f>$B$16</f>
        <v>300</v>
      </c>
      <c r="H39">
        <f>BW39*I39+DE39</f>
        <v>319.26919860494689</v>
      </c>
      <c r="I39">
        <f t="shared" ref="I39:AI39" si="6">BX39*J39+DF39</f>
        <v>332.47147931563416</v>
      </c>
      <c r="J39">
        <f t="shared" si="6"/>
        <v>341.24017610435499</v>
      </c>
      <c r="K39">
        <f t="shared" si="6"/>
        <v>346.47814064892896</v>
      </c>
      <c r="L39">
        <f t="shared" si="6"/>
        <v>348.72863421634747</v>
      </c>
      <c r="M39">
        <f t="shared" si="6"/>
        <v>348.3785617133758</v>
      </c>
      <c r="N39">
        <f t="shared" si="6"/>
        <v>345.75506359396582</v>
      </c>
      <c r="O39">
        <f t="shared" si="6"/>
        <v>341.16310175594265</v>
      </c>
      <c r="P39">
        <f t="shared" si="6"/>
        <v>334.89445336217943</v>
      </c>
      <c r="Q39">
        <f t="shared" si="6"/>
        <v>327.22524537186189</v>
      </c>
      <c r="R39">
        <f t="shared" si="6"/>
        <v>318.41062759229203</v>
      </c>
      <c r="S39">
        <f t="shared" si="6"/>
        <v>308.68028315933844</v>
      </c>
      <c r="T39">
        <f t="shared" si="6"/>
        <v>298.23593045786049</v>
      </c>
      <c r="U39">
        <f t="shared" si="6"/>
        <v>287.25080018612476</v>
      </c>
      <c r="V39">
        <f t="shared" si="6"/>
        <v>275.87063672776702</v>
      </c>
      <c r="W39">
        <f t="shared" si="6"/>
        <v>264.21569552229573</v>
      </c>
      <c r="X39">
        <f t="shared" si="6"/>
        <v>252.38327991954071</v>
      </c>
      <c r="Y39">
        <f t="shared" si="6"/>
        <v>240.45047690654883</v>
      </c>
      <c r="Z39">
        <f t="shared" si="6"/>
        <v>228.47686343634285</v>
      </c>
      <c r="AA39">
        <f t="shared" si="6"/>
        <v>216.50704625316735</v>
      </c>
      <c r="AB39">
        <f t="shared" si="6"/>
        <v>204.57296491733018</v>
      </c>
      <c r="AC39">
        <f t="shared" si="6"/>
        <v>192.69593305396944</v>
      </c>
      <c r="AD39">
        <f t="shared" si="6"/>
        <v>180.88842140671997</v>
      </c>
      <c r="AE39">
        <f t="shared" si="6"/>
        <v>169.15560273976078</v>
      </c>
      <c r="AF39">
        <f t="shared" si="6"/>
        <v>157.49668689757414</v>
      </c>
      <c r="AG39">
        <f t="shared" si="6"/>
        <v>145.90607737310953</v>
      </c>
      <c r="AH39">
        <f t="shared" si="6"/>
        <v>134.37438068792378</v>
      </c>
      <c r="AI39">
        <f t="shared" si="6"/>
        <v>122.88929821967417</v>
      </c>
      <c r="AJ39">
        <f>CY39*AK39+EG39</f>
        <v>111.43642779320541</v>
      </c>
      <c r="AK39">
        <f>$B$17</f>
        <v>100</v>
      </c>
      <c r="AL39" s="47"/>
      <c r="AM39" s="26">
        <v>0.1</v>
      </c>
      <c r="AN39" s="27">
        <f>-($B$12*$B$11)/$B$8*G3</f>
        <v>-1076400000</v>
      </c>
      <c r="AO39" s="27">
        <f t="shared" ref="AO39:BR39" si="7">-($B$12*$B$11)/$B$8*H3</f>
        <v>-1170654924.6767843</v>
      </c>
      <c r="AP39" s="27">
        <f t="shared" si="7"/>
        <v>-1211262705.2214363</v>
      </c>
      <c r="AQ39" s="27">
        <f t="shared" si="7"/>
        <v>-1238986983.3531935</v>
      </c>
      <c r="AR39" s="27">
        <f t="shared" si="7"/>
        <v>-1255531698.4937809</v>
      </c>
      <c r="AS39" s="27">
        <f t="shared" si="7"/>
        <v>-1262004683.0996704</v>
      </c>
      <c r="AT39" s="27">
        <f t="shared" si="7"/>
        <v>-1259394261.4796464</v>
      </c>
      <c r="AU39" s="27">
        <f t="shared" si="7"/>
        <v>-1248718607.9702072</v>
      </c>
      <c r="AV39" s="27">
        <f t="shared" si="7"/>
        <v>-1231034691.4410865</v>
      </c>
      <c r="AW39" s="27">
        <f t="shared" si="7"/>
        <v>-1207399615.3932345</v>
      </c>
      <c r="AX39" s="27">
        <f t="shared" si="7"/>
        <v>-1178826176.9217453</v>
      </c>
      <c r="AY39" s="27">
        <f t="shared" si="7"/>
        <v>-1146248440.146152</v>
      </c>
      <c r="AZ39" s="27">
        <f t="shared" si="7"/>
        <v>-1110500850.2073975</v>
      </c>
      <c r="BA39" s="27">
        <f t="shared" si="7"/>
        <v>-1072309337.6236707</v>
      </c>
      <c r="BB39" s="27">
        <f t="shared" si="7"/>
        <v>-1032291308.4604311</v>
      </c>
      <c r="BC39" s="27">
        <f t="shared" si="7"/>
        <v>-990961424.4522779</v>
      </c>
      <c r="BD39" s="27">
        <f t="shared" si="7"/>
        <v>-948740659.5387522</v>
      </c>
      <c r="BE39" s="27">
        <f t="shared" si="7"/>
        <v>-905966812.22969282</v>
      </c>
      <c r="BF39" s="27">
        <f t="shared" si="7"/>
        <v>-862905266.43356323</v>
      </c>
      <c r="BG39" s="27">
        <f t="shared" si="7"/>
        <v>-819759269.38129222</v>
      </c>
      <c r="BH39" s="27">
        <f t="shared" si="7"/>
        <v>-776679335.54838359</v>
      </c>
      <c r="BI39" s="27">
        <f t="shared" si="7"/>
        <v>-733771613.30732834</v>
      </c>
      <c r="BJ39" s="27">
        <f t="shared" si="7"/>
        <v>-691105194.10294211</v>
      </c>
      <c r="BK39" s="27">
        <f t="shared" si="7"/>
        <v>-648718427.06890965</v>
      </c>
      <c r="BL39" s="27">
        <f t="shared" si="7"/>
        <v>-606624344.93570364</v>
      </c>
      <c r="BM39" s="27">
        <f t="shared" si="7"/>
        <v>-564815324.43312705</v>
      </c>
      <c r="BN39" s="27">
        <f t="shared" si="7"/>
        <v>-523267106.46010268</v>
      </c>
      <c r="BO39" s="27">
        <f t="shared" si="7"/>
        <v>-481942295.05015492</v>
      </c>
      <c r="BP39" s="27">
        <f t="shared" si="7"/>
        <v>-440793444.15921831</v>
      </c>
      <c r="BQ39" s="27">
        <f t="shared" si="7"/>
        <v>-399765830.4203108</v>
      </c>
      <c r="BR39" s="27">
        <f t="shared" si="7"/>
        <v>-358800000</v>
      </c>
      <c r="BT39" s="47"/>
      <c r="BU39" s="26">
        <v>0.1</v>
      </c>
      <c r="BV39" s="13">
        <v>0</v>
      </c>
      <c r="BW39" s="13">
        <f>$B$20/($B$21-$B$22*BV39)</f>
        <v>0.34883720930232553</v>
      </c>
      <c r="BX39" s="13">
        <f t="shared" ref="BX39:CY39" si="8">$B$20/($B$21-$B$22*BW39)</f>
        <v>0.39716748768472904</v>
      </c>
      <c r="BY39" s="13">
        <f t="shared" si="8"/>
        <v>0.40494040593779607</v>
      </c>
      <c r="BZ39" s="13">
        <f t="shared" si="8"/>
        <v>0.4062190081621499</v>
      </c>
      <c r="CA39" s="13">
        <f t="shared" si="8"/>
        <v>0.40643010492156101</v>
      </c>
      <c r="CB39" s="13">
        <f t="shared" si="8"/>
        <v>0.40646497802255066</v>
      </c>
      <c r="CC39" s="13">
        <f t="shared" si="8"/>
        <v>0.40647073962099717</v>
      </c>
      <c r="CD39" s="13">
        <f t="shared" si="8"/>
        <v>0.40647169154566137</v>
      </c>
      <c r="CE39" s="13">
        <f t="shared" si="8"/>
        <v>0.40647184882198806</v>
      </c>
      <c r="CF39" s="13">
        <f t="shared" si="8"/>
        <v>0.40647187480708435</v>
      </c>
      <c r="CG39" s="13">
        <f t="shared" si="8"/>
        <v>0.40647187910032606</v>
      </c>
      <c r="CH39" s="13">
        <f t="shared" si="8"/>
        <v>0.40647187980965277</v>
      </c>
      <c r="CI39" s="13">
        <f t="shared" si="8"/>
        <v>0.4064718799268473</v>
      </c>
      <c r="CJ39" s="13">
        <f t="shared" si="8"/>
        <v>0.40647187994621015</v>
      </c>
      <c r="CK39" s="13">
        <f t="shared" si="8"/>
        <v>0.40647187994940925</v>
      </c>
      <c r="CL39" s="13">
        <f t="shared" si="8"/>
        <v>0.40647187994993778</v>
      </c>
      <c r="CM39" s="13">
        <f t="shared" si="8"/>
        <v>0.40647187995002515</v>
      </c>
      <c r="CN39" s="13">
        <f t="shared" si="8"/>
        <v>0.40647187995003953</v>
      </c>
      <c r="CO39" s="13">
        <f t="shared" si="8"/>
        <v>0.40647187995004191</v>
      </c>
      <c r="CP39" s="13">
        <f t="shared" si="8"/>
        <v>0.40647187995004236</v>
      </c>
      <c r="CQ39" s="13">
        <f t="shared" si="8"/>
        <v>0.40647187995004236</v>
      </c>
      <c r="CR39" s="13">
        <f t="shared" si="8"/>
        <v>0.40647187995004236</v>
      </c>
      <c r="CS39" s="13">
        <f t="shared" si="8"/>
        <v>0.40647187995004236</v>
      </c>
      <c r="CT39" s="13">
        <f t="shared" si="8"/>
        <v>0.40647187995004236</v>
      </c>
      <c r="CU39" s="13">
        <f t="shared" si="8"/>
        <v>0.40647187995004236</v>
      </c>
      <c r="CV39" s="13">
        <f t="shared" si="8"/>
        <v>0.40647187995004236</v>
      </c>
      <c r="CW39" s="13">
        <f t="shared" si="8"/>
        <v>0.40647187995004236</v>
      </c>
      <c r="CX39" s="13">
        <f t="shared" si="8"/>
        <v>0.40647187995004236</v>
      </c>
      <c r="CY39" s="13">
        <f t="shared" si="8"/>
        <v>0.40647187995004236</v>
      </c>
      <c r="CZ39" s="13">
        <f>$B$17</f>
        <v>100</v>
      </c>
      <c r="DB39" s="47"/>
      <c r="DC39" s="26">
        <v>0.1</v>
      </c>
      <c r="DD39" s="13">
        <f>G3</f>
        <v>300</v>
      </c>
      <c r="DE39" s="13">
        <f>(DD39*$B$22-AO39)/($B$21-$B$22*BV39)</f>
        <v>203.29077558786523</v>
      </c>
      <c r="DF39" s="13">
        <f t="shared" ref="DF39:EH39" si="9">(DE39*$B$22-AP39)/($B$21-$B$22*BW39)</f>
        <v>196.94197587517297</v>
      </c>
      <c r="DG39" s="13">
        <f t="shared" si="9"/>
        <v>200.93717718140488</v>
      </c>
      <c r="DH39" s="13">
        <f t="shared" si="9"/>
        <v>204.81794073982311</v>
      </c>
      <c r="DI39" s="13">
        <f t="shared" si="9"/>
        <v>207.13709882675766</v>
      </c>
      <c r="DJ39" s="13">
        <f t="shared" si="9"/>
        <v>207.84123738846887</v>
      </c>
      <c r="DK39" s="13">
        <f t="shared" si="9"/>
        <v>207.08224529183425</v>
      </c>
      <c r="DL39" s="13">
        <f t="shared" si="9"/>
        <v>205.03798680855797</v>
      </c>
      <c r="DM39" s="13">
        <f t="shared" si="9"/>
        <v>201.88660289465005</v>
      </c>
      <c r="DN39" s="13">
        <f t="shared" si="9"/>
        <v>197.80028061592262</v>
      </c>
      <c r="DO39" s="13">
        <f t="shared" si="9"/>
        <v>192.94077285529497</v>
      </c>
      <c r="DP39" s="13">
        <f t="shared" si="9"/>
        <v>187.45576387935103</v>
      </c>
      <c r="DQ39" s="13">
        <f t="shared" si="9"/>
        <v>181.47655769571517</v>
      </c>
      <c r="DR39" s="13">
        <f t="shared" si="9"/>
        <v>175.11714385343132</v>
      </c>
      <c r="DS39" s="13">
        <f t="shared" si="9"/>
        <v>168.47438625667874</v>
      </c>
      <c r="DT39" s="13">
        <f t="shared" si="9"/>
        <v>161.62898926546865</v>
      </c>
      <c r="DU39" s="13">
        <f t="shared" si="9"/>
        <v>154.64692253645572</v>
      </c>
      <c r="DV39" s="13">
        <f t="shared" si="9"/>
        <v>147.58105670049008</v>
      </c>
      <c r="DW39" s="13">
        <f t="shared" si="9"/>
        <v>140.47283732338724</v>
      </c>
      <c r="DX39" s="13">
        <f t="shared" si="9"/>
        <v>133.35388861626609</v>
      </c>
      <c r="DY39" s="13">
        <f t="shared" si="9"/>
        <v>126.2474867501557</v>
      </c>
      <c r="DZ39" s="13">
        <f t="shared" si="9"/>
        <v>119.16987634358451</v>
      </c>
      <c r="EA39" s="13">
        <f t="shared" si="9"/>
        <v>112.13142555700686</v>
      </c>
      <c r="EB39" s="13">
        <f t="shared" si="9"/>
        <v>105.13762833060062</v>
      </c>
      <c r="EC39" s="13">
        <f t="shared" si="9"/>
        <v>98.189969331589978</v>
      </c>
      <c r="ED39" s="13">
        <f t="shared" si="9"/>
        <v>91.286670237766486</v>
      </c>
      <c r="EE39" s="13">
        <f t="shared" si="9"/>
        <v>84.423336614831427</v>
      </c>
      <c r="EF39" s="13">
        <f t="shared" si="9"/>
        <v>77.59352391965281</v>
      </c>
      <c r="EG39" s="13">
        <f t="shared" si="9"/>
        <v>70.789239798201166</v>
      </c>
      <c r="EH39" s="13">
        <f t="shared" si="9"/>
        <v>64.001398310012874</v>
      </c>
    </row>
    <row r="40" spans="5:138" x14ac:dyDescent="0.25">
      <c r="E40" s="49"/>
      <c r="F40" s="26">
        <v>9.6666666666666679E-2</v>
      </c>
      <c r="G40">
        <f t="shared" ref="G40:G69" si="10">$B$16</f>
        <v>300</v>
      </c>
      <c r="H40">
        <f t="shared" ref="H40:H69" si="11">BW40*I40+DE40</f>
        <v>319.26919860494689</v>
      </c>
      <c r="I40">
        <f t="shared" ref="I40:I69" si="12">BX40*J40+DF40</f>
        <v>332.47147931563416</v>
      </c>
      <c r="J40">
        <f t="shared" ref="J40:J69" si="13">BY40*K40+DG40</f>
        <v>341.24017610435499</v>
      </c>
      <c r="K40">
        <f t="shared" ref="K40:K69" si="14">BZ40*L40+DH40</f>
        <v>346.47814064892896</v>
      </c>
      <c r="L40">
        <f t="shared" ref="L40:L69" si="15">CA40*M40+DI40</f>
        <v>348.72863421634747</v>
      </c>
      <c r="M40">
        <f t="shared" ref="M40:M69" si="16">CB40*N40+DJ40</f>
        <v>348.3785617133758</v>
      </c>
      <c r="N40">
        <f t="shared" ref="N40:N69" si="17">CC40*O40+DK40</f>
        <v>345.75506359396582</v>
      </c>
      <c r="O40">
        <f t="shared" ref="O40:O69" si="18">CD40*P40+DL40</f>
        <v>341.16310175594265</v>
      </c>
      <c r="P40">
        <f t="shared" ref="P40:P69" si="19">CE40*Q40+DM40</f>
        <v>334.89445336217943</v>
      </c>
      <c r="Q40">
        <f t="shared" ref="Q40:Q69" si="20">CF40*R40+DN40</f>
        <v>327.22524537186189</v>
      </c>
      <c r="R40">
        <f t="shared" ref="R40:R69" si="21">CG40*S40+DO40</f>
        <v>318.41062759229203</v>
      </c>
      <c r="S40">
        <f t="shared" ref="S40:S69" si="22">CH40*T40+DP40</f>
        <v>308.68028315933844</v>
      </c>
      <c r="T40">
        <f t="shared" ref="T40:T69" si="23">CI40*U40+DQ40</f>
        <v>298.23593045786049</v>
      </c>
      <c r="U40">
        <f t="shared" ref="U40:U69" si="24">CJ40*V40+DR40</f>
        <v>287.25080018612476</v>
      </c>
      <c r="V40">
        <f t="shared" ref="V40:V69" si="25">CK40*W40+DS40</f>
        <v>275.87063672776702</v>
      </c>
      <c r="W40">
        <f t="shared" ref="W40:W69" si="26">CL40*X40+DT40</f>
        <v>264.21569552229579</v>
      </c>
      <c r="X40">
        <f t="shared" ref="X40:X69" si="27">CM40*Y40+DU40</f>
        <v>252.38327991954071</v>
      </c>
      <c r="Y40">
        <f t="shared" ref="Y40:Y69" si="28">CN40*Z40+DV40</f>
        <v>240.45047690654883</v>
      </c>
      <c r="Z40">
        <f t="shared" ref="Z40:Z69" si="29">CO40*AA40+DW40</f>
        <v>228.47686343634285</v>
      </c>
      <c r="AA40">
        <f t="shared" ref="AA40:AA69" si="30">CP40*AB40+DX40</f>
        <v>216.50704625316735</v>
      </c>
      <c r="AB40">
        <f t="shared" ref="AB40:AB69" si="31">CQ40*AC40+DY40</f>
        <v>204.57296491733018</v>
      </c>
      <c r="AC40">
        <f t="shared" ref="AC40:AC69" si="32">CR40*AD40+DZ40</f>
        <v>192.69593305396947</v>
      </c>
      <c r="AD40">
        <f t="shared" ref="AD40:AD69" si="33">CS40*AE40+EA40</f>
        <v>180.88842140672</v>
      </c>
      <c r="AE40">
        <f t="shared" ref="AE40:AE69" si="34">CT40*AF40+EB40</f>
        <v>169.15560273976081</v>
      </c>
      <c r="AF40">
        <f t="shared" ref="AF40:AF69" si="35">CU40*AG40+EC40</f>
        <v>157.49668689757414</v>
      </c>
      <c r="AG40">
        <f t="shared" ref="AG40:AG69" si="36">CV40*AH40+ED40</f>
        <v>145.90607737310953</v>
      </c>
      <c r="AH40">
        <f t="shared" ref="AH40:AH69" si="37">CW40*AI40+EE40</f>
        <v>134.37438068792378</v>
      </c>
      <c r="AI40">
        <f t="shared" ref="AI40:AJ55" si="38">CX40*AJ40+EF40</f>
        <v>122.88929821967417</v>
      </c>
      <c r="AJ40">
        <f t="shared" si="38"/>
        <v>111.43642779320541</v>
      </c>
      <c r="AK40">
        <f t="shared" ref="AK40:AK69" si="39">$B$17</f>
        <v>100</v>
      </c>
      <c r="AL40" s="47"/>
      <c r="AM40" s="26">
        <v>9.6666666666666679E-2</v>
      </c>
      <c r="AN40" s="27">
        <f t="shared" ref="AN40:AN69" si="40">-($B$12*$B$11)/$B$8*G4</f>
        <v>-1076400000</v>
      </c>
      <c r="AO40" s="27">
        <f>-($B$12*$B$11)/$B$8*H4</f>
        <v>-1170654924.6767843</v>
      </c>
      <c r="AP40" s="27">
        <f t="shared" ref="AP40:AP69" si="41">-($B$12*$B$11)/$B$8*I4</f>
        <v>-1211262705.2214363</v>
      </c>
      <c r="AQ40" s="27">
        <f t="shared" ref="AQ40:AQ69" si="42">-($B$12*$B$11)/$B$8*J4</f>
        <v>-1238986983.3531935</v>
      </c>
      <c r="AR40" s="27">
        <f t="shared" ref="AR40:AR69" si="43">-($B$12*$B$11)/$B$8*K4</f>
        <v>-1255531698.4937811</v>
      </c>
      <c r="AS40" s="27">
        <f t="shared" ref="AS40:AS69" si="44">-($B$12*$B$11)/$B$8*L4</f>
        <v>-1262004683.0996704</v>
      </c>
      <c r="AT40" s="27">
        <f t="shared" ref="AT40:AT69" si="45">-($B$12*$B$11)/$B$8*M4</f>
        <v>-1259394261.4796464</v>
      </c>
      <c r="AU40" s="27">
        <f t="shared" ref="AU40:AU69" si="46">-($B$12*$B$11)/$B$8*N4</f>
        <v>-1248718607.9702072</v>
      </c>
      <c r="AV40" s="27">
        <f t="shared" ref="AV40:AV69" si="47">-($B$12*$B$11)/$B$8*O4</f>
        <v>-1231034691.4410865</v>
      </c>
      <c r="AW40" s="27">
        <f t="shared" ref="AW40:AW69" si="48">-($B$12*$B$11)/$B$8*P4</f>
        <v>-1207399615.3932345</v>
      </c>
      <c r="AX40" s="27">
        <f t="shared" ref="AX40:AX69" si="49">-($B$12*$B$11)/$B$8*Q4</f>
        <v>-1178826176.9217453</v>
      </c>
      <c r="AY40" s="27">
        <f t="shared" ref="AY40:AY69" si="50">-($B$12*$B$11)/$B$8*R4</f>
        <v>-1146248440.146152</v>
      </c>
      <c r="AZ40" s="27">
        <f t="shared" ref="AZ40:AZ69" si="51">-($B$12*$B$11)/$B$8*S4</f>
        <v>-1110500850.2073977</v>
      </c>
      <c r="BA40" s="27">
        <f t="shared" ref="BA40:BA69" si="52">-($B$12*$B$11)/$B$8*T4</f>
        <v>-1072309337.6236708</v>
      </c>
      <c r="BB40" s="27">
        <f t="shared" ref="BB40:BB69" si="53">-($B$12*$B$11)/$B$8*U4</f>
        <v>-1032291308.4604311</v>
      </c>
      <c r="BC40" s="27">
        <f t="shared" ref="BC40:BC69" si="54">-($B$12*$B$11)/$B$8*V4</f>
        <v>-990961424.4522779</v>
      </c>
      <c r="BD40" s="27">
        <f t="shared" ref="BD40:BD69" si="55">-($B$12*$B$11)/$B$8*W4</f>
        <v>-948740659.53875232</v>
      </c>
      <c r="BE40" s="27">
        <f t="shared" ref="BE40:BE69" si="56">-($B$12*$B$11)/$B$8*X4</f>
        <v>-905966812.22969282</v>
      </c>
      <c r="BF40" s="27">
        <f t="shared" ref="BF40:BF69" si="57">-($B$12*$B$11)/$B$8*Y4</f>
        <v>-862905266.43356323</v>
      </c>
      <c r="BG40" s="27">
        <f t="shared" ref="BG40:BG69" si="58">-($B$12*$B$11)/$B$8*Z4</f>
        <v>-819759269.38129222</v>
      </c>
      <c r="BH40" s="27">
        <f t="shared" ref="BH40:BH69" si="59">-($B$12*$B$11)/$B$8*AA4</f>
        <v>-776679335.54838359</v>
      </c>
      <c r="BI40" s="27">
        <f t="shared" ref="BI40:BI69" si="60">-($B$12*$B$11)/$B$8*AB4</f>
        <v>-733771613.30732834</v>
      </c>
      <c r="BJ40" s="27">
        <f t="shared" ref="BJ40:BJ69" si="61">-($B$12*$B$11)/$B$8*AC4</f>
        <v>-691105194.10294211</v>
      </c>
      <c r="BK40" s="27">
        <f t="shared" ref="BK40:BK69" si="62">-($B$12*$B$11)/$B$8*AD4</f>
        <v>-648718427.06890976</v>
      </c>
      <c r="BL40" s="27">
        <f t="shared" ref="BL40:BL69" si="63">-($B$12*$B$11)/$B$8*AE4</f>
        <v>-606624344.93570364</v>
      </c>
      <c r="BM40" s="27">
        <f t="shared" ref="BM40:BM69" si="64">-($B$12*$B$11)/$B$8*AF4</f>
        <v>-564815324.43312705</v>
      </c>
      <c r="BN40" s="27">
        <f t="shared" ref="BN40:BN69" si="65">-($B$12*$B$11)/$B$8*AG4</f>
        <v>-523267106.46010268</v>
      </c>
      <c r="BO40" s="27">
        <f t="shared" ref="BO40:BO69" si="66">-($B$12*$B$11)/$B$8*AH4</f>
        <v>-481942295.05015492</v>
      </c>
      <c r="BP40" s="27">
        <f t="shared" ref="BP40:BP69" si="67">-($B$12*$B$11)/$B$8*AI4</f>
        <v>-440793444.15921831</v>
      </c>
      <c r="BQ40" s="27">
        <f t="shared" ref="BQ40:BQ69" si="68">-($B$12*$B$11)/$B$8*AJ4</f>
        <v>-399765830.4203108</v>
      </c>
      <c r="BR40" s="27">
        <f t="shared" ref="BR40:BR69" si="69">-($B$12*$B$11)/$B$8*AK4</f>
        <v>-358800000</v>
      </c>
      <c r="BT40" s="47"/>
      <c r="BU40" s="26">
        <v>9.6666666666666679E-2</v>
      </c>
      <c r="BV40" s="13">
        <v>0</v>
      </c>
      <c r="BW40" s="13">
        <f t="shared" ref="BW40:CY40" si="70">$B$20/($B$21-$B$22*BV40)</f>
        <v>0.34883720930232553</v>
      </c>
      <c r="BX40" s="13">
        <f t="shared" si="70"/>
        <v>0.39716748768472904</v>
      </c>
      <c r="BY40" s="13">
        <f t="shared" si="70"/>
        <v>0.40494040593779607</v>
      </c>
      <c r="BZ40" s="13">
        <f t="shared" si="70"/>
        <v>0.4062190081621499</v>
      </c>
      <c r="CA40" s="13">
        <f t="shared" si="70"/>
        <v>0.40643010492156101</v>
      </c>
      <c r="CB40" s="13">
        <f t="shared" si="70"/>
        <v>0.40646497802255066</v>
      </c>
      <c r="CC40" s="13">
        <f t="shared" si="70"/>
        <v>0.40647073962099717</v>
      </c>
      <c r="CD40" s="13">
        <f t="shared" si="70"/>
        <v>0.40647169154566137</v>
      </c>
      <c r="CE40" s="13">
        <f t="shared" si="70"/>
        <v>0.40647184882198806</v>
      </c>
      <c r="CF40" s="13">
        <f t="shared" si="70"/>
        <v>0.40647187480708435</v>
      </c>
      <c r="CG40" s="13">
        <f t="shared" si="70"/>
        <v>0.40647187910032606</v>
      </c>
      <c r="CH40" s="13">
        <f t="shared" si="70"/>
        <v>0.40647187980965277</v>
      </c>
      <c r="CI40" s="13">
        <f t="shared" si="70"/>
        <v>0.4064718799268473</v>
      </c>
      <c r="CJ40" s="13">
        <f t="shared" si="70"/>
        <v>0.40647187994621015</v>
      </c>
      <c r="CK40" s="13">
        <f t="shared" si="70"/>
        <v>0.40647187994940925</v>
      </c>
      <c r="CL40" s="13">
        <f t="shared" si="70"/>
        <v>0.40647187994993778</v>
      </c>
      <c r="CM40" s="13">
        <f t="shared" si="70"/>
        <v>0.40647187995002515</v>
      </c>
      <c r="CN40" s="13">
        <f t="shared" si="70"/>
        <v>0.40647187995003953</v>
      </c>
      <c r="CO40" s="13">
        <f t="shared" si="70"/>
        <v>0.40647187995004191</v>
      </c>
      <c r="CP40" s="13">
        <f t="shared" si="70"/>
        <v>0.40647187995004236</v>
      </c>
      <c r="CQ40" s="13">
        <f t="shared" si="70"/>
        <v>0.40647187995004236</v>
      </c>
      <c r="CR40" s="13">
        <f t="shared" si="70"/>
        <v>0.40647187995004236</v>
      </c>
      <c r="CS40" s="13">
        <f t="shared" si="70"/>
        <v>0.40647187995004236</v>
      </c>
      <c r="CT40" s="13">
        <f t="shared" si="70"/>
        <v>0.40647187995004236</v>
      </c>
      <c r="CU40" s="13">
        <f t="shared" si="70"/>
        <v>0.40647187995004236</v>
      </c>
      <c r="CV40" s="13">
        <f t="shared" si="70"/>
        <v>0.40647187995004236</v>
      </c>
      <c r="CW40" s="13">
        <f t="shared" si="70"/>
        <v>0.40647187995004236</v>
      </c>
      <c r="CX40" s="13">
        <f t="shared" si="70"/>
        <v>0.40647187995004236</v>
      </c>
      <c r="CY40" s="13">
        <f t="shared" si="70"/>
        <v>0.40647187995004236</v>
      </c>
      <c r="CZ40" s="13">
        <f t="shared" ref="CZ40:CZ69" si="71">$B$17</f>
        <v>100</v>
      </c>
      <c r="DB40" s="47"/>
      <c r="DC40" s="26">
        <v>9.6666666666666679E-2</v>
      </c>
      <c r="DD40" s="13">
        <f t="shared" ref="DD40:DD69" si="72">G4</f>
        <v>300</v>
      </c>
      <c r="DE40" s="13">
        <f t="shared" ref="DE40:DE69" si="73">(DD40*$B$22-AO40)/($B$21-$B$22*BV40)</f>
        <v>203.29077558786523</v>
      </c>
      <c r="DF40" s="13">
        <f t="shared" ref="DF40:DF69" si="74">(DE40*$B$22-AP40)/($B$21-$B$22*BW40)</f>
        <v>196.94197587517297</v>
      </c>
      <c r="DG40" s="13">
        <f t="shared" ref="DG40:DG69" si="75">(DF40*$B$22-AQ40)/($B$21-$B$22*BX40)</f>
        <v>200.93717718140488</v>
      </c>
      <c r="DH40" s="13">
        <f t="shared" ref="DH40:DH69" si="76">(DG40*$B$22-AR40)/($B$21-$B$22*BY40)</f>
        <v>204.81794073982311</v>
      </c>
      <c r="DI40" s="13">
        <f t="shared" ref="DI40:DI69" si="77">(DH40*$B$22-AS40)/($B$21-$B$22*BZ40)</f>
        <v>207.13709882675766</v>
      </c>
      <c r="DJ40" s="13">
        <f t="shared" ref="DJ40:DJ69" si="78">(DI40*$B$22-AT40)/($B$21-$B$22*CA40)</f>
        <v>207.84123738846887</v>
      </c>
      <c r="DK40" s="13">
        <f t="shared" ref="DK40:DK69" si="79">(DJ40*$B$22-AU40)/($B$21-$B$22*CB40)</f>
        <v>207.08224529183425</v>
      </c>
      <c r="DL40" s="13">
        <f t="shared" ref="DL40:DL69" si="80">(DK40*$B$22-AV40)/($B$21-$B$22*CC40)</f>
        <v>205.03798680855797</v>
      </c>
      <c r="DM40" s="13">
        <f t="shared" ref="DM40:DM69" si="81">(DL40*$B$22-AW40)/($B$21-$B$22*CD40)</f>
        <v>201.88660289465005</v>
      </c>
      <c r="DN40" s="13">
        <f t="shared" ref="DN40:DN69" si="82">(DM40*$B$22-AX40)/($B$21-$B$22*CE40)</f>
        <v>197.80028061592262</v>
      </c>
      <c r="DO40" s="13">
        <f t="shared" ref="DO40:DO69" si="83">(DN40*$B$22-AY40)/($B$21-$B$22*CF40)</f>
        <v>192.94077285529497</v>
      </c>
      <c r="DP40" s="13">
        <f t="shared" ref="DP40:DP69" si="84">(DO40*$B$22-AZ40)/($B$21-$B$22*CG40)</f>
        <v>187.45576387935103</v>
      </c>
      <c r="DQ40" s="13">
        <f t="shared" ref="DQ40:DQ69" si="85">(DP40*$B$22-BA40)/($B$21-$B$22*CH40)</f>
        <v>181.4765576957152</v>
      </c>
      <c r="DR40" s="13">
        <f t="shared" ref="DR40:DR69" si="86">(DQ40*$B$22-BB40)/($B$21-$B$22*CI40)</f>
        <v>175.11714385343132</v>
      </c>
      <c r="DS40" s="13">
        <f t="shared" ref="DS40:DS69" si="87">(DR40*$B$22-BC40)/($B$21-$B$22*CJ40)</f>
        <v>168.47438625667874</v>
      </c>
      <c r="DT40" s="13">
        <f t="shared" ref="DT40:DT69" si="88">(DS40*$B$22-BD40)/($B$21-$B$22*CK40)</f>
        <v>161.62898926546868</v>
      </c>
      <c r="DU40" s="13">
        <f t="shared" ref="DU40:DU69" si="89">(DT40*$B$22-BE40)/($B$21-$B$22*CL40)</f>
        <v>154.64692253645572</v>
      </c>
      <c r="DV40" s="13">
        <f t="shared" ref="DV40:DV69" si="90">(DU40*$B$22-BF40)/($B$21-$B$22*CM40)</f>
        <v>147.58105670049008</v>
      </c>
      <c r="DW40" s="13">
        <f t="shared" ref="DW40:DW69" si="91">(DV40*$B$22-BG40)/($B$21-$B$22*CN40)</f>
        <v>140.47283732338724</v>
      </c>
      <c r="DX40" s="13">
        <f t="shared" ref="DX40:DX69" si="92">(DW40*$B$22-BH40)/($B$21-$B$22*CO40)</f>
        <v>133.35388861626609</v>
      </c>
      <c r="DY40" s="13">
        <f t="shared" ref="DY40:DY69" si="93">(DX40*$B$22-BI40)/($B$21-$B$22*CP40)</f>
        <v>126.2474867501557</v>
      </c>
      <c r="DZ40" s="13">
        <f t="shared" ref="DZ40:DZ69" si="94">(DY40*$B$22-BJ40)/($B$21-$B$22*CQ40)</f>
        <v>119.16987634358451</v>
      </c>
      <c r="EA40" s="13">
        <f t="shared" ref="EA40:EA69" si="95">(DZ40*$B$22-BK40)/($B$21-$B$22*CR40)</f>
        <v>112.13142555700689</v>
      </c>
      <c r="EB40" s="13">
        <f t="shared" ref="EB40:EB69" si="96">(EA40*$B$22-BL40)/($B$21-$B$22*CS40)</f>
        <v>105.13762833060063</v>
      </c>
      <c r="EC40" s="13">
        <f t="shared" ref="EC40:EC69" si="97">(EB40*$B$22-BM40)/($B$21-$B$22*CT40)</f>
        <v>98.189969331589978</v>
      </c>
      <c r="ED40" s="13">
        <f t="shared" ref="ED40:ED69" si="98">(EC40*$B$22-BN40)/($B$21-$B$22*CU40)</f>
        <v>91.286670237766486</v>
      </c>
      <c r="EE40" s="13">
        <f t="shared" ref="EE40:EE69" si="99">(ED40*$B$22-BO40)/($B$21-$B$22*CV40)</f>
        <v>84.423336614831427</v>
      </c>
      <c r="EF40" s="13">
        <f t="shared" ref="EF40:EF69" si="100">(EE40*$B$22-BP40)/($B$21-$B$22*CW40)</f>
        <v>77.59352391965281</v>
      </c>
      <c r="EG40" s="13">
        <f t="shared" ref="EG40:EG69" si="101">(EF40*$B$22-BQ40)/($B$21-$B$22*CX40)</f>
        <v>70.789239798201166</v>
      </c>
      <c r="EH40" s="13">
        <f t="shared" ref="EH40:EH69" si="102">(EG40*$B$22-BR40)/($B$21-$B$22*CY40)</f>
        <v>64.001398310012874</v>
      </c>
    </row>
    <row r="41" spans="5:138" x14ac:dyDescent="0.25">
      <c r="E41" s="49"/>
      <c r="F41" s="26">
        <v>9.3333333333333338E-2</v>
      </c>
      <c r="G41">
        <f t="shared" si="10"/>
        <v>300</v>
      </c>
      <c r="H41">
        <f t="shared" si="11"/>
        <v>322.37609761298995</v>
      </c>
      <c r="I41">
        <f t="shared" si="12"/>
        <v>336.10237568691684</v>
      </c>
      <c r="J41">
        <f t="shared" si="13"/>
        <v>344.66449591504954</v>
      </c>
      <c r="K41">
        <f t="shared" si="14"/>
        <v>349.55177186944593</v>
      </c>
      <c r="L41">
        <f t="shared" si="15"/>
        <v>351.45795366841537</v>
      </c>
      <c r="M41">
        <f t="shared" si="16"/>
        <v>350.79120179167001</v>
      </c>
      <c r="N41">
        <f t="shared" si="17"/>
        <v>347.87298514896827</v>
      </c>
      <c r="O41">
        <f t="shared" si="18"/>
        <v>343.00348763636367</v>
      </c>
      <c r="P41">
        <f t="shared" si="19"/>
        <v>336.4744053237448</v>
      </c>
      <c r="Q41">
        <f t="shared" si="20"/>
        <v>328.5644100827767</v>
      </c>
      <c r="R41">
        <f t="shared" si="21"/>
        <v>319.53153262720821</v>
      </c>
      <c r="S41">
        <f t="shared" si="22"/>
        <v>309.60738359260625</v>
      </c>
      <c r="T41">
        <f t="shared" si="23"/>
        <v>298.99424818557048</v>
      </c>
      <c r="U41">
        <f t="shared" si="24"/>
        <v>287.86467006443104</v>
      </c>
      <c r="V41">
        <f t="shared" si="25"/>
        <v>276.36277471725401</v>
      </c>
      <c r="W41">
        <f t="shared" si="26"/>
        <v>264.60662469675941</v>
      </c>
      <c r="X41">
        <f t="shared" si="27"/>
        <v>252.69106438218785</v>
      </c>
      <c r="Y41">
        <f t="shared" si="28"/>
        <v>240.69068521461509</v>
      </c>
      <c r="Z41">
        <f t="shared" si="29"/>
        <v>228.66268433020366</v>
      </c>
      <c r="AA41">
        <f t="shared" si="30"/>
        <v>216.64949299990101</v>
      </c>
      <c r="AB41">
        <f t="shared" si="31"/>
        <v>204.68112101014577</v>
      </c>
      <c r="AC41">
        <f t="shared" si="32"/>
        <v>192.77720696979225</v>
      </c>
      <c r="AD41">
        <f t="shared" si="33"/>
        <v>180.94879004267028</v>
      </c>
      <c r="AE41">
        <f t="shared" si="34"/>
        <v>169.19983186219491</v>
      </c>
      <c r="AF41">
        <f t="shared" si="35"/>
        <v>157.52852287942113</v>
      </c>
      <c r="AG41">
        <f t="shared" si="36"/>
        <v>145.92840827368602</v>
      </c>
      <c r="AH41">
        <f t="shared" si="37"/>
        <v>134.38936692586998</v>
      </c>
      <c r="AI41">
        <f t="shared" si="38"/>
        <v>122.89847418494772</v>
      </c>
      <c r="AJ41">
        <f t="shared" ref="AJ41:AJ69" si="103">CY41*AK41+EG41</f>
        <v>111.44077610413621</v>
      </c>
      <c r="AK41">
        <f t="shared" si="39"/>
        <v>100</v>
      </c>
      <c r="AL41" s="47"/>
      <c r="AM41" s="26">
        <v>9.3333333333333338E-2</v>
      </c>
      <c r="AN41" s="27">
        <f t="shared" si="40"/>
        <v>-1076400000</v>
      </c>
      <c r="AO41" s="27">
        <f t="shared" ref="AO41:AO69" si="104">-($B$12*$B$11)/$B$8*H5</f>
        <v>-1192495691.1271293</v>
      </c>
      <c r="AP41" s="27">
        <f t="shared" si="41"/>
        <v>-1227314937.4462454</v>
      </c>
      <c r="AQ41" s="27">
        <f t="shared" si="42"/>
        <v>-1251870066.6364658</v>
      </c>
      <c r="AR41" s="27">
        <f t="shared" si="43"/>
        <v>-1266533487.27104</v>
      </c>
      <c r="AS41" s="27">
        <f t="shared" si="44"/>
        <v>-1271683083.1797338</v>
      </c>
      <c r="AT41" s="27">
        <f t="shared" si="45"/>
        <v>-1267959896.1595712</v>
      </c>
      <c r="AU41" s="27">
        <f t="shared" si="46"/>
        <v>-1256246573.5158958</v>
      </c>
      <c r="AV41" s="27">
        <f t="shared" si="47"/>
        <v>-1237567194.7113321</v>
      </c>
      <c r="AW41" s="27">
        <f t="shared" si="48"/>
        <v>-1212987145.8249619</v>
      </c>
      <c r="AX41" s="27">
        <f t="shared" si="49"/>
        <v>-1183537835.7454486</v>
      </c>
      <c r="AY41" s="27">
        <f t="shared" si="50"/>
        <v>-1150169003.4036212</v>
      </c>
      <c r="AZ41" s="27">
        <f t="shared" si="51"/>
        <v>-1113723695.9121478</v>
      </c>
      <c r="BA41" s="27">
        <f t="shared" si="52"/>
        <v>-1074929435.3262165</v>
      </c>
      <c r="BB41" s="27">
        <f t="shared" si="53"/>
        <v>-1034399829.5069741</v>
      </c>
      <c r="BC41" s="27">
        <f t="shared" si="54"/>
        <v>-992642250.03304219</v>
      </c>
      <c r="BD41" s="27">
        <f t="shared" si="55"/>
        <v>-950068528.02945137</v>
      </c>
      <c r="BE41" s="27">
        <f t="shared" si="56"/>
        <v>-907006689.05471492</v>
      </c>
      <c r="BF41" s="27">
        <f t="shared" si="57"/>
        <v>-863712532.45775127</v>
      </c>
      <c r="BG41" s="27">
        <f t="shared" si="58"/>
        <v>-820380399.82276058</v>
      </c>
      <c r="BH41" s="27">
        <f t="shared" si="59"/>
        <v>-777152828.81377852</v>
      </c>
      <c r="BI41" s="27">
        <f t="shared" si="60"/>
        <v>-734129006.27388048</v>
      </c>
      <c r="BJ41" s="27">
        <f t="shared" si="61"/>
        <v>-691372060.55883622</v>
      </c>
      <c r="BK41" s="27">
        <f t="shared" si="62"/>
        <v>-648915299.46198428</v>
      </c>
      <c r="BL41" s="27">
        <f t="shared" si="63"/>
        <v>-606767529.04307103</v>
      </c>
      <c r="BM41" s="27">
        <f t="shared" si="64"/>
        <v>-564917595.37042296</v>
      </c>
      <c r="BN41" s="27">
        <f t="shared" si="65"/>
        <v>-523338285.59820068</v>
      </c>
      <c r="BO41" s="27">
        <f t="shared" si="66"/>
        <v>-481989713.29748142</v>
      </c>
      <c r="BP41" s="27">
        <f t="shared" si="67"/>
        <v>-440822299.48273402</v>
      </c>
      <c r="BQ41" s="27">
        <f t="shared" si="68"/>
        <v>-399779447.67820495</v>
      </c>
      <c r="BR41" s="27">
        <f t="shared" si="69"/>
        <v>-358800000</v>
      </c>
      <c r="BT41" s="47"/>
      <c r="BU41" s="26">
        <v>9.3333333333333338E-2</v>
      </c>
      <c r="BV41" s="13">
        <v>0</v>
      </c>
      <c r="BW41" s="13">
        <f t="shared" ref="BW41:CY41" si="105">$B$20/($B$21-$B$22*BV41)</f>
        <v>0.34883720930232553</v>
      </c>
      <c r="BX41" s="13">
        <f t="shared" si="105"/>
        <v>0.39716748768472904</v>
      </c>
      <c r="BY41" s="13">
        <f t="shared" si="105"/>
        <v>0.40494040593779607</v>
      </c>
      <c r="BZ41" s="13">
        <f t="shared" si="105"/>
        <v>0.4062190081621499</v>
      </c>
      <c r="CA41" s="13">
        <f t="shared" si="105"/>
        <v>0.40643010492156101</v>
      </c>
      <c r="CB41" s="13">
        <f t="shared" si="105"/>
        <v>0.40646497802255066</v>
      </c>
      <c r="CC41" s="13">
        <f t="shared" si="105"/>
        <v>0.40647073962099717</v>
      </c>
      <c r="CD41" s="13">
        <f t="shared" si="105"/>
        <v>0.40647169154566137</v>
      </c>
      <c r="CE41" s="13">
        <f t="shared" si="105"/>
        <v>0.40647184882198806</v>
      </c>
      <c r="CF41" s="13">
        <f t="shared" si="105"/>
        <v>0.40647187480708435</v>
      </c>
      <c r="CG41" s="13">
        <f t="shared" si="105"/>
        <v>0.40647187910032606</v>
      </c>
      <c r="CH41" s="13">
        <f t="shared" si="105"/>
        <v>0.40647187980965277</v>
      </c>
      <c r="CI41" s="13">
        <f t="shared" si="105"/>
        <v>0.4064718799268473</v>
      </c>
      <c r="CJ41" s="13">
        <f t="shared" si="105"/>
        <v>0.40647187994621015</v>
      </c>
      <c r="CK41" s="13">
        <f t="shared" si="105"/>
        <v>0.40647187994940925</v>
      </c>
      <c r="CL41" s="13">
        <f t="shared" si="105"/>
        <v>0.40647187994993778</v>
      </c>
      <c r="CM41" s="13">
        <f t="shared" si="105"/>
        <v>0.40647187995002515</v>
      </c>
      <c r="CN41" s="13">
        <f t="shared" si="105"/>
        <v>0.40647187995003953</v>
      </c>
      <c r="CO41" s="13">
        <f t="shared" si="105"/>
        <v>0.40647187995004191</v>
      </c>
      <c r="CP41" s="13">
        <f t="shared" si="105"/>
        <v>0.40647187995004236</v>
      </c>
      <c r="CQ41" s="13">
        <f t="shared" si="105"/>
        <v>0.40647187995004236</v>
      </c>
      <c r="CR41" s="13">
        <f t="shared" si="105"/>
        <v>0.40647187995004236</v>
      </c>
      <c r="CS41" s="13">
        <f t="shared" si="105"/>
        <v>0.40647187995004236</v>
      </c>
      <c r="CT41" s="13">
        <f t="shared" si="105"/>
        <v>0.40647187995004236</v>
      </c>
      <c r="CU41" s="13">
        <f t="shared" si="105"/>
        <v>0.40647187995004236</v>
      </c>
      <c r="CV41" s="13">
        <f t="shared" si="105"/>
        <v>0.40647187995004236</v>
      </c>
      <c r="CW41" s="13">
        <f t="shared" si="105"/>
        <v>0.40647187995004236</v>
      </c>
      <c r="CX41" s="13">
        <f t="shared" si="105"/>
        <v>0.40647187995004236</v>
      </c>
      <c r="CY41" s="13">
        <f t="shared" si="105"/>
        <v>0.40647187995004236</v>
      </c>
      <c r="CZ41" s="13">
        <f t="shared" si="71"/>
        <v>100</v>
      </c>
      <c r="DB41" s="47"/>
      <c r="DC41" s="26">
        <v>9.3333333333333338E-2</v>
      </c>
      <c r="DD41" s="13">
        <f t="shared" si="72"/>
        <v>300</v>
      </c>
      <c r="DE41" s="13">
        <f t="shared" si="73"/>
        <v>205.1310828384841</v>
      </c>
      <c r="DF41" s="13">
        <f t="shared" si="74"/>
        <v>199.21284375021307</v>
      </c>
      <c r="DG41" s="13">
        <f t="shared" si="75"/>
        <v>203.11685951796022</v>
      </c>
      <c r="DH41" s="13">
        <f t="shared" si="76"/>
        <v>206.7828705195634</v>
      </c>
      <c r="DI41" s="13">
        <f t="shared" si="77"/>
        <v>208.88584871866647</v>
      </c>
      <c r="DJ41" s="13">
        <f t="shared" si="78"/>
        <v>209.39301652845555</v>
      </c>
      <c r="DK41" s="13">
        <f t="shared" si="79"/>
        <v>208.452103836834</v>
      </c>
      <c r="DL41" s="13">
        <f t="shared" si="80"/>
        <v>206.23616694260065</v>
      </c>
      <c r="DM41" s="13">
        <f t="shared" si="81"/>
        <v>202.92222210029271</v>
      </c>
      <c r="DN41" s="13">
        <f t="shared" si="82"/>
        <v>198.68382895581433</v>
      </c>
      <c r="DO41" s="13">
        <f t="shared" si="83"/>
        <v>193.68483763498605</v>
      </c>
      <c r="DP41" s="13">
        <f t="shared" si="84"/>
        <v>188.07462948034356</v>
      </c>
      <c r="DQ41" s="13">
        <f t="shared" si="85"/>
        <v>181.98535457995956</v>
      </c>
      <c r="DR41" s="13">
        <f t="shared" si="86"/>
        <v>175.53097347795784</v>
      </c>
      <c r="DS41" s="13">
        <f t="shared" si="87"/>
        <v>168.80762252969444</v>
      </c>
      <c r="DT41" s="13">
        <f t="shared" si="88"/>
        <v>161.89481271078074</v>
      </c>
      <c r="DU41" s="13">
        <f t="shared" si="89"/>
        <v>154.85706907654352</v>
      </c>
      <c r="DV41" s="13">
        <f t="shared" si="90"/>
        <v>147.74573404049477</v>
      </c>
      <c r="DW41" s="13">
        <f t="shared" si="91"/>
        <v>140.60075762031045</v>
      </c>
      <c r="DX41" s="13">
        <f t="shared" si="92"/>
        <v>133.45237295262496</v>
      </c>
      <c r="DY41" s="13">
        <f t="shared" si="93"/>
        <v>126.32260728161593</v>
      </c>
      <c r="DZ41" s="13">
        <f t="shared" si="94"/>
        <v>119.22661210646255</v>
      </c>
      <c r="EA41" s="13">
        <f t="shared" si="95"/>
        <v>112.17381629841283</v>
      </c>
      <c r="EB41" s="13">
        <f t="shared" si="96"/>
        <v>105.16891702164335</v>
      </c>
      <c r="EC41" s="13">
        <f t="shared" si="97"/>
        <v>98.212728430298654</v>
      </c>
      <c r="ED41" s="13">
        <f t="shared" si="98"/>
        <v>91.302909654031609</v>
      </c>
      <c r="EE41" s="13">
        <f t="shared" si="99"/>
        <v>84.434593080922539</v>
      </c>
      <c r="EF41" s="13">
        <f t="shared" si="100"/>
        <v>77.600932418807716</v>
      </c>
      <c r="EG41" s="13">
        <f t="shared" si="101"/>
        <v>70.79358810913196</v>
      </c>
      <c r="EH41" s="13">
        <f t="shared" si="102"/>
        <v>64.00316577613151</v>
      </c>
    </row>
    <row r="42" spans="5:138" x14ac:dyDescent="0.25">
      <c r="E42" s="49"/>
      <c r="F42" s="26">
        <v>9.0000000000000011E-2</v>
      </c>
      <c r="G42">
        <f t="shared" si="10"/>
        <v>300</v>
      </c>
      <c r="H42">
        <f t="shared" si="11"/>
        <v>349.93583028634856</v>
      </c>
      <c r="I42">
        <f t="shared" si="12"/>
        <v>352.317334107021</v>
      </c>
      <c r="J42">
        <f t="shared" si="13"/>
        <v>355.19978057992284</v>
      </c>
      <c r="K42">
        <f t="shared" si="14"/>
        <v>357.18935720766308</v>
      </c>
      <c r="L42">
        <f t="shared" si="15"/>
        <v>357.50773730357025</v>
      </c>
      <c r="M42">
        <f t="shared" si="16"/>
        <v>355.84472721415329</v>
      </c>
      <c r="N42">
        <f t="shared" si="17"/>
        <v>352.19102546410022</v>
      </c>
      <c r="O42">
        <f t="shared" si="18"/>
        <v>346.7065448694874</v>
      </c>
      <c r="P42">
        <f t="shared" si="19"/>
        <v>339.63082630006784</v>
      </c>
      <c r="Q42">
        <f t="shared" si="20"/>
        <v>331.22750509699074</v>
      </c>
      <c r="R42">
        <f t="shared" si="21"/>
        <v>321.75268656459025</v>
      </c>
      <c r="S42">
        <f t="shared" si="22"/>
        <v>311.43880850226014</v>
      </c>
      <c r="T42">
        <f t="shared" si="23"/>
        <v>300.48794421331854</v>
      </c>
      <c r="U42">
        <f t="shared" si="24"/>
        <v>289.07052644760552</v>
      </c>
      <c r="V42">
        <f t="shared" si="25"/>
        <v>277.32695527561981</v>
      </c>
      <c r="W42">
        <f t="shared" si="26"/>
        <v>265.3705565900151</v>
      </c>
      <c r="X42">
        <f t="shared" si="27"/>
        <v>253.29100543317887</v>
      </c>
      <c r="Y42">
        <f t="shared" si="28"/>
        <v>241.15773128107571</v>
      </c>
      <c r="Z42">
        <f t="shared" si="29"/>
        <v>229.02306519451929</v>
      </c>
      <c r="AA42">
        <f t="shared" si="30"/>
        <v>216.92503004065961</v>
      </c>
      <c r="AB42">
        <f t="shared" si="31"/>
        <v>204.88975363520882</v>
      </c>
      <c r="AC42">
        <f t="shared" si="32"/>
        <v>192.93352558824722</v>
      </c>
      <c r="AD42">
        <f t="shared" si="33"/>
        <v>181.06453748539269</v>
      </c>
      <c r="AE42">
        <f t="shared" si="34"/>
        <v>169.28435241646193</v>
      </c>
      <c r="AF42">
        <f t="shared" si="35"/>
        <v>157.58914958059566</v>
      </c>
      <c r="AG42">
        <f t="shared" si="36"/>
        <v>145.97078618486532</v>
      </c>
      <c r="AH42">
        <f t="shared" si="37"/>
        <v>134.41771409541769</v>
      </c>
      <c r="AI42">
        <f t="shared" si="38"/>
        <v>122.9157838043198</v>
      </c>
      <c r="AJ42">
        <f t="shared" si="103"/>
        <v>111.44896383303791</v>
      </c>
      <c r="AK42">
        <f t="shared" si="39"/>
        <v>100</v>
      </c>
      <c r="AL42" s="47"/>
      <c r="AM42" s="26">
        <v>9.0000000000000011E-2</v>
      </c>
      <c r="AN42" s="27">
        <f t="shared" si="40"/>
        <v>-1255800000</v>
      </c>
      <c r="AO42" s="27">
        <f t="shared" si="104"/>
        <v>-1245444670.6353178</v>
      </c>
      <c r="AP42" s="27">
        <f t="shared" si="41"/>
        <v>-1262040692.1957617</v>
      </c>
      <c r="AQ42" s="27">
        <f t="shared" si="42"/>
        <v>-1278153293.8797324</v>
      </c>
      <c r="AR42" s="27">
        <f t="shared" si="43"/>
        <v>-1288514167.3028846</v>
      </c>
      <c r="AS42" s="27">
        <f t="shared" si="44"/>
        <v>-1290940716.8124521</v>
      </c>
      <c r="AT42" s="27">
        <f t="shared" si="45"/>
        <v>-1285012344.7194149</v>
      </c>
      <c r="AU42" s="27">
        <f t="shared" si="46"/>
        <v>-1271240823.7816687</v>
      </c>
      <c r="AV42" s="27">
        <f t="shared" si="47"/>
        <v>-1250570808.2074208</v>
      </c>
      <c r="AW42" s="27">
        <f t="shared" si="48"/>
        <v>-1224091679.6679857</v>
      </c>
      <c r="AX42" s="27">
        <f t="shared" si="49"/>
        <v>-1192880287.2314019</v>
      </c>
      <c r="AY42" s="27">
        <f t="shared" si="50"/>
        <v>-1157922345.8476579</v>
      </c>
      <c r="AZ42" s="27">
        <f t="shared" si="51"/>
        <v>-1120079567.8842814</v>
      </c>
      <c r="BA42" s="27">
        <f t="shared" si="52"/>
        <v>-1080082275.2312205</v>
      </c>
      <c r="BB42" s="27">
        <f t="shared" si="53"/>
        <v>-1038535323.9959773</v>
      </c>
      <c r="BC42" s="27">
        <f t="shared" si="54"/>
        <v>-995930221.43530667</v>
      </c>
      <c r="BD42" s="27">
        <f t="shared" si="55"/>
        <v>-952659408.27587283</v>
      </c>
      <c r="BE42" s="27">
        <f t="shared" si="56"/>
        <v>-909030540.69465077</v>
      </c>
      <c r="BF42" s="27">
        <f t="shared" si="57"/>
        <v>-865279702.44513643</v>
      </c>
      <c r="BG42" s="27">
        <f t="shared" si="58"/>
        <v>-821583105.85657108</v>
      </c>
      <c r="BH42" s="27">
        <f t="shared" si="59"/>
        <v>-778067186.56747353</v>
      </c>
      <c r="BI42" s="27">
        <f t="shared" si="60"/>
        <v>-734817175.83898413</v>
      </c>
      <c r="BJ42" s="27">
        <f t="shared" si="61"/>
        <v>-691884316.44202793</v>
      </c>
      <c r="BK42" s="27">
        <f t="shared" si="62"/>
        <v>-649291915.93714488</v>
      </c>
      <c r="BL42" s="27">
        <f t="shared" si="63"/>
        <v>-607040430.02537847</v>
      </c>
      <c r="BM42" s="27">
        <f t="shared" si="64"/>
        <v>-565111753.41301477</v>
      </c>
      <c r="BN42" s="27">
        <f t="shared" si="65"/>
        <v>-523472874.82328635</v>
      </c>
      <c r="BO42" s="27">
        <f t="shared" si="66"/>
        <v>-482079031.1291911</v>
      </c>
      <c r="BP42" s="27">
        <f t="shared" si="67"/>
        <v>-440876475.56586123</v>
      </c>
      <c r="BQ42" s="27">
        <f t="shared" si="68"/>
        <v>-399804957.82061011</v>
      </c>
      <c r="BR42" s="27">
        <f t="shared" si="69"/>
        <v>-358800000</v>
      </c>
      <c r="BT42" s="47"/>
      <c r="BU42" s="26">
        <v>9.0000000000000011E-2</v>
      </c>
      <c r="BV42" s="13">
        <v>0</v>
      </c>
      <c r="BW42" s="13">
        <f t="shared" ref="BW42:CY42" si="106">$B$20/($B$21-$B$22*BV42)</f>
        <v>0.34883720930232553</v>
      </c>
      <c r="BX42" s="13">
        <f t="shared" si="106"/>
        <v>0.39716748768472904</v>
      </c>
      <c r="BY42" s="13">
        <f t="shared" si="106"/>
        <v>0.40494040593779607</v>
      </c>
      <c r="BZ42" s="13">
        <f t="shared" si="106"/>
        <v>0.4062190081621499</v>
      </c>
      <c r="CA42" s="13">
        <f t="shared" si="106"/>
        <v>0.40643010492156101</v>
      </c>
      <c r="CB42" s="13">
        <f t="shared" si="106"/>
        <v>0.40646497802255066</v>
      </c>
      <c r="CC42" s="13">
        <f t="shared" si="106"/>
        <v>0.40647073962099717</v>
      </c>
      <c r="CD42" s="13">
        <f t="shared" si="106"/>
        <v>0.40647169154566137</v>
      </c>
      <c r="CE42" s="13">
        <f t="shared" si="106"/>
        <v>0.40647184882198806</v>
      </c>
      <c r="CF42" s="13">
        <f t="shared" si="106"/>
        <v>0.40647187480708435</v>
      </c>
      <c r="CG42" s="13">
        <f t="shared" si="106"/>
        <v>0.40647187910032606</v>
      </c>
      <c r="CH42" s="13">
        <f t="shared" si="106"/>
        <v>0.40647187980965277</v>
      </c>
      <c r="CI42" s="13">
        <f t="shared" si="106"/>
        <v>0.4064718799268473</v>
      </c>
      <c r="CJ42" s="13">
        <f t="shared" si="106"/>
        <v>0.40647187994621015</v>
      </c>
      <c r="CK42" s="13">
        <f t="shared" si="106"/>
        <v>0.40647187994940925</v>
      </c>
      <c r="CL42" s="13">
        <f t="shared" si="106"/>
        <v>0.40647187994993778</v>
      </c>
      <c r="CM42" s="13">
        <f t="shared" si="106"/>
        <v>0.40647187995002515</v>
      </c>
      <c r="CN42" s="13">
        <f t="shared" si="106"/>
        <v>0.40647187995003953</v>
      </c>
      <c r="CO42" s="13">
        <f t="shared" si="106"/>
        <v>0.40647187995004191</v>
      </c>
      <c r="CP42" s="13">
        <f t="shared" si="106"/>
        <v>0.40647187995004236</v>
      </c>
      <c r="CQ42" s="13">
        <f t="shared" si="106"/>
        <v>0.40647187995004236</v>
      </c>
      <c r="CR42" s="13">
        <f t="shared" si="106"/>
        <v>0.40647187995004236</v>
      </c>
      <c r="CS42" s="13">
        <f t="shared" si="106"/>
        <v>0.40647187995004236</v>
      </c>
      <c r="CT42" s="13">
        <f t="shared" si="106"/>
        <v>0.40647187995004236</v>
      </c>
      <c r="CU42" s="13">
        <f t="shared" si="106"/>
        <v>0.40647187995004236</v>
      </c>
      <c r="CV42" s="13">
        <f t="shared" si="106"/>
        <v>0.40647187995004236</v>
      </c>
      <c r="CW42" s="13">
        <f t="shared" si="106"/>
        <v>0.40647187995004236</v>
      </c>
      <c r="CX42" s="13">
        <f t="shared" si="106"/>
        <v>0.40647187995004236</v>
      </c>
      <c r="CY42" s="13">
        <f t="shared" si="106"/>
        <v>0.40647187995004236</v>
      </c>
      <c r="CZ42" s="13">
        <f t="shared" si="71"/>
        <v>100</v>
      </c>
      <c r="DB42" s="47"/>
      <c r="DC42" s="26">
        <v>9.0000000000000011E-2</v>
      </c>
      <c r="DD42" s="13">
        <f t="shared" si="72"/>
        <v>350</v>
      </c>
      <c r="DE42" s="13">
        <f t="shared" si="73"/>
        <v>227.03443466762033</v>
      </c>
      <c r="DF42" s="13">
        <f t="shared" si="74"/>
        <v>211.24352962792602</v>
      </c>
      <c r="DG42" s="13">
        <f t="shared" si="75"/>
        <v>210.55937727559132</v>
      </c>
      <c r="DH42" s="13">
        <f t="shared" si="76"/>
        <v>211.96291874991238</v>
      </c>
      <c r="DI42" s="13">
        <f t="shared" si="77"/>
        <v>212.88172748613766</v>
      </c>
      <c r="DJ42" s="13">
        <f t="shared" si="78"/>
        <v>212.6914097891482</v>
      </c>
      <c r="DK42" s="13">
        <f t="shared" si="79"/>
        <v>211.26495973955923</v>
      </c>
      <c r="DL42" s="13">
        <f t="shared" si="80"/>
        <v>208.6562284022481</v>
      </c>
      <c r="DM42" s="13">
        <f t="shared" si="81"/>
        <v>204.99616992259953</v>
      </c>
      <c r="DN42" s="13">
        <f t="shared" si="82"/>
        <v>200.44408736486557</v>
      </c>
      <c r="DO42" s="13">
        <f t="shared" si="83"/>
        <v>195.16156884790996</v>
      </c>
      <c r="DP42" s="13">
        <f t="shared" si="84"/>
        <v>189.29890895773451</v>
      </c>
      <c r="DQ42" s="13">
        <f t="shared" si="85"/>
        <v>182.98890389671689</v>
      </c>
      <c r="DR42" s="13">
        <f t="shared" si="86"/>
        <v>176.34491757696577</v>
      </c>
      <c r="DS42" s="13">
        <f t="shared" si="87"/>
        <v>169.46128625525526</v>
      </c>
      <c r="DT42" s="13">
        <f t="shared" si="88"/>
        <v>162.41488543718097</v>
      </c>
      <c r="DU42" s="13">
        <f t="shared" si="89"/>
        <v>155.26716903487704</v>
      </c>
      <c r="DV42" s="13">
        <f t="shared" si="90"/>
        <v>148.06629541953899</v>
      </c>
      <c r="DW42" s="13">
        <f t="shared" si="91"/>
        <v>140.84914042567306</v>
      </c>
      <c r="DX42" s="13">
        <f t="shared" si="92"/>
        <v>133.64310669805525</v>
      </c>
      <c r="DY42" s="13">
        <f t="shared" si="93"/>
        <v>126.46770078396436</v>
      </c>
      <c r="DZ42" s="13">
        <f t="shared" si="94"/>
        <v>119.33588264427472</v>
      </c>
      <c r="EA42" s="13">
        <f t="shared" si="95"/>
        <v>112.25520851254792</v>
      </c>
      <c r="EB42" s="13">
        <f t="shared" si="96"/>
        <v>105.22879452670878</v>
      </c>
      <c r="EC42" s="13">
        <f t="shared" si="97"/>
        <v>98.25612970224779</v>
      </c>
      <c r="ED42" s="13">
        <f t="shared" si="98"/>
        <v>91.333765237913582</v>
      </c>
      <c r="EE42" s="13">
        <f t="shared" si="99"/>
        <v>84.455904376942868</v>
      </c>
      <c r="EF42" s="13">
        <f t="shared" si="100"/>
        <v>77.614913956620612</v>
      </c>
      <c r="EG42" s="13">
        <f t="shared" si="101"/>
        <v>70.801775838033677</v>
      </c>
      <c r="EH42" s="13">
        <f t="shared" si="102"/>
        <v>64.006493857690714</v>
      </c>
    </row>
    <row r="43" spans="5:138" x14ac:dyDescent="0.25">
      <c r="E43" s="49"/>
      <c r="F43" s="26">
        <v>8.666666666666667E-2</v>
      </c>
      <c r="G43">
        <f t="shared" si="10"/>
        <v>300</v>
      </c>
      <c r="H43">
        <f t="shared" si="11"/>
        <v>397.02866144064092</v>
      </c>
      <c r="I43">
        <f t="shared" si="12"/>
        <v>376.62920986934904</v>
      </c>
      <c r="J43">
        <f t="shared" si="13"/>
        <v>369.81237518243427</v>
      </c>
      <c r="K43">
        <f t="shared" si="14"/>
        <v>367.59261482812894</v>
      </c>
      <c r="L43">
        <f t="shared" si="15"/>
        <v>365.89181844866084</v>
      </c>
      <c r="M43">
        <f t="shared" si="16"/>
        <v>363.0230900351396</v>
      </c>
      <c r="N43">
        <f t="shared" si="17"/>
        <v>358.44202926185312</v>
      </c>
      <c r="O43">
        <f t="shared" si="18"/>
        <v>352.126925175471</v>
      </c>
      <c r="P43">
        <f t="shared" si="19"/>
        <v>344.27345575711644</v>
      </c>
      <c r="Q43">
        <f t="shared" si="20"/>
        <v>335.14735078687363</v>
      </c>
      <c r="R43">
        <f t="shared" si="21"/>
        <v>325.01631978388872</v>
      </c>
      <c r="S43">
        <f t="shared" si="22"/>
        <v>314.1214005703041</v>
      </c>
      <c r="T43">
        <f t="shared" si="23"/>
        <v>302.66749027376818</v>
      </c>
      <c r="U43">
        <f t="shared" si="24"/>
        <v>290.82280314837044</v>
      </c>
      <c r="V43">
        <f t="shared" si="25"/>
        <v>278.72211276935013</v>
      </c>
      <c r="W43">
        <f t="shared" si="26"/>
        <v>266.47126008244732</v>
      </c>
      <c r="X43">
        <f t="shared" si="27"/>
        <v>254.15175013282303</v>
      </c>
      <c r="Y43">
        <f t="shared" si="28"/>
        <v>241.82493772599551</v>
      </c>
      <c r="Z43">
        <f t="shared" si="29"/>
        <v>229.53563591532492</v>
      </c>
      <c r="AA43">
        <f t="shared" si="30"/>
        <v>217.31513780587989</v>
      </c>
      <c r="AB43">
        <f t="shared" si="31"/>
        <v>205.18370882826235</v>
      </c>
      <c r="AC43">
        <f t="shared" si="32"/>
        <v>193.15262882663396</v>
      </c>
      <c r="AD43">
        <f t="shared" si="33"/>
        <v>181.22586457988263</v>
      </c>
      <c r="AE43">
        <f t="shared" si="34"/>
        <v>169.40144576014598</v>
      </c>
      <c r="AF43">
        <f t="shared" si="35"/>
        <v>157.67260680356432</v>
      </c>
      <c r="AG43">
        <f t="shared" si="36"/>
        <v>146.02874655136949</v>
      </c>
      <c r="AH43">
        <f t="shared" si="37"/>
        <v>134.45624803407259</v>
      </c>
      <c r="AI43">
        <f t="shared" si="38"/>
        <v>122.93919284055065</v>
      </c>
      <c r="AJ43">
        <f t="shared" si="103"/>
        <v>111.4599981892228</v>
      </c>
      <c r="AK43">
        <f t="shared" si="39"/>
        <v>100</v>
      </c>
      <c r="AL43" s="47"/>
      <c r="AM43" s="26">
        <v>8.666666666666667E-2</v>
      </c>
      <c r="AN43" s="27">
        <f t="shared" si="40"/>
        <v>-1614600000</v>
      </c>
      <c r="AO43" s="27">
        <f t="shared" si="104"/>
        <v>-1289691225.1184218</v>
      </c>
      <c r="AP43" s="27">
        <f t="shared" si="41"/>
        <v>-1295113571.1099031</v>
      </c>
      <c r="AQ43" s="27">
        <f t="shared" si="42"/>
        <v>-1307854914.4175711</v>
      </c>
      <c r="AR43" s="27">
        <f t="shared" si="43"/>
        <v>-1316773791.147501</v>
      </c>
      <c r="AS43" s="27">
        <f t="shared" si="44"/>
        <v>-1317655083.2147753</v>
      </c>
      <c r="AT43" s="27">
        <f t="shared" si="45"/>
        <v>-1309615903.0155091</v>
      </c>
      <c r="AU43" s="27">
        <f t="shared" si="46"/>
        <v>-1293268940.3077445</v>
      </c>
      <c r="AV43" s="27">
        <f t="shared" si="47"/>
        <v>-1269800240.0039558</v>
      </c>
      <c r="AW43" s="27">
        <f t="shared" si="48"/>
        <v>-1240521870.4413509</v>
      </c>
      <c r="AX43" s="27">
        <f t="shared" si="49"/>
        <v>-1206669088.3988557</v>
      </c>
      <c r="AY43" s="27">
        <f t="shared" si="50"/>
        <v>-1169321052.5764754</v>
      </c>
      <c r="AZ43" s="27">
        <f t="shared" si="51"/>
        <v>-1129381808.32967</v>
      </c>
      <c r="BA43" s="27">
        <f t="shared" si="52"/>
        <v>-1087588771.173768</v>
      </c>
      <c r="BB43" s="27">
        <f t="shared" si="53"/>
        <v>-1044532071.1663505</v>
      </c>
      <c r="BC43" s="27">
        <f t="shared" si="54"/>
        <v>-1000676612.5710623</v>
      </c>
      <c r="BD43" s="27">
        <f t="shared" si="55"/>
        <v>-956383122.24348795</v>
      </c>
      <c r="BE43" s="27">
        <f t="shared" si="56"/>
        <v>-911926711.64939046</v>
      </c>
      <c r="BF43" s="27">
        <f t="shared" si="57"/>
        <v>-867512582.6927824</v>
      </c>
      <c r="BG43" s="27">
        <f t="shared" si="58"/>
        <v>-823289014.34111202</v>
      </c>
      <c r="BH43" s="27">
        <f t="shared" si="59"/>
        <v>-779357968.24173105</v>
      </c>
      <c r="BI43" s="27">
        <f t="shared" si="60"/>
        <v>-735783702.51521063</v>
      </c>
      <c r="BJ43" s="27">
        <f t="shared" si="61"/>
        <v>-692599765.00477183</v>
      </c>
      <c r="BK43" s="27">
        <f t="shared" si="62"/>
        <v>-649814692.04477835</v>
      </c>
      <c r="BL43" s="27">
        <f t="shared" si="63"/>
        <v>-607416686.75394237</v>
      </c>
      <c r="BM43" s="27">
        <f t="shared" si="64"/>
        <v>-565377501.37502742</v>
      </c>
      <c r="BN43" s="27">
        <f t="shared" si="65"/>
        <v>-523655705.04383641</v>
      </c>
      <c r="BO43" s="27">
        <f t="shared" si="66"/>
        <v>-482199482.58582413</v>
      </c>
      <c r="BP43" s="27">
        <f t="shared" si="67"/>
        <v>-440949081.26721233</v>
      </c>
      <c r="BQ43" s="27">
        <f t="shared" si="68"/>
        <v>-399839000.14981657</v>
      </c>
      <c r="BR43" s="27">
        <f t="shared" si="69"/>
        <v>-358800000</v>
      </c>
      <c r="BT43" s="47"/>
      <c r="BU43" s="26">
        <v>8.666666666666667E-2</v>
      </c>
      <c r="BV43" s="13">
        <v>0</v>
      </c>
      <c r="BW43" s="13">
        <f t="shared" ref="BW43:CY43" si="107">$B$20/($B$21-$B$22*BV43)</f>
        <v>0.34883720930232553</v>
      </c>
      <c r="BX43" s="13">
        <f t="shared" si="107"/>
        <v>0.39716748768472904</v>
      </c>
      <c r="BY43" s="13">
        <f t="shared" si="107"/>
        <v>0.40494040593779607</v>
      </c>
      <c r="BZ43" s="13">
        <f t="shared" si="107"/>
        <v>0.4062190081621499</v>
      </c>
      <c r="CA43" s="13">
        <f t="shared" si="107"/>
        <v>0.40643010492156101</v>
      </c>
      <c r="CB43" s="13">
        <f t="shared" si="107"/>
        <v>0.40646497802255066</v>
      </c>
      <c r="CC43" s="13">
        <f t="shared" si="107"/>
        <v>0.40647073962099717</v>
      </c>
      <c r="CD43" s="13">
        <f t="shared" si="107"/>
        <v>0.40647169154566137</v>
      </c>
      <c r="CE43" s="13">
        <f t="shared" si="107"/>
        <v>0.40647184882198806</v>
      </c>
      <c r="CF43" s="13">
        <f t="shared" si="107"/>
        <v>0.40647187480708435</v>
      </c>
      <c r="CG43" s="13">
        <f t="shared" si="107"/>
        <v>0.40647187910032606</v>
      </c>
      <c r="CH43" s="13">
        <f t="shared" si="107"/>
        <v>0.40647187980965277</v>
      </c>
      <c r="CI43" s="13">
        <f t="shared" si="107"/>
        <v>0.4064718799268473</v>
      </c>
      <c r="CJ43" s="13">
        <f t="shared" si="107"/>
        <v>0.40647187994621015</v>
      </c>
      <c r="CK43" s="13">
        <f t="shared" si="107"/>
        <v>0.40647187994940925</v>
      </c>
      <c r="CL43" s="13">
        <f t="shared" si="107"/>
        <v>0.40647187994993778</v>
      </c>
      <c r="CM43" s="13">
        <f t="shared" si="107"/>
        <v>0.40647187995002515</v>
      </c>
      <c r="CN43" s="13">
        <f t="shared" si="107"/>
        <v>0.40647187995003953</v>
      </c>
      <c r="CO43" s="13">
        <f t="shared" si="107"/>
        <v>0.40647187995004191</v>
      </c>
      <c r="CP43" s="13">
        <f t="shared" si="107"/>
        <v>0.40647187995004236</v>
      </c>
      <c r="CQ43" s="13">
        <f t="shared" si="107"/>
        <v>0.40647187995004236</v>
      </c>
      <c r="CR43" s="13">
        <f t="shared" si="107"/>
        <v>0.40647187995004236</v>
      </c>
      <c r="CS43" s="13">
        <f t="shared" si="107"/>
        <v>0.40647187995004236</v>
      </c>
      <c r="CT43" s="13">
        <f t="shared" si="107"/>
        <v>0.40647187995004236</v>
      </c>
      <c r="CU43" s="13">
        <f t="shared" si="107"/>
        <v>0.40647187995004236</v>
      </c>
      <c r="CV43" s="13">
        <f t="shared" si="107"/>
        <v>0.40647187995004236</v>
      </c>
      <c r="CW43" s="13">
        <f t="shared" si="107"/>
        <v>0.40647187995004236</v>
      </c>
      <c r="CX43" s="13">
        <f t="shared" si="107"/>
        <v>0.40647187995004236</v>
      </c>
      <c r="CY43" s="13">
        <f t="shared" si="107"/>
        <v>0.40647187995004236</v>
      </c>
      <c r="CZ43" s="13">
        <f t="shared" si="71"/>
        <v>100</v>
      </c>
      <c r="DB43" s="47"/>
      <c r="DC43" s="26">
        <v>8.666666666666667E-2</v>
      </c>
      <c r="DD43" s="13">
        <f t="shared" si="72"/>
        <v>450</v>
      </c>
      <c r="DE43" s="13">
        <f t="shared" si="73"/>
        <v>265.64637892807735</v>
      </c>
      <c r="DF43" s="13">
        <f t="shared" si="74"/>
        <v>229.75175790341919</v>
      </c>
      <c r="DG43" s="13">
        <f t="shared" si="75"/>
        <v>220.95927251419585</v>
      </c>
      <c r="DH43" s="13">
        <f t="shared" si="76"/>
        <v>218.96040324326856</v>
      </c>
      <c r="DI43" s="13">
        <f t="shared" si="77"/>
        <v>218.34830587672977</v>
      </c>
      <c r="DJ43" s="13">
        <f t="shared" si="78"/>
        <v>217.32895848886204</v>
      </c>
      <c r="DK43" s="13">
        <f t="shared" si="79"/>
        <v>215.31273754531193</v>
      </c>
      <c r="DL43" s="13">
        <f t="shared" si="80"/>
        <v>212.18951125960544</v>
      </c>
      <c r="DM43" s="13">
        <f t="shared" si="81"/>
        <v>208.04549245498453</v>
      </c>
      <c r="DN43" s="13">
        <f t="shared" si="82"/>
        <v>203.03735794141755</v>
      </c>
      <c r="DO43" s="13">
        <f t="shared" si="83"/>
        <v>197.33480382845099</v>
      </c>
      <c r="DP43" s="13">
        <f t="shared" si="84"/>
        <v>191.09557684145577</v>
      </c>
      <c r="DQ43" s="13">
        <f t="shared" si="85"/>
        <v>184.45619875245458</v>
      </c>
      <c r="DR43" s="13">
        <f t="shared" si="86"/>
        <v>177.53010198843307</v>
      </c>
      <c r="DS43" s="13">
        <f t="shared" si="87"/>
        <v>170.40903873114982</v>
      </c>
      <c r="DT43" s="13">
        <f t="shared" si="88"/>
        <v>163.16572041339188</v>
      </c>
      <c r="DU43" s="13">
        <f t="shared" si="89"/>
        <v>155.85671307653988</v>
      </c>
      <c r="DV43" s="13">
        <f t="shared" si="90"/>
        <v>148.52515627996559</v>
      </c>
      <c r="DW43" s="13">
        <f t="shared" si="91"/>
        <v>141.20314330976649</v>
      </c>
      <c r="DX43" s="13">
        <f t="shared" si="92"/>
        <v>133.91372994333398</v>
      </c>
      <c r="DY43" s="13">
        <f t="shared" si="93"/>
        <v>126.67259667180771</v>
      </c>
      <c r="DZ43" s="13">
        <f t="shared" si="94"/>
        <v>119.48941095527728</v>
      </c>
      <c r="EA43" s="13">
        <f t="shared" si="95"/>
        <v>112.36894045550098</v>
      </c>
      <c r="EB43" s="13">
        <f t="shared" si="96"/>
        <v>105.31196485607737</v>
      </c>
      <c r="EC43" s="13">
        <f t="shared" si="97"/>
        <v>98.316027666080899</v>
      </c>
      <c r="ED43" s="13">
        <f t="shared" si="98"/>
        <v>91.376062641930815</v>
      </c>
      <c r="EE43" s="13">
        <f t="shared" si="99"/>
        <v>84.484923200633162</v>
      </c>
      <c r="EF43" s="13">
        <f t="shared" si="100"/>
        <v>77.633837837348935</v>
      </c>
      <c r="EG43" s="13">
        <f t="shared" si="101"/>
        <v>70.812810194218557</v>
      </c>
      <c r="EH43" s="13">
        <f t="shared" si="102"/>
        <v>64.010979013193236</v>
      </c>
    </row>
    <row r="44" spans="5:138" x14ac:dyDescent="0.25">
      <c r="E44" s="49"/>
      <c r="F44" s="26">
        <v>8.3333333333333343E-2</v>
      </c>
      <c r="G44">
        <f t="shared" si="10"/>
        <v>300</v>
      </c>
      <c r="H44">
        <f t="shared" si="11"/>
        <v>328.84665633591544</v>
      </c>
      <c r="I44">
        <f t="shared" si="12"/>
        <v>348.6979782519374</v>
      </c>
      <c r="J44">
        <f t="shared" si="13"/>
        <v>361.67293430422689</v>
      </c>
      <c r="K44">
        <f t="shared" si="14"/>
        <v>368.94874035187388</v>
      </c>
      <c r="L44">
        <f t="shared" si="15"/>
        <v>371.47432154923126</v>
      </c>
      <c r="M44">
        <f t="shared" si="16"/>
        <v>370.12126377633513</v>
      </c>
      <c r="N44">
        <f t="shared" si="17"/>
        <v>365.68205894578392</v>
      </c>
      <c r="O44">
        <f t="shared" si="18"/>
        <v>358.84755857015409</v>
      </c>
      <c r="P44">
        <f t="shared" si="19"/>
        <v>350.19647641614233</v>
      </c>
      <c r="Q44">
        <f t="shared" si="20"/>
        <v>340.1986705495674</v>
      </c>
      <c r="R44">
        <f t="shared" si="21"/>
        <v>329.22684498074494</v>
      </c>
      <c r="S44">
        <f t="shared" si="22"/>
        <v>317.57159594758406</v>
      </c>
      <c r="T44">
        <f t="shared" si="23"/>
        <v>305.4565489205313</v>
      </c>
      <c r="U44">
        <f t="shared" si="24"/>
        <v>293.05193308570563</v>
      </c>
      <c r="V44">
        <f t="shared" si="25"/>
        <v>280.48598629978409</v>
      </c>
      <c r="W44">
        <f t="shared" si="26"/>
        <v>267.85416151166879</v>
      </c>
      <c r="X44">
        <f t="shared" si="27"/>
        <v>255.22637454644263</v>
      </c>
      <c r="Y44">
        <f t="shared" si="28"/>
        <v>242.65262404654254</v>
      </c>
      <c r="Z44">
        <f t="shared" si="29"/>
        <v>230.16731432828004</v>
      </c>
      <c r="AA44">
        <f t="shared" si="30"/>
        <v>217.79257232474433</v>
      </c>
      <c r="AB44">
        <f t="shared" si="31"/>
        <v>205.54079824328034</v>
      </c>
      <c r="AC44">
        <f t="shared" si="32"/>
        <v>193.41663939107593</v>
      </c>
      <c r="AD44">
        <f t="shared" si="33"/>
        <v>181.41853323816611</v>
      </c>
      <c r="AE44">
        <f t="shared" si="34"/>
        <v>169.53993057919055</v>
      </c>
      <c r="AF44">
        <f t="shared" si="35"/>
        <v>157.77028215909445</v>
      </c>
      <c r="AG44">
        <f t="shared" si="36"/>
        <v>146.09585118717965</v>
      </c>
      <c r="AH44">
        <f t="shared" si="37"/>
        <v>134.50039849806936</v>
      </c>
      <c r="AI44">
        <f t="shared" si="38"/>
        <v>122.96577557077055</v>
      </c>
      <c r="AJ44">
        <f t="shared" si="103"/>
        <v>111.47245224033489</v>
      </c>
      <c r="AK44">
        <f t="shared" si="39"/>
        <v>100</v>
      </c>
      <c r="AL44" s="47"/>
      <c r="AM44" s="26">
        <v>8.3333333333333343E-2</v>
      </c>
      <c r="AN44" s="27">
        <f t="shared" si="40"/>
        <v>-1076400000</v>
      </c>
      <c r="AO44" s="27">
        <f t="shared" si="104"/>
        <v>-1217142487.4316235</v>
      </c>
      <c r="AP44" s="27">
        <f t="shared" si="41"/>
        <v>-1279596500.6438036</v>
      </c>
      <c r="AQ44" s="27">
        <f t="shared" si="42"/>
        <v>-1321276969.3027856</v>
      </c>
      <c r="AR44" s="27">
        <f t="shared" si="43"/>
        <v>-1343454011.2627232</v>
      </c>
      <c r="AS44" s="27">
        <f t="shared" si="44"/>
        <v>-1348907431.0554917</v>
      </c>
      <c r="AT44" s="27">
        <f t="shared" si="45"/>
        <v>-1340771743.2481823</v>
      </c>
      <c r="AU44" s="27">
        <f t="shared" si="46"/>
        <v>-1321983751.0540981</v>
      </c>
      <c r="AV44" s="27">
        <f t="shared" si="47"/>
        <v>-1295065688.7122145</v>
      </c>
      <c r="AW44" s="27">
        <f t="shared" si="48"/>
        <v>-1262080393.5511305</v>
      </c>
      <c r="AX44" s="27">
        <f t="shared" si="49"/>
        <v>-1224665271.4991529</v>
      </c>
      <c r="AY44" s="27">
        <f t="shared" si="50"/>
        <v>-1184095292.9332733</v>
      </c>
      <c r="AZ44" s="27">
        <f t="shared" si="51"/>
        <v>-1141350449.9546442</v>
      </c>
      <c r="BA44" s="27">
        <f t="shared" si="52"/>
        <v>-1097176912.3910463</v>
      </c>
      <c r="BB44" s="27">
        <f t="shared" si="53"/>
        <v>-1052138246.0490487</v>
      </c>
      <c r="BC44" s="27">
        <f t="shared" si="54"/>
        <v>-1006656453.7727073</v>
      </c>
      <c r="BD44" s="27">
        <f t="shared" si="55"/>
        <v>-961044014.91710699</v>
      </c>
      <c r="BE44" s="27">
        <f t="shared" si="56"/>
        <v>-915528520.90618634</v>
      </c>
      <c r="BF44" s="27">
        <f t="shared" si="57"/>
        <v>-870271470.24301529</v>
      </c>
      <c r="BG44" s="27">
        <f t="shared" si="58"/>
        <v>-825382573.47089994</v>
      </c>
      <c r="BH44" s="27">
        <f t="shared" si="59"/>
        <v>-780930662.30380571</v>
      </c>
      <c r="BI44" s="27">
        <f t="shared" si="60"/>
        <v>-736952057.04775524</v>
      </c>
      <c r="BJ44" s="27">
        <f t="shared" si="61"/>
        <v>-693457043.96010113</v>
      </c>
      <c r="BK44" s="27">
        <f t="shared" si="62"/>
        <v>-650434952.79365242</v>
      </c>
      <c r="BL44" s="27">
        <f t="shared" si="63"/>
        <v>-607858200.36917496</v>
      </c>
      <c r="BM44" s="27">
        <f t="shared" si="64"/>
        <v>-565685572.15136039</v>
      </c>
      <c r="BN44" s="27">
        <f t="shared" si="65"/>
        <v>-523864943.96879023</v>
      </c>
      <c r="BO44" s="27">
        <f t="shared" si="66"/>
        <v>-482335594.59717351</v>
      </c>
      <c r="BP44" s="27">
        <f t="shared" si="67"/>
        <v>-441030222.41691136</v>
      </c>
      <c r="BQ44" s="27">
        <f t="shared" si="68"/>
        <v>-399876752.32530439</v>
      </c>
      <c r="BR44" s="27">
        <f t="shared" si="69"/>
        <v>-358800000</v>
      </c>
      <c r="BT44" s="47"/>
      <c r="BU44" s="26">
        <v>8.3333333333333343E-2</v>
      </c>
      <c r="BV44" s="13">
        <v>0</v>
      </c>
      <c r="BW44" s="13">
        <f t="shared" ref="BW44:CY44" si="108">$B$20/($B$21-$B$22*BV44)</f>
        <v>0.34883720930232553</v>
      </c>
      <c r="BX44" s="13">
        <f t="shared" si="108"/>
        <v>0.39716748768472904</v>
      </c>
      <c r="BY44" s="13">
        <f t="shared" si="108"/>
        <v>0.40494040593779607</v>
      </c>
      <c r="BZ44" s="13">
        <f t="shared" si="108"/>
        <v>0.4062190081621499</v>
      </c>
      <c r="CA44" s="13">
        <f t="shared" si="108"/>
        <v>0.40643010492156101</v>
      </c>
      <c r="CB44" s="13">
        <f t="shared" si="108"/>
        <v>0.40646497802255066</v>
      </c>
      <c r="CC44" s="13">
        <f t="shared" si="108"/>
        <v>0.40647073962099717</v>
      </c>
      <c r="CD44" s="13">
        <f t="shared" si="108"/>
        <v>0.40647169154566137</v>
      </c>
      <c r="CE44" s="13">
        <f t="shared" si="108"/>
        <v>0.40647184882198806</v>
      </c>
      <c r="CF44" s="13">
        <f t="shared" si="108"/>
        <v>0.40647187480708435</v>
      </c>
      <c r="CG44" s="13">
        <f t="shared" si="108"/>
        <v>0.40647187910032606</v>
      </c>
      <c r="CH44" s="13">
        <f t="shared" si="108"/>
        <v>0.40647187980965277</v>
      </c>
      <c r="CI44" s="13">
        <f t="shared" si="108"/>
        <v>0.4064718799268473</v>
      </c>
      <c r="CJ44" s="13">
        <f t="shared" si="108"/>
        <v>0.40647187994621015</v>
      </c>
      <c r="CK44" s="13">
        <f t="shared" si="108"/>
        <v>0.40647187994940925</v>
      </c>
      <c r="CL44" s="13">
        <f t="shared" si="108"/>
        <v>0.40647187994993778</v>
      </c>
      <c r="CM44" s="13">
        <f t="shared" si="108"/>
        <v>0.40647187995002515</v>
      </c>
      <c r="CN44" s="13">
        <f t="shared" si="108"/>
        <v>0.40647187995003953</v>
      </c>
      <c r="CO44" s="13">
        <f t="shared" si="108"/>
        <v>0.40647187995004191</v>
      </c>
      <c r="CP44" s="13">
        <f t="shared" si="108"/>
        <v>0.40647187995004236</v>
      </c>
      <c r="CQ44" s="13">
        <f t="shared" si="108"/>
        <v>0.40647187995004236</v>
      </c>
      <c r="CR44" s="13">
        <f t="shared" si="108"/>
        <v>0.40647187995004236</v>
      </c>
      <c r="CS44" s="13">
        <f t="shared" si="108"/>
        <v>0.40647187995004236</v>
      </c>
      <c r="CT44" s="13">
        <f t="shared" si="108"/>
        <v>0.40647187995004236</v>
      </c>
      <c r="CU44" s="13">
        <f t="shared" si="108"/>
        <v>0.40647187995004236</v>
      </c>
      <c r="CV44" s="13">
        <f t="shared" si="108"/>
        <v>0.40647187995004236</v>
      </c>
      <c r="CW44" s="13">
        <f t="shared" si="108"/>
        <v>0.40647187995004236</v>
      </c>
      <c r="CX44" s="13">
        <f t="shared" si="108"/>
        <v>0.40647187995004236</v>
      </c>
      <c r="CY44" s="13">
        <f t="shared" si="108"/>
        <v>0.40647187995004236</v>
      </c>
      <c r="CZ44" s="13">
        <f t="shared" si="71"/>
        <v>100</v>
      </c>
      <c r="DB44" s="47"/>
      <c r="DC44" s="26">
        <v>8.3333333333333343E-2</v>
      </c>
      <c r="DD44" s="13">
        <f t="shared" si="72"/>
        <v>300</v>
      </c>
      <c r="DE44" s="13">
        <f t="shared" si="73"/>
        <v>207.2078267131466</v>
      </c>
      <c r="DF44" s="13">
        <f t="shared" si="74"/>
        <v>205.05324757076355</v>
      </c>
      <c r="DG44" s="13">
        <f t="shared" si="75"/>
        <v>212.27068161590054</v>
      </c>
      <c r="DH44" s="13">
        <f t="shared" si="76"/>
        <v>218.04880989443762</v>
      </c>
      <c r="DI44" s="13">
        <f t="shared" si="77"/>
        <v>221.04589747891464</v>
      </c>
      <c r="DJ44" s="13">
        <f t="shared" si="78"/>
        <v>221.484313723696</v>
      </c>
      <c r="DK44" s="13">
        <f t="shared" si="79"/>
        <v>219.82102640258429</v>
      </c>
      <c r="DL44" s="13">
        <f t="shared" si="80"/>
        <v>216.50260442795442</v>
      </c>
      <c r="DM44" s="13">
        <f t="shared" si="81"/>
        <v>211.91529383107729</v>
      </c>
      <c r="DN44" s="13">
        <f t="shared" si="82"/>
        <v>206.3772176334227</v>
      </c>
      <c r="DO44" s="13">
        <f t="shared" si="83"/>
        <v>200.14292162704095</v>
      </c>
      <c r="DP44" s="13">
        <f t="shared" si="84"/>
        <v>193.41209830768653</v>
      </c>
      <c r="DQ44" s="13">
        <f t="shared" si="85"/>
        <v>186.33917876298787</v>
      </c>
      <c r="DR44" s="13">
        <f t="shared" si="86"/>
        <v>179.04226693586543</v>
      </c>
      <c r="DS44" s="13">
        <f t="shared" si="87"/>
        <v>171.61080171786335</v>
      </c>
      <c r="DT44" s="13">
        <f t="shared" si="88"/>
        <v>164.1118172369693</v>
      </c>
      <c r="DU44" s="13">
        <f t="shared" si="89"/>
        <v>156.59490627543781</v>
      </c>
      <c r="DV44" s="13">
        <f t="shared" si="90"/>
        <v>149.0960830884749</v>
      </c>
      <c r="DW44" s="13">
        <f t="shared" si="91"/>
        <v>141.64075801628573</v>
      </c>
      <c r="DX44" s="13">
        <f t="shared" si="92"/>
        <v>134.24601765636581</v>
      </c>
      <c r="DY44" s="13">
        <f t="shared" si="93"/>
        <v>126.92237321637027</v>
      </c>
      <c r="DZ44" s="13">
        <f t="shared" si="94"/>
        <v>119.6751071279793</v>
      </c>
      <c r="EA44" s="13">
        <f t="shared" si="95"/>
        <v>112.50531892904286</v>
      </c>
      <c r="EB44" s="13">
        <f t="shared" si="96"/>
        <v>105.41074738973481</v>
      </c>
      <c r="EC44" s="13">
        <f t="shared" si="97"/>
        <v>98.386426874139914</v>
      </c>
      <c r="ED44" s="13">
        <f t="shared" si="98"/>
        <v>91.42522135563955</v>
      </c>
      <c r="EE44" s="13">
        <f t="shared" si="99"/>
        <v>84.518268532303267</v>
      </c>
      <c r="EF44" s="13">
        <f t="shared" si="100"/>
        <v>77.655358346000313</v>
      </c>
      <c r="EG44" s="13">
        <f t="shared" si="101"/>
        <v>70.825264245330644</v>
      </c>
      <c r="EH44" s="13">
        <f t="shared" si="102"/>
        <v>64.016041234761744</v>
      </c>
    </row>
    <row r="45" spans="5:138" x14ac:dyDescent="0.25">
      <c r="E45" s="49"/>
      <c r="F45" s="26">
        <v>0.08</v>
      </c>
      <c r="G45">
        <f t="shared" si="10"/>
        <v>300</v>
      </c>
      <c r="H45">
        <f t="shared" si="11"/>
        <v>326.30780849223925</v>
      </c>
      <c r="I45">
        <f t="shared" si="12"/>
        <v>351.13029967490229</v>
      </c>
      <c r="J45">
        <f t="shared" si="13"/>
        <v>368.93811430058344</v>
      </c>
      <c r="K45">
        <f t="shared" si="14"/>
        <v>379.11010628221658</v>
      </c>
      <c r="L45">
        <f t="shared" si="15"/>
        <v>382.70877751607463</v>
      </c>
      <c r="M45">
        <f t="shared" si="16"/>
        <v>381.17107203342164</v>
      </c>
      <c r="N45">
        <f t="shared" si="17"/>
        <v>375.82486221382499</v>
      </c>
      <c r="O45">
        <f t="shared" si="18"/>
        <v>367.74963990992512</v>
      </c>
      <c r="P45">
        <f t="shared" si="19"/>
        <v>357.77114155011247</v>
      </c>
      <c r="Q45">
        <f t="shared" si="20"/>
        <v>346.5003517964617</v>
      </c>
      <c r="R45">
        <f t="shared" si="21"/>
        <v>334.38063986973293</v>
      </c>
      <c r="S45">
        <f t="shared" si="22"/>
        <v>321.72989628739418</v>
      </c>
      <c r="T45">
        <f t="shared" si="23"/>
        <v>308.77418620230674</v>
      </c>
      <c r="U45">
        <f t="shared" si="24"/>
        <v>295.67315700099789</v>
      </c>
      <c r="V45">
        <f t="shared" si="25"/>
        <v>282.53862270045511</v>
      </c>
      <c r="W45">
        <f t="shared" si="26"/>
        <v>269.44790777065867</v>
      </c>
      <c r="X45">
        <f t="shared" si="27"/>
        <v>256.45332876477096</v>
      </c>
      <c r="Y45">
        <f t="shared" si="28"/>
        <v>243.58890010395825</v>
      </c>
      <c r="Z45">
        <f t="shared" si="29"/>
        <v>230.87507643944667</v>
      </c>
      <c r="AA45">
        <f t="shared" si="30"/>
        <v>218.32212058502068</v>
      </c>
      <c r="AB45">
        <f t="shared" si="31"/>
        <v>205.93251576024613</v>
      </c>
      <c r="AC45">
        <f t="shared" si="32"/>
        <v>193.70271610636689</v>
      </c>
      <c r="AD45">
        <f t="shared" si="33"/>
        <v>181.62444017760566</v>
      </c>
      <c r="AE45">
        <f t="shared" si="34"/>
        <v>169.68564926058889</v>
      </c>
      <c r="AF45">
        <f t="shared" si="35"/>
        <v>157.87130858335684</v>
      </c>
      <c r="AG45">
        <f t="shared" si="36"/>
        <v>146.16399918081936</v>
      </c>
      <c r="AH45">
        <f t="shared" si="37"/>
        <v>134.54442733531536</v>
      </c>
      <c r="AI45">
        <f t="shared" si="38"/>
        <v>122.99186423450632</v>
      </c>
      <c r="AJ45">
        <f t="shared" si="103"/>
        <v>111.48453878299418</v>
      </c>
      <c r="AK45">
        <f t="shared" si="39"/>
        <v>100</v>
      </c>
      <c r="AL45" s="47"/>
      <c r="AM45" s="26">
        <v>0.08</v>
      </c>
      <c r="AN45" s="27">
        <f t="shared" si="40"/>
        <v>-1076400000</v>
      </c>
      <c r="AO45" s="27">
        <f t="shared" si="104"/>
        <v>-1176941630.5317998</v>
      </c>
      <c r="AP45" s="27">
        <f t="shared" si="41"/>
        <v>-1288896276.1794543</v>
      </c>
      <c r="AQ45" s="27">
        <f t="shared" si="42"/>
        <v>-1355362259.8568523</v>
      </c>
      <c r="AR45" s="27">
        <f t="shared" si="43"/>
        <v>-1387460609.2363822</v>
      </c>
      <c r="AS45" s="27">
        <f t="shared" si="44"/>
        <v>-1394423693.3340313</v>
      </c>
      <c r="AT45" s="27">
        <f t="shared" si="45"/>
        <v>-1383409014.4108629</v>
      </c>
      <c r="AU45" s="27">
        <f t="shared" si="46"/>
        <v>-1359757717.308219</v>
      </c>
      <c r="AV45" s="27">
        <f t="shared" si="47"/>
        <v>-1327365270.8682907</v>
      </c>
      <c r="AW45" s="27">
        <f t="shared" si="48"/>
        <v>-1289032942.2522929</v>
      </c>
      <c r="AX45" s="27">
        <f t="shared" si="49"/>
        <v>-1246757800.0422482</v>
      </c>
      <c r="AY45" s="27">
        <f t="shared" si="50"/>
        <v>-1201956206.9068265</v>
      </c>
      <c r="AZ45" s="27">
        <f t="shared" si="51"/>
        <v>-1155629429.2005501</v>
      </c>
      <c r="BA45" s="27">
        <f t="shared" si="52"/>
        <v>-1108483401.2350335</v>
      </c>
      <c r="BB45" s="27">
        <f t="shared" si="53"/>
        <v>-1061013998.4304087</v>
      </c>
      <c r="BC45" s="27">
        <f t="shared" si="54"/>
        <v>-1013567166.0543432</v>
      </c>
      <c r="BD45" s="27">
        <f t="shared" si="55"/>
        <v>-966381090.35614157</v>
      </c>
      <c r="BE45" s="27">
        <f t="shared" si="56"/>
        <v>-919615721.17938793</v>
      </c>
      <c r="BF45" s="27">
        <f t="shared" si="57"/>
        <v>-873373468.88831544</v>
      </c>
      <c r="BG45" s="27">
        <f t="shared" si="58"/>
        <v>-827713781.53098035</v>
      </c>
      <c r="BH45" s="27">
        <f t="shared" si="59"/>
        <v>-782663495.3962971</v>
      </c>
      <c r="BI45" s="27">
        <f t="shared" si="60"/>
        <v>-738224273.14025688</v>
      </c>
      <c r="BJ45" s="27">
        <f t="shared" si="61"/>
        <v>-694378037.16765618</v>
      </c>
      <c r="BK45" s="27">
        <f t="shared" si="62"/>
        <v>-651091023.40862715</v>
      </c>
      <c r="BL45" s="27">
        <f t="shared" si="63"/>
        <v>-608316885.55428433</v>
      </c>
      <c r="BM45" s="27">
        <f t="shared" si="64"/>
        <v>-565999145.71984899</v>
      </c>
      <c r="BN45" s="27">
        <f t="shared" si="65"/>
        <v>-524073195.57466149</v>
      </c>
      <c r="BO45" s="27">
        <f t="shared" si="66"/>
        <v>-482467989.07607454</v>
      </c>
      <c r="BP45" s="27">
        <f t="shared" si="67"/>
        <v>-441107525.00531983</v>
      </c>
      <c r="BQ45" s="27">
        <f t="shared" si="68"/>
        <v>-399912188.34571892</v>
      </c>
      <c r="BR45" s="27">
        <f t="shared" si="69"/>
        <v>-358800000</v>
      </c>
      <c r="BT45" s="47"/>
      <c r="BU45" s="26">
        <v>0.08</v>
      </c>
      <c r="BV45" s="13">
        <v>0</v>
      </c>
      <c r="BW45" s="13">
        <f t="shared" ref="BW45:CY45" si="109">$B$20/($B$21-$B$22*BV45)</f>
        <v>0.34883720930232553</v>
      </c>
      <c r="BX45" s="13">
        <f t="shared" si="109"/>
        <v>0.39716748768472904</v>
      </c>
      <c r="BY45" s="13">
        <f t="shared" si="109"/>
        <v>0.40494040593779607</v>
      </c>
      <c r="BZ45" s="13">
        <f t="shared" si="109"/>
        <v>0.4062190081621499</v>
      </c>
      <c r="CA45" s="13">
        <f t="shared" si="109"/>
        <v>0.40643010492156101</v>
      </c>
      <c r="CB45" s="13">
        <f t="shared" si="109"/>
        <v>0.40646497802255066</v>
      </c>
      <c r="CC45" s="13">
        <f t="shared" si="109"/>
        <v>0.40647073962099717</v>
      </c>
      <c r="CD45" s="13">
        <f t="shared" si="109"/>
        <v>0.40647169154566137</v>
      </c>
      <c r="CE45" s="13">
        <f t="shared" si="109"/>
        <v>0.40647184882198806</v>
      </c>
      <c r="CF45" s="13">
        <f t="shared" si="109"/>
        <v>0.40647187480708435</v>
      </c>
      <c r="CG45" s="13">
        <f t="shared" si="109"/>
        <v>0.40647187910032606</v>
      </c>
      <c r="CH45" s="13">
        <f t="shared" si="109"/>
        <v>0.40647187980965277</v>
      </c>
      <c r="CI45" s="13">
        <f t="shared" si="109"/>
        <v>0.4064718799268473</v>
      </c>
      <c r="CJ45" s="13">
        <f t="shared" si="109"/>
        <v>0.40647187994621015</v>
      </c>
      <c r="CK45" s="13">
        <f t="shared" si="109"/>
        <v>0.40647187994940925</v>
      </c>
      <c r="CL45" s="13">
        <f t="shared" si="109"/>
        <v>0.40647187994993778</v>
      </c>
      <c r="CM45" s="13">
        <f t="shared" si="109"/>
        <v>0.40647187995002515</v>
      </c>
      <c r="CN45" s="13">
        <f t="shared" si="109"/>
        <v>0.40647187995003953</v>
      </c>
      <c r="CO45" s="13">
        <f t="shared" si="109"/>
        <v>0.40647187995004191</v>
      </c>
      <c r="CP45" s="13">
        <f t="shared" si="109"/>
        <v>0.40647187995004236</v>
      </c>
      <c r="CQ45" s="13">
        <f t="shared" si="109"/>
        <v>0.40647187995004236</v>
      </c>
      <c r="CR45" s="13">
        <f t="shared" si="109"/>
        <v>0.40647187995004236</v>
      </c>
      <c r="CS45" s="13">
        <f t="shared" si="109"/>
        <v>0.40647187995004236</v>
      </c>
      <c r="CT45" s="13">
        <f t="shared" si="109"/>
        <v>0.40647187995004236</v>
      </c>
      <c r="CU45" s="13">
        <f t="shared" si="109"/>
        <v>0.40647187995004236</v>
      </c>
      <c r="CV45" s="13">
        <f t="shared" si="109"/>
        <v>0.40647187995004236</v>
      </c>
      <c r="CW45" s="13">
        <f t="shared" si="109"/>
        <v>0.40647187995004236</v>
      </c>
      <c r="CX45" s="13">
        <f t="shared" si="109"/>
        <v>0.40647187995004236</v>
      </c>
      <c r="CY45" s="13">
        <f t="shared" si="109"/>
        <v>0.40647187995004236</v>
      </c>
      <c r="CZ45" s="13">
        <f t="shared" si="71"/>
        <v>100</v>
      </c>
      <c r="DB45" s="47"/>
      <c r="DC45" s="26">
        <v>0.08</v>
      </c>
      <c r="DD45" s="13">
        <f t="shared" si="72"/>
        <v>300</v>
      </c>
      <c r="DE45" s="13">
        <f t="shared" si="73"/>
        <v>203.82049465215704</v>
      </c>
      <c r="DF45" s="13">
        <f t="shared" si="74"/>
        <v>204.60007570699815</v>
      </c>
      <c r="DG45" s="13">
        <f t="shared" si="75"/>
        <v>215.42111396754166</v>
      </c>
      <c r="DH45" s="13">
        <f t="shared" si="76"/>
        <v>223.64652626468785</v>
      </c>
      <c r="DI45" s="13">
        <f t="shared" si="77"/>
        <v>227.78937871646718</v>
      </c>
      <c r="DJ45" s="13">
        <f t="shared" si="78"/>
        <v>228.41142767335111</v>
      </c>
      <c r="DK45" s="13">
        <f t="shared" si="79"/>
        <v>226.34539408428236</v>
      </c>
      <c r="DL45" s="13">
        <f t="shared" si="80"/>
        <v>222.32579881782863</v>
      </c>
      <c r="DM45" s="13">
        <f t="shared" si="81"/>
        <v>216.92850293793538</v>
      </c>
      <c r="DN45" s="13">
        <f t="shared" si="82"/>
        <v>210.58402620941888</v>
      </c>
      <c r="DO45" s="13">
        <f t="shared" si="83"/>
        <v>203.60648436304277</v>
      </c>
      <c r="DP45" s="13">
        <f t="shared" si="84"/>
        <v>196.22187238504679</v>
      </c>
      <c r="DQ45" s="13">
        <f t="shared" si="85"/>
        <v>188.59136223220526</v>
      </c>
      <c r="DR45" s="13">
        <f t="shared" si="86"/>
        <v>180.82915187453091</v>
      </c>
      <c r="DS45" s="13">
        <f t="shared" si="87"/>
        <v>173.01562508048042</v>
      </c>
      <c r="DT45" s="13">
        <f t="shared" si="88"/>
        <v>165.20684110822276</v>
      </c>
      <c r="DU45" s="13">
        <f t="shared" si="89"/>
        <v>157.4412906045562</v>
      </c>
      <c r="DV45" s="13">
        <f t="shared" si="90"/>
        <v>149.74467375000728</v>
      </c>
      <c r="DW45" s="13">
        <f t="shared" si="91"/>
        <v>142.13327365057356</v>
      </c>
      <c r="DX45" s="13">
        <f t="shared" si="92"/>
        <v>134.61634376111169</v>
      </c>
      <c r="DY45" s="13">
        <f t="shared" si="93"/>
        <v>127.19780859306185</v>
      </c>
      <c r="DZ45" s="13">
        <f t="shared" si="94"/>
        <v>119.87748846250153</v>
      </c>
      <c r="EA45" s="13">
        <f t="shared" si="95"/>
        <v>112.65199532211059</v>
      </c>
      <c r="EB45" s="13">
        <f t="shared" si="96"/>
        <v>105.51540167053858</v>
      </c>
      <c r="EC45" s="13">
        <f t="shared" si="97"/>
        <v>98.459753055312731</v>
      </c>
      <c r="ED45" s="13">
        <f t="shared" si="98"/>
        <v>91.475472865031861</v>
      </c>
      <c r="EE45" s="13">
        <f t="shared" si="99"/>
        <v>84.551693061355195</v>
      </c>
      <c r="EF45" s="13">
        <f t="shared" si="100"/>
        <v>77.676534170019281</v>
      </c>
      <c r="EG45" s="13">
        <f t="shared" si="101"/>
        <v>70.837350787989948</v>
      </c>
      <c r="EH45" s="13">
        <f t="shared" si="102"/>
        <v>64.020954074478567</v>
      </c>
    </row>
    <row r="46" spans="5:138" x14ac:dyDescent="0.25">
      <c r="E46" s="49"/>
      <c r="F46" s="26">
        <v>7.6666666666666675E-2</v>
      </c>
      <c r="G46">
        <f t="shared" si="10"/>
        <v>300</v>
      </c>
      <c r="H46">
        <f t="shared" si="11"/>
        <v>234.53068166907156</v>
      </c>
      <c r="I46">
        <f t="shared" si="12"/>
        <v>321.44141025469355</v>
      </c>
      <c r="J46">
        <f t="shared" si="13"/>
        <v>367.24650264235606</v>
      </c>
      <c r="K46">
        <f t="shared" si="14"/>
        <v>389.04699293621769</v>
      </c>
      <c r="L46">
        <f t="shared" si="15"/>
        <v>396.49140615328929</v>
      </c>
      <c r="M46">
        <f t="shared" si="16"/>
        <v>395.21471664314583</v>
      </c>
      <c r="N46">
        <f t="shared" si="17"/>
        <v>388.60251732725538</v>
      </c>
      <c r="O46">
        <f t="shared" si="18"/>
        <v>378.73373682906254</v>
      </c>
      <c r="P46">
        <f t="shared" si="19"/>
        <v>366.90523520862382</v>
      </c>
      <c r="Q46">
        <f t="shared" si="20"/>
        <v>353.9346892383183</v>
      </c>
      <c r="R46">
        <f t="shared" si="21"/>
        <v>340.34095931152547</v>
      </c>
      <c r="S46">
        <f t="shared" si="22"/>
        <v>326.45412227858753</v>
      </c>
      <c r="T46">
        <f t="shared" si="23"/>
        <v>312.48380094500351</v>
      </c>
      <c r="U46">
        <f t="shared" si="24"/>
        <v>298.56212899716996</v>
      </c>
      <c r="V46">
        <f t="shared" si="25"/>
        <v>284.77099654482072</v>
      </c>
      <c r="W46">
        <f t="shared" si="26"/>
        <v>271.15942575804814</v>
      </c>
      <c r="X46">
        <f t="shared" si="27"/>
        <v>257.75469623844742</v>
      </c>
      <c r="Y46">
        <f t="shared" si="28"/>
        <v>244.5694920011554</v>
      </c>
      <c r="Z46">
        <f t="shared" si="29"/>
        <v>231.60650968304219</v>
      </c>
      <c r="AA46">
        <f t="shared" si="30"/>
        <v>218.86144575607568</v>
      </c>
      <c r="AB46">
        <f t="shared" si="31"/>
        <v>206.32494991463403</v>
      </c>
      <c r="AC46">
        <f t="shared" si="32"/>
        <v>193.98392092207055</v>
      </c>
      <c r="AD46">
        <f t="shared" si="33"/>
        <v>181.82238611368359</v>
      </c>
      <c r="AE46">
        <f t="shared" si="34"/>
        <v>169.82211899730416</v>
      </c>
      <c r="AF46">
        <f t="shared" si="35"/>
        <v>157.96309359808859</v>
      </c>
      <c r="AG46">
        <f t="shared" si="36"/>
        <v>146.22383829022979</v>
      </c>
      <c r="AH46">
        <f t="shared" si="37"/>
        <v>134.58172875845764</v>
      </c>
      <c r="AI46">
        <f t="shared" si="38"/>
        <v>123.01324489070979</v>
      </c>
      <c r="AJ46">
        <f t="shared" si="103"/>
        <v>111.49420690539907</v>
      </c>
      <c r="AK46">
        <f t="shared" si="39"/>
        <v>100</v>
      </c>
      <c r="AL46" s="47"/>
      <c r="AM46" s="26">
        <v>7.6666666666666675E-2</v>
      </c>
      <c r="AN46" s="27">
        <f t="shared" si="40"/>
        <v>-269100000</v>
      </c>
      <c r="AO46" s="27">
        <f t="shared" si="104"/>
        <v>-1142142691.5941098</v>
      </c>
      <c r="AP46" s="27">
        <f t="shared" si="41"/>
        <v>-1323509113.8533928</v>
      </c>
      <c r="AQ46" s="27">
        <f t="shared" si="42"/>
        <v>-1417059504.1491094</v>
      </c>
      <c r="AR46" s="27">
        <f t="shared" si="43"/>
        <v>-1455334769.7530599</v>
      </c>
      <c r="AS46" s="27">
        <f t="shared" si="44"/>
        <v>-1458716530.5686724</v>
      </c>
      <c r="AT46" s="27">
        <f t="shared" si="45"/>
        <v>-1440119413.9113994</v>
      </c>
      <c r="AU46" s="27">
        <f t="shared" si="46"/>
        <v>-1407788078.2649238</v>
      </c>
      <c r="AV46" s="27">
        <f t="shared" si="47"/>
        <v>-1367009893.1887748</v>
      </c>
      <c r="AW46" s="27">
        <f t="shared" si="48"/>
        <v>-1321184047.5369906</v>
      </c>
      <c r="AX46" s="27">
        <f t="shared" si="49"/>
        <v>-1272497646.5669441</v>
      </c>
      <c r="AY46" s="27">
        <f t="shared" si="50"/>
        <v>-1222356825.429194</v>
      </c>
      <c r="AZ46" s="27">
        <f t="shared" si="51"/>
        <v>-1171663015.740247</v>
      </c>
      <c r="BA46" s="27">
        <f t="shared" si="52"/>
        <v>-1120990469.3336658</v>
      </c>
      <c r="BB46" s="27">
        <f t="shared" si="53"/>
        <v>-1070700485.3305407</v>
      </c>
      <c r="BC46" s="27">
        <f t="shared" si="54"/>
        <v>-1021014950.3073297</v>
      </c>
      <c r="BD46" s="27">
        <f t="shared" si="55"/>
        <v>-972063696.77378523</v>
      </c>
      <c r="BE46" s="27">
        <f t="shared" si="56"/>
        <v>-923915015.43479168</v>
      </c>
      <c r="BF46" s="27">
        <f t="shared" si="57"/>
        <v>-876595338.55474532</v>
      </c>
      <c r="BG46" s="27">
        <f t="shared" si="58"/>
        <v>-830101974.60340798</v>
      </c>
      <c r="BH46" s="27">
        <f t="shared" si="59"/>
        <v>-784411395.49872637</v>
      </c>
      <c r="BI46" s="27">
        <f t="shared" si="60"/>
        <v>-739484687.5393517</v>
      </c>
      <c r="BJ46" s="27">
        <f t="shared" si="61"/>
        <v>-695271202.34589863</v>
      </c>
      <c r="BK46" s="27">
        <f t="shared" si="62"/>
        <v>-651711073.1309855</v>
      </c>
      <c r="BL46" s="27">
        <f t="shared" si="63"/>
        <v>-608737022.25326931</v>
      </c>
      <c r="BM46" s="27">
        <f t="shared" si="64"/>
        <v>-566275731.65172505</v>
      </c>
      <c r="BN46" s="27">
        <f t="shared" si="65"/>
        <v>-524248948.27234608</v>
      </c>
      <c r="BO46" s="27">
        <f t="shared" si="66"/>
        <v>-482574432.53628552</v>
      </c>
      <c r="BP46" s="27">
        <f t="shared" si="67"/>
        <v>-441166816.71457702</v>
      </c>
      <c r="BQ46" s="27">
        <f t="shared" si="68"/>
        <v>-399938413.70573789</v>
      </c>
      <c r="BR46" s="27">
        <f t="shared" si="69"/>
        <v>-358800000</v>
      </c>
      <c r="BT46" s="47"/>
      <c r="BU46" s="26">
        <v>7.6666666666666675E-2</v>
      </c>
      <c r="BV46" s="13">
        <v>0</v>
      </c>
      <c r="BW46" s="13">
        <f t="shared" ref="BW46:CY46" si="110">$B$20/($B$21-$B$22*BV46)</f>
        <v>0.34883720930232553</v>
      </c>
      <c r="BX46" s="13">
        <f t="shared" si="110"/>
        <v>0.39716748768472904</v>
      </c>
      <c r="BY46" s="13">
        <f t="shared" si="110"/>
        <v>0.40494040593779607</v>
      </c>
      <c r="BZ46" s="13">
        <f t="shared" si="110"/>
        <v>0.4062190081621499</v>
      </c>
      <c r="CA46" s="13">
        <f t="shared" si="110"/>
        <v>0.40643010492156101</v>
      </c>
      <c r="CB46" s="13">
        <f t="shared" si="110"/>
        <v>0.40646497802255066</v>
      </c>
      <c r="CC46" s="13">
        <f t="shared" si="110"/>
        <v>0.40647073962099717</v>
      </c>
      <c r="CD46" s="13">
        <f t="shared" si="110"/>
        <v>0.40647169154566137</v>
      </c>
      <c r="CE46" s="13">
        <f t="shared" si="110"/>
        <v>0.40647184882198806</v>
      </c>
      <c r="CF46" s="13">
        <f t="shared" si="110"/>
        <v>0.40647187480708435</v>
      </c>
      <c r="CG46" s="13">
        <f t="shared" si="110"/>
        <v>0.40647187910032606</v>
      </c>
      <c r="CH46" s="13">
        <f t="shared" si="110"/>
        <v>0.40647187980965277</v>
      </c>
      <c r="CI46" s="13">
        <f t="shared" si="110"/>
        <v>0.4064718799268473</v>
      </c>
      <c r="CJ46" s="13">
        <f t="shared" si="110"/>
        <v>0.40647187994621015</v>
      </c>
      <c r="CK46" s="13">
        <f t="shared" si="110"/>
        <v>0.40647187994940925</v>
      </c>
      <c r="CL46" s="13">
        <f t="shared" si="110"/>
        <v>0.40647187994993778</v>
      </c>
      <c r="CM46" s="13">
        <f t="shared" si="110"/>
        <v>0.40647187995002515</v>
      </c>
      <c r="CN46" s="13">
        <f t="shared" si="110"/>
        <v>0.40647187995003953</v>
      </c>
      <c r="CO46" s="13">
        <f t="shared" si="110"/>
        <v>0.40647187995004191</v>
      </c>
      <c r="CP46" s="13">
        <f t="shared" si="110"/>
        <v>0.40647187995004236</v>
      </c>
      <c r="CQ46" s="13">
        <f t="shared" si="110"/>
        <v>0.40647187995004236</v>
      </c>
      <c r="CR46" s="13">
        <f t="shared" si="110"/>
        <v>0.40647187995004236</v>
      </c>
      <c r="CS46" s="13">
        <f t="shared" si="110"/>
        <v>0.40647187995004236</v>
      </c>
      <c r="CT46" s="13">
        <f t="shared" si="110"/>
        <v>0.40647187995004236</v>
      </c>
      <c r="CU46" s="13">
        <f t="shared" si="110"/>
        <v>0.40647187995004236</v>
      </c>
      <c r="CV46" s="13">
        <f t="shared" si="110"/>
        <v>0.40647187995004236</v>
      </c>
      <c r="CW46" s="13">
        <f t="shared" si="110"/>
        <v>0.40647187995004236</v>
      </c>
      <c r="CX46" s="13">
        <f t="shared" si="110"/>
        <v>0.40647187995004236</v>
      </c>
      <c r="CY46" s="13">
        <f t="shared" si="110"/>
        <v>0.40647187995004236</v>
      </c>
      <c r="CZ46" s="13">
        <f t="shared" si="71"/>
        <v>100</v>
      </c>
      <c r="DB46" s="47"/>
      <c r="DC46" s="26">
        <v>7.6666666666666675E-2</v>
      </c>
      <c r="DD46" s="13">
        <f t="shared" si="72"/>
        <v>75</v>
      </c>
      <c r="DE46" s="13">
        <f t="shared" si="73"/>
        <v>122.39995716162032</v>
      </c>
      <c r="DF46" s="13">
        <f t="shared" si="74"/>
        <v>175.58303943922581</v>
      </c>
      <c r="DG46" s="13">
        <f t="shared" si="75"/>
        <v>209.70565539388522</v>
      </c>
      <c r="DH46" s="13">
        <f t="shared" si="76"/>
        <v>227.98464718381237</v>
      </c>
      <c r="DI46" s="13">
        <f t="shared" si="77"/>
        <v>235.86424740147055</v>
      </c>
      <c r="DJ46" s="13">
        <f t="shared" si="78"/>
        <v>237.2614029782151</v>
      </c>
      <c r="DK46" s="13">
        <f t="shared" si="79"/>
        <v>234.65833519892223</v>
      </c>
      <c r="DL46" s="13">
        <f t="shared" si="80"/>
        <v>229.59714523685446</v>
      </c>
      <c r="DM46" s="13">
        <f t="shared" si="81"/>
        <v>223.04074771168877</v>
      </c>
      <c r="DN46" s="13">
        <f t="shared" si="82"/>
        <v>215.59566143332094</v>
      </c>
      <c r="DO46" s="13">
        <f t="shared" si="83"/>
        <v>207.64653878890039</v>
      </c>
      <c r="DP46" s="13">
        <f t="shared" si="84"/>
        <v>199.4382442984066</v>
      </c>
      <c r="DQ46" s="13">
        <f t="shared" si="85"/>
        <v>191.12669109656196</v>
      </c>
      <c r="DR46" s="13">
        <f t="shared" si="86"/>
        <v>182.81072667744095</v>
      </c>
      <c r="DS46" s="13">
        <f t="shared" si="87"/>
        <v>174.55231499094464</v>
      </c>
      <c r="DT46" s="13">
        <f t="shared" si="88"/>
        <v>166.38938981208125</v>
      </c>
      <c r="DU46" s="13">
        <f t="shared" si="89"/>
        <v>158.34407504631517</v>
      </c>
      <c r="DV46" s="13">
        <f t="shared" si="90"/>
        <v>150.42795860162221</v>
      </c>
      <c r="DW46" s="13">
        <f t="shared" si="91"/>
        <v>142.64548637798597</v>
      </c>
      <c r="DX46" s="13">
        <f t="shared" si="92"/>
        <v>134.99615548367603</v>
      </c>
      <c r="DY46" s="13">
        <f t="shared" si="93"/>
        <v>127.47594089735966</v>
      </c>
      <c r="DZ46" s="13">
        <f t="shared" si="94"/>
        <v>120.07823382143911</v>
      </c>
      <c r="EA46" s="13">
        <f t="shared" si="95"/>
        <v>112.79447014774955</v>
      </c>
      <c r="EB46" s="13">
        <f t="shared" si="96"/>
        <v>105.61456337976459</v>
      </c>
      <c r="EC46" s="13">
        <f t="shared" si="97"/>
        <v>98.527215154747893</v>
      </c>
      <c r="ED46" s="13">
        <f t="shared" si="98"/>
        <v>91.520149994852844</v>
      </c>
      <c r="EE46" s="13">
        <f t="shared" si="99"/>
        <v>84.580303848975888</v>
      </c>
      <c r="EF46" s="13">
        <f t="shared" si="100"/>
        <v>77.693985006333222</v>
      </c>
      <c r="EG46" s="13">
        <f t="shared" si="101"/>
        <v>70.847018910394837</v>
      </c>
      <c r="EH46" s="13">
        <f t="shared" si="102"/>
        <v>64.024883894368074</v>
      </c>
    </row>
    <row r="47" spans="5:138" x14ac:dyDescent="0.25">
      <c r="E47" s="49"/>
      <c r="F47" s="26">
        <v>7.3333333333333334E-2</v>
      </c>
      <c r="G47">
        <f t="shared" si="10"/>
        <v>300</v>
      </c>
      <c r="H47">
        <f t="shared" si="11"/>
        <v>359.00234165212703</v>
      </c>
      <c r="I47">
        <f t="shared" si="12"/>
        <v>398.71088698379106</v>
      </c>
      <c r="J47">
        <f t="shared" si="13"/>
        <v>420.26033465497449</v>
      </c>
      <c r="K47">
        <f t="shared" si="14"/>
        <v>427.99197369750448</v>
      </c>
      <c r="L47">
        <f t="shared" si="15"/>
        <v>426.21498399732423</v>
      </c>
      <c r="M47">
        <f t="shared" si="16"/>
        <v>418.30551681921543</v>
      </c>
      <c r="N47">
        <f t="shared" si="17"/>
        <v>406.65172559398513</v>
      </c>
      <c r="O47">
        <f t="shared" si="18"/>
        <v>392.84788655731819</v>
      </c>
      <c r="P47">
        <f t="shared" si="19"/>
        <v>377.91755361827506</v>
      </c>
      <c r="Q47">
        <f t="shared" si="20"/>
        <v>362.4977892936231</v>
      </c>
      <c r="R47">
        <f t="shared" si="21"/>
        <v>346.97353560555001</v>
      </c>
      <c r="S47">
        <f t="shared" si="22"/>
        <v>331.5695211353684</v>
      </c>
      <c r="T47">
        <f t="shared" si="23"/>
        <v>316.41070938053502</v>
      </c>
      <c r="U47">
        <f t="shared" si="24"/>
        <v>301.56100460677015</v>
      </c>
      <c r="V47">
        <f t="shared" si="25"/>
        <v>287.04753390497609</v>
      </c>
      <c r="W47">
        <f t="shared" si="26"/>
        <v>272.87561611382733</v>
      </c>
      <c r="X47">
        <f t="shared" si="27"/>
        <v>259.03783514958565</v>
      </c>
      <c r="Y47">
        <f t="shared" si="28"/>
        <v>245.51944099990493</v>
      </c>
      <c r="Z47">
        <f t="shared" si="29"/>
        <v>232.30149741750384</v>
      </c>
      <c r="AA47">
        <f t="shared" si="30"/>
        <v>219.36266911533482</v>
      </c>
      <c r="AB47">
        <f t="shared" si="31"/>
        <v>206.68020343646776</v>
      </c>
      <c r="AC47">
        <f t="shared" si="32"/>
        <v>194.23044750504994</v>
      </c>
      <c r="AD47">
        <f t="shared" si="33"/>
        <v>181.98910772799806</v>
      </c>
      <c r="AE47">
        <f t="shared" si="34"/>
        <v>169.93137513372159</v>
      </c>
      <c r="AF47">
        <f t="shared" si="35"/>
        <v>158.03198859743975</v>
      </c>
      <c r="AG47">
        <f t="shared" si="36"/>
        <v>146.2652765169176</v>
      </c>
      <c r="AH47">
        <f t="shared" si="37"/>
        <v>134.60519839143225</v>
      </c>
      <c r="AI47">
        <f t="shared" si="38"/>
        <v>123.02539627108462</v>
      </c>
      <c r="AJ47">
        <f t="shared" si="103"/>
        <v>111.49925922531008</v>
      </c>
      <c r="AK47">
        <f t="shared" si="39"/>
        <v>100</v>
      </c>
      <c r="AL47" s="47"/>
      <c r="AM47" s="26">
        <v>7.3333333333333334E-2</v>
      </c>
      <c r="AN47" s="27">
        <f t="shared" si="40"/>
        <v>-1076400000</v>
      </c>
      <c r="AO47" s="27">
        <f t="shared" si="104"/>
        <v>-1367976718.6145489</v>
      </c>
      <c r="AP47" s="27">
        <f t="shared" si="41"/>
        <v>-1505753326.8122311</v>
      </c>
      <c r="AQ47" s="27">
        <f t="shared" si="42"/>
        <v>-1565099808.4646738</v>
      </c>
      <c r="AR47" s="27">
        <f t="shared" si="43"/>
        <v>-1575000924.6214664</v>
      </c>
      <c r="AS47" s="27">
        <f t="shared" si="44"/>
        <v>-1554647819.3410242</v>
      </c>
      <c r="AT47" s="27">
        <f t="shared" si="45"/>
        <v>-1516381695.9024279</v>
      </c>
      <c r="AU47" s="27">
        <f t="shared" si="46"/>
        <v>-1467967589.3705661</v>
      </c>
      <c r="AV47" s="27">
        <f t="shared" si="47"/>
        <v>-1414201901.7234955</v>
      </c>
      <c r="AW47" s="27">
        <f t="shared" si="48"/>
        <v>-1357994428.3187916</v>
      </c>
      <c r="AX47" s="27">
        <f t="shared" si="49"/>
        <v>-1301074653.9500833</v>
      </c>
      <c r="AY47" s="27">
        <f t="shared" si="50"/>
        <v>-1244443255.3906424</v>
      </c>
      <c r="AZ47" s="27">
        <f t="shared" si="51"/>
        <v>-1188656302.5921602</v>
      </c>
      <c r="BA47" s="27">
        <f t="shared" si="52"/>
        <v>-1134001922.3557365</v>
      </c>
      <c r="BB47" s="27">
        <f t="shared" si="53"/>
        <v>-1080608875.471132</v>
      </c>
      <c r="BC47" s="27">
        <f t="shared" si="54"/>
        <v>-1028512522.6009827</v>
      </c>
      <c r="BD47" s="27">
        <f t="shared" si="55"/>
        <v>-977694384.15301752</v>
      </c>
      <c r="BE47" s="27">
        <f t="shared" si="56"/>
        <v>-928105491.10443103</v>
      </c>
      <c r="BF47" s="27">
        <f t="shared" si="57"/>
        <v>-879679888.95912135</v>
      </c>
      <c r="BG47" s="27">
        <f t="shared" si="58"/>
        <v>-832342235.47384322</v>
      </c>
      <c r="BH47" s="27">
        <f t="shared" si="59"/>
        <v>-786011915.52535105</v>
      </c>
      <c r="BI47" s="27">
        <f t="shared" si="60"/>
        <v>-740605151.57560647</v>
      </c>
      <c r="BJ47" s="27">
        <f t="shared" si="61"/>
        <v>-696036002.76904428</v>
      </c>
      <c r="BK47" s="27">
        <f t="shared" si="62"/>
        <v>-652216784.79136717</v>
      </c>
      <c r="BL47" s="27">
        <f t="shared" si="63"/>
        <v>-609058221.29969561</v>
      </c>
      <c r="BM47" s="27">
        <f t="shared" si="64"/>
        <v>-566469502.84076869</v>
      </c>
      <c r="BN47" s="27">
        <f t="shared" si="65"/>
        <v>-524358347.56884813</v>
      </c>
      <c r="BO47" s="27">
        <f t="shared" si="66"/>
        <v>-482631109.16718888</v>
      </c>
      <c r="BP47" s="27">
        <f t="shared" si="67"/>
        <v>-441192948.41191912</v>
      </c>
      <c r="BQ47" s="27">
        <f t="shared" si="68"/>
        <v>-399948067.92368978</v>
      </c>
      <c r="BR47" s="27">
        <f t="shared" si="69"/>
        <v>-358800000</v>
      </c>
      <c r="BT47" s="47"/>
      <c r="BU47" s="26">
        <v>7.3333333333333334E-2</v>
      </c>
      <c r="BV47" s="13">
        <v>0</v>
      </c>
      <c r="BW47" s="13">
        <f t="shared" ref="BW47:CY47" si="111">$B$20/($B$21-$B$22*BV47)</f>
        <v>0.34883720930232553</v>
      </c>
      <c r="BX47" s="13">
        <f t="shared" si="111"/>
        <v>0.39716748768472904</v>
      </c>
      <c r="BY47" s="13">
        <f t="shared" si="111"/>
        <v>0.40494040593779607</v>
      </c>
      <c r="BZ47" s="13">
        <f t="shared" si="111"/>
        <v>0.4062190081621499</v>
      </c>
      <c r="CA47" s="13">
        <f t="shared" si="111"/>
        <v>0.40643010492156101</v>
      </c>
      <c r="CB47" s="13">
        <f t="shared" si="111"/>
        <v>0.40646497802255066</v>
      </c>
      <c r="CC47" s="13">
        <f t="shared" si="111"/>
        <v>0.40647073962099717</v>
      </c>
      <c r="CD47" s="13">
        <f t="shared" si="111"/>
        <v>0.40647169154566137</v>
      </c>
      <c r="CE47" s="13">
        <f t="shared" si="111"/>
        <v>0.40647184882198806</v>
      </c>
      <c r="CF47" s="13">
        <f t="shared" si="111"/>
        <v>0.40647187480708435</v>
      </c>
      <c r="CG47" s="13">
        <f t="shared" si="111"/>
        <v>0.40647187910032606</v>
      </c>
      <c r="CH47" s="13">
        <f t="shared" si="111"/>
        <v>0.40647187980965277</v>
      </c>
      <c r="CI47" s="13">
        <f t="shared" si="111"/>
        <v>0.4064718799268473</v>
      </c>
      <c r="CJ47" s="13">
        <f t="shared" si="111"/>
        <v>0.40647187994621015</v>
      </c>
      <c r="CK47" s="13">
        <f t="shared" si="111"/>
        <v>0.40647187994940925</v>
      </c>
      <c r="CL47" s="13">
        <f t="shared" si="111"/>
        <v>0.40647187994993778</v>
      </c>
      <c r="CM47" s="13">
        <f t="shared" si="111"/>
        <v>0.40647187995002515</v>
      </c>
      <c r="CN47" s="13">
        <f t="shared" si="111"/>
        <v>0.40647187995003953</v>
      </c>
      <c r="CO47" s="13">
        <f t="shared" si="111"/>
        <v>0.40647187995004191</v>
      </c>
      <c r="CP47" s="13">
        <f t="shared" si="111"/>
        <v>0.40647187995004236</v>
      </c>
      <c r="CQ47" s="13">
        <f t="shared" si="111"/>
        <v>0.40647187995004236</v>
      </c>
      <c r="CR47" s="13">
        <f t="shared" si="111"/>
        <v>0.40647187995004236</v>
      </c>
      <c r="CS47" s="13">
        <f t="shared" si="111"/>
        <v>0.40647187995004236</v>
      </c>
      <c r="CT47" s="13">
        <f t="shared" si="111"/>
        <v>0.40647187995004236</v>
      </c>
      <c r="CU47" s="13">
        <f t="shared" si="111"/>
        <v>0.40647187995004236</v>
      </c>
      <c r="CV47" s="13">
        <f t="shared" si="111"/>
        <v>0.40647187995004236</v>
      </c>
      <c r="CW47" s="13">
        <f t="shared" si="111"/>
        <v>0.40647187995004236</v>
      </c>
      <c r="CX47" s="13">
        <f t="shared" si="111"/>
        <v>0.40647187995004236</v>
      </c>
      <c r="CY47" s="13">
        <f t="shared" si="111"/>
        <v>0.40647187995004236</v>
      </c>
      <c r="CZ47" s="13">
        <f t="shared" si="71"/>
        <v>100</v>
      </c>
      <c r="DB47" s="47"/>
      <c r="DC47" s="26">
        <v>7.3333333333333334E-2</v>
      </c>
      <c r="DD47" s="13">
        <f t="shared" si="72"/>
        <v>300</v>
      </c>
      <c r="DE47" s="13">
        <f t="shared" si="73"/>
        <v>219.91714851824648</v>
      </c>
      <c r="DF47" s="13">
        <f t="shared" si="74"/>
        <v>231.79714569533135</v>
      </c>
      <c r="DG47" s="13">
        <f t="shared" si="75"/>
        <v>246.9490910877885</v>
      </c>
      <c r="DH47" s="13">
        <f t="shared" si="76"/>
        <v>254.85534563426481</v>
      </c>
      <c r="DI47" s="13">
        <f t="shared" si="77"/>
        <v>256.20302890722269</v>
      </c>
      <c r="DJ47" s="13">
        <f t="shared" si="78"/>
        <v>253.01583211282397</v>
      </c>
      <c r="DK47" s="13">
        <f t="shared" si="79"/>
        <v>246.97055458648643</v>
      </c>
      <c r="DL47" s="13">
        <f t="shared" si="80"/>
        <v>239.23509927329974</v>
      </c>
      <c r="DM47" s="13">
        <f t="shared" si="81"/>
        <v>230.57240701021263</v>
      </c>
      <c r="DN47" s="13">
        <f t="shared" si="82"/>
        <v>221.46280576759256</v>
      </c>
      <c r="DO47" s="13">
        <f t="shared" si="83"/>
        <v>212.19984929726155</v>
      </c>
      <c r="DP47" s="13">
        <f t="shared" si="84"/>
        <v>202.95746530155657</v>
      </c>
      <c r="DQ47" s="13">
        <f t="shared" si="85"/>
        <v>193.83464092539251</v>
      </c>
      <c r="DR47" s="13">
        <f t="shared" si="86"/>
        <v>184.88425386649104</v>
      </c>
      <c r="DS47" s="13">
        <f t="shared" si="87"/>
        <v>176.13126923083539</v>
      </c>
      <c r="DT47" s="13">
        <f t="shared" si="88"/>
        <v>167.58402028241318</v>
      </c>
      <c r="DU47" s="13">
        <f t="shared" si="89"/>
        <v>159.24108640207501</v>
      </c>
      <c r="DV47" s="13">
        <f t="shared" si="90"/>
        <v>151.09541462940288</v>
      </c>
      <c r="DW47" s="13">
        <f t="shared" si="91"/>
        <v>143.1367409113347</v>
      </c>
      <c r="DX47" s="13">
        <f t="shared" si="92"/>
        <v>135.35297827605658</v>
      </c>
      <c r="DY47" s="13">
        <f t="shared" si="93"/>
        <v>127.73098829555208</v>
      </c>
      <c r="DZ47" s="13">
        <f t="shared" si="94"/>
        <v>120.25699275641976</v>
      </c>
      <c r="EA47" s="13">
        <f t="shared" si="95"/>
        <v>112.91678221489836</v>
      </c>
      <c r="EB47" s="13">
        <f t="shared" si="96"/>
        <v>105.69581563627661</v>
      </c>
      <c r="EC47" s="13">
        <f t="shared" si="97"/>
        <v>98.57926668019546</v>
      </c>
      <c r="ED47" s="13">
        <f t="shared" si="98"/>
        <v>91.5520484757037</v>
      </c>
      <c r="EE47" s="13">
        <f t="shared" si="99"/>
        <v>84.598834287525548</v>
      </c>
      <c r="EF47" s="13">
        <f t="shared" si="100"/>
        <v>77.70408276073573</v>
      </c>
      <c r="EG47" s="13">
        <f t="shared" si="101"/>
        <v>70.852071230305839</v>
      </c>
      <c r="EH47" s="13">
        <f t="shared" si="102"/>
        <v>64.026937520340411</v>
      </c>
    </row>
    <row r="48" spans="5:138" x14ac:dyDescent="0.25">
      <c r="E48" s="49"/>
      <c r="F48" s="26">
        <v>7.0000000000000007E-2</v>
      </c>
      <c r="G48">
        <f t="shared" si="10"/>
        <v>300</v>
      </c>
      <c r="H48">
        <f t="shared" si="11"/>
        <v>402.54179715681573</v>
      </c>
      <c r="I48">
        <f t="shared" si="12"/>
        <v>452.23589761443054</v>
      </c>
      <c r="J48">
        <f t="shared" si="13"/>
        <v>470.36616298307086</v>
      </c>
      <c r="K48">
        <f t="shared" si="14"/>
        <v>470.31790648299057</v>
      </c>
      <c r="L48">
        <f t="shared" si="15"/>
        <v>460.22963319585551</v>
      </c>
      <c r="M48">
        <f t="shared" si="16"/>
        <v>444.91780638639102</v>
      </c>
      <c r="N48">
        <f t="shared" si="17"/>
        <v>427.16118832263226</v>
      </c>
      <c r="O48">
        <f t="shared" si="18"/>
        <v>408.51773881673927</v>
      </c>
      <c r="P48">
        <f t="shared" si="19"/>
        <v>389.82843735947677</v>
      </c>
      <c r="Q48">
        <f t="shared" si="20"/>
        <v>371.52129658457568</v>
      </c>
      <c r="R48">
        <f t="shared" si="21"/>
        <v>353.7916686104046</v>
      </c>
      <c r="S48">
        <f t="shared" si="22"/>
        <v>336.70753498843777</v>
      </c>
      <c r="T48">
        <f t="shared" si="23"/>
        <v>320.27000399072699</v>
      </c>
      <c r="U48">
        <f t="shared" si="24"/>
        <v>304.44740133402638</v>
      </c>
      <c r="V48">
        <f t="shared" si="25"/>
        <v>289.19398012640011</v>
      </c>
      <c r="W48">
        <f t="shared" si="26"/>
        <v>274.45978977682387</v>
      </c>
      <c r="X48">
        <f t="shared" si="27"/>
        <v>260.19554667058134</v>
      </c>
      <c r="Y48">
        <f t="shared" si="28"/>
        <v>246.35474410674772</v>
      </c>
      <c r="Z48">
        <f t="shared" si="29"/>
        <v>232.89429084841731</v>
      </c>
      <c r="AA48">
        <f t="shared" si="30"/>
        <v>219.77441140033577</v>
      </c>
      <c r="AB48">
        <f t="shared" si="31"/>
        <v>206.95821701093462</v>
      </c>
      <c r="AC48">
        <f t="shared" si="32"/>
        <v>194.41116900478644</v>
      </c>
      <c r="AD48">
        <f t="shared" si="33"/>
        <v>182.10054879776573</v>
      </c>
      <c r="AE48">
        <f t="shared" si="34"/>
        <v>169.99498841218519</v>
      </c>
      <c r="AF48">
        <f t="shared" si="35"/>
        <v>158.06408182814519</v>
      </c>
      <c r="AG48">
        <f t="shared" si="36"/>
        <v>146.27807954632942</v>
      </c>
      <c r="AH48">
        <f t="shared" si="37"/>
        <v>134.60765955526648</v>
      </c>
      <c r="AI48">
        <f t="shared" si="38"/>
        <v>123.02376356982809</v>
      </c>
      <c r="AJ48">
        <f t="shared" si="103"/>
        <v>111.49748566819594</v>
      </c>
      <c r="AK48">
        <f t="shared" si="39"/>
        <v>100</v>
      </c>
      <c r="AL48" s="47"/>
      <c r="AM48" s="26">
        <v>7.0000000000000007E-2</v>
      </c>
      <c r="AN48" s="27">
        <f t="shared" si="40"/>
        <v>-1076400000</v>
      </c>
      <c r="AO48" s="27">
        <f t="shared" si="104"/>
        <v>-1663109432.5333467</v>
      </c>
      <c r="AP48" s="27">
        <f t="shared" si="41"/>
        <v>-1753296677.9089313</v>
      </c>
      <c r="AQ48" s="27">
        <f t="shared" si="42"/>
        <v>-1762932873.3197608</v>
      </c>
      <c r="AR48" s="27">
        <f t="shared" si="43"/>
        <v>-1729066317.9593775</v>
      </c>
      <c r="AS48" s="27">
        <f t="shared" si="44"/>
        <v>-1672929435.4891734</v>
      </c>
      <c r="AT48" s="27">
        <f t="shared" si="45"/>
        <v>-1606486525.1071496</v>
      </c>
      <c r="AU48" s="27">
        <f t="shared" si="46"/>
        <v>-1536325825.8720398</v>
      </c>
      <c r="AV48" s="27">
        <f t="shared" si="47"/>
        <v>-1465951473.953131</v>
      </c>
      <c r="AW48" s="27">
        <f t="shared" si="48"/>
        <v>-1397122288.0208263</v>
      </c>
      <c r="AX48" s="27">
        <f t="shared" si="49"/>
        <v>-1330627509.1504357</v>
      </c>
      <c r="AY48" s="27">
        <f t="shared" si="50"/>
        <v>-1266732160.3560064</v>
      </c>
      <c r="AZ48" s="27">
        <f t="shared" si="51"/>
        <v>-1205429700.6740949</v>
      </c>
      <c r="BA48" s="27">
        <f t="shared" si="52"/>
        <v>-1146582970.9869468</v>
      </c>
      <c r="BB48" s="27">
        <f t="shared" si="53"/>
        <v>-1090000864.7873187</v>
      </c>
      <c r="BC48" s="27">
        <f t="shared" si="54"/>
        <v>-1035478384.9411963</v>
      </c>
      <c r="BD48" s="27">
        <f t="shared" si="55"/>
        <v>-982816144.13184249</v>
      </c>
      <c r="BE48" s="27">
        <f t="shared" si="56"/>
        <v>-931828577.60847318</v>
      </c>
      <c r="BF48" s="27">
        <f t="shared" si="57"/>
        <v>-882346175.73022771</v>
      </c>
      <c r="BG48" s="27">
        <f t="shared" si="58"/>
        <v>-834214739.98969114</v>
      </c>
      <c r="BH48" s="27">
        <f t="shared" si="59"/>
        <v>-787293331.96146774</v>
      </c>
      <c r="BI48" s="27">
        <f t="shared" si="60"/>
        <v>-741451816.60856605</v>
      </c>
      <c r="BJ48" s="27">
        <f t="shared" si="61"/>
        <v>-696568463.30078638</v>
      </c>
      <c r="BK48" s="27">
        <f t="shared" si="62"/>
        <v>-652527821.42562103</v>
      </c>
      <c r="BL48" s="27">
        <f t="shared" si="63"/>
        <v>-609218951.68454313</v>
      </c>
      <c r="BM48" s="27">
        <f t="shared" si="64"/>
        <v>-566534021.78817677</v>
      </c>
      <c r="BN48" s="27">
        <f t="shared" si="65"/>
        <v>-524367238.72851336</v>
      </c>
      <c r="BO48" s="27">
        <f t="shared" si="66"/>
        <v>-482614073.1010105</v>
      </c>
      <c r="BP48" s="27">
        <f t="shared" si="67"/>
        <v>-441170724.8215856</v>
      </c>
      <c r="BQ48" s="27">
        <f t="shared" si="68"/>
        <v>-399933778.73106104</v>
      </c>
      <c r="BR48" s="27">
        <f t="shared" si="69"/>
        <v>-358800000</v>
      </c>
      <c r="BT48" s="47"/>
      <c r="BU48" s="26">
        <v>7.0000000000000007E-2</v>
      </c>
      <c r="BV48" s="13">
        <v>0</v>
      </c>
      <c r="BW48" s="13">
        <f t="shared" ref="BW48:CY48" si="112">$B$20/($B$21-$B$22*BV48)</f>
        <v>0.34883720930232553</v>
      </c>
      <c r="BX48" s="13">
        <f t="shared" si="112"/>
        <v>0.39716748768472904</v>
      </c>
      <c r="BY48" s="13">
        <f t="shared" si="112"/>
        <v>0.40494040593779607</v>
      </c>
      <c r="BZ48" s="13">
        <f t="shared" si="112"/>
        <v>0.4062190081621499</v>
      </c>
      <c r="CA48" s="13">
        <f t="shared" si="112"/>
        <v>0.40643010492156101</v>
      </c>
      <c r="CB48" s="13">
        <f t="shared" si="112"/>
        <v>0.40646497802255066</v>
      </c>
      <c r="CC48" s="13">
        <f t="shared" si="112"/>
        <v>0.40647073962099717</v>
      </c>
      <c r="CD48" s="13">
        <f t="shared" si="112"/>
        <v>0.40647169154566137</v>
      </c>
      <c r="CE48" s="13">
        <f t="shared" si="112"/>
        <v>0.40647184882198806</v>
      </c>
      <c r="CF48" s="13">
        <f t="shared" si="112"/>
        <v>0.40647187480708435</v>
      </c>
      <c r="CG48" s="13">
        <f t="shared" si="112"/>
        <v>0.40647187910032606</v>
      </c>
      <c r="CH48" s="13">
        <f t="shared" si="112"/>
        <v>0.40647187980965277</v>
      </c>
      <c r="CI48" s="13">
        <f t="shared" si="112"/>
        <v>0.4064718799268473</v>
      </c>
      <c r="CJ48" s="13">
        <f t="shared" si="112"/>
        <v>0.40647187994621015</v>
      </c>
      <c r="CK48" s="13">
        <f t="shared" si="112"/>
        <v>0.40647187994940925</v>
      </c>
      <c r="CL48" s="13">
        <f t="shared" si="112"/>
        <v>0.40647187994993778</v>
      </c>
      <c r="CM48" s="13">
        <f t="shared" si="112"/>
        <v>0.40647187995002515</v>
      </c>
      <c r="CN48" s="13">
        <f t="shared" si="112"/>
        <v>0.40647187995003953</v>
      </c>
      <c r="CO48" s="13">
        <f t="shared" si="112"/>
        <v>0.40647187995004191</v>
      </c>
      <c r="CP48" s="13">
        <f t="shared" si="112"/>
        <v>0.40647187995004236</v>
      </c>
      <c r="CQ48" s="13">
        <f t="shared" si="112"/>
        <v>0.40647187995004236</v>
      </c>
      <c r="CR48" s="13">
        <f t="shared" si="112"/>
        <v>0.40647187995004236</v>
      </c>
      <c r="CS48" s="13">
        <f t="shared" si="112"/>
        <v>0.40647187995004236</v>
      </c>
      <c r="CT48" s="13">
        <f t="shared" si="112"/>
        <v>0.40647187995004236</v>
      </c>
      <c r="CU48" s="13">
        <f t="shared" si="112"/>
        <v>0.40647187995004236</v>
      </c>
      <c r="CV48" s="13">
        <f t="shared" si="112"/>
        <v>0.40647187995004236</v>
      </c>
      <c r="CW48" s="13">
        <f t="shared" si="112"/>
        <v>0.40647187995004236</v>
      </c>
      <c r="CX48" s="13">
        <f t="shared" si="112"/>
        <v>0.40647187995004236</v>
      </c>
      <c r="CY48" s="13">
        <f t="shared" si="112"/>
        <v>0.40647187995004236</v>
      </c>
      <c r="CZ48" s="13">
        <f t="shared" si="71"/>
        <v>100</v>
      </c>
      <c r="DB48" s="47"/>
      <c r="DC48" s="26">
        <v>7.0000000000000007E-2</v>
      </c>
      <c r="DD48" s="13">
        <f t="shared" si="72"/>
        <v>300</v>
      </c>
      <c r="DE48" s="13">
        <f t="shared" si="73"/>
        <v>244.78508868666555</v>
      </c>
      <c r="DF48" s="13">
        <f t="shared" si="74"/>
        <v>265.42175037053852</v>
      </c>
      <c r="DG48" s="13">
        <f t="shared" si="75"/>
        <v>279.91543901203426</v>
      </c>
      <c r="DH48" s="13">
        <f t="shared" si="76"/>
        <v>283.3638813593401</v>
      </c>
      <c r="DI48" s="13">
        <f t="shared" si="77"/>
        <v>279.40164246476382</v>
      </c>
      <c r="DJ48" s="13">
        <f t="shared" si="78"/>
        <v>271.29174336274571</v>
      </c>
      <c r="DK48" s="13">
        <f t="shared" si="79"/>
        <v>261.11068087749487</v>
      </c>
      <c r="DL48" s="13">
        <f t="shared" si="80"/>
        <v>250.06351447063085</v>
      </c>
      <c r="DM48" s="13">
        <f t="shared" si="81"/>
        <v>238.81548906000214</v>
      </c>
      <c r="DN48" s="13">
        <f t="shared" si="82"/>
        <v>227.71493375337784</v>
      </c>
      <c r="DO48" s="13">
        <f t="shared" si="83"/>
        <v>216.92952415641554</v>
      </c>
      <c r="DP48" s="13">
        <f t="shared" si="84"/>
        <v>206.52678441968197</v>
      </c>
      <c r="DQ48" s="13">
        <f t="shared" si="85"/>
        <v>196.52069643164194</v>
      </c>
      <c r="DR48" s="13">
        <f t="shared" si="86"/>
        <v>186.89818056292157</v>
      </c>
      <c r="DS48" s="13">
        <f t="shared" si="87"/>
        <v>177.63379340529485</v>
      </c>
      <c r="DT48" s="13">
        <f t="shared" si="88"/>
        <v>168.69761676703087</v>
      </c>
      <c r="DU48" s="13">
        <f t="shared" si="89"/>
        <v>160.05927069890421</v>
      </c>
      <c r="DV48" s="13">
        <f t="shared" si="90"/>
        <v>151.68976387596024</v>
      </c>
      <c r="DW48" s="13">
        <f t="shared" si="91"/>
        <v>143.5621726816089</v>
      </c>
      <c r="DX48" s="13">
        <f t="shared" si="92"/>
        <v>135.65171586079234</v>
      </c>
      <c r="DY48" s="13">
        <f t="shared" si="93"/>
        <v>127.93554366227366</v>
      </c>
      <c r="DZ48" s="13">
        <f t="shared" si="94"/>
        <v>120.39241659502419</v>
      </c>
      <c r="EA48" s="13">
        <f t="shared" si="95"/>
        <v>113.00236627577914</v>
      </c>
      <c r="EB48" s="13">
        <f t="shared" si="96"/>
        <v>105.74638391892171</v>
      </c>
      <c r="EC48" s="13">
        <f t="shared" si="97"/>
        <v>98.606155839466837</v>
      </c>
      <c r="ED48" s="13">
        <f t="shared" si="98"/>
        <v>91.563851111224963</v>
      </c>
      <c r="EE48" s="13">
        <f t="shared" si="99"/>
        <v>84.601959098508914</v>
      </c>
      <c r="EF48" s="13">
        <f t="shared" si="100"/>
        <v>77.703170960573587</v>
      </c>
      <c r="EG48" s="13">
        <f t="shared" si="101"/>
        <v>70.85029767319169</v>
      </c>
      <c r="EH48" s="13">
        <f t="shared" si="102"/>
        <v>64.026216619246014</v>
      </c>
    </row>
    <row r="49" spans="5:138" x14ac:dyDescent="0.25">
      <c r="E49" s="49"/>
      <c r="F49" s="26">
        <v>6.6666666666666666E-2</v>
      </c>
      <c r="G49">
        <f t="shared" si="10"/>
        <v>300</v>
      </c>
      <c r="H49">
        <f t="shared" si="11"/>
        <v>470.59437766074109</v>
      </c>
      <c r="I49">
        <f t="shared" si="12"/>
        <v>530.21301397623142</v>
      </c>
      <c r="J49">
        <f t="shared" si="13"/>
        <v>538.66474018270378</v>
      </c>
      <c r="K49">
        <f t="shared" si="14"/>
        <v>524.53778128011072</v>
      </c>
      <c r="L49">
        <f t="shared" si="15"/>
        <v>501.37799930541155</v>
      </c>
      <c r="M49">
        <f t="shared" si="16"/>
        <v>475.47528333030652</v>
      </c>
      <c r="N49">
        <f t="shared" si="17"/>
        <v>449.62916564616074</v>
      </c>
      <c r="O49">
        <f t="shared" si="18"/>
        <v>424.97611118832322</v>
      </c>
      <c r="P49">
        <f t="shared" si="19"/>
        <v>401.87698080543032</v>
      </c>
      <c r="Q49">
        <f t="shared" si="20"/>
        <v>380.3465697628825</v>
      </c>
      <c r="R49">
        <f t="shared" si="21"/>
        <v>360.25929070521454</v>
      </c>
      <c r="S49">
        <f t="shared" si="22"/>
        <v>341.44536600709694</v>
      </c>
      <c r="T49">
        <f t="shared" si="23"/>
        <v>323.73368149660672</v>
      </c>
      <c r="U49">
        <f t="shared" si="24"/>
        <v>306.9689577283952</v>
      </c>
      <c r="V49">
        <f t="shared" si="25"/>
        <v>291.01686285782205</v>
      </c>
      <c r="W49">
        <f t="shared" si="26"/>
        <v>275.76374820971535</v>
      </c>
      <c r="X49">
        <f t="shared" si="27"/>
        <v>261.11424249953876</v>
      </c>
      <c r="Y49">
        <f t="shared" si="28"/>
        <v>246.9882315481232</v>
      </c>
      <c r="Z49">
        <f t="shared" si="29"/>
        <v>233.31790677041494</v>
      </c>
      <c r="AA49">
        <f t="shared" si="30"/>
        <v>220.04515477693698</v>
      </c>
      <c r="AB49">
        <f t="shared" si="31"/>
        <v>207.1193655370536</v>
      </c>
      <c r="AC49">
        <f t="shared" si="32"/>
        <v>194.49564891658088</v>
      </c>
      <c r="AD49">
        <f t="shared" si="33"/>
        <v>182.13341424632443</v>
      </c>
      <c r="AE49">
        <f t="shared" si="34"/>
        <v>169.99525736381233</v>
      </c>
      <c r="AF49">
        <f t="shared" si="35"/>
        <v>158.04610053969134</v>
      </c>
      <c r="AG49">
        <f t="shared" si="36"/>
        <v>146.25253607800357</v>
      </c>
      <c r="AH49">
        <f t="shared" si="37"/>
        <v>134.58233092103671</v>
      </c>
      <c r="AI49">
        <f t="shared" si="38"/>
        <v>123.0040558193672</v>
      </c>
      <c r="AJ49">
        <f t="shared" si="103"/>
        <v>111.486807941275</v>
      </c>
      <c r="AK49">
        <f t="shared" si="39"/>
        <v>100</v>
      </c>
      <c r="AL49" s="47"/>
      <c r="AM49" s="26">
        <v>6.6666666666666666E-2</v>
      </c>
      <c r="AN49" s="27">
        <f t="shared" si="40"/>
        <v>-1076400000</v>
      </c>
      <c r="AO49" s="27">
        <f t="shared" si="104"/>
        <v>-2147932196.2160773</v>
      </c>
      <c r="AP49" s="27">
        <f t="shared" si="41"/>
        <v>-2114235301.9980528</v>
      </c>
      <c r="AQ49" s="27">
        <f t="shared" si="42"/>
        <v>-2026204844.1270721</v>
      </c>
      <c r="AR49" s="27">
        <f t="shared" si="43"/>
        <v>-1919437446.7515571</v>
      </c>
      <c r="AS49" s="27">
        <f t="shared" si="44"/>
        <v>-1810300008.2694972</v>
      </c>
      <c r="AT49" s="27">
        <f t="shared" si="45"/>
        <v>-1705770999.6645677</v>
      </c>
      <c r="AU49" s="27">
        <f t="shared" si="46"/>
        <v>-1608330164.5815082</v>
      </c>
      <c r="AV49" s="27">
        <f t="shared" si="47"/>
        <v>-1518381041.2734332</v>
      </c>
      <c r="AW49" s="27">
        <f t="shared" si="48"/>
        <v>-1435440109.0608549</v>
      </c>
      <c r="AX49" s="27">
        <f t="shared" si="49"/>
        <v>-1358708925.89182</v>
      </c>
      <c r="AY49" s="27">
        <f t="shared" si="50"/>
        <v>-1287338648.0017715</v>
      </c>
      <c r="AZ49" s="27">
        <f t="shared" si="51"/>
        <v>-1220542698.8566864</v>
      </c>
      <c r="BA49" s="27">
        <f t="shared" si="52"/>
        <v>-1157636031.7367914</v>
      </c>
      <c r="BB49" s="27">
        <f t="shared" si="53"/>
        <v>-1098040336.6932592</v>
      </c>
      <c r="BC49" s="27">
        <f t="shared" si="54"/>
        <v>-1041274725.8128548</v>
      </c>
      <c r="BD49" s="27">
        <f t="shared" si="55"/>
        <v>-986941387.5734278</v>
      </c>
      <c r="BE49" s="27">
        <f t="shared" si="56"/>
        <v>-934710633.78707457</v>
      </c>
      <c r="BF49" s="27">
        <f t="shared" si="57"/>
        <v>-884307234.03551781</v>
      </c>
      <c r="BG49" s="27">
        <f t="shared" si="58"/>
        <v>-835498698.16553545</v>
      </c>
      <c r="BH49" s="27">
        <f t="shared" si="59"/>
        <v>-788085589.53976822</v>
      </c>
      <c r="BI49" s="27">
        <f t="shared" si="60"/>
        <v>-741893702.90258849</v>
      </c>
      <c r="BJ49" s="27">
        <f t="shared" si="61"/>
        <v>-696767853.03879726</v>
      </c>
      <c r="BK49" s="27">
        <f t="shared" si="62"/>
        <v>-652567008.27455056</v>
      </c>
      <c r="BL49" s="27">
        <f t="shared" si="63"/>
        <v>-609160523.17961955</v>
      </c>
      <c r="BM49" s="27">
        <f t="shared" si="64"/>
        <v>-566425256.35593939</v>
      </c>
      <c r="BN49" s="27">
        <f t="shared" si="65"/>
        <v>-524243391.92633235</v>
      </c>
      <c r="BO49" s="27">
        <f t="shared" si="66"/>
        <v>-482500812.91574872</v>
      </c>
      <c r="BP49" s="27">
        <f t="shared" si="67"/>
        <v>-441085899.57427961</v>
      </c>
      <c r="BQ49" s="27">
        <f t="shared" si="68"/>
        <v>-399888645.55487156</v>
      </c>
      <c r="BR49" s="27">
        <f t="shared" si="69"/>
        <v>-358800000</v>
      </c>
      <c r="BT49" s="47"/>
      <c r="BU49" s="26">
        <v>6.6666666666666666E-2</v>
      </c>
      <c r="BV49" s="13">
        <v>0</v>
      </c>
      <c r="BW49" s="13">
        <f t="shared" ref="BW49:CY49" si="113">$B$20/($B$21-$B$22*BV49)</f>
        <v>0.34883720930232553</v>
      </c>
      <c r="BX49" s="13">
        <f t="shared" si="113"/>
        <v>0.39716748768472904</v>
      </c>
      <c r="BY49" s="13">
        <f t="shared" si="113"/>
        <v>0.40494040593779607</v>
      </c>
      <c r="BZ49" s="13">
        <f t="shared" si="113"/>
        <v>0.4062190081621499</v>
      </c>
      <c r="CA49" s="13">
        <f t="shared" si="113"/>
        <v>0.40643010492156101</v>
      </c>
      <c r="CB49" s="13">
        <f t="shared" si="113"/>
        <v>0.40646497802255066</v>
      </c>
      <c r="CC49" s="13">
        <f t="shared" si="113"/>
        <v>0.40647073962099717</v>
      </c>
      <c r="CD49" s="13">
        <f t="shared" si="113"/>
        <v>0.40647169154566137</v>
      </c>
      <c r="CE49" s="13">
        <f t="shared" si="113"/>
        <v>0.40647184882198806</v>
      </c>
      <c r="CF49" s="13">
        <f t="shared" si="113"/>
        <v>0.40647187480708435</v>
      </c>
      <c r="CG49" s="13">
        <f t="shared" si="113"/>
        <v>0.40647187910032606</v>
      </c>
      <c r="CH49" s="13">
        <f t="shared" si="113"/>
        <v>0.40647187980965277</v>
      </c>
      <c r="CI49" s="13">
        <f t="shared" si="113"/>
        <v>0.4064718799268473</v>
      </c>
      <c r="CJ49" s="13">
        <f t="shared" si="113"/>
        <v>0.40647187994621015</v>
      </c>
      <c r="CK49" s="13">
        <f t="shared" si="113"/>
        <v>0.40647187994940925</v>
      </c>
      <c r="CL49" s="13">
        <f t="shared" si="113"/>
        <v>0.40647187994993778</v>
      </c>
      <c r="CM49" s="13">
        <f t="shared" si="113"/>
        <v>0.40647187995002515</v>
      </c>
      <c r="CN49" s="13">
        <f t="shared" si="113"/>
        <v>0.40647187995003953</v>
      </c>
      <c r="CO49" s="13">
        <f t="shared" si="113"/>
        <v>0.40647187995004191</v>
      </c>
      <c r="CP49" s="13">
        <f t="shared" si="113"/>
        <v>0.40647187995004236</v>
      </c>
      <c r="CQ49" s="13">
        <f t="shared" si="113"/>
        <v>0.40647187995004236</v>
      </c>
      <c r="CR49" s="13">
        <f t="shared" si="113"/>
        <v>0.40647187995004236</v>
      </c>
      <c r="CS49" s="13">
        <f t="shared" si="113"/>
        <v>0.40647187995004236</v>
      </c>
      <c r="CT49" s="13">
        <f t="shared" si="113"/>
        <v>0.40647187995004236</v>
      </c>
      <c r="CU49" s="13">
        <f t="shared" si="113"/>
        <v>0.40647187995004236</v>
      </c>
      <c r="CV49" s="13">
        <f t="shared" si="113"/>
        <v>0.40647187995004236</v>
      </c>
      <c r="CW49" s="13">
        <f t="shared" si="113"/>
        <v>0.40647187995004236</v>
      </c>
      <c r="CX49" s="13">
        <f t="shared" si="113"/>
        <v>0.40647187995004236</v>
      </c>
      <c r="CY49" s="13">
        <f t="shared" si="113"/>
        <v>0.40647187995004236</v>
      </c>
      <c r="CZ49" s="13">
        <f t="shared" si="71"/>
        <v>100</v>
      </c>
      <c r="DB49" s="47"/>
      <c r="DC49" s="26">
        <v>6.6666666666666666E-2</v>
      </c>
      <c r="DD49" s="13">
        <f t="shared" si="72"/>
        <v>300</v>
      </c>
      <c r="DE49" s="13">
        <f t="shared" si="73"/>
        <v>285.63634952949758</v>
      </c>
      <c r="DF49" s="13">
        <f t="shared" si="74"/>
        <v>316.27289241351968</v>
      </c>
      <c r="DG49" s="13">
        <f t="shared" si="75"/>
        <v>326.25819810142491</v>
      </c>
      <c r="DH49" s="13">
        <f t="shared" si="76"/>
        <v>320.86850768794335</v>
      </c>
      <c r="DI49" s="13">
        <f t="shared" si="77"/>
        <v>308.13053001386612</v>
      </c>
      <c r="DJ49" s="13">
        <f t="shared" si="78"/>
        <v>292.71677439764198</v>
      </c>
      <c r="DK49" s="13">
        <f t="shared" si="79"/>
        <v>276.88881141018788</v>
      </c>
      <c r="DL49" s="13">
        <f t="shared" si="80"/>
        <v>261.62449500707669</v>
      </c>
      <c r="DM49" s="13">
        <f t="shared" si="81"/>
        <v>247.27680740081018</v>
      </c>
      <c r="DN49" s="13">
        <f t="shared" si="82"/>
        <v>233.91130045326349</v>
      </c>
      <c r="DO49" s="13">
        <f t="shared" si="83"/>
        <v>221.47135117421126</v>
      </c>
      <c r="DP49" s="13">
        <f t="shared" si="84"/>
        <v>209.85672793147177</v>
      </c>
      <c r="DQ49" s="13">
        <f t="shared" si="85"/>
        <v>198.95943216956098</v>
      </c>
      <c r="DR49" s="13">
        <f t="shared" si="86"/>
        <v>188.67878638652786</v>
      </c>
      <c r="DS49" s="13">
        <f t="shared" si="87"/>
        <v>178.92665370112354</v>
      </c>
      <c r="DT49" s="13">
        <f t="shared" si="88"/>
        <v>169.62815117922386</v>
      </c>
      <c r="DU49" s="13">
        <f t="shared" si="89"/>
        <v>160.72047169664103</v>
      </c>
      <c r="DV49" s="13">
        <f t="shared" si="90"/>
        <v>152.15106335714458</v>
      </c>
      <c r="DW49" s="13">
        <f t="shared" si="91"/>
        <v>143.8757390343354</v>
      </c>
      <c r="DX49" s="13">
        <f t="shared" si="92"/>
        <v>135.8569568930308</v>
      </c>
      <c r="DY49" s="13">
        <f t="shared" si="93"/>
        <v>128.06235347982755</v>
      </c>
      <c r="DZ49" s="13">
        <f t="shared" si="94"/>
        <v>120.46353762615757</v>
      </c>
      <c r="EA49" s="13">
        <f t="shared" si="95"/>
        <v>113.03512240306435</v>
      </c>
      <c r="EB49" s="13">
        <f t="shared" si="96"/>
        <v>105.75396175867058</v>
      </c>
      <c r="EC49" s="13">
        <f t="shared" si="97"/>
        <v>98.59855725260384</v>
      </c>
      <c r="ED49" s="13">
        <f t="shared" si="98"/>
        <v>91.548603020471063</v>
      </c>
      <c r="EE49" s="13">
        <f t="shared" si="99"/>
        <v>84.584641110658566</v>
      </c>
      <c r="EF49" s="13">
        <f t="shared" si="100"/>
        <v>77.687803405847831</v>
      </c>
      <c r="EG49" s="13">
        <f t="shared" si="101"/>
        <v>70.839619946270759</v>
      </c>
      <c r="EH49" s="13">
        <f t="shared" si="102"/>
        <v>64.021876423510875</v>
      </c>
    </row>
    <row r="50" spans="5:138" x14ac:dyDescent="0.25">
      <c r="E50" s="49"/>
      <c r="F50" s="26">
        <v>6.3333333333333339E-2</v>
      </c>
      <c r="G50">
        <f t="shared" si="10"/>
        <v>300</v>
      </c>
      <c r="H50">
        <f t="shared" si="11"/>
        <v>911.81550028455308</v>
      </c>
      <c r="I50">
        <f t="shared" si="12"/>
        <v>781.74346810292559</v>
      </c>
      <c r="J50">
        <f t="shared" si="13"/>
        <v>686.93486581686636</v>
      </c>
      <c r="K50">
        <f t="shared" si="14"/>
        <v>614.83614124012342</v>
      </c>
      <c r="L50">
        <f t="shared" si="15"/>
        <v>558.08324003428925</v>
      </c>
      <c r="M50">
        <f t="shared" si="16"/>
        <v>512.08969995092548</v>
      </c>
      <c r="N50">
        <f t="shared" si="17"/>
        <v>473.85410747121711</v>
      </c>
      <c r="O50">
        <f t="shared" si="18"/>
        <v>441.33610303416299</v>
      </c>
      <c r="P50">
        <f t="shared" si="19"/>
        <v>413.10881721141652</v>
      </c>
      <c r="Q50">
        <f t="shared" si="20"/>
        <v>388.15307330550661</v>
      </c>
      <c r="R50">
        <f t="shared" si="21"/>
        <v>365.72883896223891</v>
      </c>
      <c r="S50">
        <f t="shared" si="22"/>
        <v>345.2914206370566</v>
      </c>
      <c r="T50">
        <f t="shared" si="23"/>
        <v>326.43503147981158</v>
      </c>
      <c r="U50">
        <f t="shared" si="24"/>
        <v>308.85386999706509</v>
      </c>
      <c r="V50">
        <f t="shared" si="25"/>
        <v>292.31478850221197</v>
      </c>
      <c r="W50">
        <f t="shared" si="26"/>
        <v>276.63782917593403</v>
      </c>
      <c r="X50">
        <f t="shared" si="27"/>
        <v>261.68220368361023</v>
      </c>
      <c r="Y50">
        <f t="shared" si="28"/>
        <v>247.33609597021317</v>
      </c>
      <c r="Z50">
        <f t="shared" si="29"/>
        <v>233.50918393715577</v>
      </c>
      <c r="AA50">
        <f t="shared" si="30"/>
        <v>220.12711608075259</v>
      </c>
      <c r="AB50">
        <f t="shared" si="31"/>
        <v>207.12740802223831</v>
      </c>
      <c r="AC50">
        <f t="shared" si="32"/>
        <v>194.45637992681873</v>
      </c>
      <c r="AD50">
        <f t="shared" si="33"/>
        <v>182.066863423173</v>
      </c>
      <c r="AE50">
        <f t="shared" si="34"/>
        <v>169.91648151580648</v>
      </c>
      <c r="AF50">
        <f t="shared" si="35"/>
        <v>157.96635749140637</v>
      </c>
      <c r="AG50">
        <f t="shared" si="36"/>
        <v>146.18014587816694</v>
      </c>
      <c r="AH50">
        <f t="shared" si="37"/>
        <v>134.52330479078898</v>
      </c>
      <c r="AI50">
        <f t="shared" si="38"/>
        <v>122.96254764980975</v>
      </c>
      <c r="AJ50">
        <f t="shared" si="103"/>
        <v>111.46542545676058</v>
      </c>
      <c r="AK50">
        <f t="shared" si="39"/>
        <v>100</v>
      </c>
      <c r="AL50" s="47"/>
      <c r="AM50" s="26">
        <v>6.3333333333333339E-2</v>
      </c>
      <c r="AN50" s="27">
        <f t="shared" si="40"/>
        <v>-3946800000</v>
      </c>
      <c r="AO50" s="27">
        <f t="shared" si="104"/>
        <v>-3031008399.4309635</v>
      </c>
      <c r="AP50" s="27">
        <f t="shared" si="41"/>
        <v>-2658904963.7856445</v>
      </c>
      <c r="AQ50" s="27">
        <f t="shared" si="42"/>
        <v>-2370703404.8343468</v>
      </c>
      <c r="AR50" s="27">
        <f t="shared" si="43"/>
        <v>-2142500366.0140018</v>
      </c>
      <c r="AS50" s="27">
        <f t="shared" si="44"/>
        <v>-1957858910.196002</v>
      </c>
      <c r="AT50" s="27">
        <f t="shared" si="45"/>
        <v>-1805259940.3447871</v>
      </c>
      <c r="AU50" s="27">
        <f t="shared" si="46"/>
        <v>-1676517723.1101377</v>
      </c>
      <c r="AV50" s="27">
        <f t="shared" si="47"/>
        <v>-1565750362.6233439</v>
      </c>
      <c r="AW50" s="27">
        <f t="shared" si="48"/>
        <v>-1468690252.6188586</v>
      </c>
      <c r="AX50" s="27">
        <f t="shared" si="49"/>
        <v>-1382212777.4308195</v>
      </c>
      <c r="AY50" s="27">
        <f t="shared" si="50"/>
        <v>-1304009655.8816392</v>
      </c>
      <c r="AZ50" s="27">
        <f t="shared" si="51"/>
        <v>-1232360156.490499</v>
      </c>
      <c r="BA50" s="27">
        <f t="shared" si="52"/>
        <v>-1165969450.3771403</v>
      </c>
      <c r="BB50" s="27">
        <f t="shared" si="53"/>
        <v>-1103853474.3995907</v>
      </c>
      <c r="BC50" s="27">
        <f t="shared" si="54"/>
        <v>-1045256275.368035</v>
      </c>
      <c r="BD50" s="27">
        <f t="shared" si="55"/>
        <v>-989590209.01068115</v>
      </c>
      <c r="BE50" s="27">
        <f t="shared" si="56"/>
        <v>-936392343.21203697</v>
      </c>
      <c r="BF50" s="27">
        <f t="shared" si="57"/>
        <v>-885292442.22451878</v>
      </c>
      <c r="BG50" s="27">
        <f t="shared" si="58"/>
        <v>-835989297.07516658</v>
      </c>
      <c r="BH50" s="27">
        <f t="shared" si="59"/>
        <v>-788233122.93447983</v>
      </c>
      <c r="BI50" s="27">
        <f t="shared" si="60"/>
        <v>-741812404.93657935</v>
      </c>
      <c r="BJ50" s="27">
        <f t="shared" si="61"/>
        <v>-696544033.18748212</v>
      </c>
      <c r="BK50" s="27">
        <f t="shared" si="62"/>
        <v>-652265888.73374939</v>
      </c>
      <c r="BL50" s="27">
        <f t="shared" si="63"/>
        <v>-608831268.04323292</v>
      </c>
      <c r="BM50" s="27">
        <f t="shared" si="64"/>
        <v>-566104693.29696071</v>
      </c>
      <c r="BN50" s="27">
        <f t="shared" si="65"/>
        <v>-523958769.4337967</v>
      </c>
      <c r="BO50" s="27">
        <f t="shared" si="66"/>
        <v>-482271830.05126023</v>
      </c>
      <c r="BP50" s="27">
        <f t="shared" si="67"/>
        <v>-440926172.28308702</v>
      </c>
      <c r="BQ50" s="27">
        <f t="shared" si="68"/>
        <v>-399806722.05062234</v>
      </c>
      <c r="BR50" s="27">
        <f t="shared" si="69"/>
        <v>-358800000</v>
      </c>
      <c r="BT50" s="47"/>
      <c r="BU50" s="26">
        <v>6.3333333333333339E-2</v>
      </c>
      <c r="BV50" s="13">
        <v>0</v>
      </c>
      <c r="BW50" s="13">
        <f t="shared" ref="BW50:CY50" si="114">$B$20/($B$21-$B$22*BV50)</f>
        <v>0.34883720930232553</v>
      </c>
      <c r="BX50" s="13">
        <f t="shared" si="114"/>
        <v>0.39716748768472904</v>
      </c>
      <c r="BY50" s="13">
        <f t="shared" si="114"/>
        <v>0.40494040593779607</v>
      </c>
      <c r="BZ50" s="13">
        <f t="shared" si="114"/>
        <v>0.4062190081621499</v>
      </c>
      <c r="CA50" s="13">
        <f t="shared" si="114"/>
        <v>0.40643010492156101</v>
      </c>
      <c r="CB50" s="13">
        <f t="shared" si="114"/>
        <v>0.40646497802255066</v>
      </c>
      <c r="CC50" s="13">
        <f t="shared" si="114"/>
        <v>0.40647073962099717</v>
      </c>
      <c r="CD50" s="13">
        <f t="shared" si="114"/>
        <v>0.40647169154566137</v>
      </c>
      <c r="CE50" s="13">
        <f t="shared" si="114"/>
        <v>0.40647184882198806</v>
      </c>
      <c r="CF50" s="13">
        <f t="shared" si="114"/>
        <v>0.40647187480708435</v>
      </c>
      <c r="CG50" s="13">
        <f t="shared" si="114"/>
        <v>0.40647187910032606</v>
      </c>
      <c r="CH50" s="13">
        <f t="shared" si="114"/>
        <v>0.40647187980965277</v>
      </c>
      <c r="CI50" s="13">
        <f t="shared" si="114"/>
        <v>0.4064718799268473</v>
      </c>
      <c r="CJ50" s="13">
        <f t="shared" si="114"/>
        <v>0.40647187994621015</v>
      </c>
      <c r="CK50" s="13">
        <f t="shared" si="114"/>
        <v>0.40647187994940925</v>
      </c>
      <c r="CL50" s="13">
        <f t="shared" si="114"/>
        <v>0.40647187994993778</v>
      </c>
      <c r="CM50" s="13">
        <f t="shared" si="114"/>
        <v>0.40647187995002515</v>
      </c>
      <c r="CN50" s="13">
        <f t="shared" si="114"/>
        <v>0.40647187995003953</v>
      </c>
      <c r="CO50" s="13">
        <f t="shared" si="114"/>
        <v>0.40647187995004191</v>
      </c>
      <c r="CP50" s="13">
        <f t="shared" si="114"/>
        <v>0.40647187995004236</v>
      </c>
      <c r="CQ50" s="13">
        <f t="shared" si="114"/>
        <v>0.40647187995004236</v>
      </c>
      <c r="CR50" s="13">
        <f t="shared" si="114"/>
        <v>0.40647187995004236</v>
      </c>
      <c r="CS50" s="13">
        <f t="shared" si="114"/>
        <v>0.40647187995004236</v>
      </c>
      <c r="CT50" s="13">
        <f t="shared" si="114"/>
        <v>0.40647187995004236</v>
      </c>
      <c r="CU50" s="13">
        <f t="shared" si="114"/>
        <v>0.40647187995004236</v>
      </c>
      <c r="CV50" s="13">
        <f t="shared" si="114"/>
        <v>0.40647187995004236</v>
      </c>
      <c r="CW50" s="13">
        <f t="shared" si="114"/>
        <v>0.40647187995004236</v>
      </c>
      <c r="CX50" s="13">
        <f t="shared" si="114"/>
        <v>0.40647187995004236</v>
      </c>
      <c r="CY50" s="13">
        <f t="shared" si="114"/>
        <v>0.40647187995004236</v>
      </c>
      <c r="CZ50" s="13">
        <f t="shared" si="71"/>
        <v>100</v>
      </c>
      <c r="DB50" s="47"/>
      <c r="DC50" s="26">
        <v>6.3333333333333339E-2</v>
      </c>
      <c r="DD50" s="13">
        <f t="shared" si="72"/>
        <v>1100</v>
      </c>
      <c r="DE50" s="13">
        <f t="shared" si="73"/>
        <v>639.11429048120692</v>
      </c>
      <c r="DF50" s="13">
        <f t="shared" si="74"/>
        <v>508.91527324339427</v>
      </c>
      <c r="DG50" s="13">
        <f t="shared" si="75"/>
        <v>437.96286919786263</v>
      </c>
      <c r="DH50" s="13">
        <f t="shared" si="76"/>
        <v>388.13212100147547</v>
      </c>
      <c r="DI50" s="13">
        <f t="shared" si="77"/>
        <v>349.95456955398384</v>
      </c>
      <c r="DJ50" s="13">
        <f t="shared" si="78"/>
        <v>319.48460057174185</v>
      </c>
      <c r="DK50" s="13">
        <f t="shared" si="79"/>
        <v>294.46389524947227</v>
      </c>
      <c r="DL50" s="13">
        <f t="shared" si="80"/>
        <v>273.41906330981112</v>
      </c>
      <c r="DM50" s="13">
        <f t="shared" si="81"/>
        <v>255.3355198789906</v>
      </c>
      <c r="DN50" s="13">
        <f t="shared" si="82"/>
        <v>239.49458646150714</v>
      </c>
      <c r="DO50" s="13">
        <f t="shared" si="83"/>
        <v>225.37758637867341</v>
      </c>
      <c r="DP50" s="13">
        <f t="shared" si="84"/>
        <v>212.60475975573439</v>
      </c>
      <c r="DQ50" s="13">
        <f t="shared" si="85"/>
        <v>200.89461831942245</v>
      </c>
      <c r="DR50" s="13">
        <f t="shared" si="86"/>
        <v>190.03612837849218</v>
      </c>
      <c r="DS50" s="13">
        <f t="shared" si="87"/>
        <v>179.8692900119465</v>
      </c>
      <c r="DT50" s="13">
        <f t="shared" si="88"/>
        <v>170.27137189521443</v>
      </c>
      <c r="DU50" s="13">
        <f t="shared" si="89"/>
        <v>161.14703577509783</v>
      </c>
      <c r="DV50" s="13">
        <f t="shared" si="90"/>
        <v>152.42117898967788</v>
      </c>
      <c r="DW50" s="13">
        <f t="shared" si="91"/>
        <v>144.03370123583116</v>
      </c>
      <c r="DX50" s="13">
        <f t="shared" si="92"/>
        <v>135.93564915277389</v>
      </c>
      <c r="DY50" s="13">
        <f t="shared" si="93"/>
        <v>128.08635770510463</v>
      </c>
      <c r="DZ50" s="13">
        <f t="shared" si="94"/>
        <v>120.45131967459399</v>
      </c>
      <c r="EA50" s="13">
        <f t="shared" si="95"/>
        <v>113.00059174694654</v>
      </c>
      <c r="EB50" s="13">
        <f t="shared" si="96"/>
        <v>105.70759921741409</v>
      </c>
      <c r="EC50" s="13">
        <f t="shared" si="97"/>
        <v>98.548238784936402</v>
      </c>
      <c r="ED50" s="13">
        <f t="shared" si="98"/>
        <v>91.500205282762394</v>
      </c>
      <c r="EE50" s="13">
        <f t="shared" si="99"/>
        <v>84.542486884124145</v>
      </c>
      <c r="EF50" s="13">
        <f t="shared" si="100"/>
        <v>77.654986614968962</v>
      </c>
      <c r="EG50" s="13">
        <f t="shared" si="101"/>
        <v>70.818237461756354</v>
      </c>
      <c r="EH50" s="13">
        <f t="shared" si="102"/>
        <v>64.013185044832298</v>
      </c>
    </row>
    <row r="51" spans="5:138" x14ac:dyDescent="0.25">
      <c r="E51" s="49"/>
      <c r="F51" s="26">
        <v>6.0000000000000005E-2</v>
      </c>
      <c r="G51">
        <f t="shared" si="10"/>
        <v>300</v>
      </c>
      <c r="H51">
        <f t="shared" si="11"/>
        <v>1163.1151018805356</v>
      </c>
      <c r="I51">
        <f t="shared" si="12"/>
        <v>939.17886887580391</v>
      </c>
      <c r="J51">
        <f t="shared" si="13"/>
        <v>785.91419415197549</v>
      </c>
      <c r="K51">
        <f t="shared" si="14"/>
        <v>677.55943372816125</v>
      </c>
      <c r="L51">
        <f t="shared" si="15"/>
        <v>598.26237835063148</v>
      </c>
      <c r="M51">
        <f t="shared" si="16"/>
        <v>538.14543962036714</v>
      </c>
      <c r="N51">
        <f t="shared" si="17"/>
        <v>490.96210914186469</v>
      </c>
      <c r="O51">
        <f t="shared" si="18"/>
        <v>452.69611595528022</v>
      </c>
      <c r="P51">
        <f t="shared" si="19"/>
        <v>420.71855418473865</v>
      </c>
      <c r="Q51">
        <f t="shared" si="20"/>
        <v>393.27612900262079</v>
      </c>
      <c r="R51">
        <f t="shared" si="21"/>
        <v>369.17696232710637</v>
      </c>
      <c r="S51">
        <f t="shared" si="22"/>
        <v>347.59518172030801</v>
      </c>
      <c r="T51">
        <f t="shared" si="23"/>
        <v>327.94762032202209</v>
      </c>
      <c r="U51">
        <f t="shared" si="24"/>
        <v>309.81479329254279</v>
      </c>
      <c r="V51">
        <f t="shared" si="25"/>
        <v>292.88941080419073</v>
      </c>
      <c r="W51">
        <f t="shared" si="26"/>
        <v>276.94225948189927</v>
      </c>
      <c r="X51">
        <f t="shared" si="27"/>
        <v>261.79920596780806</v>
      </c>
      <c r="Y51">
        <f t="shared" si="28"/>
        <v>247.3254373268507</v>
      </c>
      <c r="Z51">
        <f t="shared" si="29"/>
        <v>233.41448874736346</v>
      </c>
      <c r="AA51">
        <f t="shared" si="30"/>
        <v>219.98049175755366</v>
      </c>
      <c r="AB51">
        <f t="shared" si="31"/>
        <v>206.95262546462737</v>
      </c>
      <c r="AC51">
        <f t="shared" si="32"/>
        <v>194.27109945586585</v>
      </c>
      <c r="AD51">
        <f t="shared" si="33"/>
        <v>181.88421800654646</v>
      </c>
      <c r="AE51">
        <f t="shared" si="34"/>
        <v>169.74621825978238</v>
      </c>
      <c r="AF51">
        <f t="shared" si="35"/>
        <v>157.81566883975876</v>
      </c>
      <c r="AG51">
        <f t="shared" si="36"/>
        <v>146.05427766161438</v>
      </c>
      <c r="AH51">
        <f t="shared" si="37"/>
        <v>134.42599955188729</v>
      </c>
      <c r="AI51">
        <f t="shared" si="38"/>
        <v>122.89636264218967</v>
      </c>
      <c r="AJ51">
        <f t="shared" si="103"/>
        <v>111.43195175703406</v>
      </c>
      <c r="AK51">
        <f t="shared" si="39"/>
        <v>100</v>
      </c>
      <c r="AL51" s="47"/>
      <c r="AM51" s="26">
        <v>6.0000000000000005E-2</v>
      </c>
      <c r="AN51" s="27">
        <f t="shared" si="40"/>
        <v>-5382000000</v>
      </c>
      <c r="AO51" s="27">
        <f t="shared" si="104"/>
        <v>-3705649511.9723692</v>
      </c>
      <c r="AP51" s="27">
        <f t="shared" si="41"/>
        <v>-3077193530.2434449</v>
      </c>
      <c r="AQ51" s="27">
        <f t="shared" si="42"/>
        <v>-2633933083.4152288</v>
      </c>
      <c r="AR51" s="27">
        <f t="shared" si="43"/>
        <v>-2310784349.3250251</v>
      </c>
      <c r="AS51" s="27">
        <f t="shared" si="44"/>
        <v>-2067159730.602387</v>
      </c>
      <c r="AT51" s="27">
        <f t="shared" si="45"/>
        <v>-1877320699.1955824</v>
      </c>
      <c r="AU51" s="27">
        <f t="shared" si="46"/>
        <v>-1724654271.2124696</v>
      </c>
      <c r="AV51" s="27">
        <f t="shared" si="47"/>
        <v>-1598239557.9851279</v>
      </c>
      <c r="AW51" s="27">
        <f t="shared" si="48"/>
        <v>-1490762706.9387677</v>
      </c>
      <c r="AX51" s="27">
        <f t="shared" si="49"/>
        <v>-1397233660.6440654</v>
      </c>
      <c r="AY51" s="27">
        <f t="shared" si="50"/>
        <v>-1314184962.5051725</v>
      </c>
      <c r="AZ51" s="27">
        <f t="shared" si="51"/>
        <v>-1239163844.489224</v>
      </c>
      <c r="BA51" s="27">
        <f t="shared" si="52"/>
        <v>-1170405061.428556</v>
      </c>
      <c r="BB51" s="27">
        <f t="shared" si="53"/>
        <v>-1106616657.933377</v>
      </c>
      <c r="BC51" s="27">
        <f t="shared" si="54"/>
        <v>-1046837328.9379455</v>
      </c>
      <c r="BD51" s="27">
        <f t="shared" si="55"/>
        <v>-990339862.09510612</v>
      </c>
      <c r="BE51" s="27">
        <f t="shared" si="56"/>
        <v>-936564711.63772106</v>
      </c>
      <c r="BF51" s="27">
        <f t="shared" si="57"/>
        <v>-885073594.07425392</v>
      </c>
      <c r="BG51" s="27">
        <f t="shared" si="58"/>
        <v>-835516606.04427564</v>
      </c>
      <c r="BH51" s="27">
        <f t="shared" si="59"/>
        <v>-787608623.34100461</v>
      </c>
      <c r="BI51" s="27">
        <f t="shared" si="60"/>
        <v>-741112171.39064121</v>
      </c>
      <c r="BJ51" s="27">
        <f t="shared" si="61"/>
        <v>-695824876.37155628</v>
      </c>
      <c r="BK51" s="27">
        <f t="shared" si="62"/>
        <v>-651570203.95891011</v>
      </c>
      <c r="BL51" s="27">
        <f t="shared" si="63"/>
        <v>-608190586.76339388</v>
      </c>
      <c r="BM51" s="27">
        <f t="shared" si="64"/>
        <v>-565542304.67567444</v>
      </c>
      <c r="BN51" s="27">
        <f t="shared" si="65"/>
        <v>-523491660.14662498</v>
      </c>
      <c r="BO51" s="27">
        <f t="shared" si="66"/>
        <v>-481912111.82404953</v>
      </c>
      <c r="BP51" s="27">
        <f t="shared" si="67"/>
        <v>-440682113.41857296</v>
      </c>
      <c r="BQ51" s="27">
        <f t="shared" si="68"/>
        <v>-399683462.11381507</v>
      </c>
      <c r="BR51" s="27">
        <f t="shared" si="69"/>
        <v>-358800000</v>
      </c>
      <c r="BT51" s="47"/>
      <c r="BU51" s="26">
        <v>6.0000000000000005E-2</v>
      </c>
      <c r="BV51" s="13">
        <v>0</v>
      </c>
      <c r="BW51" s="13">
        <f t="shared" ref="BW51:CY51" si="115">$B$20/($B$21-$B$22*BV51)</f>
        <v>0.34883720930232553</v>
      </c>
      <c r="BX51" s="13">
        <f t="shared" si="115"/>
        <v>0.39716748768472904</v>
      </c>
      <c r="BY51" s="13">
        <f t="shared" si="115"/>
        <v>0.40494040593779607</v>
      </c>
      <c r="BZ51" s="13">
        <f t="shared" si="115"/>
        <v>0.4062190081621499</v>
      </c>
      <c r="CA51" s="13">
        <f t="shared" si="115"/>
        <v>0.40643010492156101</v>
      </c>
      <c r="CB51" s="13">
        <f t="shared" si="115"/>
        <v>0.40646497802255066</v>
      </c>
      <c r="CC51" s="13">
        <f t="shared" si="115"/>
        <v>0.40647073962099717</v>
      </c>
      <c r="CD51" s="13">
        <f t="shared" si="115"/>
        <v>0.40647169154566137</v>
      </c>
      <c r="CE51" s="13">
        <f t="shared" si="115"/>
        <v>0.40647184882198806</v>
      </c>
      <c r="CF51" s="13">
        <f t="shared" si="115"/>
        <v>0.40647187480708435</v>
      </c>
      <c r="CG51" s="13">
        <f t="shared" si="115"/>
        <v>0.40647187910032606</v>
      </c>
      <c r="CH51" s="13">
        <f t="shared" si="115"/>
        <v>0.40647187980965277</v>
      </c>
      <c r="CI51" s="13">
        <f t="shared" si="115"/>
        <v>0.4064718799268473</v>
      </c>
      <c r="CJ51" s="13">
        <f t="shared" si="115"/>
        <v>0.40647187994621015</v>
      </c>
      <c r="CK51" s="13">
        <f t="shared" si="115"/>
        <v>0.40647187994940925</v>
      </c>
      <c r="CL51" s="13">
        <f t="shared" si="115"/>
        <v>0.40647187994993778</v>
      </c>
      <c r="CM51" s="13">
        <f t="shared" si="115"/>
        <v>0.40647187995002515</v>
      </c>
      <c r="CN51" s="13">
        <f t="shared" si="115"/>
        <v>0.40647187995003953</v>
      </c>
      <c r="CO51" s="13">
        <f t="shared" si="115"/>
        <v>0.40647187995004191</v>
      </c>
      <c r="CP51" s="13">
        <f t="shared" si="115"/>
        <v>0.40647187995004236</v>
      </c>
      <c r="CQ51" s="13">
        <f t="shared" si="115"/>
        <v>0.40647187995004236</v>
      </c>
      <c r="CR51" s="13">
        <f t="shared" si="115"/>
        <v>0.40647187995004236</v>
      </c>
      <c r="CS51" s="13">
        <f t="shared" si="115"/>
        <v>0.40647187995004236</v>
      </c>
      <c r="CT51" s="13">
        <f t="shared" si="115"/>
        <v>0.40647187995004236</v>
      </c>
      <c r="CU51" s="13">
        <f t="shared" si="115"/>
        <v>0.40647187995004236</v>
      </c>
      <c r="CV51" s="13">
        <f t="shared" si="115"/>
        <v>0.40647187995004236</v>
      </c>
      <c r="CW51" s="13">
        <f t="shared" si="115"/>
        <v>0.40647187995004236</v>
      </c>
      <c r="CX51" s="13">
        <f t="shared" si="115"/>
        <v>0.40647187995004236</v>
      </c>
      <c r="CY51" s="13">
        <f t="shared" si="115"/>
        <v>0.40647187995004236</v>
      </c>
      <c r="CZ51" s="13">
        <f t="shared" si="71"/>
        <v>100</v>
      </c>
      <c r="DB51" s="47"/>
      <c r="DC51" s="26">
        <v>6.0000000000000005E-2</v>
      </c>
      <c r="DD51" s="13">
        <f t="shared" si="72"/>
        <v>1500</v>
      </c>
      <c r="DE51" s="13">
        <f t="shared" si="73"/>
        <v>835.4945662261855</v>
      </c>
      <c r="DF51" s="13">
        <f t="shared" si="74"/>
        <v>627.03930284869546</v>
      </c>
      <c r="DG51" s="13">
        <f t="shared" si="75"/>
        <v>511.54300201111067</v>
      </c>
      <c r="DH51" s="13">
        <f t="shared" si="76"/>
        <v>434.53388377383885</v>
      </c>
      <c r="DI51" s="13">
        <f t="shared" si="77"/>
        <v>379.5438708626661</v>
      </c>
      <c r="DJ51" s="13">
        <f t="shared" si="78"/>
        <v>338.58653671811396</v>
      </c>
      <c r="DK51" s="13">
        <f t="shared" si="79"/>
        <v>306.95438406596924</v>
      </c>
      <c r="DL51" s="13">
        <f t="shared" si="80"/>
        <v>281.68593357116447</v>
      </c>
      <c r="DM51" s="13">
        <f t="shared" si="81"/>
        <v>260.86287893148869</v>
      </c>
      <c r="DN51" s="13">
        <f t="shared" si="82"/>
        <v>243.21607698993751</v>
      </c>
      <c r="DO51" s="13">
        <f t="shared" si="83"/>
        <v>227.88929564703344</v>
      </c>
      <c r="DP51" s="13">
        <f t="shared" si="84"/>
        <v>214.2936960089134</v>
      </c>
      <c r="DQ51" s="13">
        <f t="shared" si="85"/>
        <v>202.01661886325462</v>
      </c>
      <c r="DR51" s="13">
        <f t="shared" si="86"/>
        <v>190.76348386662556</v>
      </c>
      <c r="DS51" s="13">
        <f t="shared" si="87"/>
        <v>180.32016995514601</v>
      </c>
      <c r="DT51" s="13">
        <f t="shared" si="88"/>
        <v>170.52824406276338</v>
      </c>
      <c r="DU51" s="13">
        <f t="shared" si="89"/>
        <v>161.26837049810095</v>
      </c>
      <c r="DV51" s="13">
        <f t="shared" si="90"/>
        <v>152.44901127813253</v>
      </c>
      <c r="DW51" s="13">
        <f t="shared" si="91"/>
        <v>143.99860471033591</v>
      </c>
      <c r="DX51" s="13">
        <f t="shared" si="92"/>
        <v>135.86006902434957</v>
      </c>
      <c r="DY51" s="13">
        <f t="shared" si="93"/>
        <v>127.98688644883994</v>
      </c>
      <c r="DZ51" s="13">
        <f t="shared" si="94"/>
        <v>120.34027942950155</v>
      </c>
      <c r="EA51" s="13">
        <f t="shared" si="95"/>
        <v>112.88715355608252</v>
      </c>
      <c r="EB51" s="13">
        <f t="shared" si="96"/>
        <v>105.59858666091233</v>
      </c>
      <c r="EC51" s="13">
        <f t="shared" si="97"/>
        <v>98.448712023896874</v>
      </c>
      <c r="ED51" s="13">
        <f t="shared" si="98"/>
        <v>91.413888909595201</v>
      </c>
      <c r="EE51" s="13">
        <f t="shared" si="99"/>
        <v>84.472083989694283</v>
      </c>
      <c r="EF51" s="13">
        <f t="shared" si="100"/>
        <v>77.602407725005619</v>
      </c>
      <c r="EG51" s="13">
        <f t="shared" si="101"/>
        <v>70.784763762029826</v>
      </c>
      <c r="EH51" s="13">
        <f t="shared" si="102"/>
        <v>63.999578927175584</v>
      </c>
    </row>
    <row r="52" spans="5:138" x14ac:dyDescent="0.25">
      <c r="E52" s="49"/>
      <c r="F52" s="26">
        <v>5.6666666666666671E-2</v>
      </c>
      <c r="G52">
        <f t="shared" si="10"/>
        <v>300</v>
      </c>
      <c r="H52">
        <f t="shared" si="11"/>
        <v>1279.6754708688591</v>
      </c>
      <c r="I52">
        <f t="shared" si="12"/>
        <v>1008.2331570035774</v>
      </c>
      <c r="J52">
        <f t="shared" si="13"/>
        <v>827.48746329922278</v>
      </c>
      <c r="K52">
        <f t="shared" si="14"/>
        <v>702.97002659323607</v>
      </c>
      <c r="L52">
        <f t="shared" si="15"/>
        <v>613.99979774792496</v>
      </c>
      <c r="M52">
        <f t="shared" si="16"/>
        <v>547.98673327126505</v>
      </c>
      <c r="N52">
        <f t="shared" si="17"/>
        <v>497.14120754883379</v>
      </c>
      <c r="O52">
        <f t="shared" si="18"/>
        <v>456.55746719852527</v>
      </c>
      <c r="P52">
        <f t="shared" si="19"/>
        <v>423.08668171954417</v>
      </c>
      <c r="Q52">
        <f t="shared" si="20"/>
        <v>394.66701186636084</v>
      </c>
      <c r="R52">
        <f t="shared" si="21"/>
        <v>369.92041890484586</v>
      </c>
      <c r="S52">
        <f t="shared" si="22"/>
        <v>347.90665640745567</v>
      </c>
      <c r="T52">
        <f t="shared" si="23"/>
        <v>327.97089334696284</v>
      </c>
      <c r="U52">
        <f t="shared" si="24"/>
        <v>309.6477901693072</v>
      </c>
      <c r="V52">
        <f t="shared" si="25"/>
        <v>292.60006847427115</v>
      </c>
      <c r="W52">
        <f t="shared" si="26"/>
        <v>276.57846459024643</v>
      </c>
      <c r="X52">
        <f t="shared" si="27"/>
        <v>261.39514783407344</v>
      </c>
      <c r="Y52">
        <f t="shared" si="28"/>
        <v>246.90575790763714</v>
      </c>
      <c r="Z52">
        <f t="shared" si="29"/>
        <v>232.99705527973072</v>
      </c>
      <c r="AA52">
        <f t="shared" si="30"/>
        <v>219.57829181649214</v>
      </c>
      <c r="AB52">
        <f t="shared" si="31"/>
        <v>206.575091195347</v>
      </c>
      <c r="AC52">
        <f t="shared" si="32"/>
        <v>193.92505216984162</v>
      </c>
      <c r="AD52">
        <f t="shared" si="33"/>
        <v>181.5745542478702</v>
      </c>
      <c r="AE52">
        <f t="shared" si="34"/>
        <v>169.47641537113626</v>
      </c>
      <c r="AF52">
        <f t="shared" si="35"/>
        <v>157.58816117709878</v>
      </c>
      <c r="AG52">
        <f t="shared" si="36"/>
        <v>145.87073754130563</v>
      </c>
      <c r="AH52">
        <f t="shared" si="37"/>
        <v>134.28754595563547</v>
      </c>
      <c r="AI52">
        <f t="shared" si="38"/>
        <v>122.80371335574202</v>
      </c>
      <c r="AJ52">
        <f t="shared" si="103"/>
        <v>111.38552957311541</v>
      </c>
      <c r="AK52">
        <f t="shared" si="39"/>
        <v>100</v>
      </c>
      <c r="AL52" s="47"/>
      <c r="AM52" s="26">
        <v>5.6666666666666671E-2</v>
      </c>
      <c r="AN52" s="27">
        <f t="shared" si="40"/>
        <v>-6099600000</v>
      </c>
      <c r="AO52" s="27">
        <f t="shared" si="104"/>
        <v>-3975103218.2768068</v>
      </c>
      <c r="AP52" s="27">
        <f t="shared" si="41"/>
        <v>-3242056559.8625979</v>
      </c>
      <c r="AQ52" s="27">
        <f t="shared" si="42"/>
        <v>-2736240034.3443661</v>
      </c>
      <c r="AR52" s="27">
        <f t="shared" si="43"/>
        <v>-2375091014.8733349</v>
      </c>
      <c r="AS52" s="27">
        <f t="shared" si="44"/>
        <v>-2107988613.8333395</v>
      </c>
      <c r="AT52" s="27">
        <f t="shared" si="45"/>
        <v>-1903382788.5347917</v>
      </c>
      <c r="AU52" s="27">
        <f t="shared" si="46"/>
        <v>-1741258861.2446263</v>
      </c>
      <c r="AV52" s="27">
        <f t="shared" si="47"/>
        <v>-1608680559.1410139</v>
      </c>
      <c r="AW52" s="27">
        <f t="shared" si="48"/>
        <v>-1497123395.3189213</v>
      </c>
      <c r="AX52" s="27">
        <f t="shared" si="49"/>
        <v>-1400858700.2449963</v>
      </c>
      <c r="AY52" s="27">
        <f t="shared" si="50"/>
        <v>-1315960544.9091103</v>
      </c>
      <c r="AZ52" s="27">
        <f t="shared" si="51"/>
        <v>-1239686165.5211964</v>
      </c>
      <c r="BA52" s="27">
        <f t="shared" si="52"/>
        <v>-1170083153.4139566</v>
      </c>
      <c r="BB52" s="27">
        <f t="shared" si="53"/>
        <v>-1105736191.7894287</v>
      </c>
      <c r="BC52" s="27">
        <f t="shared" si="54"/>
        <v>-1045600917.9480981</v>
      </c>
      <c r="BD52" s="27">
        <f t="shared" si="55"/>
        <v>-988893022.24049819</v>
      </c>
      <c r="BE52" s="27">
        <f t="shared" si="56"/>
        <v>-935012933.35354531</v>
      </c>
      <c r="BF52" s="27">
        <f t="shared" si="57"/>
        <v>-883493813.95668852</v>
      </c>
      <c r="BG52" s="27">
        <f t="shared" si="58"/>
        <v>-833965086.20194888</v>
      </c>
      <c r="BH52" s="27">
        <f t="shared" si="59"/>
        <v>-786126480.87130713</v>
      </c>
      <c r="BI52" s="27">
        <f t="shared" si="60"/>
        <v>-739729338.20295644</v>
      </c>
      <c r="BJ52" s="27">
        <f t="shared" si="61"/>
        <v>-694562987.01676142</v>
      </c>
      <c r="BK52" s="27">
        <f t="shared" si="62"/>
        <v>-650444734.19407523</v>
      </c>
      <c r="BL52" s="27">
        <f t="shared" si="63"/>
        <v>-607212455.76527381</v>
      </c>
      <c r="BM52" s="27">
        <f t="shared" si="64"/>
        <v>-564719083.79229903</v>
      </c>
      <c r="BN52" s="27">
        <f t="shared" si="65"/>
        <v>-522828485.61069554</v>
      </c>
      <c r="BO52" s="27">
        <f t="shared" si="66"/>
        <v>-481412368.68770462</v>
      </c>
      <c r="BP52" s="27">
        <f t="shared" si="67"/>
        <v>-440347937.4169178</v>
      </c>
      <c r="BQ52" s="27">
        <f t="shared" si="68"/>
        <v>-399516091.68096185</v>
      </c>
      <c r="BR52" s="27">
        <f t="shared" si="69"/>
        <v>-358800000</v>
      </c>
      <c r="BT52" s="47"/>
      <c r="BU52" s="26">
        <v>5.6666666666666671E-2</v>
      </c>
      <c r="BV52" s="13">
        <v>0</v>
      </c>
      <c r="BW52" s="13">
        <f t="shared" ref="BW52:CY52" si="116">$B$20/($B$21-$B$22*BV52)</f>
        <v>0.34883720930232553</v>
      </c>
      <c r="BX52" s="13">
        <f t="shared" si="116"/>
        <v>0.39716748768472904</v>
      </c>
      <c r="BY52" s="13">
        <f t="shared" si="116"/>
        <v>0.40494040593779607</v>
      </c>
      <c r="BZ52" s="13">
        <f t="shared" si="116"/>
        <v>0.4062190081621499</v>
      </c>
      <c r="CA52" s="13">
        <f t="shared" si="116"/>
        <v>0.40643010492156101</v>
      </c>
      <c r="CB52" s="13">
        <f t="shared" si="116"/>
        <v>0.40646497802255066</v>
      </c>
      <c r="CC52" s="13">
        <f t="shared" si="116"/>
        <v>0.40647073962099717</v>
      </c>
      <c r="CD52" s="13">
        <f t="shared" si="116"/>
        <v>0.40647169154566137</v>
      </c>
      <c r="CE52" s="13">
        <f t="shared" si="116"/>
        <v>0.40647184882198806</v>
      </c>
      <c r="CF52" s="13">
        <f t="shared" si="116"/>
        <v>0.40647187480708435</v>
      </c>
      <c r="CG52" s="13">
        <f t="shared" si="116"/>
        <v>0.40647187910032606</v>
      </c>
      <c r="CH52" s="13">
        <f t="shared" si="116"/>
        <v>0.40647187980965277</v>
      </c>
      <c r="CI52" s="13">
        <f t="shared" si="116"/>
        <v>0.4064718799268473</v>
      </c>
      <c r="CJ52" s="13">
        <f t="shared" si="116"/>
        <v>0.40647187994621015</v>
      </c>
      <c r="CK52" s="13">
        <f t="shared" si="116"/>
        <v>0.40647187994940925</v>
      </c>
      <c r="CL52" s="13">
        <f t="shared" si="116"/>
        <v>0.40647187994993778</v>
      </c>
      <c r="CM52" s="13">
        <f t="shared" si="116"/>
        <v>0.40647187995002515</v>
      </c>
      <c r="CN52" s="13">
        <f t="shared" si="116"/>
        <v>0.40647187995003953</v>
      </c>
      <c r="CO52" s="13">
        <f t="shared" si="116"/>
        <v>0.40647187995004191</v>
      </c>
      <c r="CP52" s="13">
        <f t="shared" si="116"/>
        <v>0.40647187995004236</v>
      </c>
      <c r="CQ52" s="13">
        <f t="shared" si="116"/>
        <v>0.40647187995004236</v>
      </c>
      <c r="CR52" s="13">
        <f t="shared" si="116"/>
        <v>0.40647187995004236</v>
      </c>
      <c r="CS52" s="13">
        <f t="shared" si="116"/>
        <v>0.40647187995004236</v>
      </c>
      <c r="CT52" s="13">
        <f t="shared" si="116"/>
        <v>0.40647187995004236</v>
      </c>
      <c r="CU52" s="13">
        <f t="shared" si="116"/>
        <v>0.40647187995004236</v>
      </c>
      <c r="CV52" s="13">
        <f t="shared" si="116"/>
        <v>0.40647187995004236</v>
      </c>
      <c r="CW52" s="13">
        <f t="shared" si="116"/>
        <v>0.40647187995004236</v>
      </c>
      <c r="CX52" s="13">
        <f t="shared" si="116"/>
        <v>0.40647187995004236</v>
      </c>
      <c r="CY52" s="13">
        <f t="shared" si="116"/>
        <v>0.40647187995004236</v>
      </c>
      <c r="CZ52" s="13">
        <f t="shared" si="71"/>
        <v>100</v>
      </c>
      <c r="DB52" s="47"/>
      <c r="DC52" s="26">
        <v>5.6666666666666671E-2</v>
      </c>
      <c r="DD52" s="13">
        <f t="shared" si="72"/>
        <v>1700</v>
      </c>
      <c r="DE52" s="13">
        <f t="shared" si="73"/>
        <v>927.96623005365757</v>
      </c>
      <c r="DF52" s="13">
        <f t="shared" si="74"/>
        <v>679.58204011441569</v>
      </c>
      <c r="DG52" s="13">
        <f t="shared" si="75"/>
        <v>542.8264953684544</v>
      </c>
      <c r="DH52" s="13">
        <f t="shared" si="76"/>
        <v>453.55163774031342</v>
      </c>
      <c r="DI52" s="13">
        <f t="shared" si="77"/>
        <v>391.2814922488613</v>
      </c>
      <c r="DJ52" s="13">
        <f t="shared" si="78"/>
        <v>345.916243270824</v>
      </c>
      <c r="DK52" s="13">
        <f t="shared" si="79"/>
        <v>311.56395617716004</v>
      </c>
      <c r="DL52" s="13">
        <f t="shared" si="80"/>
        <v>284.58470800954132</v>
      </c>
      <c r="DM52" s="13">
        <f t="shared" si="81"/>
        <v>262.66565173717498</v>
      </c>
      <c r="DN52" s="13">
        <f t="shared" si="82"/>
        <v>244.30476566468613</v>
      </c>
      <c r="DO52" s="13">
        <f t="shared" si="83"/>
        <v>228.50614652339587</v>
      </c>
      <c r="DP52" s="13">
        <f t="shared" si="84"/>
        <v>214.59571086586456</v>
      </c>
      <c r="DQ52" s="13">
        <f t="shared" si="85"/>
        <v>202.10777396165059</v>
      </c>
      <c r="DR52" s="13">
        <f t="shared" si="86"/>
        <v>190.71409026418036</v>
      </c>
      <c r="DS52" s="13">
        <f t="shared" si="87"/>
        <v>180.17870001875258</v>
      </c>
      <c r="DT52" s="13">
        <f t="shared" si="88"/>
        <v>170.32868744033871</v>
      </c>
      <c r="DU52" s="13">
        <f t="shared" si="89"/>
        <v>161.03490024687036</v>
      </c>
      <c r="DV52" s="13">
        <f t="shared" si="90"/>
        <v>152.1990068252617</v>
      </c>
      <c r="DW52" s="13">
        <f t="shared" si="91"/>
        <v>143.74465420886224</v>
      </c>
      <c r="DX52" s="13">
        <f t="shared" si="92"/>
        <v>135.61132614746802</v>
      </c>
      <c r="DY52" s="13">
        <f t="shared" si="93"/>
        <v>127.75001067046144</v>
      </c>
      <c r="DZ52" s="13">
        <f t="shared" si="94"/>
        <v>120.12010175361887</v>
      </c>
      <c r="EA52" s="13">
        <f t="shared" si="95"/>
        <v>112.68715708477018</v>
      </c>
      <c r="EB52" s="13">
        <f t="shared" si="96"/>
        <v>105.42125923961063</v>
      </c>
      <c r="EC52" s="13">
        <f t="shared" si="97"/>
        <v>98.295808258985062</v>
      </c>
      <c r="ED52" s="13">
        <f t="shared" si="98"/>
        <v>91.286626282840771</v>
      </c>
      <c r="EE52" s="13">
        <f t="shared" si="99"/>
        <v>84.371289723080878</v>
      </c>
      <c r="EF52" s="13">
        <f t="shared" si="100"/>
        <v>77.528627750926759</v>
      </c>
      <c r="EG52" s="13">
        <f t="shared" si="101"/>
        <v>70.738341578111161</v>
      </c>
      <c r="EH52" s="13">
        <f t="shared" si="102"/>
        <v>63.980709614806777</v>
      </c>
    </row>
    <row r="53" spans="5:138" x14ac:dyDescent="0.25">
      <c r="E53" s="49"/>
      <c r="F53" s="26">
        <v>5.3333333333333337E-2</v>
      </c>
      <c r="G53">
        <f t="shared" si="10"/>
        <v>300</v>
      </c>
      <c r="H53">
        <f t="shared" si="11"/>
        <v>1163.8161239963156</v>
      </c>
      <c r="I53">
        <f t="shared" si="12"/>
        <v>940.03136697405739</v>
      </c>
      <c r="J53">
        <f t="shared" si="13"/>
        <v>786.58199493203097</v>
      </c>
      <c r="K53">
        <f t="shared" si="14"/>
        <v>677.87713310749064</v>
      </c>
      <c r="L53">
        <f t="shared" si="15"/>
        <v>598.17886138059941</v>
      </c>
      <c r="M53">
        <f t="shared" si="16"/>
        <v>537.67682967889641</v>
      </c>
      <c r="N53">
        <f t="shared" si="17"/>
        <v>490.15881357130678</v>
      </c>
      <c r="O53">
        <f t="shared" si="18"/>
        <v>451.62206948636458</v>
      </c>
      <c r="P53">
        <f t="shared" si="19"/>
        <v>419.4392612292844</v>
      </c>
      <c r="Q53">
        <f t="shared" si="20"/>
        <v>391.85244198303781</v>
      </c>
      <c r="R53">
        <f t="shared" si="21"/>
        <v>367.66233433015293</v>
      </c>
      <c r="S53">
        <f t="shared" si="22"/>
        <v>346.03488783777345</v>
      </c>
      <c r="T53">
        <f t="shared" si="23"/>
        <v>326.37901284952909</v>
      </c>
      <c r="U53">
        <f t="shared" si="24"/>
        <v>308.26804208163577</v>
      </c>
      <c r="V53">
        <f t="shared" si="25"/>
        <v>291.38842348279445</v>
      </c>
      <c r="W53">
        <f t="shared" si="26"/>
        <v>275.50562170294739</v>
      </c>
      <c r="X53">
        <f t="shared" si="27"/>
        <v>260.44106477134551</v>
      </c>
      <c r="Y53">
        <f t="shared" si="28"/>
        <v>246.0562958235933</v>
      </c>
      <c r="Z53">
        <f t="shared" si="29"/>
        <v>232.24190360531605</v>
      </c>
      <c r="AA53">
        <f t="shared" si="30"/>
        <v>218.9096761414404</v>
      </c>
      <c r="AB53">
        <f t="shared" si="31"/>
        <v>205.98696482655967</v>
      </c>
      <c r="AC53">
        <f t="shared" si="32"/>
        <v>193.41258908652225</v>
      </c>
      <c r="AD53">
        <f t="shared" si="33"/>
        <v>181.13383123463711</v>
      </c>
      <c r="AE53">
        <f t="shared" si="34"/>
        <v>169.10421350463946</v>
      </c>
      <c r="AF53">
        <f t="shared" si="35"/>
        <v>157.281842796131</v>
      </c>
      <c r="AG53">
        <f t="shared" si="36"/>
        <v>145.62817091186528</v>
      </c>
      <c r="AH53">
        <f t="shared" si="37"/>
        <v>134.10705992939876</v>
      </c>
      <c r="AI53">
        <f t="shared" si="38"/>
        <v>122.68407073005218</v>
      </c>
      <c r="AJ53">
        <f t="shared" si="103"/>
        <v>111.32591199690103</v>
      </c>
      <c r="AK53">
        <f t="shared" si="39"/>
        <v>100</v>
      </c>
      <c r="AL53" s="47"/>
      <c r="AM53" s="26">
        <v>5.3333333333333337E-2</v>
      </c>
      <c r="AN53" s="27">
        <f t="shared" si="40"/>
        <v>-5382000000</v>
      </c>
      <c r="AO53" s="27">
        <f t="shared" si="104"/>
        <v>-3710439900.3156738</v>
      </c>
      <c r="AP53" s="27">
        <f t="shared" si="41"/>
        <v>-3081644050.884758</v>
      </c>
      <c r="AQ53" s="27">
        <f t="shared" si="42"/>
        <v>-2637013925.5157347</v>
      </c>
      <c r="AR53" s="27">
        <f t="shared" si="43"/>
        <v>-2312135870.5854101</v>
      </c>
      <c r="AS53" s="27">
        <f t="shared" si="44"/>
        <v>-2066793320.9293118</v>
      </c>
      <c r="AT53" s="27">
        <f t="shared" si="45"/>
        <v>-1875430640.3282511</v>
      </c>
      <c r="AU53" s="27">
        <f t="shared" si="46"/>
        <v>-1721507356.9200871</v>
      </c>
      <c r="AV53" s="27">
        <f t="shared" si="47"/>
        <v>-1594114690.9897275</v>
      </c>
      <c r="AW53" s="27">
        <f t="shared" si="48"/>
        <v>-1485920674.7858217</v>
      </c>
      <c r="AX53" s="27">
        <f t="shared" si="49"/>
        <v>-1391904175.8386228</v>
      </c>
      <c r="AY53" s="27">
        <f t="shared" si="50"/>
        <v>-1308563038.3720961</v>
      </c>
      <c r="AZ53" s="27">
        <f t="shared" si="51"/>
        <v>-1233410871.5348117</v>
      </c>
      <c r="BA53" s="27">
        <f t="shared" si="52"/>
        <v>-1164651994.6318574</v>
      </c>
      <c r="BB53" s="27">
        <f t="shared" si="53"/>
        <v>-1100967937.0090342</v>
      </c>
      <c r="BC53" s="27">
        <f t="shared" si="54"/>
        <v>-1041374841.8256305</v>
      </c>
      <c r="BD53" s="27">
        <f t="shared" si="55"/>
        <v>-985126636.99844062</v>
      </c>
      <c r="BE53" s="27">
        <f t="shared" si="56"/>
        <v>-931648218.14645004</v>
      </c>
      <c r="BF53" s="27">
        <f t="shared" si="57"/>
        <v>-880488629.75502658</v>
      </c>
      <c r="BG53" s="27">
        <f t="shared" si="58"/>
        <v>-831287788.05265141</v>
      </c>
      <c r="BH53" s="27">
        <f t="shared" si="59"/>
        <v>-783752521.13864887</v>
      </c>
      <c r="BI53" s="27">
        <f t="shared" si="60"/>
        <v>-737639120.51784492</v>
      </c>
      <c r="BJ53" s="27">
        <f t="shared" si="61"/>
        <v>-692740511.58549142</v>
      </c>
      <c r="BK53" s="27">
        <f t="shared" si="62"/>
        <v>-648876746.36526394</v>
      </c>
      <c r="BL53" s="27">
        <f t="shared" si="63"/>
        <v>-605887915.38568127</v>
      </c>
      <c r="BM53" s="27">
        <f t="shared" si="64"/>
        <v>-563628838.82015324</v>
      </c>
      <c r="BN53" s="27">
        <f t="shared" si="65"/>
        <v>-521965075.09832412</v>
      </c>
      <c r="BO53" s="27">
        <f t="shared" si="66"/>
        <v>-480769906.84456623</v>
      </c>
      <c r="BP53" s="27">
        <f t="shared" si="67"/>
        <v>-439922047.64937842</v>
      </c>
      <c r="BQ53" s="27">
        <f t="shared" si="68"/>
        <v>-399303870.75680536</v>
      </c>
      <c r="BR53" s="27">
        <f t="shared" si="69"/>
        <v>-358800000</v>
      </c>
      <c r="BT53" s="47"/>
      <c r="BU53" s="26">
        <v>5.3333333333333337E-2</v>
      </c>
      <c r="BV53" s="13">
        <v>0</v>
      </c>
      <c r="BW53" s="13">
        <f t="shared" ref="BW53:CY53" si="117">$B$20/($B$21-$B$22*BV53)</f>
        <v>0.34883720930232553</v>
      </c>
      <c r="BX53" s="13">
        <f t="shared" si="117"/>
        <v>0.39716748768472904</v>
      </c>
      <c r="BY53" s="13">
        <f t="shared" si="117"/>
        <v>0.40494040593779607</v>
      </c>
      <c r="BZ53" s="13">
        <f t="shared" si="117"/>
        <v>0.4062190081621499</v>
      </c>
      <c r="CA53" s="13">
        <f t="shared" si="117"/>
        <v>0.40643010492156101</v>
      </c>
      <c r="CB53" s="13">
        <f t="shared" si="117"/>
        <v>0.40646497802255066</v>
      </c>
      <c r="CC53" s="13">
        <f t="shared" si="117"/>
        <v>0.40647073962099717</v>
      </c>
      <c r="CD53" s="13">
        <f t="shared" si="117"/>
        <v>0.40647169154566137</v>
      </c>
      <c r="CE53" s="13">
        <f t="shared" si="117"/>
        <v>0.40647184882198806</v>
      </c>
      <c r="CF53" s="13">
        <f t="shared" si="117"/>
        <v>0.40647187480708435</v>
      </c>
      <c r="CG53" s="13">
        <f t="shared" si="117"/>
        <v>0.40647187910032606</v>
      </c>
      <c r="CH53" s="13">
        <f t="shared" si="117"/>
        <v>0.40647187980965277</v>
      </c>
      <c r="CI53" s="13">
        <f t="shared" si="117"/>
        <v>0.4064718799268473</v>
      </c>
      <c r="CJ53" s="13">
        <f t="shared" si="117"/>
        <v>0.40647187994621015</v>
      </c>
      <c r="CK53" s="13">
        <f t="shared" si="117"/>
        <v>0.40647187994940925</v>
      </c>
      <c r="CL53" s="13">
        <f t="shared" si="117"/>
        <v>0.40647187994993778</v>
      </c>
      <c r="CM53" s="13">
        <f t="shared" si="117"/>
        <v>0.40647187995002515</v>
      </c>
      <c r="CN53" s="13">
        <f t="shared" si="117"/>
        <v>0.40647187995003953</v>
      </c>
      <c r="CO53" s="13">
        <f t="shared" si="117"/>
        <v>0.40647187995004191</v>
      </c>
      <c r="CP53" s="13">
        <f t="shared" si="117"/>
        <v>0.40647187995004236</v>
      </c>
      <c r="CQ53" s="13">
        <f t="shared" si="117"/>
        <v>0.40647187995004236</v>
      </c>
      <c r="CR53" s="13">
        <f t="shared" si="117"/>
        <v>0.40647187995004236</v>
      </c>
      <c r="CS53" s="13">
        <f t="shared" si="117"/>
        <v>0.40647187995004236</v>
      </c>
      <c r="CT53" s="13">
        <f t="shared" si="117"/>
        <v>0.40647187995004236</v>
      </c>
      <c r="CU53" s="13">
        <f t="shared" si="117"/>
        <v>0.40647187995004236</v>
      </c>
      <c r="CV53" s="13">
        <f t="shared" si="117"/>
        <v>0.40647187995004236</v>
      </c>
      <c r="CW53" s="13">
        <f t="shared" si="117"/>
        <v>0.40647187995004236</v>
      </c>
      <c r="CX53" s="13">
        <f t="shared" si="117"/>
        <v>0.40647187995004236</v>
      </c>
      <c r="CY53" s="13">
        <f t="shared" si="117"/>
        <v>0.40647187995004236</v>
      </c>
      <c r="CZ53" s="13">
        <f t="shared" si="71"/>
        <v>100</v>
      </c>
      <c r="DB53" s="47"/>
      <c r="DC53" s="26">
        <v>5.3333333333333337E-2</v>
      </c>
      <c r="DD53" s="13">
        <f t="shared" si="72"/>
        <v>1500</v>
      </c>
      <c r="DE53" s="13">
        <f t="shared" si="73"/>
        <v>835.89820528443511</v>
      </c>
      <c r="DF53" s="13">
        <f t="shared" si="74"/>
        <v>627.62657218886034</v>
      </c>
      <c r="DG53" s="13">
        <f t="shared" si="75"/>
        <v>512.08215347553426</v>
      </c>
      <c r="DH53" s="13">
        <f t="shared" si="76"/>
        <v>434.88550933389939</v>
      </c>
      <c r="DI53" s="13">
        <f t="shared" si="77"/>
        <v>379.65081108031325</v>
      </c>
      <c r="DJ53" s="13">
        <f t="shared" si="78"/>
        <v>338.44443829307573</v>
      </c>
      <c r="DK53" s="13">
        <f t="shared" si="79"/>
        <v>306.58765695801878</v>
      </c>
      <c r="DL53" s="13">
        <f t="shared" si="80"/>
        <v>281.13188347383482</v>
      </c>
      <c r="DM53" s="13">
        <f t="shared" si="81"/>
        <v>260.16227467102823</v>
      </c>
      <c r="DN53" s="13">
        <f t="shared" si="82"/>
        <v>242.40804365191153</v>
      </c>
      <c r="DO53" s="13">
        <f t="shared" si="83"/>
        <v>227.00888323646259</v>
      </c>
      <c r="DP53" s="13">
        <f t="shared" si="84"/>
        <v>213.37099695440651</v>
      </c>
      <c r="DQ53" s="13">
        <f t="shared" si="85"/>
        <v>201.07672226323811</v>
      </c>
      <c r="DR53" s="13">
        <f t="shared" si="86"/>
        <v>189.8268417940219</v>
      </c>
      <c r="DS53" s="13">
        <f t="shared" si="87"/>
        <v>179.40313549256669</v>
      </c>
      <c r="DT53" s="13">
        <f t="shared" si="88"/>
        <v>169.64365248917508</v>
      </c>
      <c r="DU53" s="13">
        <f t="shared" si="89"/>
        <v>160.42609963439003</v>
      </c>
      <c r="DV53" s="13">
        <f t="shared" si="90"/>
        <v>151.65649266196462</v>
      </c>
      <c r="DW53" s="13">
        <f t="shared" si="91"/>
        <v>143.26127600484992</v>
      </c>
      <c r="DX53" s="13">
        <f t="shared" si="92"/>
        <v>135.18176730318544</v>
      </c>
      <c r="DY53" s="13">
        <f t="shared" si="93"/>
        <v>127.37018613455592</v>
      </c>
      <c r="DZ53" s="13">
        <f t="shared" si="94"/>
        <v>119.78678018202558</v>
      </c>
      <c r="EA53" s="13">
        <f t="shared" si="95"/>
        <v>112.39772366393296</v>
      </c>
      <c r="EB53" s="13">
        <f t="shared" si="96"/>
        <v>105.17356718128906</v>
      </c>
      <c r="EC53" s="13">
        <f t="shared" si="97"/>
        <v>98.08808639189904</v>
      </c>
      <c r="ED53" s="13">
        <f t="shared" si="98"/>
        <v>91.117422147789568</v>
      </c>
      <c r="EE53" s="13">
        <f t="shared" si="99"/>
        <v>84.23943505983047</v>
      </c>
      <c r="EF53" s="13">
        <f t="shared" si="100"/>
        <v>77.433217993518852</v>
      </c>
      <c r="EG53" s="13">
        <f t="shared" si="101"/>
        <v>70.678724001896782</v>
      </c>
      <c r="EH53" s="13">
        <f t="shared" si="102"/>
        <v>63.956476746524856</v>
      </c>
    </row>
    <row r="54" spans="5:138" x14ac:dyDescent="0.25">
      <c r="E54" s="49"/>
      <c r="F54" s="26">
        <v>0.05</v>
      </c>
      <c r="G54">
        <f t="shared" si="10"/>
        <v>300</v>
      </c>
      <c r="H54">
        <f t="shared" si="11"/>
        <v>913.46956626297697</v>
      </c>
      <c r="I54">
        <f t="shared" si="12"/>
        <v>783.69467292549143</v>
      </c>
      <c r="J54">
        <f t="shared" si="13"/>
        <v>688.43293248363193</v>
      </c>
      <c r="K54">
        <f t="shared" si="14"/>
        <v>615.54777241734485</v>
      </c>
      <c r="L54">
        <f t="shared" si="15"/>
        <v>557.92805056421923</v>
      </c>
      <c r="M54">
        <f t="shared" si="16"/>
        <v>511.12426914155975</v>
      </c>
      <c r="N54">
        <f t="shared" si="17"/>
        <v>472.19859710812909</v>
      </c>
      <c r="O54">
        <f t="shared" si="18"/>
        <v>439.13152147421641</v>
      </c>
      <c r="P54">
        <f t="shared" si="19"/>
        <v>410.49412628839741</v>
      </c>
      <c r="Q54">
        <f t="shared" si="20"/>
        <v>385.25424395535441</v>
      </c>
      <c r="R54">
        <f t="shared" si="21"/>
        <v>362.6546711128272</v>
      </c>
      <c r="S54">
        <f t="shared" si="22"/>
        <v>342.13295052509471</v>
      </c>
      <c r="T54">
        <f t="shared" si="23"/>
        <v>323.26668258932455</v>
      </c>
      <c r="U54">
        <f t="shared" si="24"/>
        <v>305.73532982164318</v>
      </c>
      <c r="V54">
        <f t="shared" si="25"/>
        <v>289.29307925272184</v>
      </c>
      <c r="W54">
        <f t="shared" si="26"/>
        <v>273.74931381171581</v>
      </c>
      <c r="X54">
        <f t="shared" si="27"/>
        <v>258.95441559684048</v>
      </c>
      <c r="Y54">
        <f t="shared" si="28"/>
        <v>244.78935577428638</v>
      </c>
      <c r="Z54">
        <f t="shared" si="29"/>
        <v>231.1580027271221</v>
      </c>
      <c r="AA54">
        <f t="shared" si="30"/>
        <v>217.98139996597999</v>
      </c>
      <c r="AB54">
        <f t="shared" si="31"/>
        <v>205.19348399475192</v>
      </c>
      <c r="AC54">
        <f t="shared" si="32"/>
        <v>192.73786367445265</v>
      </c>
      <c r="AD54">
        <f t="shared" si="33"/>
        <v>180.5653882679029</v>
      </c>
      <c r="AE54">
        <f t="shared" si="34"/>
        <v>168.63230555006504</v>
      </c>
      <c r="AF54">
        <f t="shared" si="35"/>
        <v>156.89886375601159</v>
      </c>
      <c r="AG54">
        <f t="shared" si="36"/>
        <v>145.32824827695316</v>
      </c>
      <c r="AH54">
        <f t="shared" si="37"/>
        <v>133.88577041483941</v>
      </c>
      <c r="AI54">
        <f t="shared" si="38"/>
        <v>122.53824427459023</v>
      </c>
      <c r="AJ54">
        <f t="shared" si="103"/>
        <v>111.25350114900155</v>
      </c>
      <c r="AK54">
        <f t="shared" si="39"/>
        <v>100</v>
      </c>
      <c r="AL54" s="47"/>
      <c r="AM54" s="26">
        <v>0.05</v>
      </c>
      <c r="AN54" s="27">
        <f t="shared" si="40"/>
        <v>-3946800000</v>
      </c>
      <c r="AO54" s="27">
        <f t="shared" si="104"/>
        <v>-3042560866.497478</v>
      </c>
      <c r="AP54" s="27">
        <f t="shared" si="41"/>
        <v>-2669012033.4687705</v>
      </c>
      <c r="AQ54" s="27">
        <f t="shared" si="42"/>
        <v>-2377458318.9964018</v>
      </c>
      <c r="AR54" s="27">
        <f t="shared" si="43"/>
        <v>-2145386493.2309449</v>
      </c>
      <c r="AS54" s="27">
        <f t="shared" si="44"/>
        <v>-1957067852.0422888</v>
      </c>
      <c r="AT54" s="27">
        <f t="shared" si="45"/>
        <v>-1801298504.8085091</v>
      </c>
      <c r="AU54" s="27">
        <f t="shared" si="46"/>
        <v>-1669993977.3299625</v>
      </c>
      <c r="AV54" s="27">
        <f t="shared" si="47"/>
        <v>-1557265021.9943817</v>
      </c>
      <c r="AW54" s="27">
        <f t="shared" si="48"/>
        <v>-1458787221.9122772</v>
      </c>
      <c r="AX54" s="27">
        <f t="shared" si="49"/>
        <v>-1371361346.0210764</v>
      </c>
      <c r="AY54" s="27">
        <f t="shared" si="50"/>
        <v>-1292602651.6179736</v>
      </c>
      <c r="AZ54" s="27">
        <f t="shared" si="51"/>
        <v>-1220719452.504916</v>
      </c>
      <c r="BA54" s="27">
        <f t="shared" si="52"/>
        <v>-1154354308.3346095</v>
      </c>
      <c r="BB54" s="27">
        <f t="shared" si="53"/>
        <v>-1092469480.297189</v>
      </c>
      <c r="BC54" s="27">
        <f t="shared" si="54"/>
        <v>-1034263839.9291965</v>
      </c>
      <c r="BD54" s="27">
        <f t="shared" si="55"/>
        <v>-979112227.64025521</v>
      </c>
      <c r="BE54" s="27">
        <f t="shared" si="56"/>
        <v>-926520912.21725404</v>
      </c>
      <c r="BF54" s="27">
        <f t="shared" si="57"/>
        <v>-876094662.46802592</v>
      </c>
      <c r="BG54" s="27">
        <f t="shared" si="58"/>
        <v>-827512247.60078239</v>
      </c>
      <c r="BH54" s="27">
        <f t="shared" si="59"/>
        <v>-780508099.76769197</v>
      </c>
      <c r="BI54" s="27">
        <f t="shared" si="60"/>
        <v>-734858516.57832479</v>
      </c>
      <c r="BJ54" s="27">
        <f t="shared" si="61"/>
        <v>-690371234.92101336</v>
      </c>
      <c r="BK54" s="27">
        <f t="shared" si="62"/>
        <v>-646877527.3739686</v>
      </c>
      <c r="BL54" s="27">
        <f t="shared" si="63"/>
        <v>-604226198.88916588</v>
      </c>
      <c r="BM54" s="27">
        <f t="shared" si="64"/>
        <v>-562279022.21249032</v>
      </c>
      <c r="BN54" s="27">
        <f t="shared" si="65"/>
        <v>-520907265.08355707</v>
      </c>
      <c r="BO54" s="27">
        <f t="shared" si="66"/>
        <v>-479989044.11992472</v>
      </c>
      <c r="BP54" s="27">
        <f t="shared" si="67"/>
        <v>-439407298.77653521</v>
      </c>
      <c r="BQ54" s="27">
        <f t="shared" si="68"/>
        <v>-399048220.33954704</v>
      </c>
      <c r="BR54" s="27">
        <f t="shared" si="69"/>
        <v>-358800000</v>
      </c>
      <c r="BT54" s="47"/>
      <c r="BU54" s="26">
        <v>0.05</v>
      </c>
      <c r="BV54" s="13">
        <v>0</v>
      </c>
      <c r="BW54" s="13">
        <f t="shared" ref="BW54:CY54" si="118">$B$20/($B$21-$B$22*BV54)</f>
        <v>0.34883720930232553</v>
      </c>
      <c r="BX54" s="13">
        <f t="shared" si="118"/>
        <v>0.39716748768472904</v>
      </c>
      <c r="BY54" s="13">
        <f t="shared" si="118"/>
        <v>0.40494040593779607</v>
      </c>
      <c r="BZ54" s="13">
        <f t="shared" si="118"/>
        <v>0.4062190081621499</v>
      </c>
      <c r="CA54" s="13">
        <f t="shared" si="118"/>
        <v>0.40643010492156101</v>
      </c>
      <c r="CB54" s="13">
        <f t="shared" si="118"/>
        <v>0.40646497802255066</v>
      </c>
      <c r="CC54" s="13">
        <f t="shared" si="118"/>
        <v>0.40647073962099717</v>
      </c>
      <c r="CD54" s="13">
        <f t="shared" si="118"/>
        <v>0.40647169154566137</v>
      </c>
      <c r="CE54" s="13">
        <f t="shared" si="118"/>
        <v>0.40647184882198806</v>
      </c>
      <c r="CF54" s="13">
        <f t="shared" si="118"/>
        <v>0.40647187480708435</v>
      </c>
      <c r="CG54" s="13">
        <f t="shared" si="118"/>
        <v>0.40647187910032606</v>
      </c>
      <c r="CH54" s="13">
        <f t="shared" si="118"/>
        <v>0.40647187980965277</v>
      </c>
      <c r="CI54" s="13">
        <f t="shared" si="118"/>
        <v>0.4064718799268473</v>
      </c>
      <c r="CJ54" s="13">
        <f t="shared" si="118"/>
        <v>0.40647187994621015</v>
      </c>
      <c r="CK54" s="13">
        <f t="shared" si="118"/>
        <v>0.40647187994940925</v>
      </c>
      <c r="CL54" s="13">
        <f t="shared" si="118"/>
        <v>0.40647187994993778</v>
      </c>
      <c r="CM54" s="13">
        <f t="shared" si="118"/>
        <v>0.40647187995002515</v>
      </c>
      <c r="CN54" s="13">
        <f t="shared" si="118"/>
        <v>0.40647187995003953</v>
      </c>
      <c r="CO54" s="13">
        <f t="shared" si="118"/>
        <v>0.40647187995004191</v>
      </c>
      <c r="CP54" s="13">
        <f t="shared" si="118"/>
        <v>0.40647187995004236</v>
      </c>
      <c r="CQ54" s="13">
        <f t="shared" si="118"/>
        <v>0.40647187995004236</v>
      </c>
      <c r="CR54" s="13">
        <f t="shared" si="118"/>
        <v>0.40647187995004236</v>
      </c>
      <c r="CS54" s="13">
        <f t="shared" si="118"/>
        <v>0.40647187995004236</v>
      </c>
      <c r="CT54" s="13">
        <f t="shared" si="118"/>
        <v>0.40647187995004236</v>
      </c>
      <c r="CU54" s="13">
        <f t="shared" si="118"/>
        <v>0.40647187995004236</v>
      </c>
      <c r="CV54" s="13">
        <f t="shared" si="118"/>
        <v>0.40647187995004236</v>
      </c>
      <c r="CW54" s="13">
        <f t="shared" si="118"/>
        <v>0.40647187995004236</v>
      </c>
      <c r="CX54" s="13">
        <f t="shared" si="118"/>
        <v>0.40647187995004236</v>
      </c>
      <c r="CY54" s="13">
        <f t="shared" si="118"/>
        <v>0.40647187995004236</v>
      </c>
      <c r="CZ54" s="13">
        <f t="shared" si="71"/>
        <v>100</v>
      </c>
      <c r="DB54" s="47"/>
      <c r="DC54" s="26">
        <v>0.05</v>
      </c>
      <c r="DD54" s="13">
        <f t="shared" si="72"/>
        <v>1100</v>
      </c>
      <c r="DE54" s="13">
        <f t="shared" si="73"/>
        <v>640.08770361454981</v>
      </c>
      <c r="DF54" s="13">
        <f t="shared" si="74"/>
        <v>510.27149469153659</v>
      </c>
      <c r="DG54" s="13">
        <f t="shared" si="75"/>
        <v>439.17276764684618</v>
      </c>
      <c r="DH54" s="13">
        <f t="shared" si="76"/>
        <v>388.90679309130587</v>
      </c>
      <c r="DI54" s="13">
        <f t="shared" si="77"/>
        <v>350.1917602290589</v>
      </c>
      <c r="DJ54" s="13">
        <f t="shared" si="78"/>
        <v>319.19207674572482</v>
      </c>
      <c r="DK54" s="13">
        <f t="shared" si="79"/>
        <v>293.70448278361056</v>
      </c>
      <c r="DL54" s="13">
        <f t="shared" si="80"/>
        <v>272.27727959221318</v>
      </c>
      <c r="DM54" s="13">
        <f t="shared" si="81"/>
        <v>253.89912148134732</v>
      </c>
      <c r="DN54" s="13">
        <f t="shared" si="82"/>
        <v>237.84531988057697</v>
      </c>
      <c r="DO54" s="13">
        <f t="shared" si="83"/>
        <v>223.58724781075307</v>
      </c>
      <c r="DP54" s="13">
        <f t="shared" si="84"/>
        <v>210.7341343731816</v>
      </c>
      <c r="DQ54" s="13">
        <f t="shared" si="85"/>
        <v>198.99386831666658</v>
      </c>
      <c r="DR54" s="13">
        <f t="shared" si="86"/>
        <v>188.14582804236139</v>
      </c>
      <c r="DS54" s="13">
        <f t="shared" si="87"/>
        <v>178.02168103281292</v>
      </c>
      <c r="DT54" s="13">
        <f t="shared" si="88"/>
        <v>168.49162568273056</v>
      </c>
      <c r="DU54" s="13">
        <f t="shared" si="89"/>
        <v>159.45442596351077</v>
      </c>
      <c r="DV54" s="13">
        <f t="shared" si="90"/>
        <v>150.83012784029668</v>
      </c>
      <c r="DW54" s="13">
        <f t="shared" si="91"/>
        <v>142.55469328880821</v>
      </c>
      <c r="DX54" s="13">
        <f t="shared" si="92"/>
        <v>134.57601877313425</v>
      </c>
      <c r="DY54" s="13">
        <f t="shared" si="93"/>
        <v>126.85096220944216</v>
      </c>
      <c r="DZ54" s="13">
        <f t="shared" si="94"/>
        <v>119.34311085128884</v>
      </c>
      <c r="EA54" s="13">
        <f t="shared" si="95"/>
        <v>112.02109801065801</v>
      </c>
      <c r="EB54" s="13">
        <f t="shared" si="96"/>
        <v>104.85732943713343</v>
      </c>
      <c r="EC54" s="13">
        <f t="shared" si="97"/>
        <v>97.827017469031929</v>
      </c>
      <c r="ED54" s="13">
        <f t="shared" si="98"/>
        <v>90.907447477873617</v>
      </c>
      <c r="EE54" s="13">
        <f t="shared" si="99"/>
        <v>84.077419898769207</v>
      </c>
      <c r="EF54" s="13">
        <f t="shared" si="100"/>
        <v>77.316824511531365</v>
      </c>
      <c r="EG54" s="13">
        <f t="shared" si="101"/>
        <v>70.606313153997306</v>
      </c>
      <c r="EH54" s="13">
        <f t="shared" si="102"/>
        <v>63.927043773050379</v>
      </c>
    </row>
    <row r="55" spans="5:138" x14ac:dyDescent="0.25">
      <c r="E55" s="49"/>
      <c r="F55" s="26">
        <v>4.6666666666666669E-2</v>
      </c>
      <c r="G55">
        <f t="shared" si="10"/>
        <v>300</v>
      </c>
      <c r="H55">
        <f t="shared" si="11"/>
        <v>473.8068101899629</v>
      </c>
      <c r="I55">
        <f t="shared" si="12"/>
        <v>533.82221935097721</v>
      </c>
      <c r="J55">
        <f t="shared" si="13"/>
        <v>541.34089647004146</v>
      </c>
      <c r="K55">
        <f t="shared" si="14"/>
        <v>525.79240265051556</v>
      </c>
      <c r="L55">
        <f t="shared" si="15"/>
        <v>501.16109883562592</v>
      </c>
      <c r="M55">
        <f t="shared" si="16"/>
        <v>473.94175136190461</v>
      </c>
      <c r="N55">
        <f t="shared" si="17"/>
        <v>447.01150149284712</v>
      </c>
      <c r="O55">
        <f t="shared" si="18"/>
        <v>421.51957305031442</v>
      </c>
      <c r="P55">
        <f t="shared" si="19"/>
        <v>397.80946659161918</v>
      </c>
      <c r="Q55">
        <f t="shared" si="20"/>
        <v>375.8668766813546</v>
      </c>
      <c r="R55">
        <f t="shared" si="21"/>
        <v>355.53455637722493</v>
      </c>
      <c r="S55">
        <f t="shared" si="22"/>
        <v>336.61273663399402</v>
      </c>
      <c r="T55">
        <f t="shared" si="23"/>
        <v>318.90365459548991</v>
      </c>
      <c r="U55">
        <f t="shared" si="24"/>
        <v>302.2291537451249</v>
      </c>
      <c r="V55">
        <f t="shared" si="25"/>
        <v>286.43566358232459</v>
      </c>
      <c r="W55">
        <f t="shared" si="26"/>
        <v>271.39358208557701</v>
      </c>
      <c r="X55">
        <f t="shared" si="27"/>
        <v>256.99445869524607</v>
      </c>
      <c r="Y55">
        <f t="shared" si="28"/>
        <v>243.14757484180598</v>
      </c>
      <c r="Z55">
        <f t="shared" si="29"/>
        <v>229.77663119198075</v>
      </c>
      <c r="AA55">
        <f t="shared" si="30"/>
        <v>216.81681982215815</v>
      </c>
      <c r="AB55">
        <f t="shared" si="31"/>
        <v>204.21235652260816</v>
      </c>
      <c r="AC55">
        <f t="shared" si="32"/>
        <v>191.91445817484112</v>
      </c>
      <c r="AD55">
        <f t="shared" si="33"/>
        <v>179.87971466478768</v>
      </c>
      <c r="AE55">
        <f t="shared" si="34"/>
        <v>168.0687950563044</v>
      </c>
      <c r="AF55">
        <f t="shared" si="35"/>
        <v>156.44542934605934</v>
      </c>
      <c r="AG55">
        <f t="shared" si="36"/>
        <v>144.97561303757522</v>
      </c>
      <c r="AH55">
        <f t="shared" si="37"/>
        <v>133.6269887066739</v>
      </c>
      <c r="AI55">
        <f t="shared" si="38"/>
        <v>122.36836522081393</v>
      </c>
      <c r="AJ55">
        <f t="shared" si="103"/>
        <v>111.16934074933678</v>
      </c>
      <c r="AK55">
        <f t="shared" si="39"/>
        <v>100</v>
      </c>
      <c r="AL55" s="47"/>
      <c r="AM55" s="26">
        <v>4.6666666666666669E-2</v>
      </c>
      <c r="AN55" s="27">
        <f t="shared" si="40"/>
        <v>-1076400000</v>
      </c>
      <c r="AO55" s="27">
        <f t="shared" si="104"/>
        <v>-2171115235.2214336</v>
      </c>
      <c r="AP55" s="27">
        <f t="shared" si="41"/>
        <v>-2132690593.684979</v>
      </c>
      <c r="AQ55" s="27">
        <f t="shared" si="42"/>
        <v>-2037829224.2202716</v>
      </c>
      <c r="AR55" s="27">
        <f t="shared" si="43"/>
        <v>-1924145974.0908561</v>
      </c>
      <c r="AS55" s="27">
        <f t="shared" si="44"/>
        <v>-1808880523.3697889</v>
      </c>
      <c r="AT55" s="27">
        <f t="shared" si="45"/>
        <v>-1699306139.8032057</v>
      </c>
      <c r="AU55" s="27">
        <f t="shared" si="46"/>
        <v>-1597922616.6505225</v>
      </c>
      <c r="AV55" s="27">
        <f t="shared" si="47"/>
        <v>-1505035485.0914414</v>
      </c>
      <c r="AW55" s="27">
        <f t="shared" si="48"/>
        <v>-1420022847.6202261</v>
      </c>
      <c r="AX55" s="27">
        <f t="shared" si="49"/>
        <v>-1341943837.3633015</v>
      </c>
      <c r="AY55" s="27">
        <f t="shared" si="50"/>
        <v>-1269818515.959362</v>
      </c>
      <c r="AZ55" s="27">
        <f t="shared" si="51"/>
        <v>-1202745764.9452024</v>
      </c>
      <c r="BA55" s="27">
        <f t="shared" si="52"/>
        <v>-1139943146.5697219</v>
      </c>
      <c r="BB55" s="27">
        <f t="shared" si="53"/>
        <v>-1080750819.3909905</v>
      </c>
      <c r="BC55" s="27">
        <f t="shared" si="54"/>
        <v>-1024620329.0559222</v>
      </c>
      <c r="BD55" s="27">
        <f t="shared" si="55"/>
        <v>-971098325.96248579</v>
      </c>
      <c r="BE55" s="27">
        <f t="shared" si="56"/>
        <v>-919809846.11581481</v>
      </c>
      <c r="BF55" s="27">
        <f t="shared" si="57"/>
        <v>-870443106.08943462</v>
      </c>
      <c r="BG55" s="27">
        <f t="shared" si="58"/>
        <v>-822736465.07761621</v>
      </c>
      <c r="BH55" s="27">
        <f t="shared" si="59"/>
        <v>-776467608.51097465</v>
      </c>
      <c r="BI55" s="27">
        <f t="shared" si="60"/>
        <v>-731444756.30273688</v>
      </c>
      <c r="BJ55" s="27">
        <f t="shared" si="61"/>
        <v>-687499614.90319562</v>
      </c>
      <c r="BK55" s="27">
        <f t="shared" si="62"/>
        <v>-644481785.26475787</v>
      </c>
      <c r="BL55" s="27">
        <f t="shared" si="63"/>
        <v>-602254363.52331412</v>
      </c>
      <c r="BM55" s="27">
        <f t="shared" si="64"/>
        <v>-560690505.97037077</v>
      </c>
      <c r="BN55" s="27">
        <f t="shared" si="65"/>
        <v>-519670764.79162735</v>
      </c>
      <c r="BO55" s="27">
        <f t="shared" si="66"/>
        <v>-479081031.98107493</v>
      </c>
      <c r="BP55" s="27">
        <f t="shared" si="67"/>
        <v>-438810954.49273545</v>
      </c>
      <c r="BQ55" s="27">
        <f t="shared" si="68"/>
        <v>-398752703.9989593</v>
      </c>
      <c r="BR55" s="27">
        <f t="shared" si="69"/>
        <v>-358800000</v>
      </c>
      <c r="BT55" s="47"/>
      <c r="BU55" s="26">
        <v>4.6666666666666669E-2</v>
      </c>
      <c r="BV55" s="13">
        <v>0</v>
      </c>
      <c r="BW55" s="13">
        <f t="shared" ref="BW55:CY55" si="119">$B$20/($B$21-$B$22*BV55)</f>
        <v>0.34883720930232553</v>
      </c>
      <c r="BX55" s="13">
        <f t="shared" si="119"/>
        <v>0.39716748768472904</v>
      </c>
      <c r="BY55" s="13">
        <f t="shared" si="119"/>
        <v>0.40494040593779607</v>
      </c>
      <c r="BZ55" s="13">
        <f t="shared" si="119"/>
        <v>0.4062190081621499</v>
      </c>
      <c r="CA55" s="13">
        <f t="shared" si="119"/>
        <v>0.40643010492156101</v>
      </c>
      <c r="CB55" s="13">
        <f t="shared" si="119"/>
        <v>0.40646497802255066</v>
      </c>
      <c r="CC55" s="13">
        <f t="shared" si="119"/>
        <v>0.40647073962099717</v>
      </c>
      <c r="CD55" s="13">
        <f t="shared" si="119"/>
        <v>0.40647169154566137</v>
      </c>
      <c r="CE55" s="13">
        <f t="shared" si="119"/>
        <v>0.40647184882198806</v>
      </c>
      <c r="CF55" s="13">
        <f t="shared" si="119"/>
        <v>0.40647187480708435</v>
      </c>
      <c r="CG55" s="13">
        <f t="shared" si="119"/>
        <v>0.40647187910032606</v>
      </c>
      <c r="CH55" s="13">
        <f t="shared" si="119"/>
        <v>0.40647187980965277</v>
      </c>
      <c r="CI55" s="13">
        <f t="shared" si="119"/>
        <v>0.4064718799268473</v>
      </c>
      <c r="CJ55" s="13">
        <f t="shared" si="119"/>
        <v>0.40647187994621015</v>
      </c>
      <c r="CK55" s="13">
        <f t="shared" si="119"/>
        <v>0.40647187994940925</v>
      </c>
      <c r="CL55" s="13">
        <f t="shared" si="119"/>
        <v>0.40647187994993778</v>
      </c>
      <c r="CM55" s="13">
        <f t="shared" si="119"/>
        <v>0.40647187995002515</v>
      </c>
      <c r="CN55" s="13">
        <f t="shared" si="119"/>
        <v>0.40647187995003953</v>
      </c>
      <c r="CO55" s="13">
        <f t="shared" si="119"/>
        <v>0.40647187995004191</v>
      </c>
      <c r="CP55" s="13">
        <f t="shared" si="119"/>
        <v>0.40647187995004236</v>
      </c>
      <c r="CQ55" s="13">
        <f t="shared" si="119"/>
        <v>0.40647187995004236</v>
      </c>
      <c r="CR55" s="13">
        <f t="shared" si="119"/>
        <v>0.40647187995004236</v>
      </c>
      <c r="CS55" s="13">
        <f t="shared" si="119"/>
        <v>0.40647187995004236</v>
      </c>
      <c r="CT55" s="13">
        <f t="shared" si="119"/>
        <v>0.40647187995004236</v>
      </c>
      <c r="CU55" s="13">
        <f t="shared" si="119"/>
        <v>0.40647187995004236</v>
      </c>
      <c r="CV55" s="13">
        <f t="shared" si="119"/>
        <v>0.40647187995004236</v>
      </c>
      <c r="CW55" s="13">
        <f t="shared" si="119"/>
        <v>0.40647187995004236</v>
      </c>
      <c r="CX55" s="13">
        <f t="shared" si="119"/>
        <v>0.40647187995004236</v>
      </c>
      <c r="CY55" s="13">
        <f t="shared" si="119"/>
        <v>0.40647187995004236</v>
      </c>
      <c r="CZ55" s="13">
        <f t="shared" si="71"/>
        <v>100</v>
      </c>
      <c r="DB55" s="47"/>
      <c r="DC55" s="26">
        <v>4.6666666666666669E-2</v>
      </c>
      <c r="DD55" s="13">
        <f t="shared" si="72"/>
        <v>300</v>
      </c>
      <c r="DE55" s="13">
        <f t="shared" si="73"/>
        <v>287.58975692799413</v>
      </c>
      <c r="DF55" s="13">
        <f t="shared" si="74"/>
        <v>318.81921551897182</v>
      </c>
      <c r="DG55" s="13">
        <f t="shared" si="75"/>
        <v>328.42630750173254</v>
      </c>
      <c r="DH55" s="13">
        <f t="shared" si="76"/>
        <v>322.21123815205442</v>
      </c>
      <c r="DI55" s="13">
        <f t="shared" si="77"/>
        <v>308.53690310289863</v>
      </c>
      <c r="DJ55" s="13">
        <f t="shared" si="78"/>
        <v>292.24723123178717</v>
      </c>
      <c r="DK55" s="13">
        <f t="shared" si="79"/>
        <v>275.67612887035887</v>
      </c>
      <c r="DL55" s="13">
        <f t="shared" si="80"/>
        <v>259.82128625194173</v>
      </c>
      <c r="DM55" s="13">
        <f t="shared" si="81"/>
        <v>245.03016231600276</v>
      </c>
      <c r="DN55" s="13">
        <f t="shared" si="82"/>
        <v>231.35207899199892</v>
      </c>
      <c r="DO55" s="13">
        <f t="shared" si="83"/>
        <v>218.71094478850222</v>
      </c>
      <c r="DP55" s="13">
        <f t="shared" si="84"/>
        <v>206.98736867239705</v>
      </c>
      <c r="DQ55" s="13">
        <f t="shared" si="85"/>
        <v>196.05600230400881</v>
      </c>
      <c r="DR55" s="13">
        <f t="shared" si="86"/>
        <v>185.80111108517724</v>
      </c>
      <c r="DS55" s="13">
        <f t="shared" si="87"/>
        <v>176.12180406579577</v>
      </c>
      <c r="DT55" s="13">
        <f t="shared" si="88"/>
        <v>166.93256132300371</v>
      </c>
      <c r="DU55" s="13">
        <f t="shared" si="89"/>
        <v>158.16180684400777</v>
      </c>
      <c r="DV55" s="13">
        <f t="shared" si="90"/>
        <v>149.74983559261469</v>
      </c>
      <c r="DW55" s="13">
        <f t="shared" si="91"/>
        <v>141.64669083407861</v>
      </c>
      <c r="DX55" s="13">
        <f t="shared" si="92"/>
        <v>133.81023935738531</v>
      </c>
      <c r="DY55" s="13">
        <f t="shared" si="93"/>
        <v>126.20452591868671</v>
      </c>
      <c r="DZ55" s="13">
        <f t="shared" si="94"/>
        <v>118.79841239016764</v>
      </c>
      <c r="EA55" s="13">
        <f t="shared" si="95"/>
        <v>111.56447557731325</v>
      </c>
      <c r="EB55" s="13">
        <f t="shared" si="96"/>
        <v>104.47812728042014</v>
      </c>
      <c r="EC55" s="13">
        <f t="shared" si="97"/>
        <v>97.516919367766278</v>
      </c>
      <c r="ED55" s="13">
        <f t="shared" si="98"/>
        <v>90.65999972591041</v>
      </c>
      <c r="EE55" s="13">
        <f t="shared" si="99"/>
        <v>83.887689248956292</v>
      </c>
      <c r="EF55" s="13">
        <f t="shared" si="100"/>
        <v>77.181154293624147</v>
      </c>
      <c r="EG55" s="13">
        <f t="shared" si="101"/>
        <v>70.522152754332538</v>
      </c>
      <c r="EH55" s="13">
        <f t="shared" si="102"/>
        <v>63.892834937181291</v>
      </c>
    </row>
    <row r="56" spans="5:138" x14ac:dyDescent="0.25">
      <c r="E56" s="49"/>
      <c r="F56" s="26">
        <v>4.3333333333333335E-2</v>
      </c>
      <c r="G56">
        <f t="shared" si="10"/>
        <v>300</v>
      </c>
      <c r="H56">
        <f t="shared" si="11"/>
        <v>408.52143585401757</v>
      </c>
      <c r="I56">
        <f t="shared" si="12"/>
        <v>458.52826327068612</v>
      </c>
      <c r="J56">
        <f t="shared" si="13"/>
        <v>474.7979632926623</v>
      </c>
      <c r="K56">
        <f t="shared" si="14"/>
        <v>472.32283100706638</v>
      </c>
      <c r="L56">
        <f t="shared" si="15"/>
        <v>459.92466771133661</v>
      </c>
      <c r="M56">
        <f t="shared" si="16"/>
        <v>442.66782728969145</v>
      </c>
      <c r="N56">
        <f t="shared" si="17"/>
        <v>423.38429082612822</v>
      </c>
      <c r="O56">
        <f t="shared" si="18"/>
        <v>403.60555629348255</v>
      </c>
      <c r="P56">
        <f t="shared" si="19"/>
        <v>384.11919734914386</v>
      </c>
      <c r="Q56">
        <f t="shared" si="20"/>
        <v>365.29564589630104</v>
      </c>
      <c r="R56">
        <f t="shared" si="21"/>
        <v>347.2773332659433</v>
      </c>
      <c r="S56">
        <f t="shared" si="22"/>
        <v>330.08664033929551</v>
      </c>
      <c r="T56">
        <f t="shared" si="23"/>
        <v>313.6865207046668</v>
      </c>
      <c r="U56">
        <f t="shared" si="24"/>
        <v>298.01382072089257</v>
      </c>
      <c r="V56">
        <f t="shared" si="25"/>
        <v>282.99701381020077</v>
      </c>
      <c r="W56">
        <f t="shared" si="26"/>
        <v>268.56514974083154</v>
      </c>
      <c r="X56">
        <f t="shared" si="27"/>
        <v>254.65193749448883</v>
      </c>
      <c r="Y56">
        <f t="shared" si="28"/>
        <v>241.19720250195843</v>
      </c>
      <c r="Z56">
        <f t="shared" si="29"/>
        <v>228.14698764221913</v>
      </c>
      <c r="AA56">
        <f t="shared" si="30"/>
        <v>215.45300773437009</v>
      </c>
      <c r="AB56">
        <f t="shared" si="31"/>
        <v>203.07184644722577</v>
      </c>
      <c r="AC56">
        <f t="shared" si="32"/>
        <v>190.96410182293641</v>
      </c>
      <c r="AD56">
        <f t="shared" si="33"/>
        <v>179.0935834322681</v>
      </c>
      <c r="AE56">
        <f t="shared" si="34"/>
        <v>167.42660665752152</v>
      </c>
      <c r="AF56">
        <f t="shared" si="35"/>
        <v>155.93139814685031</v>
      </c>
      <c r="AG56">
        <f t="shared" si="36"/>
        <v>144.57760980062835</v>
      </c>
      <c r="AH56">
        <f t="shared" si="37"/>
        <v>133.33593022983877</v>
      </c>
      <c r="AI56">
        <f t="shared" ref="AI56:AI69" si="120">CX56*AJ56+EF56</f>
        <v>122.17777873135175</v>
      </c>
      <c r="AJ56">
        <f t="shared" si="103"/>
        <v>111.07506531735771</v>
      </c>
      <c r="AK56">
        <f t="shared" si="39"/>
        <v>100</v>
      </c>
      <c r="AL56" s="47"/>
      <c r="AM56" s="26">
        <v>4.3333333333333335E-2</v>
      </c>
      <c r="AN56" s="27">
        <f t="shared" si="40"/>
        <v>-1076400000</v>
      </c>
      <c r="AO56" s="27">
        <f t="shared" si="104"/>
        <v>-1708025390.7748408</v>
      </c>
      <c r="AP56" s="27">
        <f t="shared" si="41"/>
        <v>-1784871116.0292475</v>
      </c>
      <c r="AQ56" s="27">
        <f t="shared" si="42"/>
        <v>-1781178698.0474203</v>
      </c>
      <c r="AR56" s="27">
        <f t="shared" si="43"/>
        <v>-1735775666.0353091</v>
      </c>
      <c r="AS56" s="27">
        <f t="shared" si="44"/>
        <v>-1670324631.0495656</v>
      </c>
      <c r="AT56" s="27">
        <f t="shared" si="45"/>
        <v>-1596682685.9289534</v>
      </c>
      <c r="AU56" s="27">
        <f t="shared" si="46"/>
        <v>-1521152955.4901488</v>
      </c>
      <c r="AV56" s="27">
        <f t="shared" si="47"/>
        <v>-1446926301.0454254</v>
      </c>
      <c r="AW56" s="27">
        <f t="shared" si="48"/>
        <v>-1375475657.0739346</v>
      </c>
      <c r="AX56" s="27">
        <f t="shared" si="49"/>
        <v>-1307347088.7508402</v>
      </c>
      <c r="AY56" s="27">
        <f t="shared" si="50"/>
        <v>-1242604726.1848445</v>
      </c>
      <c r="AZ56" s="27">
        <f t="shared" si="51"/>
        <v>-1181077892.1084337</v>
      </c>
      <c r="BA56" s="27">
        <f t="shared" si="52"/>
        <v>-1122495718.9338071</v>
      </c>
      <c r="BB56" s="27">
        <f t="shared" si="53"/>
        <v>-1066558191.4240016</v>
      </c>
      <c r="BC56" s="27">
        <f t="shared" si="54"/>
        <v>-1012971622.187925</v>
      </c>
      <c r="BD56" s="27">
        <f t="shared" si="55"/>
        <v>-961464538.72277379</v>
      </c>
      <c r="BE56" s="27">
        <f t="shared" si="56"/>
        <v>-911793055.89944291</v>
      </c>
      <c r="BF56" s="27">
        <f t="shared" si="57"/>
        <v>-863740849.2272718</v>
      </c>
      <c r="BG56" s="27">
        <f t="shared" si="58"/>
        <v>-817116578.95945656</v>
      </c>
      <c r="BH56" s="27">
        <f t="shared" si="59"/>
        <v>-771750322.66120231</v>
      </c>
      <c r="BI56" s="27">
        <f t="shared" si="60"/>
        <v>-727489840.06842709</v>
      </c>
      <c r="BJ56" s="27">
        <f t="shared" si="61"/>
        <v>-684197080.73350501</v>
      </c>
      <c r="BK56" s="27">
        <f t="shared" si="62"/>
        <v>-641745115.06506217</v>
      </c>
      <c r="BL56" s="27">
        <f t="shared" si="63"/>
        <v>-600015544.07391524</v>
      </c>
      <c r="BM56" s="27">
        <f t="shared" si="64"/>
        <v>-558896377.07007921</v>
      </c>
      <c r="BN56" s="27">
        <f t="shared" si="65"/>
        <v>-518280333.63436478</v>
      </c>
      <c r="BO56" s="27">
        <f t="shared" si="66"/>
        <v>-478063511.44532919</v>
      </c>
      <c r="BP56" s="27">
        <f t="shared" si="67"/>
        <v>-438144356.41828912</v>
      </c>
      <c r="BQ56" s="27">
        <f t="shared" si="68"/>
        <v>-398422871.23860526</v>
      </c>
      <c r="BR56" s="27">
        <f t="shared" si="69"/>
        <v>-358800000</v>
      </c>
      <c r="BT56" s="47"/>
      <c r="BU56" s="26">
        <v>4.3333333333333335E-2</v>
      </c>
      <c r="BV56" s="13">
        <v>0</v>
      </c>
      <c r="BW56" s="13">
        <f t="shared" ref="BW56:CY56" si="121">$B$20/($B$21-$B$22*BV56)</f>
        <v>0.34883720930232553</v>
      </c>
      <c r="BX56" s="13">
        <f t="shared" si="121"/>
        <v>0.39716748768472904</v>
      </c>
      <c r="BY56" s="13">
        <f t="shared" si="121"/>
        <v>0.40494040593779607</v>
      </c>
      <c r="BZ56" s="13">
        <f t="shared" si="121"/>
        <v>0.4062190081621499</v>
      </c>
      <c r="CA56" s="13">
        <f t="shared" si="121"/>
        <v>0.40643010492156101</v>
      </c>
      <c r="CB56" s="13">
        <f t="shared" si="121"/>
        <v>0.40646497802255066</v>
      </c>
      <c r="CC56" s="13">
        <f t="shared" si="121"/>
        <v>0.40647073962099717</v>
      </c>
      <c r="CD56" s="13">
        <f t="shared" si="121"/>
        <v>0.40647169154566137</v>
      </c>
      <c r="CE56" s="13">
        <f t="shared" si="121"/>
        <v>0.40647184882198806</v>
      </c>
      <c r="CF56" s="13">
        <f t="shared" si="121"/>
        <v>0.40647187480708435</v>
      </c>
      <c r="CG56" s="13">
        <f t="shared" si="121"/>
        <v>0.40647187910032606</v>
      </c>
      <c r="CH56" s="13">
        <f t="shared" si="121"/>
        <v>0.40647187980965277</v>
      </c>
      <c r="CI56" s="13">
        <f t="shared" si="121"/>
        <v>0.4064718799268473</v>
      </c>
      <c r="CJ56" s="13">
        <f t="shared" si="121"/>
        <v>0.40647187994621015</v>
      </c>
      <c r="CK56" s="13">
        <f t="shared" si="121"/>
        <v>0.40647187994940925</v>
      </c>
      <c r="CL56" s="13">
        <f t="shared" si="121"/>
        <v>0.40647187994993778</v>
      </c>
      <c r="CM56" s="13">
        <f t="shared" si="121"/>
        <v>0.40647187995002515</v>
      </c>
      <c r="CN56" s="13">
        <f t="shared" si="121"/>
        <v>0.40647187995003953</v>
      </c>
      <c r="CO56" s="13">
        <f t="shared" si="121"/>
        <v>0.40647187995004191</v>
      </c>
      <c r="CP56" s="13">
        <f t="shared" si="121"/>
        <v>0.40647187995004236</v>
      </c>
      <c r="CQ56" s="13">
        <f t="shared" si="121"/>
        <v>0.40647187995004236</v>
      </c>
      <c r="CR56" s="13">
        <f t="shared" si="121"/>
        <v>0.40647187995004236</v>
      </c>
      <c r="CS56" s="13">
        <f t="shared" si="121"/>
        <v>0.40647187995004236</v>
      </c>
      <c r="CT56" s="13">
        <f t="shared" si="121"/>
        <v>0.40647187995004236</v>
      </c>
      <c r="CU56" s="13">
        <f t="shared" si="121"/>
        <v>0.40647187995004236</v>
      </c>
      <c r="CV56" s="13">
        <f t="shared" si="121"/>
        <v>0.40647187995004236</v>
      </c>
      <c r="CW56" s="13">
        <f t="shared" si="121"/>
        <v>0.40647187995004236</v>
      </c>
      <c r="CX56" s="13">
        <f t="shared" si="121"/>
        <v>0.40647187995004236</v>
      </c>
      <c r="CY56" s="13">
        <f t="shared" si="121"/>
        <v>0.40647187995004236</v>
      </c>
      <c r="CZ56" s="13">
        <f t="shared" si="71"/>
        <v>100</v>
      </c>
      <c r="DB56" s="47"/>
      <c r="DC56" s="26">
        <v>4.3333333333333335E-2</v>
      </c>
      <c r="DD56" s="13">
        <f t="shared" si="72"/>
        <v>300</v>
      </c>
      <c r="DE56" s="13">
        <f t="shared" si="73"/>
        <v>248.56971610842945</v>
      </c>
      <c r="DF56" s="13">
        <f t="shared" si="74"/>
        <v>269.95394903191323</v>
      </c>
      <c r="DG56" s="13">
        <f t="shared" si="75"/>
        <v>283.53536437097176</v>
      </c>
      <c r="DH56" s="13">
        <f t="shared" si="76"/>
        <v>285.49268866006088</v>
      </c>
      <c r="DI56" s="13">
        <f t="shared" si="77"/>
        <v>280.0111362205879</v>
      </c>
      <c r="DJ56" s="13">
        <f t="shared" si="78"/>
        <v>270.57694082395602</v>
      </c>
      <c r="DK56" s="13">
        <f t="shared" si="79"/>
        <v>259.33044184437233</v>
      </c>
      <c r="DL56" s="13">
        <f t="shared" si="80"/>
        <v>247.47197639181434</v>
      </c>
      <c r="DM56" s="13">
        <f t="shared" si="81"/>
        <v>235.63680079505207</v>
      </c>
      <c r="DN56" s="13">
        <f t="shared" si="82"/>
        <v>224.13717716568843</v>
      </c>
      <c r="DO56" s="13">
        <f t="shared" si="83"/>
        <v>213.10639630131632</v>
      </c>
      <c r="DP56" s="13">
        <f t="shared" si="84"/>
        <v>202.58189059752004</v>
      </c>
      <c r="DQ56" s="13">
        <f t="shared" si="85"/>
        <v>192.55228275206315</v>
      </c>
      <c r="DR56" s="13">
        <f t="shared" si="86"/>
        <v>182.9834924982967</v>
      </c>
      <c r="DS56" s="13">
        <f t="shared" si="87"/>
        <v>173.8328325061504</v>
      </c>
      <c r="DT56" s="13">
        <f t="shared" si="88"/>
        <v>165.05629797455262</v>
      </c>
      <c r="DU56" s="13">
        <f t="shared" si="89"/>
        <v>156.61205715483086</v>
      </c>
      <c r="DV56" s="13">
        <f t="shared" si="90"/>
        <v>148.46186753008718</v>
      </c>
      <c r="DW56" s="13">
        <f t="shared" si="91"/>
        <v>140.57139854753879</v>
      </c>
      <c r="DX56" s="13">
        <f t="shared" si="92"/>
        <v>132.91001254403989</v>
      </c>
      <c r="DY56" s="13">
        <f t="shared" si="93"/>
        <v>125.45030897628551</v>
      </c>
      <c r="DZ56" s="13">
        <f t="shared" si="94"/>
        <v>118.16759627823265</v>
      </c>
      <c r="EA56" s="13">
        <f t="shared" si="95"/>
        <v>111.03937587052906</v>
      </c>
      <c r="EB56" s="13">
        <f t="shared" si="96"/>
        <v>104.04487810953272</v>
      </c>
      <c r="EC56" s="13">
        <f t="shared" si="97"/>
        <v>97.164665292505234</v>
      </c>
      <c r="ED56" s="13">
        <f t="shared" si="98"/>
        <v>90.380303575218107</v>
      </c>
      <c r="EE56" s="13">
        <f t="shared" si="99"/>
        <v>83.674098820785929</v>
      </c>
      <c r="EF56" s="13">
        <f t="shared" si="100"/>
        <v>77.028888116231613</v>
      </c>
      <c r="EG56" s="13">
        <f t="shared" si="101"/>
        <v>70.427877322353467</v>
      </c>
      <c r="EH56" s="13">
        <f t="shared" si="102"/>
        <v>63.854514625111641</v>
      </c>
    </row>
    <row r="57" spans="5:138" x14ac:dyDescent="0.25">
      <c r="E57" s="49"/>
      <c r="F57" s="26">
        <v>0.04</v>
      </c>
      <c r="G57">
        <f t="shared" si="10"/>
        <v>300</v>
      </c>
      <c r="H57">
        <f t="shared" si="11"/>
        <v>370.08070873841677</v>
      </c>
      <c r="I57">
        <f t="shared" si="12"/>
        <v>409.4588625711998</v>
      </c>
      <c r="J57">
        <f t="shared" si="13"/>
        <v>427.31391050544187</v>
      </c>
      <c r="K57">
        <f t="shared" si="14"/>
        <v>430.96708473304534</v>
      </c>
      <c r="L57">
        <f t="shared" si="15"/>
        <v>425.68783813555297</v>
      </c>
      <c r="M57">
        <f t="shared" si="16"/>
        <v>415.05133350397523</v>
      </c>
      <c r="N57">
        <f t="shared" si="17"/>
        <v>401.38758365013484</v>
      </c>
      <c r="O57">
        <f t="shared" si="18"/>
        <v>386.16742105435139</v>
      </c>
      <c r="P57">
        <f t="shared" si="19"/>
        <v>370.29203990779399</v>
      </c>
      <c r="Q57">
        <f t="shared" si="20"/>
        <v>354.29559853583316</v>
      </c>
      <c r="R57">
        <f t="shared" si="21"/>
        <v>338.48113714934266</v>
      </c>
      <c r="S57">
        <f t="shared" si="22"/>
        <v>323.00919271001618</v>
      </c>
      <c r="T57">
        <f t="shared" si="23"/>
        <v>307.95434902715004</v>
      </c>
      <c r="U57">
        <f t="shared" si="24"/>
        <v>293.34068106972518</v>
      </c>
      <c r="V57">
        <f t="shared" si="25"/>
        <v>279.16359183397049</v>
      </c>
      <c r="W57">
        <f t="shared" si="26"/>
        <v>265.40301505037411</v>
      </c>
      <c r="X57">
        <f t="shared" si="27"/>
        <v>252.03121404386692</v>
      </c>
      <c r="Y57">
        <f t="shared" si="28"/>
        <v>239.01724382954973</v>
      </c>
      <c r="Z57">
        <f t="shared" si="29"/>
        <v>226.3293840585753</v>
      </c>
      <c r="AA57">
        <f t="shared" si="30"/>
        <v>213.93636193592477</v>
      </c>
      <c r="AB57">
        <f t="shared" si="31"/>
        <v>201.80787333677441</v>
      </c>
      <c r="AC57">
        <f t="shared" si="32"/>
        <v>189.91471402300169</v>
      </c>
      <c r="AD57">
        <f t="shared" si="33"/>
        <v>178.22870964642283</v>
      </c>
      <c r="AE57">
        <f t="shared" si="34"/>
        <v>166.72255630726607</v>
      </c>
      <c r="AF57">
        <f t="shared" si="35"/>
        <v>155.36963567081952</v>
      </c>
      <c r="AG57">
        <f t="shared" si="36"/>
        <v>144.14383915460471</v>
      </c>
      <c r="AH57">
        <f t="shared" si="37"/>
        <v>133.0194176178353</v>
      </c>
      <c r="AI57">
        <f t="shared" si="120"/>
        <v>121.97086199829329</v>
      </c>
      <c r="AJ57">
        <f t="shared" si="103"/>
        <v>110.97281374483026</v>
      </c>
      <c r="AK57">
        <f t="shared" si="39"/>
        <v>100</v>
      </c>
      <c r="AL57" s="47"/>
      <c r="AM57" s="26">
        <v>0.04</v>
      </c>
      <c r="AN57" s="27">
        <f t="shared" si="40"/>
        <v>-1076400000</v>
      </c>
      <c r="AO57" s="27">
        <f t="shared" si="104"/>
        <v>-1454958160.2627637</v>
      </c>
      <c r="AP57" s="27">
        <f t="shared" si="41"/>
        <v>-1558244057.3254242</v>
      </c>
      <c r="AQ57" s="27">
        <f t="shared" si="42"/>
        <v>-1591998068.0390086</v>
      </c>
      <c r="AR57" s="27">
        <f t="shared" si="43"/>
        <v>-1583290122.2380641</v>
      </c>
      <c r="AS57" s="27">
        <f t="shared" si="44"/>
        <v>-1549547011.4914777</v>
      </c>
      <c r="AT57" s="27">
        <f t="shared" si="45"/>
        <v>-1501736979.8324299</v>
      </c>
      <c r="AU57" s="27">
        <f t="shared" si="46"/>
        <v>-1446622198.8883274</v>
      </c>
      <c r="AV57" s="27">
        <f t="shared" si="47"/>
        <v>-1388281311.5432177</v>
      </c>
      <c r="AW57" s="27">
        <f t="shared" si="48"/>
        <v>-1329109028.5223351</v>
      </c>
      <c r="AX57" s="27">
        <f t="shared" si="49"/>
        <v>-1270459210.4067223</v>
      </c>
      <c r="AY57" s="27">
        <f t="shared" si="50"/>
        <v>-1213052299.930582</v>
      </c>
      <c r="AZ57" s="27">
        <f t="shared" si="51"/>
        <v>-1157230186.3117926</v>
      </c>
      <c r="BA57" s="27">
        <f t="shared" si="52"/>
        <v>-1103113736.8060875</v>
      </c>
      <c r="BB57" s="27">
        <f t="shared" si="53"/>
        <v>-1050698927.7704595</v>
      </c>
      <c r="BC57" s="27">
        <f t="shared" si="54"/>
        <v>-999914605.94835067</v>
      </c>
      <c r="BD57" s="27">
        <f t="shared" si="55"/>
        <v>-950656486.28359282</v>
      </c>
      <c r="BE57" s="27">
        <f t="shared" si="56"/>
        <v>-902806576.50972795</v>
      </c>
      <c r="BF57" s="27">
        <f t="shared" si="57"/>
        <v>-856243773.62498534</v>
      </c>
      <c r="BG57" s="27">
        <f t="shared" si="58"/>
        <v>-810849202.13810742</v>
      </c>
      <c r="BH57" s="27">
        <f t="shared" si="59"/>
        <v>-766508497.83880734</v>
      </c>
      <c r="BI57" s="27">
        <f t="shared" si="60"/>
        <v>-723112386.29088342</v>
      </c>
      <c r="BJ57" s="27">
        <f t="shared" si="61"/>
        <v>-680556372.47454798</v>
      </c>
      <c r="BK57" s="27">
        <f t="shared" si="62"/>
        <v>-638740026.91643775</v>
      </c>
      <c r="BL57" s="27">
        <f t="shared" si="63"/>
        <v>-597566148.64125061</v>
      </c>
      <c r="BM57" s="27">
        <f t="shared" si="64"/>
        <v>-556939958.92914128</v>
      </c>
      <c r="BN57" s="27">
        <f t="shared" si="65"/>
        <v>-516768402.47181791</v>
      </c>
      <c r="BO57" s="27">
        <f t="shared" si="66"/>
        <v>-476959585.51547194</v>
      </c>
      <c r="BP57" s="27">
        <f t="shared" si="67"/>
        <v>-437422352.35430944</v>
      </c>
      <c r="BQ57" s="27">
        <f t="shared" si="68"/>
        <v>-398065984.85071141</v>
      </c>
      <c r="BR57" s="27">
        <f t="shared" si="69"/>
        <v>-358800000</v>
      </c>
      <c r="BT57" s="47"/>
      <c r="BU57" s="26">
        <v>0.04</v>
      </c>
      <c r="BV57" s="13">
        <v>0</v>
      </c>
      <c r="BW57" s="13">
        <f t="shared" ref="BW57:CY57" si="122">$B$20/($B$21-$B$22*BV57)</f>
        <v>0.34883720930232553</v>
      </c>
      <c r="BX57" s="13">
        <f t="shared" si="122"/>
        <v>0.39716748768472904</v>
      </c>
      <c r="BY57" s="13">
        <f t="shared" si="122"/>
        <v>0.40494040593779607</v>
      </c>
      <c r="BZ57" s="13">
        <f t="shared" si="122"/>
        <v>0.4062190081621499</v>
      </c>
      <c r="CA57" s="13">
        <f t="shared" si="122"/>
        <v>0.40643010492156101</v>
      </c>
      <c r="CB57" s="13">
        <f t="shared" si="122"/>
        <v>0.40646497802255066</v>
      </c>
      <c r="CC57" s="13">
        <f t="shared" si="122"/>
        <v>0.40647073962099717</v>
      </c>
      <c r="CD57" s="13">
        <f t="shared" si="122"/>
        <v>0.40647169154566137</v>
      </c>
      <c r="CE57" s="13">
        <f t="shared" si="122"/>
        <v>0.40647184882198806</v>
      </c>
      <c r="CF57" s="13">
        <f t="shared" si="122"/>
        <v>0.40647187480708435</v>
      </c>
      <c r="CG57" s="13">
        <f t="shared" si="122"/>
        <v>0.40647187910032606</v>
      </c>
      <c r="CH57" s="13">
        <f t="shared" si="122"/>
        <v>0.40647187980965277</v>
      </c>
      <c r="CI57" s="13">
        <f t="shared" si="122"/>
        <v>0.4064718799268473</v>
      </c>
      <c r="CJ57" s="13">
        <f t="shared" si="122"/>
        <v>0.40647187994621015</v>
      </c>
      <c r="CK57" s="13">
        <f t="shared" si="122"/>
        <v>0.40647187994940925</v>
      </c>
      <c r="CL57" s="13">
        <f t="shared" si="122"/>
        <v>0.40647187994993778</v>
      </c>
      <c r="CM57" s="13">
        <f t="shared" si="122"/>
        <v>0.40647187995002515</v>
      </c>
      <c r="CN57" s="13">
        <f t="shared" si="122"/>
        <v>0.40647187995003953</v>
      </c>
      <c r="CO57" s="13">
        <f t="shared" si="122"/>
        <v>0.40647187995004191</v>
      </c>
      <c r="CP57" s="13">
        <f t="shared" si="122"/>
        <v>0.40647187995004236</v>
      </c>
      <c r="CQ57" s="13">
        <f t="shared" si="122"/>
        <v>0.40647187995004236</v>
      </c>
      <c r="CR57" s="13">
        <f t="shared" si="122"/>
        <v>0.40647187995004236</v>
      </c>
      <c r="CS57" s="13">
        <f t="shared" si="122"/>
        <v>0.40647187995004236</v>
      </c>
      <c r="CT57" s="13">
        <f t="shared" si="122"/>
        <v>0.40647187995004236</v>
      </c>
      <c r="CU57" s="13">
        <f t="shared" si="122"/>
        <v>0.40647187995004236</v>
      </c>
      <c r="CV57" s="13">
        <f t="shared" si="122"/>
        <v>0.40647187995004236</v>
      </c>
      <c r="CW57" s="13">
        <f t="shared" si="122"/>
        <v>0.40647187995004236</v>
      </c>
      <c r="CX57" s="13">
        <f t="shared" si="122"/>
        <v>0.40647187995004236</v>
      </c>
      <c r="CY57" s="13">
        <f t="shared" si="122"/>
        <v>0.40647187995004236</v>
      </c>
      <c r="CZ57" s="13">
        <f t="shared" si="71"/>
        <v>100</v>
      </c>
      <c r="DB57" s="47"/>
      <c r="DC57" s="26">
        <v>0.04</v>
      </c>
      <c r="DD57" s="13">
        <f t="shared" si="72"/>
        <v>300</v>
      </c>
      <c r="DE57" s="13">
        <f t="shared" si="73"/>
        <v>227.24622179497504</v>
      </c>
      <c r="DF57" s="13">
        <f t="shared" si="74"/>
        <v>239.74367028301631</v>
      </c>
      <c r="DG57" s="13">
        <f t="shared" si="75"/>
        <v>252.7979242678139</v>
      </c>
      <c r="DH57" s="13">
        <f t="shared" si="76"/>
        <v>258.04459333893124</v>
      </c>
      <c r="DI57" s="13">
        <f t="shared" si="77"/>
        <v>256.99848111169854</v>
      </c>
      <c r="DJ57" s="13">
        <f t="shared" si="78"/>
        <v>251.90133813709843</v>
      </c>
      <c r="DK57" s="13">
        <f t="shared" si="79"/>
        <v>244.42182639663957</v>
      </c>
      <c r="DL57" s="13">
        <f t="shared" si="80"/>
        <v>235.65418922713681</v>
      </c>
      <c r="DM57" s="13">
        <f t="shared" si="81"/>
        <v>226.28085294144105</v>
      </c>
      <c r="DN57" s="13">
        <f t="shared" si="82"/>
        <v>216.71253613190601</v>
      </c>
      <c r="DO57" s="13">
        <f t="shared" si="83"/>
        <v>207.186983621823</v>
      </c>
      <c r="DP57" s="13">
        <f t="shared" si="84"/>
        <v>197.8344095653926</v>
      </c>
      <c r="DQ57" s="13">
        <f t="shared" si="85"/>
        <v>188.71961093371709</v>
      </c>
      <c r="DR57" s="13">
        <f t="shared" si="86"/>
        <v>179.86853108443472</v>
      </c>
      <c r="DS57" s="13">
        <f t="shared" si="87"/>
        <v>171.28472936220359</v>
      </c>
      <c r="DT57" s="13">
        <f t="shared" si="88"/>
        <v>162.95941367189835</v>
      </c>
      <c r="DU57" s="13">
        <f t="shared" si="89"/>
        <v>154.8774256039963</v>
      </c>
      <c r="DV57" s="13">
        <f t="shared" si="90"/>
        <v>147.0207136033261</v>
      </c>
      <c r="DW57" s="13">
        <f t="shared" si="91"/>
        <v>139.37026883280737</v>
      </c>
      <c r="DX57" s="13">
        <f t="shared" si="92"/>
        <v>131.90713627200606</v>
      </c>
      <c r="DY57" s="13">
        <f t="shared" si="93"/>
        <v>124.61288249767024</v>
      </c>
      <c r="DZ57" s="13">
        <f t="shared" si="94"/>
        <v>117.46975535194997</v>
      </c>
      <c r="EA57" s="13">
        <f t="shared" si="95"/>
        <v>110.46067875413161</v>
      </c>
      <c r="EB57" s="13">
        <f t="shared" si="96"/>
        <v>103.5691684089949</v>
      </c>
      <c r="EC57" s="13">
        <f t="shared" si="97"/>
        <v>96.779218386430813</v>
      </c>
      <c r="ED57" s="13">
        <f t="shared" si="98"/>
        <v>90.075186405623413</v>
      </c>
      <c r="EE57" s="13">
        <f t="shared" si="99"/>
        <v>83.441692042261863</v>
      </c>
      <c r="EF57" s="13">
        <f t="shared" si="100"/>
        <v>76.863533772086228</v>
      </c>
      <c r="EG57" s="13">
        <f t="shared" si="101"/>
        <v>70.325625749826017</v>
      </c>
      <c r="EH57" s="13">
        <f t="shared" si="102"/>
        <v>63.812952236198569</v>
      </c>
    </row>
    <row r="58" spans="5:138" x14ac:dyDescent="0.25">
      <c r="E58" s="49"/>
      <c r="F58" s="26">
        <v>3.6666666666666667E-2</v>
      </c>
      <c r="G58">
        <f t="shared" si="10"/>
        <v>300</v>
      </c>
      <c r="H58">
        <f t="shared" si="11"/>
        <v>346.66163953849338</v>
      </c>
      <c r="I58">
        <f t="shared" si="12"/>
        <v>376.82523732898892</v>
      </c>
      <c r="J58">
        <f t="shared" si="13"/>
        <v>393.23606286732797</v>
      </c>
      <c r="K58">
        <f t="shared" si="14"/>
        <v>399.24686749139994</v>
      </c>
      <c r="L58">
        <f t="shared" si="15"/>
        <v>397.85740237669222</v>
      </c>
      <c r="M58">
        <f t="shared" si="16"/>
        <v>391.43798040067264</v>
      </c>
      <c r="N58">
        <f t="shared" si="17"/>
        <v>381.73853601973781</v>
      </c>
      <c r="O58">
        <f t="shared" si="18"/>
        <v>369.99564692627075</v>
      </c>
      <c r="P58">
        <f t="shared" si="19"/>
        <v>357.05570033177094</v>
      </c>
      <c r="Q58">
        <f t="shared" si="20"/>
        <v>343.48306867616844</v>
      </c>
      <c r="R58">
        <f t="shared" si="21"/>
        <v>329.64500890909375</v>
      </c>
      <c r="S58">
        <f t="shared" si="22"/>
        <v>315.77430579382917</v>
      </c>
      <c r="T58">
        <f t="shared" si="23"/>
        <v>302.01372514379324</v>
      </c>
      <c r="U58">
        <f t="shared" si="24"/>
        <v>288.44671396897456</v>
      </c>
      <c r="V58">
        <f t="shared" si="25"/>
        <v>275.11817208387822</v>
      </c>
      <c r="W58">
        <f t="shared" si="26"/>
        <v>262.04827184248637</v>
      </c>
      <c r="X58">
        <f t="shared" si="27"/>
        <v>249.24151577788615</v>
      </c>
      <c r="Y58">
        <f t="shared" si="28"/>
        <v>236.69258731668424</v>
      </c>
      <c r="Z58">
        <f t="shared" si="29"/>
        <v>224.39007304692819</v>
      </c>
      <c r="AA58">
        <f t="shared" si="30"/>
        <v>212.31879168999322</v>
      </c>
      <c r="AB58">
        <f t="shared" si="31"/>
        <v>200.46122426492656</v>
      </c>
      <c r="AC58">
        <f t="shared" si="32"/>
        <v>188.79837432173071</v>
      </c>
      <c r="AD58">
        <f t="shared" si="33"/>
        <v>177.31027463267139</v>
      </c>
      <c r="AE58">
        <f t="shared" si="34"/>
        <v>165.97628105559764</v>
      </c>
      <c r="AF58">
        <f t="shared" si="35"/>
        <v>154.77524374647425</v>
      </c>
      <c r="AG58">
        <f t="shared" si="36"/>
        <v>143.6856123525699</v>
      </c>
      <c r="AH58">
        <f t="shared" si="37"/>
        <v>132.68550967371033</v>
      </c>
      <c r="AI58">
        <f t="shared" si="120"/>
        <v>121.75279374972905</v>
      </c>
      <c r="AJ58">
        <f t="shared" si="103"/>
        <v>110.86511887794811</v>
      </c>
      <c r="AK58">
        <f t="shared" si="39"/>
        <v>100</v>
      </c>
      <c r="AL58" s="47"/>
      <c r="AM58" s="26">
        <v>3.6666666666666667E-2</v>
      </c>
      <c r="AN58" s="27">
        <f t="shared" si="40"/>
        <v>-1076400000</v>
      </c>
      <c r="AO58" s="27">
        <f t="shared" si="104"/>
        <v>-1312123855.5008252</v>
      </c>
      <c r="AP58" s="27">
        <f t="shared" si="41"/>
        <v>-1408985428.6603403</v>
      </c>
      <c r="AQ58" s="27">
        <f t="shared" si="42"/>
        <v>-1453987080.1530385</v>
      </c>
      <c r="AR58" s="27">
        <f t="shared" si="43"/>
        <v>-1463134877.2776906</v>
      </c>
      <c r="AS58" s="27">
        <f t="shared" si="44"/>
        <v>-1448336381.1334028</v>
      </c>
      <c r="AT58" s="27">
        <f t="shared" si="45"/>
        <v>-1418058766.4339626</v>
      </c>
      <c r="AU58" s="27">
        <f t="shared" si="46"/>
        <v>-1378137728.3487022</v>
      </c>
      <c r="AV58" s="27">
        <f t="shared" si="47"/>
        <v>-1332500199.2257357</v>
      </c>
      <c r="AW58" s="27">
        <f t="shared" si="48"/>
        <v>-1283735168.9433594</v>
      </c>
      <c r="AX58" s="27">
        <f t="shared" si="49"/>
        <v>-1233516122.7915874</v>
      </c>
      <c r="AY58" s="27">
        <f t="shared" si="50"/>
        <v>-1182901435.4273341</v>
      </c>
      <c r="AZ58" s="27">
        <f t="shared" si="51"/>
        <v>-1132542302.1822131</v>
      </c>
      <c r="BA58" s="27">
        <f t="shared" si="52"/>
        <v>-1082823868.1885304</v>
      </c>
      <c r="BB58" s="27">
        <f t="shared" si="53"/>
        <v>-1033959546.8612303</v>
      </c>
      <c r="BC58" s="27">
        <f t="shared" si="54"/>
        <v>-986053225.03201866</v>
      </c>
      <c r="BD58" s="27">
        <f t="shared" si="55"/>
        <v>-939139782.47892404</v>
      </c>
      <c r="BE58" s="27">
        <f t="shared" si="56"/>
        <v>-893211152.33298647</v>
      </c>
      <c r="BF58" s="27">
        <f t="shared" si="57"/>
        <v>-848232848.53967726</v>
      </c>
      <c r="BG58" s="27">
        <f t="shared" si="58"/>
        <v>-804154277.83329928</v>
      </c>
      <c r="BH58" s="27">
        <f t="shared" si="59"/>
        <v>-760915048.90576041</v>
      </c>
      <c r="BI58" s="27">
        <f t="shared" si="60"/>
        <v>-718448742.2876116</v>
      </c>
      <c r="BJ58" s="27">
        <f t="shared" si="61"/>
        <v>-676685101.01424468</v>
      </c>
      <c r="BK58" s="27">
        <f t="shared" si="62"/>
        <v>-635551266.0784049</v>
      </c>
      <c r="BL58" s="27">
        <f t="shared" si="63"/>
        <v>-594972457.47817016</v>
      </c>
      <c r="BM58" s="27">
        <f t="shared" si="64"/>
        <v>-554872354.07334304</v>
      </c>
      <c r="BN58" s="27">
        <f t="shared" si="65"/>
        <v>-515173328.24073559</v>
      </c>
      <c r="BO58" s="27">
        <f t="shared" si="66"/>
        <v>-475796627.54407662</v>
      </c>
      <c r="BP58" s="27">
        <f t="shared" si="67"/>
        <v>-436662554.01791853</v>
      </c>
      <c r="BQ58" s="27">
        <f t="shared" si="68"/>
        <v>-397690664.71960992</v>
      </c>
      <c r="BR58" s="27">
        <f t="shared" si="69"/>
        <v>-358800000</v>
      </c>
      <c r="BT58" s="47"/>
      <c r="BU58" s="26">
        <v>3.6666666666666667E-2</v>
      </c>
      <c r="BV58" s="13">
        <v>0</v>
      </c>
      <c r="BW58" s="13">
        <f t="shared" ref="BW58:CY58" si="123">$B$20/($B$21-$B$22*BV58)</f>
        <v>0.34883720930232553</v>
      </c>
      <c r="BX58" s="13">
        <f t="shared" si="123"/>
        <v>0.39716748768472904</v>
      </c>
      <c r="BY58" s="13">
        <f t="shared" si="123"/>
        <v>0.40494040593779607</v>
      </c>
      <c r="BZ58" s="13">
        <f t="shared" si="123"/>
        <v>0.4062190081621499</v>
      </c>
      <c r="CA58" s="13">
        <f t="shared" si="123"/>
        <v>0.40643010492156101</v>
      </c>
      <c r="CB58" s="13">
        <f t="shared" si="123"/>
        <v>0.40646497802255066</v>
      </c>
      <c r="CC58" s="13">
        <f t="shared" si="123"/>
        <v>0.40647073962099717</v>
      </c>
      <c r="CD58" s="13">
        <f t="shared" si="123"/>
        <v>0.40647169154566137</v>
      </c>
      <c r="CE58" s="13">
        <f t="shared" si="123"/>
        <v>0.40647184882198806</v>
      </c>
      <c r="CF58" s="13">
        <f t="shared" si="123"/>
        <v>0.40647187480708435</v>
      </c>
      <c r="CG58" s="13">
        <f t="shared" si="123"/>
        <v>0.40647187910032606</v>
      </c>
      <c r="CH58" s="13">
        <f t="shared" si="123"/>
        <v>0.40647187980965277</v>
      </c>
      <c r="CI58" s="13">
        <f t="shared" si="123"/>
        <v>0.4064718799268473</v>
      </c>
      <c r="CJ58" s="13">
        <f t="shared" si="123"/>
        <v>0.40647187994621015</v>
      </c>
      <c r="CK58" s="13">
        <f t="shared" si="123"/>
        <v>0.40647187994940925</v>
      </c>
      <c r="CL58" s="13">
        <f t="shared" si="123"/>
        <v>0.40647187994993778</v>
      </c>
      <c r="CM58" s="13">
        <f t="shared" si="123"/>
        <v>0.40647187995002515</v>
      </c>
      <c r="CN58" s="13">
        <f t="shared" si="123"/>
        <v>0.40647187995003953</v>
      </c>
      <c r="CO58" s="13">
        <f t="shared" si="123"/>
        <v>0.40647187995004191</v>
      </c>
      <c r="CP58" s="13">
        <f t="shared" si="123"/>
        <v>0.40647187995004236</v>
      </c>
      <c r="CQ58" s="13">
        <f t="shared" si="123"/>
        <v>0.40647187995004236</v>
      </c>
      <c r="CR58" s="13">
        <f t="shared" si="123"/>
        <v>0.40647187995004236</v>
      </c>
      <c r="CS58" s="13">
        <f t="shared" si="123"/>
        <v>0.40647187995004236</v>
      </c>
      <c r="CT58" s="13">
        <f t="shared" si="123"/>
        <v>0.40647187995004236</v>
      </c>
      <c r="CU58" s="13">
        <f t="shared" si="123"/>
        <v>0.40647187995004236</v>
      </c>
      <c r="CV58" s="13">
        <f t="shared" si="123"/>
        <v>0.40647187995004236</v>
      </c>
      <c r="CW58" s="13">
        <f t="shared" si="123"/>
        <v>0.40647187995004236</v>
      </c>
      <c r="CX58" s="13">
        <f t="shared" si="123"/>
        <v>0.40647187995004236</v>
      </c>
      <c r="CY58" s="13">
        <f t="shared" si="123"/>
        <v>0.40647187995004236</v>
      </c>
      <c r="CZ58" s="13">
        <f t="shared" si="71"/>
        <v>100</v>
      </c>
      <c r="DB58" s="47"/>
      <c r="DC58" s="26">
        <v>3.6666666666666667E-2</v>
      </c>
      <c r="DD58" s="13">
        <f t="shared" si="72"/>
        <v>300</v>
      </c>
      <c r="DE58" s="13">
        <f t="shared" si="73"/>
        <v>215.21097535396237</v>
      </c>
      <c r="DF58" s="13">
        <f t="shared" si="74"/>
        <v>220.64465817293814</v>
      </c>
      <c r="DG58" s="13">
        <f t="shared" si="75"/>
        <v>231.56487427596704</v>
      </c>
      <c r="DH58" s="13">
        <f t="shared" si="76"/>
        <v>237.62962810797063</v>
      </c>
      <c r="DI58" s="13">
        <f t="shared" si="77"/>
        <v>238.76522293216289</v>
      </c>
      <c r="DJ58" s="13">
        <f t="shared" si="78"/>
        <v>236.27463474704925</v>
      </c>
      <c r="DK58" s="13">
        <f t="shared" si="79"/>
        <v>231.34613175706718</v>
      </c>
      <c r="DL58" s="13">
        <f t="shared" si="80"/>
        <v>224.86261243639507</v>
      </c>
      <c r="DM58" s="13">
        <f t="shared" si="81"/>
        <v>217.43950236791889</v>
      </c>
      <c r="DN58" s="13">
        <f t="shared" si="82"/>
        <v>209.49164388409108</v>
      </c>
      <c r="DO58" s="13">
        <f t="shared" si="83"/>
        <v>201.29163346147502</v>
      </c>
      <c r="DP58" s="13">
        <f t="shared" si="84"/>
        <v>193.01421920631577</v>
      </c>
      <c r="DQ58" s="13">
        <f t="shared" si="85"/>
        <v>184.76824705810253</v>
      </c>
      <c r="DR58" s="13">
        <f t="shared" si="86"/>
        <v>176.61891335467561</v>
      </c>
      <c r="DS58" s="13">
        <f t="shared" si="87"/>
        <v>168.60291839056893</v>
      </c>
      <c r="DT58" s="13">
        <f t="shared" si="88"/>
        <v>160.73860436267691</v>
      </c>
      <c r="DU58" s="13">
        <f t="shared" si="89"/>
        <v>153.03263484103803</v>
      </c>
      <c r="DV58" s="13">
        <f t="shared" si="90"/>
        <v>145.48433248317264</v>
      </c>
      <c r="DW58" s="13">
        <f t="shared" si="91"/>
        <v>138.08845463997531</v>
      </c>
      <c r="DX58" s="13">
        <f t="shared" si="92"/>
        <v>130.83694100594147</v>
      </c>
      <c r="DY58" s="13">
        <f t="shared" si="93"/>
        <v>123.71999412286087</v>
      </c>
      <c r="DZ58" s="13">
        <f t="shared" si="94"/>
        <v>116.72673365733044</v>
      </c>
      <c r="EA58" s="13">
        <f t="shared" si="95"/>
        <v>109.84558364488601</v>
      </c>
      <c r="EB58" s="13">
        <f t="shared" si="96"/>
        <v>103.06449676024222</v>
      </c>
      <c r="EC58" s="13">
        <f t="shared" si="97"/>
        <v>96.371082771752143</v>
      </c>
      <c r="ED58" s="13">
        <f t="shared" si="98"/>
        <v>89.752683793367339</v>
      </c>
      <c r="EE58" s="13">
        <f t="shared" si="99"/>
        <v>83.196422709088196</v>
      </c>
      <c r="EF58" s="13">
        <f t="shared" si="100"/>
        <v>76.689240458524552</v>
      </c>
      <c r="EG58" s="13">
        <f t="shared" si="101"/>
        <v>70.217930882943861</v>
      </c>
      <c r="EH58" s="13">
        <f t="shared" si="102"/>
        <v>63.769177301196002</v>
      </c>
    </row>
    <row r="59" spans="5:138" x14ac:dyDescent="0.25">
      <c r="E59" s="49"/>
      <c r="F59" s="26">
        <v>3.3333333333333333E-2</v>
      </c>
      <c r="G59">
        <f t="shared" si="10"/>
        <v>300</v>
      </c>
      <c r="H59">
        <f t="shared" si="11"/>
        <v>331.88932370099155</v>
      </c>
      <c r="I59">
        <f t="shared" si="12"/>
        <v>354.66324857055247</v>
      </c>
      <c r="J59">
        <f t="shared" si="13"/>
        <v>368.5764342836444</v>
      </c>
      <c r="K59">
        <f t="shared" si="14"/>
        <v>374.9890581562928</v>
      </c>
      <c r="L59">
        <f t="shared" si="15"/>
        <v>375.51963326189605</v>
      </c>
      <c r="M59">
        <f t="shared" si="16"/>
        <v>371.66524357906928</v>
      </c>
      <c r="N59">
        <f t="shared" si="17"/>
        <v>364.66595079726011</v>
      </c>
      <c r="O59">
        <f t="shared" si="18"/>
        <v>355.48662527154153</v>
      </c>
      <c r="P59">
        <f t="shared" si="19"/>
        <v>344.84817031624732</v>
      </c>
      <c r="Q59">
        <f t="shared" si="20"/>
        <v>333.27390524932514</v>
      </c>
      <c r="R59">
        <f t="shared" si="21"/>
        <v>321.13538082072535</v>
      </c>
      <c r="S59">
        <f t="shared" si="22"/>
        <v>308.69151255085109</v>
      </c>
      <c r="T59">
        <f t="shared" si="23"/>
        <v>296.11958171769811</v>
      </c>
      <c r="U59">
        <f t="shared" si="24"/>
        <v>283.53868873025431</v>
      </c>
      <c r="V59">
        <f t="shared" si="25"/>
        <v>271.02695459470056</v>
      </c>
      <c r="W59">
        <f t="shared" si="26"/>
        <v>258.63385886786097</v>
      </c>
      <c r="X59">
        <f t="shared" si="27"/>
        <v>246.38894186238602</v>
      </c>
      <c r="Y59">
        <f t="shared" si="28"/>
        <v>234.30786309249089</v>
      </c>
      <c r="Z59">
        <f t="shared" si="29"/>
        <v>222.39657667024346</v>
      </c>
      <c r="AA59">
        <f t="shared" si="30"/>
        <v>210.6541875995089</v>
      </c>
      <c r="AB59">
        <f t="shared" si="31"/>
        <v>199.07489725877457</v>
      </c>
      <c r="AC59">
        <f t="shared" si="32"/>
        <v>187.64932847726487</v>
      </c>
      <c r="AD59">
        <f t="shared" si="33"/>
        <v>176.36543383965255</v>
      </c>
      <c r="AE59">
        <f t="shared" si="34"/>
        <v>165.20912824445014</v>
      </c>
      <c r="AF59">
        <f t="shared" si="35"/>
        <v>154.16474221242538</v>
      </c>
      <c r="AG59">
        <f t="shared" si="36"/>
        <v>143.21536112296536</v>
      </c>
      <c r="AH59">
        <f t="shared" si="37"/>
        <v>132.34309373370004</v>
      </c>
      <c r="AI59">
        <f t="shared" si="120"/>
        <v>121.52929827065302</v>
      </c>
      <c r="AJ59">
        <f t="shared" si="103"/>
        <v>110.75478408833629</v>
      </c>
      <c r="AK59">
        <f t="shared" si="39"/>
        <v>100</v>
      </c>
      <c r="AL59" s="47"/>
      <c r="AM59" s="26">
        <v>3.3333333333333333E-2</v>
      </c>
      <c r="AN59" s="27">
        <f t="shared" si="40"/>
        <v>-1076400000</v>
      </c>
      <c r="AO59" s="27">
        <f t="shared" si="104"/>
        <v>-1228556644.6012807</v>
      </c>
      <c r="AP59" s="27">
        <f t="shared" si="41"/>
        <v>-1309215195.978924</v>
      </c>
      <c r="AQ59" s="27">
        <f t="shared" si="42"/>
        <v>-1353504572.229152</v>
      </c>
      <c r="AR59" s="27">
        <f t="shared" si="43"/>
        <v>-1369812422.5603454</v>
      </c>
      <c r="AS59" s="27">
        <f t="shared" si="44"/>
        <v>-1365518198.3677831</v>
      </c>
      <c r="AT59" s="27">
        <f t="shared" si="45"/>
        <v>-1346554792.7914879</v>
      </c>
      <c r="AU59" s="27">
        <f t="shared" si="46"/>
        <v>-1317446767.0203538</v>
      </c>
      <c r="AV59" s="27">
        <f t="shared" si="47"/>
        <v>-1281526807.3127344</v>
      </c>
      <c r="AW59" s="27">
        <f t="shared" si="48"/>
        <v>-1241189488.956835</v>
      </c>
      <c r="AX59" s="27">
        <f t="shared" si="49"/>
        <v>-1198122805.7919245</v>
      </c>
      <c r="AY59" s="27">
        <f t="shared" si="50"/>
        <v>-1153497869.8876383</v>
      </c>
      <c r="AZ59" s="27">
        <f t="shared" si="51"/>
        <v>-1108115326.0444279</v>
      </c>
      <c r="BA59" s="27">
        <f t="shared" si="52"/>
        <v>-1062514162.5218651</v>
      </c>
      <c r="BB59" s="27">
        <f t="shared" si="53"/>
        <v>-1017050497.5173279</v>
      </c>
      <c r="BC59" s="27">
        <f t="shared" si="54"/>
        <v>-971953550.07370925</v>
      </c>
      <c r="BD59" s="27">
        <f t="shared" si="55"/>
        <v>-927364825.71143532</v>
      </c>
      <c r="BE59" s="27">
        <f t="shared" si="56"/>
        <v>-883365233.10694063</v>
      </c>
      <c r="BF59" s="27">
        <f t="shared" si="57"/>
        <v>-839993672.45659637</v>
      </c>
      <c r="BG59" s="27">
        <f t="shared" si="58"/>
        <v>-797259682.0575701</v>
      </c>
      <c r="BH59" s="27">
        <f t="shared" si="59"/>
        <v>-755151996.36483705</v>
      </c>
      <c r="BI59" s="27">
        <f t="shared" si="60"/>
        <v>-713644324.10929346</v>
      </c>
      <c r="BJ59" s="27">
        <f t="shared" si="61"/>
        <v>-672699259.62069142</v>
      </c>
      <c r="BK59" s="27">
        <f t="shared" si="62"/>
        <v>-632270957.98109651</v>
      </c>
      <c r="BL59" s="27">
        <f t="shared" si="63"/>
        <v>-592307005.14953184</v>
      </c>
      <c r="BM59" s="27">
        <f t="shared" si="64"/>
        <v>-552749774.59596455</v>
      </c>
      <c r="BN59" s="27">
        <f t="shared" si="65"/>
        <v>-513537464.99039364</v>
      </c>
      <c r="BO59" s="27">
        <f t="shared" si="66"/>
        <v>-474604946.54197228</v>
      </c>
      <c r="BP59" s="27">
        <f t="shared" si="67"/>
        <v>-435884497.69287974</v>
      </c>
      <c r="BQ59" s="27">
        <f t="shared" si="68"/>
        <v>-397306482.71987188</v>
      </c>
      <c r="BR59" s="27">
        <f t="shared" si="69"/>
        <v>-358800000</v>
      </c>
      <c r="BT59" s="47"/>
      <c r="BU59" s="26">
        <v>3.3333333333333333E-2</v>
      </c>
      <c r="BV59" s="13">
        <v>0</v>
      </c>
      <c r="BW59" s="13">
        <f t="shared" ref="BW59:CY59" si="124">$B$20/($B$21-$B$22*BV59)</f>
        <v>0.34883720930232553</v>
      </c>
      <c r="BX59" s="13">
        <f t="shared" si="124"/>
        <v>0.39716748768472904</v>
      </c>
      <c r="BY59" s="13">
        <f t="shared" si="124"/>
        <v>0.40494040593779607</v>
      </c>
      <c r="BZ59" s="13">
        <f t="shared" si="124"/>
        <v>0.4062190081621499</v>
      </c>
      <c r="CA59" s="13">
        <f t="shared" si="124"/>
        <v>0.40643010492156101</v>
      </c>
      <c r="CB59" s="13">
        <f t="shared" si="124"/>
        <v>0.40646497802255066</v>
      </c>
      <c r="CC59" s="13">
        <f t="shared" si="124"/>
        <v>0.40647073962099717</v>
      </c>
      <c r="CD59" s="13">
        <f t="shared" si="124"/>
        <v>0.40647169154566137</v>
      </c>
      <c r="CE59" s="13">
        <f t="shared" si="124"/>
        <v>0.40647184882198806</v>
      </c>
      <c r="CF59" s="13">
        <f t="shared" si="124"/>
        <v>0.40647187480708435</v>
      </c>
      <c r="CG59" s="13">
        <f t="shared" si="124"/>
        <v>0.40647187910032606</v>
      </c>
      <c r="CH59" s="13">
        <f t="shared" si="124"/>
        <v>0.40647187980965277</v>
      </c>
      <c r="CI59" s="13">
        <f t="shared" si="124"/>
        <v>0.4064718799268473</v>
      </c>
      <c r="CJ59" s="13">
        <f t="shared" si="124"/>
        <v>0.40647187994621015</v>
      </c>
      <c r="CK59" s="13">
        <f t="shared" si="124"/>
        <v>0.40647187994940925</v>
      </c>
      <c r="CL59" s="13">
        <f t="shared" si="124"/>
        <v>0.40647187994993778</v>
      </c>
      <c r="CM59" s="13">
        <f t="shared" si="124"/>
        <v>0.40647187995002515</v>
      </c>
      <c r="CN59" s="13">
        <f t="shared" si="124"/>
        <v>0.40647187995003953</v>
      </c>
      <c r="CO59" s="13">
        <f t="shared" si="124"/>
        <v>0.40647187995004191</v>
      </c>
      <c r="CP59" s="13">
        <f t="shared" si="124"/>
        <v>0.40647187995004236</v>
      </c>
      <c r="CQ59" s="13">
        <f t="shared" si="124"/>
        <v>0.40647187995004236</v>
      </c>
      <c r="CR59" s="13">
        <f t="shared" si="124"/>
        <v>0.40647187995004236</v>
      </c>
      <c r="CS59" s="13">
        <f t="shared" si="124"/>
        <v>0.40647187995004236</v>
      </c>
      <c r="CT59" s="13">
        <f t="shared" si="124"/>
        <v>0.40647187995004236</v>
      </c>
      <c r="CU59" s="13">
        <f t="shared" si="124"/>
        <v>0.40647187995004236</v>
      </c>
      <c r="CV59" s="13">
        <f t="shared" si="124"/>
        <v>0.40647187995004236</v>
      </c>
      <c r="CW59" s="13">
        <f t="shared" si="124"/>
        <v>0.40647187995004236</v>
      </c>
      <c r="CX59" s="13">
        <f t="shared" si="124"/>
        <v>0.40647187995004236</v>
      </c>
      <c r="CY59" s="13">
        <f t="shared" si="124"/>
        <v>0.40647187995004236</v>
      </c>
      <c r="CZ59" s="13">
        <f t="shared" si="71"/>
        <v>100</v>
      </c>
      <c r="DB59" s="47"/>
      <c r="DC59" s="26">
        <v>3.3333333333333333E-2</v>
      </c>
      <c r="DD59" s="13">
        <f t="shared" si="72"/>
        <v>300</v>
      </c>
      <c r="DE59" s="13">
        <f t="shared" si="73"/>
        <v>208.16958582754302</v>
      </c>
      <c r="DF59" s="13">
        <f t="shared" si="74"/>
        <v>208.2766721463218</v>
      </c>
      <c r="DG59" s="13">
        <f t="shared" si="75"/>
        <v>216.72821285160336</v>
      </c>
      <c r="DH59" s="13">
        <f t="shared" si="76"/>
        <v>222.44584518723107</v>
      </c>
      <c r="DI59" s="13">
        <f t="shared" si="77"/>
        <v>224.46368931835735</v>
      </c>
      <c r="DJ59" s="13">
        <f t="shared" si="78"/>
        <v>223.44130590268844</v>
      </c>
      <c r="DK59" s="13">
        <f t="shared" si="79"/>
        <v>220.17103929776437</v>
      </c>
      <c r="DL59" s="13">
        <f t="shared" si="80"/>
        <v>215.31560615667016</v>
      </c>
      <c r="DM59" s="13">
        <f t="shared" si="81"/>
        <v>209.38170988543007</v>
      </c>
      <c r="DN59" s="13">
        <f t="shared" si="82"/>
        <v>202.74140494023794</v>
      </c>
      <c r="DO59" s="13">
        <f t="shared" si="83"/>
        <v>195.660961651859</v>
      </c>
      <c r="DP59" s="13">
        <f t="shared" si="84"/>
        <v>188.32722952161023</v>
      </c>
      <c r="DQ59" s="13">
        <f t="shared" si="85"/>
        <v>180.86907787751846</v>
      </c>
      <c r="DR59" s="13">
        <f t="shared" si="86"/>
        <v>173.37385298005026</v>
      </c>
      <c r="DS59" s="13">
        <f t="shared" si="87"/>
        <v>165.89956376211094</v>
      </c>
      <c r="DT59" s="13">
        <f t="shared" si="88"/>
        <v>158.48368247018098</v>
      </c>
      <c r="DU59" s="13">
        <f t="shared" si="89"/>
        <v>151.14938426410814</v>
      </c>
      <c r="DV59" s="13">
        <f t="shared" si="90"/>
        <v>143.90990847888395</v>
      </c>
      <c r="DW59" s="13">
        <f t="shared" si="91"/>
        <v>136.77157301732225</v>
      </c>
      <c r="DX59" s="13">
        <f t="shared" si="92"/>
        <v>129.73583985987327</v>
      </c>
      <c r="DY59" s="13">
        <f t="shared" si="93"/>
        <v>122.80072194125769</v>
      </c>
      <c r="DZ59" s="13">
        <f t="shared" si="94"/>
        <v>115.96173902625647</v>
      </c>
      <c r="EA59" s="13">
        <f t="shared" si="95"/>
        <v>109.21256889722326</v>
      </c>
      <c r="EB59" s="13">
        <f t="shared" si="96"/>
        <v>102.54549565535194</v>
      </c>
      <c r="EC59" s="13">
        <f t="shared" si="97"/>
        <v>95.951725139049458</v>
      </c>
      <c r="ED59" s="13">
        <f t="shared" si="98"/>
        <v>89.421615014623626</v>
      </c>
      <c r="EE59" s="13">
        <f t="shared" si="99"/>
        <v>82.944851396618276</v>
      </c>
      <c r="EF59" s="13">
        <f t="shared" si="100"/>
        <v>76.510592968805923</v>
      </c>
      <c r="EG59" s="13">
        <f t="shared" si="101"/>
        <v>70.107596093332063</v>
      </c>
      <c r="EH59" s="13">
        <f t="shared" si="102"/>
        <v>63.724329311838609</v>
      </c>
    </row>
    <row r="60" spans="5:138" x14ac:dyDescent="0.25">
      <c r="E60" s="49"/>
      <c r="F60" s="26">
        <v>3.0000000000000002E-2</v>
      </c>
      <c r="G60">
        <f t="shared" si="10"/>
        <v>300</v>
      </c>
      <c r="H60">
        <f t="shared" si="11"/>
        <v>322.2516461439543</v>
      </c>
      <c r="I60">
        <f t="shared" si="12"/>
        <v>339.30313247502232</v>
      </c>
      <c r="J60">
        <f t="shared" si="13"/>
        <v>350.56692990803936</v>
      </c>
      <c r="K60">
        <f t="shared" si="14"/>
        <v>356.44110612318809</v>
      </c>
      <c r="L60">
        <f t="shared" si="15"/>
        <v>357.73447332348258</v>
      </c>
      <c r="M60">
        <f t="shared" si="16"/>
        <v>355.34987787022976</v>
      </c>
      <c r="N60">
        <f t="shared" si="17"/>
        <v>350.12840266287947</v>
      </c>
      <c r="O60">
        <f t="shared" si="18"/>
        <v>342.78652925949132</v>
      </c>
      <c r="P60">
        <f t="shared" si="19"/>
        <v>333.90283909498464</v>
      </c>
      <c r="Q60">
        <f t="shared" si="20"/>
        <v>323.92834460828601</v>
      </c>
      <c r="R60">
        <f t="shared" si="21"/>
        <v>313.20596105011532</v>
      </c>
      <c r="S60">
        <f t="shared" si="22"/>
        <v>301.99161058241475</v>
      </c>
      <c r="T60">
        <f t="shared" si="23"/>
        <v>290.47348417191819</v>
      </c>
      <c r="U60">
        <f t="shared" si="24"/>
        <v>278.78818434028062</v>
      </c>
      <c r="V60">
        <f t="shared" si="25"/>
        <v>267.03358250010956</v>
      </c>
      <c r="W60">
        <f t="shared" si="26"/>
        <v>255.27872295426181</v>
      </c>
      <c r="X60">
        <f t="shared" si="27"/>
        <v>243.57127783994781</v>
      </c>
      <c r="Y60">
        <f t="shared" si="28"/>
        <v>231.94306853466165</v>
      </c>
      <c r="Z60">
        <f t="shared" si="29"/>
        <v>220.41411040015132</v>
      </c>
      <c r="AA60">
        <f t="shared" si="30"/>
        <v>208.99555675761727</v>
      </c>
      <c r="AB60">
        <f t="shared" si="31"/>
        <v>197.69183757019402</v>
      </c>
      <c r="AC60">
        <f t="shared" si="32"/>
        <v>186.50221803778868</v>
      </c>
      <c r="AD60">
        <f t="shared" si="33"/>
        <v>175.42194494561465</v>
      </c>
      <c r="AE60">
        <f t="shared" si="34"/>
        <v>164.44310370832738</v>
      </c>
      <c r="AF60">
        <f t="shared" si="35"/>
        <v>153.55527489309912</v>
      </c>
      <c r="AG60">
        <f t="shared" si="36"/>
        <v>142.74605354923523</v>
      </c>
      <c r="AH60">
        <f t="shared" si="37"/>
        <v>132.00147600900652</v>
      </c>
      <c r="AI60">
        <f t="shared" si="120"/>
        <v>121.30638534135514</v>
      </c>
      <c r="AJ60">
        <f t="shared" si="103"/>
        <v>110.64475705622942</v>
      </c>
      <c r="AK60">
        <f t="shared" si="39"/>
        <v>100</v>
      </c>
      <c r="AL60" s="47"/>
      <c r="AM60" s="26">
        <v>3.0000000000000002E-2</v>
      </c>
      <c r="AN60" s="27">
        <f t="shared" si="40"/>
        <v>-1076400000</v>
      </c>
      <c r="AO60" s="27">
        <f t="shared" si="104"/>
        <v>-1177767567.9898572</v>
      </c>
      <c r="AP60" s="27">
        <f t="shared" si="41"/>
        <v>-1241380671.3583114</v>
      </c>
      <c r="AQ60" s="27">
        <f t="shared" si="42"/>
        <v>-1280147176.3520198</v>
      </c>
      <c r="AR60" s="27">
        <f t="shared" si="43"/>
        <v>-1297875238.0914955</v>
      </c>
      <c r="AS60" s="27">
        <f t="shared" si="44"/>
        <v>-1298778055.6703417</v>
      </c>
      <c r="AT60" s="27">
        <f t="shared" si="45"/>
        <v>-1286740043.9803481</v>
      </c>
      <c r="AU60" s="27">
        <f t="shared" si="46"/>
        <v>-1265039157.2860074</v>
      </c>
      <c r="AV60" s="27">
        <f t="shared" si="47"/>
        <v>-1236301188.3740859</v>
      </c>
      <c r="AW60" s="27">
        <f t="shared" si="48"/>
        <v>-1202559316.5666795</v>
      </c>
      <c r="AX60" s="27">
        <f t="shared" si="49"/>
        <v>-1165351161.2104249</v>
      </c>
      <c r="AY60" s="27">
        <f t="shared" si="50"/>
        <v>-1125819731.253267</v>
      </c>
      <c r="AZ60" s="27">
        <f t="shared" si="51"/>
        <v>-1084803531.1728799</v>
      </c>
      <c r="BA60" s="27">
        <f t="shared" si="52"/>
        <v>-1042910959.1723661</v>
      </c>
      <c r="BB60" s="27">
        <f t="shared" si="53"/>
        <v>-1000578915.7282557</v>
      </c>
      <c r="BC60" s="27">
        <f t="shared" si="54"/>
        <v>-958117560.91189432</v>
      </c>
      <c r="BD60" s="27">
        <f t="shared" si="55"/>
        <v>-915743762.21334207</v>
      </c>
      <c r="BE60" s="27">
        <f t="shared" si="56"/>
        <v>-873605708.64035749</v>
      </c>
      <c r="BF60" s="27">
        <f t="shared" si="57"/>
        <v>-831800830.05535436</v>
      </c>
      <c r="BG60" s="27">
        <f t="shared" si="58"/>
        <v>-790388753.51896131</v>
      </c>
      <c r="BH60" s="27">
        <f t="shared" si="59"/>
        <v>-749400643.00217187</v>
      </c>
      <c r="BI60" s="27">
        <f t="shared" si="60"/>
        <v>-708845940.63008213</v>
      </c>
      <c r="BJ60" s="27">
        <f t="shared" si="61"/>
        <v>-668717264.05702817</v>
      </c>
      <c r="BK60" s="27">
        <f t="shared" si="62"/>
        <v>-628994010.58563471</v>
      </c>
      <c r="BL60" s="27">
        <f t="shared" si="63"/>
        <v>-589645064.67815459</v>
      </c>
      <c r="BM60" s="27">
        <f t="shared" si="64"/>
        <v>-550630891.38499141</v>
      </c>
      <c r="BN60" s="27">
        <f t="shared" si="65"/>
        <v>-511905214.78760642</v>
      </c>
      <c r="BO60" s="27">
        <f t="shared" si="66"/>
        <v>-473416420.26784539</v>
      </c>
      <c r="BP60" s="27">
        <f t="shared" si="67"/>
        <v>-435108776.34112608</v>
      </c>
      <c r="BQ60" s="27">
        <f t="shared" si="68"/>
        <v>-396923541.43012047</v>
      </c>
      <c r="BR60" s="27">
        <f t="shared" si="69"/>
        <v>-358800000</v>
      </c>
      <c r="BT60" s="47"/>
      <c r="BU60" s="26">
        <v>3.0000000000000002E-2</v>
      </c>
      <c r="BV60" s="13">
        <v>0</v>
      </c>
      <c r="BW60" s="13">
        <f t="shared" ref="BW60:CY60" si="125">$B$20/($B$21-$B$22*BV60)</f>
        <v>0.34883720930232553</v>
      </c>
      <c r="BX60" s="13">
        <f t="shared" si="125"/>
        <v>0.39716748768472904</v>
      </c>
      <c r="BY60" s="13">
        <f t="shared" si="125"/>
        <v>0.40494040593779607</v>
      </c>
      <c r="BZ60" s="13">
        <f t="shared" si="125"/>
        <v>0.4062190081621499</v>
      </c>
      <c r="CA60" s="13">
        <f t="shared" si="125"/>
        <v>0.40643010492156101</v>
      </c>
      <c r="CB60" s="13">
        <f t="shared" si="125"/>
        <v>0.40646497802255066</v>
      </c>
      <c r="CC60" s="13">
        <f t="shared" si="125"/>
        <v>0.40647073962099717</v>
      </c>
      <c r="CD60" s="13">
        <f t="shared" si="125"/>
        <v>0.40647169154566137</v>
      </c>
      <c r="CE60" s="13">
        <f t="shared" si="125"/>
        <v>0.40647184882198806</v>
      </c>
      <c r="CF60" s="13">
        <f t="shared" si="125"/>
        <v>0.40647187480708435</v>
      </c>
      <c r="CG60" s="13">
        <f t="shared" si="125"/>
        <v>0.40647187910032606</v>
      </c>
      <c r="CH60" s="13">
        <f t="shared" si="125"/>
        <v>0.40647187980965277</v>
      </c>
      <c r="CI60" s="13">
        <f t="shared" si="125"/>
        <v>0.4064718799268473</v>
      </c>
      <c r="CJ60" s="13">
        <f t="shared" si="125"/>
        <v>0.40647187994621015</v>
      </c>
      <c r="CK60" s="13">
        <f t="shared" si="125"/>
        <v>0.40647187994940925</v>
      </c>
      <c r="CL60" s="13">
        <f t="shared" si="125"/>
        <v>0.40647187994993778</v>
      </c>
      <c r="CM60" s="13">
        <f t="shared" si="125"/>
        <v>0.40647187995002515</v>
      </c>
      <c r="CN60" s="13">
        <f t="shared" si="125"/>
        <v>0.40647187995003953</v>
      </c>
      <c r="CO60" s="13">
        <f t="shared" si="125"/>
        <v>0.40647187995004191</v>
      </c>
      <c r="CP60" s="13">
        <f t="shared" si="125"/>
        <v>0.40647187995004236</v>
      </c>
      <c r="CQ60" s="13">
        <f t="shared" si="125"/>
        <v>0.40647187995004236</v>
      </c>
      <c r="CR60" s="13">
        <f t="shared" si="125"/>
        <v>0.40647187995004236</v>
      </c>
      <c r="CS60" s="13">
        <f t="shared" si="125"/>
        <v>0.40647187995004236</v>
      </c>
      <c r="CT60" s="13">
        <f t="shared" si="125"/>
        <v>0.40647187995004236</v>
      </c>
      <c r="CU60" s="13">
        <f t="shared" si="125"/>
        <v>0.40647187995004236</v>
      </c>
      <c r="CV60" s="13">
        <f t="shared" si="125"/>
        <v>0.40647187995004236</v>
      </c>
      <c r="CW60" s="13">
        <f t="shared" si="125"/>
        <v>0.40647187995004236</v>
      </c>
      <c r="CX60" s="13">
        <f t="shared" si="125"/>
        <v>0.40647187995004236</v>
      </c>
      <c r="CY60" s="13">
        <f t="shared" si="125"/>
        <v>0.40647187995004236</v>
      </c>
      <c r="CZ60" s="13">
        <f t="shared" si="71"/>
        <v>100</v>
      </c>
      <c r="DB60" s="47"/>
      <c r="DC60" s="26">
        <v>3.0000000000000002E-2</v>
      </c>
      <c r="DD60" s="13">
        <f t="shared" si="72"/>
        <v>300</v>
      </c>
      <c r="DE60" s="13">
        <f t="shared" si="73"/>
        <v>203.89008830383023</v>
      </c>
      <c r="DF60" s="13">
        <f t="shared" si="74"/>
        <v>200.06934565809783</v>
      </c>
      <c r="DG60" s="13">
        <f t="shared" si="75"/>
        <v>206.22952370159851</v>
      </c>
      <c r="DH60" s="13">
        <f t="shared" si="76"/>
        <v>211.12256318431389</v>
      </c>
      <c r="DI60" s="13">
        <f t="shared" si="77"/>
        <v>213.3095851768212</v>
      </c>
      <c r="DJ60" s="13">
        <f t="shared" si="78"/>
        <v>213.03494437679171</v>
      </c>
      <c r="DK60" s="13">
        <f t="shared" si="79"/>
        <v>210.79570858265942</v>
      </c>
      <c r="DL60" s="13">
        <f t="shared" si="80"/>
        <v>207.06447744065412</v>
      </c>
      <c r="DM60" s="13">
        <f t="shared" si="81"/>
        <v>202.23508597620855</v>
      </c>
      <c r="DN60" s="13">
        <f t="shared" si="82"/>
        <v>196.61893041949099</v>
      </c>
      <c r="DO60" s="13">
        <f t="shared" si="83"/>
        <v>190.45486362414726</v>
      </c>
      <c r="DP60" s="13">
        <f t="shared" si="84"/>
        <v>183.92230743619575</v>
      </c>
      <c r="DQ60" s="13">
        <f t="shared" si="85"/>
        <v>177.15392678173185</v>
      </c>
      <c r="DR60" s="13">
        <f t="shared" si="86"/>
        <v>170.2465420526897</v>
      </c>
      <c r="DS60" s="13">
        <f t="shared" si="87"/>
        <v>163.26996006980633</v>
      </c>
      <c r="DT60" s="13">
        <f t="shared" si="88"/>
        <v>156.27384774884962</v>
      </c>
      <c r="DU60" s="13">
        <f t="shared" si="89"/>
        <v>149.29294273128636</v>
      </c>
      <c r="DV60" s="13">
        <f t="shared" si="90"/>
        <v>142.35093071279658</v>
      </c>
      <c r="DW60" s="13">
        <f t="shared" si="91"/>
        <v>135.46329354367694</v>
      </c>
      <c r="DX60" s="13">
        <f t="shared" si="92"/>
        <v>128.63938388968208</v>
      </c>
      <c r="DY60" s="13">
        <f t="shared" si="93"/>
        <v>121.88393038952134</v>
      </c>
      <c r="DZ60" s="13">
        <f t="shared" si="94"/>
        <v>115.19813029125184</v>
      </c>
      <c r="EA60" s="13">
        <f t="shared" si="95"/>
        <v>108.58044743647106</v>
      </c>
      <c r="EB60" s="13">
        <f t="shared" si="96"/>
        <v>102.02720244628385</v>
      </c>
      <c r="EC60" s="13">
        <f t="shared" si="97"/>
        <v>95.533018151492058</v>
      </c>
      <c r="ED60" s="13">
        <f t="shared" si="98"/>
        <v>89.091165439673929</v>
      </c>
      <c r="EE60" s="13">
        <f t="shared" si="99"/>
        <v>82.693841509361633</v>
      </c>
      <c r="EF60" s="13">
        <f t="shared" si="100"/>
        <v>76.332402934093849</v>
      </c>
      <c r="EG60" s="13">
        <f t="shared" si="101"/>
        <v>69.997569061225178</v>
      </c>
      <c r="EH60" s="13">
        <f t="shared" si="102"/>
        <v>63.679606417252799</v>
      </c>
    </row>
    <row r="61" spans="5:138" x14ac:dyDescent="0.25">
      <c r="E61" s="49"/>
      <c r="F61" s="26">
        <v>2.6666666666666668E-2</v>
      </c>
      <c r="G61">
        <f t="shared" si="10"/>
        <v>300</v>
      </c>
      <c r="H61">
        <f t="shared" si="11"/>
        <v>315.76770577443727</v>
      </c>
      <c r="I61">
        <f t="shared" si="12"/>
        <v>328.45952138455482</v>
      </c>
      <c r="J61">
        <f t="shared" si="13"/>
        <v>337.30039033195067</v>
      </c>
      <c r="K61">
        <f t="shared" si="14"/>
        <v>342.25069523139882</v>
      </c>
      <c r="L61">
        <f t="shared" si="15"/>
        <v>343.66021582374407</v>
      </c>
      <c r="M61">
        <f t="shared" si="16"/>
        <v>342.04408179333586</v>
      </c>
      <c r="N61">
        <f t="shared" si="17"/>
        <v>337.95090115485596</v>
      </c>
      <c r="O61">
        <f t="shared" si="18"/>
        <v>331.89325761217481</v>
      </c>
      <c r="P61">
        <f t="shared" si="19"/>
        <v>324.31707029452252</v>
      </c>
      <c r="Q61">
        <f t="shared" si="20"/>
        <v>315.59333320323185</v>
      </c>
      <c r="R61">
        <f t="shared" si="21"/>
        <v>306.02155567460028</v>
      </c>
      <c r="S61">
        <f t="shared" si="22"/>
        <v>295.83843027642712</v>
      </c>
      <c r="T61">
        <f t="shared" si="23"/>
        <v>285.22806433727368</v>
      </c>
      <c r="U61">
        <f t="shared" si="24"/>
        <v>274.33187643942017</v>
      </c>
      <c r="V61">
        <f t="shared" si="25"/>
        <v>263.25730723641476</v>
      </c>
      <c r="W61">
        <f t="shared" si="26"/>
        <v>252.08507888834276</v>
      </c>
      <c r="X61">
        <f t="shared" si="27"/>
        <v>240.87503811297</v>
      </c>
      <c r="Y61">
        <f t="shared" si="28"/>
        <v>229.67075256740733</v>
      </c>
      <c r="Z61">
        <f t="shared" si="29"/>
        <v>218.50307343011565</v>
      </c>
      <c r="AA61">
        <f t="shared" si="30"/>
        <v>207.39287349329697</v>
      </c>
      <c r="AB61">
        <f t="shared" si="31"/>
        <v>196.35314563508902</v>
      </c>
      <c r="AC61">
        <f t="shared" si="32"/>
        <v>185.39061532460317</v>
      </c>
      <c r="AD61">
        <f t="shared" si="33"/>
        <v>174.50698996527001</v>
      </c>
      <c r="AE61">
        <f t="shared" si="34"/>
        <v>163.69994058613491</v>
      </c>
      <c r="AF61">
        <f t="shared" si="35"/>
        <v>152.96388868869664</v>
      </c>
      <c r="AG61">
        <f t="shared" si="36"/>
        <v>142.29065291705624</v>
      </c>
      <c r="AH61">
        <f t="shared" si="37"/>
        <v>131.66999613846511</v>
      </c>
      <c r="AI61">
        <f t="shared" si="120"/>
        <v>121.09010284878846</v>
      </c>
      <c r="AJ61">
        <f t="shared" si="103"/>
        <v>110.53800891643877</v>
      </c>
      <c r="AK61">
        <f t="shared" si="39"/>
        <v>100</v>
      </c>
      <c r="AL61" s="47"/>
      <c r="AM61" s="26">
        <v>2.6666666666666668E-2</v>
      </c>
      <c r="AN61" s="27">
        <f t="shared" si="40"/>
        <v>-1076400000</v>
      </c>
      <c r="AO61" s="27">
        <f t="shared" si="104"/>
        <v>-1145708713.5989652</v>
      </c>
      <c r="AP61" s="27">
        <f t="shared" si="41"/>
        <v>-1194455681.9114504</v>
      </c>
      <c r="AQ61" s="27">
        <f t="shared" si="42"/>
        <v>-1226340735.6695421</v>
      </c>
      <c r="AR61" s="27">
        <f t="shared" si="43"/>
        <v>-1242654341.5216653</v>
      </c>
      <c r="AS61" s="27">
        <f t="shared" si="44"/>
        <v>-1245579064.5137932</v>
      </c>
      <c r="AT61" s="27">
        <f t="shared" si="45"/>
        <v>-1237509138.4319055</v>
      </c>
      <c r="AU61" s="27">
        <f t="shared" si="46"/>
        <v>-1220700709.7670162</v>
      </c>
      <c r="AV61" s="27">
        <f t="shared" si="47"/>
        <v>-1197119779.5408638</v>
      </c>
      <c r="AW61" s="27">
        <f t="shared" si="48"/>
        <v>-1168400504.2796094</v>
      </c>
      <c r="AX61" s="27">
        <f t="shared" si="49"/>
        <v>-1135859766.9437871</v>
      </c>
      <c r="AY61" s="27">
        <f t="shared" si="50"/>
        <v>-1100536321.9403679</v>
      </c>
      <c r="AZ61" s="27">
        <f t="shared" si="51"/>
        <v>-1063237063.6714792</v>
      </c>
      <c r="BA61" s="27">
        <f t="shared" si="52"/>
        <v>-1024581597.7511563</v>
      </c>
      <c r="BB61" s="27">
        <f t="shared" si="53"/>
        <v>-985041271.26796889</v>
      </c>
      <c r="BC61" s="27">
        <f t="shared" si="54"/>
        <v>-944971527.22483182</v>
      </c>
      <c r="BD61" s="27">
        <f t="shared" si="55"/>
        <v>-904637806.50039947</v>
      </c>
      <c r="BE61" s="27">
        <f t="shared" si="56"/>
        <v>-864235810.09792244</v>
      </c>
      <c r="BF61" s="27">
        <f t="shared" si="57"/>
        <v>-823907109.68161595</v>
      </c>
      <c r="BG61" s="27">
        <f t="shared" si="58"/>
        <v>-783751063.57729661</v>
      </c>
      <c r="BH61" s="27">
        <f t="shared" si="59"/>
        <v>-743833875.68850112</v>
      </c>
      <c r="BI61" s="27">
        <f t="shared" si="60"/>
        <v>-704195488.69113004</v>
      </c>
      <c r="BJ61" s="27">
        <f t="shared" si="61"/>
        <v>-664854861.28690457</v>
      </c>
      <c r="BK61" s="27">
        <f t="shared" si="62"/>
        <v>-625814055.43736863</v>
      </c>
      <c r="BL61" s="27">
        <f t="shared" si="63"/>
        <v>-587061457.24882746</v>
      </c>
      <c r="BM61" s="27">
        <f t="shared" si="64"/>
        <v>-548574373.85424066</v>
      </c>
      <c r="BN61" s="27">
        <f t="shared" si="65"/>
        <v>-510321185.63517392</v>
      </c>
      <c r="BO61" s="27">
        <f t="shared" si="66"/>
        <v>-472263185.30070698</v>
      </c>
      <c r="BP61" s="27">
        <f t="shared" si="67"/>
        <v>-434356199.68211961</v>
      </c>
      <c r="BQ61" s="27">
        <f t="shared" si="68"/>
        <v>-396552064.02631104</v>
      </c>
      <c r="BR61" s="27">
        <f t="shared" si="69"/>
        <v>-358800000</v>
      </c>
      <c r="BT61" s="47"/>
      <c r="BU61" s="26">
        <v>2.6666666666666668E-2</v>
      </c>
      <c r="BV61" s="13">
        <v>0</v>
      </c>
      <c r="BW61" s="13">
        <f t="shared" ref="BW61:CY61" si="126">$B$20/($B$21-$B$22*BV61)</f>
        <v>0.34883720930232553</v>
      </c>
      <c r="BX61" s="13">
        <f t="shared" si="126"/>
        <v>0.39716748768472904</v>
      </c>
      <c r="BY61" s="13">
        <f t="shared" si="126"/>
        <v>0.40494040593779607</v>
      </c>
      <c r="BZ61" s="13">
        <f t="shared" si="126"/>
        <v>0.4062190081621499</v>
      </c>
      <c r="CA61" s="13">
        <f t="shared" si="126"/>
        <v>0.40643010492156101</v>
      </c>
      <c r="CB61" s="13">
        <f t="shared" si="126"/>
        <v>0.40646497802255066</v>
      </c>
      <c r="CC61" s="13">
        <f t="shared" si="126"/>
        <v>0.40647073962099717</v>
      </c>
      <c r="CD61" s="13">
        <f t="shared" si="126"/>
        <v>0.40647169154566137</v>
      </c>
      <c r="CE61" s="13">
        <f t="shared" si="126"/>
        <v>0.40647184882198806</v>
      </c>
      <c r="CF61" s="13">
        <f t="shared" si="126"/>
        <v>0.40647187480708435</v>
      </c>
      <c r="CG61" s="13">
        <f t="shared" si="126"/>
        <v>0.40647187910032606</v>
      </c>
      <c r="CH61" s="13">
        <f t="shared" si="126"/>
        <v>0.40647187980965277</v>
      </c>
      <c r="CI61" s="13">
        <f t="shared" si="126"/>
        <v>0.4064718799268473</v>
      </c>
      <c r="CJ61" s="13">
        <f t="shared" si="126"/>
        <v>0.40647187994621015</v>
      </c>
      <c r="CK61" s="13">
        <f t="shared" si="126"/>
        <v>0.40647187994940925</v>
      </c>
      <c r="CL61" s="13">
        <f t="shared" si="126"/>
        <v>0.40647187994993778</v>
      </c>
      <c r="CM61" s="13">
        <f t="shared" si="126"/>
        <v>0.40647187995002515</v>
      </c>
      <c r="CN61" s="13">
        <f t="shared" si="126"/>
        <v>0.40647187995003953</v>
      </c>
      <c r="CO61" s="13">
        <f t="shared" si="126"/>
        <v>0.40647187995004191</v>
      </c>
      <c r="CP61" s="13">
        <f t="shared" si="126"/>
        <v>0.40647187995004236</v>
      </c>
      <c r="CQ61" s="13">
        <f t="shared" si="126"/>
        <v>0.40647187995004236</v>
      </c>
      <c r="CR61" s="13">
        <f t="shared" si="126"/>
        <v>0.40647187995004236</v>
      </c>
      <c r="CS61" s="13">
        <f t="shared" si="126"/>
        <v>0.40647187995004236</v>
      </c>
      <c r="CT61" s="13">
        <f t="shared" si="126"/>
        <v>0.40647187995004236</v>
      </c>
      <c r="CU61" s="13">
        <f t="shared" si="126"/>
        <v>0.40647187995004236</v>
      </c>
      <c r="CV61" s="13">
        <f t="shared" si="126"/>
        <v>0.40647187995004236</v>
      </c>
      <c r="CW61" s="13">
        <f t="shared" si="126"/>
        <v>0.40647187995004236</v>
      </c>
      <c r="CX61" s="13">
        <f t="shared" si="126"/>
        <v>0.40647187995004236</v>
      </c>
      <c r="CY61" s="13">
        <f t="shared" si="126"/>
        <v>0.40647187995004236</v>
      </c>
      <c r="CZ61" s="13">
        <f t="shared" si="71"/>
        <v>100</v>
      </c>
      <c r="DB61" s="47"/>
      <c r="DC61" s="26">
        <v>2.6666666666666668E-2</v>
      </c>
      <c r="DD61" s="13">
        <f t="shared" si="72"/>
        <v>300</v>
      </c>
      <c r="DE61" s="13">
        <f t="shared" si="73"/>
        <v>201.18880296587167</v>
      </c>
      <c r="DF61" s="13">
        <f t="shared" si="74"/>
        <v>194.4947727613355</v>
      </c>
      <c r="DG61" s="13">
        <f t="shared" si="75"/>
        <v>198.70925487245509</v>
      </c>
      <c r="DH61" s="13">
        <f t="shared" si="76"/>
        <v>202.64938321468713</v>
      </c>
      <c r="DI61" s="13">
        <f t="shared" si="77"/>
        <v>204.64320377267958</v>
      </c>
      <c r="DJ61" s="13">
        <f t="shared" si="78"/>
        <v>204.67887618272613</v>
      </c>
      <c r="DK61" s="13">
        <f t="shared" si="79"/>
        <v>203.04600325801314</v>
      </c>
      <c r="DL61" s="13">
        <f t="shared" si="80"/>
        <v>200.06754945242704</v>
      </c>
      <c r="DM61" s="13">
        <f t="shared" si="81"/>
        <v>196.03726467151114</v>
      </c>
      <c r="DN61" s="13">
        <f t="shared" si="82"/>
        <v>191.20417773679651</v>
      </c>
      <c r="DO61" s="13">
        <f t="shared" si="83"/>
        <v>185.77155301005016</v>
      </c>
      <c r="DP61" s="13">
        <f t="shared" si="84"/>
        <v>179.90124279078691</v>
      </c>
      <c r="DQ61" s="13">
        <f t="shared" si="85"/>
        <v>173.71987079708296</v>
      </c>
      <c r="DR61" s="13">
        <f t="shared" si="86"/>
        <v>167.32518385745766</v>
      </c>
      <c r="DS61" s="13">
        <f t="shared" si="87"/>
        <v>160.79181131347494</v>
      </c>
      <c r="DT61" s="13">
        <f t="shared" si="88"/>
        <v>154.17614931355095</v>
      </c>
      <c r="DU61" s="13">
        <f t="shared" si="89"/>
        <v>147.52033554735888</v>
      </c>
      <c r="DV61" s="13">
        <f t="shared" si="90"/>
        <v>140.85539753540669</v>
      </c>
      <c r="DW61" s="13">
        <f t="shared" si="91"/>
        <v>134.20370225305399</v>
      </c>
      <c r="DX61" s="13">
        <f t="shared" si="92"/>
        <v>127.58084125289788</v>
      </c>
      <c r="DY61" s="13">
        <f t="shared" si="93"/>
        <v>120.99707369900244</v>
      </c>
      <c r="DZ61" s="13">
        <f t="shared" si="94"/>
        <v>114.45843104899672</v>
      </c>
      <c r="EA61" s="13">
        <f t="shared" si="95"/>
        <v>107.9675673675135</v>
      </c>
      <c r="EB61" s="13">
        <f t="shared" si="96"/>
        <v>101.52442118637136</v>
      </c>
      <c r="EC61" s="13">
        <f t="shared" si="97"/>
        <v>95.12673949818182</v>
      </c>
      <c r="ED61" s="13">
        <f t="shared" si="98"/>
        <v>88.770502053639504</v>
      </c>
      <c r="EE61" s="13">
        <f t="shared" si="99"/>
        <v>82.450274390174073</v>
      </c>
      <c r="EF61" s="13">
        <f t="shared" si="100"/>
        <v>76.159510558589048</v>
      </c>
      <c r="EG61" s="13">
        <f t="shared" si="101"/>
        <v>69.890820921434525</v>
      </c>
      <c r="EH61" s="13">
        <f t="shared" si="102"/>
        <v>63.636216300190931</v>
      </c>
    </row>
    <row r="62" spans="5:138" x14ac:dyDescent="0.25">
      <c r="E62" s="49"/>
      <c r="F62" s="26">
        <v>2.3333333333333334E-2</v>
      </c>
      <c r="G62">
        <f t="shared" si="10"/>
        <v>300</v>
      </c>
      <c r="H62">
        <f t="shared" si="11"/>
        <v>311.29208136236139</v>
      </c>
      <c r="I62">
        <f t="shared" si="12"/>
        <v>320.68991580253271</v>
      </c>
      <c r="J62">
        <f t="shared" si="13"/>
        <v>327.4655967500031</v>
      </c>
      <c r="K62">
        <f t="shared" si="14"/>
        <v>331.40070328298134</v>
      </c>
      <c r="L62">
        <f t="shared" si="15"/>
        <v>332.59371384821407</v>
      </c>
      <c r="M62">
        <f t="shared" si="16"/>
        <v>331.31466002570392</v>
      </c>
      <c r="N62">
        <f t="shared" si="17"/>
        <v>327.90666510091097</v>
      </c>
      <c r="O62">
        <f t="shared" si="18"/>
        <v>322.72509262100442</v>
      </c>
      <c r="P62">
        <f t="shared" si="19"/>
        <v>316.10361207979429</v>
      </c>
      <c r="Q62">
        <f t="shared" si="20"/>
        <v>308.33801342206965</v>
      </c>
      <c r="R62">
        <f t="shared" si="21"/>
        <v>299.68089036641618</v>
      </c>
      <c r="S62">
        <f t="shared" si="22"/>
        <v>290.34244633041396</v>
      </c>
      <c r="T62">
        <f t="shared" si="23"/>
        <v>280.49435776004441</v>
      </c>
      <c r="U62">
        <f t="shared" si="24"/>
        <v>270.2748352168619</v>
      </c>
      <c r="V62">
        <f t="shared" si="25"/>
        <v>259.79383199239214</v>
      </c>
      <c r="W62">
        <f t="shared" si="26"/>
        <v>249.13786435521493</v>
      </c>
      <c r="X62">
        <f t="shared" si="27"/>
        <v>238.37421715387239</v>
      </c>
      <c r="Y62">
        <f t="shared" si="28"/>
        <v>227.55448352835666</v>
      </c>
      <c r="Z62">
        <f t="shared" si="29"/>
        <v>216.7174781087935</v>
      </c>
      <c r="AA62">
        <f t="shared" si="30"/>
        <v>205.89160324331323</v>
      </c>
      <c r="AB62">
        <f t="shared" si="31"/>
        <v>195.09675943845491</v>
      </c>
      <c r="AC62">
        <f t="shared" si="32"/>
        <v>184.3458879249672</v>
      </c>
      <c r="AD62">
        <f t="shared" si="33"/>
        <v>173.64622316971287</v>
      </c>
      <c r="AE62">
        <f t="shared" si="34"/>
        <v>163.00032081322945</v>
      </c>
      <c r="AF62">
        <f t="shared" si="35"/>
        <v>152.40691433515408</v>
      </c>
      <c r="AG62">
        <f t="shared" si="36"/>
        <v>141.86164287438945</v>
      </c>
      <c r="AH62">
        <f t="shared" si="37"/>
        <v>131.35768347917863</v>
      </c>
      <c r="AI62">
        <f t="shared" si="120"/>
        <v>120.88631367977294</v>
      </c>
      <c r="AJ62">
        <f t="shared" si="103"/>
        <v>110.43742453366363</v>
      </c>
      <c r="AK62">
        <f t="shared" si="39"/>
        <v>100</v>
      </c>
      <c r="AL62" s="47"/>
      <c r="AM62" s="26">
        <v>2.3333333333333334E-2</v>
      </c>
      <c r="AN62" s="27">
        <f t="shared" si="40"/>
        <v>-1076400000</v>
      </c>
      <c r="AO62" s="27">
        <f t="shared" si="104"/>
        <v>-1124758170.1860194</v>
      </c>
      <c r="AP62" s="27">
        <f t="shared" si="41"/>
        <v>-1161491133.3592691</v>
      </c>
      <c r="AQ62" s="27">
        <f t="shared" si="42"/>
        <v>-1186706539.2150085</v>
      </c>
      <c r="AR62" s="27">
        <f t="shared" si="43"/>
        <v>-1200418000.6858034</v>
      </c>
      <c r="AS62" s="27">
        <f t="shared" si="44"/>
        <v>-1203580591.852648</v>
      </c>
      <c r="AT62" s="27">
        <f t="shared" si="45"/>
        <v>-1197570816.3356764</v>
      </c>
      <c r="AU62" s="27">
        <f t="shared" si="46"/>
        <v>-1183871725.4602382</v>
      </c>
      <c r="AV62" s="27">
        <f t="shared" si="47"/>
        <v>-1163898851.6979613</v>
      </c>
      <c r="AW62" s="27">
        <f t="shared" si="48"/>
        <v>-1138916409.1446717</v>
      </c>
      <c r="AX62" s="27">
        <f t="shared" si="49"/>
        <v>-1110007703.1658113</v>
      </c>
      <c r="AY62" s="27">
        <f t="shared" si="50"/>
        <v>-1078075703.4933453</v>
      </c>
      <c r="AZ62" s="27">
        <f t="shared" si="51"/>
        <v>-1043858625.8058063</v>
      </c>
      <c r="BA62" s="27">
        <f t="shared" si="52"/>
        <v>-1007951492.2904849</v>
      </c>
      <c r="BB62" s="27">
        <f t="shared" si="53"/>
        <v>-970828638.77863026</v>
      </c>
      <c r="BC62" s="27">
        <f t="shared" si="54"/>
        <v>-932864621.85731196</v>
      </c>
      <c r="BD62" s="27">
        <f t="shared" si="55"/>
        <v>-894352450.70215571</v>
      </c>
      <c r="BE62" s="27">
        <f t="shared" si="56"/>
        <v>-855518888.94417107</v>
      </c>
      <c r="BF62" s="27">
        <f t="shared" si="57"/>
        <v>-816536992.12710035</v>
      </c>
      <c r="BG62" s="27">
        <f t="shared" si="58"/>
        <v>-777536230.96044827</v>
      </c>
      <c r="BH62" s="27">
        <f t="shared" si="59"/>
        <v>-738610603.8460331</v>
      </c>
      <c r="BI62" s="27">
        <f t="shared" si="60"/>
        <v>-699825127.57890213</v>
      </c>
      <c r="BJ62" s="27">
        <f t="shared" si="61"/>
        <v>-661221049.89569628</v>
      </c>
      <c r="BK62" s="27">
        <f t="shared" si="62"/>
        <v>-622820072.40201855</v>
      </c>
      <c r="BL62" s="27">
        <f t="shared" si="63"/>
        <v>-584627818.14125824</v>
      </c>
      <c r="BM62" s="27">
        <f t="shared" si="64"/>
        <v>-546636729.66286659</v>
      </c>
      <c r="BN62" s="27">
        <f t="shared" si="65"/>
        <v>-508828542.68191677</v>
      </c>
      <c r="BO62" s="27">
        <f t="shared" si="66"/>
        <v>-471176447.39665985</v>
      </c>
      <c r="BP62" s="27">
        <f t="shared" si="67"/>
        <v>-433647023.57837856</v>
      </c>
      <c r="BQ62" s="27">
        <f t="shared" si="68"/>
        <v>-396202015.73126006</v>
      </c>
      <c r="BR62" s="27">
        <f t="shared" si="69"/>
        <v>-358800000</v>
      </c>
      <c r="BT62" s="47"/>
      <c r="BU62" s="26">
        <v>2.3333333333333334E-2</v>
      </c>
      <c r="BV62" s="13">
        <v>0</v>
      </c>
      <c r="BW62" s="13">
        <f t="shared" ref="BW62:CY62" si="127">$B$20/($B$21-$B$22*BV62)</f>
        <v>0.34883720930232553</v>
      </c>
      <c r="BX62" s="13">
        <f t="shared" si="127"/>
        <v>0.39716748768472904</v>
      </c>
      <c r="BY62" s="13">
        <f t="shared" si="127"/>
        <v>0.40494040593779607</v>
      </c>
      <c r="BZ62" s="13">
        <f t="shared" si="127"/>
        <v>0.4062190081621499</v>
      </c>
      <c r="CA62" s="13">
        <f t="shared" si="127"/>
        <v>0.40643010492156101</v>
      </c>
      <c r="CB62" s="13">
        <f t="shared" si="127"/>
        <v>0.40646497802255066</v>
      </c>
      <c r="CC62" s="13">
        <f t="shared" si="127"/>
        <v>0.40647073962099717</v>
      </c>
      <c r="CD62" s="13">
        <f t="shared" si="127"/>
        <v>0.40647169154566137</v>
      </c>
      <c r="CE62" s="13">
        <f t="shared" si="127"/>
        <v>0.40647184882198806</v>
      </c>
      <c r="CF62" s="13">
        <f t="shared" si="127"/>
        <v>0.40647187480708435</v>
      </c>
      <c r="CG62" s="13">
        <f t="shared" si="127"/>
        <v>0.40647187910032606</v>
      </c>
      <c r="CH62" s="13">
        <f t="shared" si="127"/>
        <v>0.40647187980965277</v>
      </c>
      <c r="CI62" s="13">
        <f t="shared" si="127"/>
        <v>0.4064718799268473</v>
      </c>
      <c r="CJ62" s="13">
        <f t="shared" si="127"/>
        <v>0.40647187994621015</v>
      </c>
      <c r="CK62" s="13">
        <f t="shared" si="127"/>
        <v>0.40647187994940925</v>
      </c>
      <c r="CL62" s="13">
        <f t="shared" si="127"/>
        <v>0.40647187994993778</v>
      </c>
      <c r="CM62" s="13">
        <f t="shared" si="127"/>
        <v>0.40647187995002515</v>
      </c>
      <c r="CN62" s="13">
        <f t="shared" si="127"/>
        <v>0.40647187995003953</v>
      </c>
      <c r="CO62" s="13">
        <f t="shared" si="127"/>
        <v>0.40647187995004191</v>
      </c>
      <c r="CP62" s="13">
        <f t="shared" si="127"/>
        <v>0.40647187995004236</v>
      </c>
      <c r="CQ62" s="13">
        <f t="shared" si="127"/>
        <v>0.40647187995004236</v>
      </c>
      <c r="CR62" s="13">
        <f t="shared" si="127"/>
        <v>0.40647187995004236</v>
      </c>
      <c r="CS62" s="13">
        <f t="shared" si="127"/>
        <v>0.40647187995004236</v>
      </c>
      <c r="CT62" s="13">
        <f t="shared" si="127"/>
        <v>0.40647187995004236</v>
      </c>
      <c r="CU62" s="13">
        <f t="shared" si="127"/>
        <v>0.40647187995004236</v>
      </c>
      <c r="CV62" s="13">
        <f t="shared" si="127"/>
        <v>0.40647187995004236</v>
      </c>
      <c r="CW62" s="13">
        <f t="shared" si="127"/>
        <v>0.40647187995004236</v>
      </c>
      <c r="CX62" s="13">
        <f t="shared" si="127"/>
        <v>0.40647187995004236</v>
      </c>
      <c r="CY62" s="13">
        <f t="shared" si="127"/>
        <v>0.40647187995004236</v>
      </c>
      <c r="CZ62" s="13">
        <f t="shared" si="71"/>
        <v>100</v>
      </c>
      <c r="DB62" s="47"/>
      <c r="DC62" s="26">
        <v>2.3333333333333334E-2</v>
      </c>
      <c r="DD62" s="13">
        <f t="shared" si="72"/>
        <v>300</v>
      </c>
      <c r="DE62" s="13">
        <f t="shared" si="73"/>
        <v>199.4235060824081</v>
      </c>
      <c r="DF62" s="13">
        <f t="shared" si="74"/>
        <v>190.63122743815342</v>
      </c>
      <c r="DG62" s="13">
        <f t="shared" si="75"/>
        <v>193.26806143452151</v>
      </c>
      <c r="DH62" s="13">
        <f t="shared" si="76"/>
        <v>196.29481472259388</v>
      </c>
      <c r="DI62" s="13">
        <f t="shared" si="77"/>
        <v>197.93746181191591</v>
      </c>
      <c r="DJ62" s="13">
        <f t="shared" si="78"/>
        <v>198.03208460201429</v>
      </c>
      <c r="DK62" s="13">
        <f t="shared" si="79"/>
        <v>196.72835800899648</v>
      </c>
      <c r="DL62" s="13">
        <f t="shared" si="80"/>
        <v>194.23792271523689</v>
      </c>
      <c r="DM62" s="13">
        <f t="shared" si="81"/>
        <v>190.77288970202667</v>
      </c>
      <c r="DN62" s="13">
        <f t="shared" si="82"/>
        <v>186.52616007097615</v>
      </c>
      <c r="DO62" s="13">
        <f t="shared" si="83"/>
        <v>181.66485062390726</v>
      </c>
      <c r="DP62" s="13">
        <f t="shared" si="84"/>
        <v>176.32937745568745</v>
      </c>
      <c r="DQ62" s="13">
        <f t="shared" si="85"/>
        <v>170.63523739252764</v>
      </c>
      <c r="DR62" s="13">
        <f t="shared" si="86"/>
        <v>164.67594792848442</v>
      </c>
      <c r="DS62" s="13">
        <f t="shared" si="87"/>
        <v>158.52629590134703</v>
      </c>
      <c r="DT62" s="13">
        <f t="shared" si="88"/>
        <v>152.24544817708571</v>
      </c>
      <c r="DU62" s="13">
        <f t="shared" si="89"/>
        <v>145.87971844304423</v>
      </c>
      <c r="DV62" s="13">
        <f t="shared" si="90"/>
        <v>139.46492278344382</v>
      </c>
      <c r="DW62" s="13">
        <f t="shared" si="91"/>
        <v>133.02833107255583</v>
      </c>
      <c r="DX62" s="13">
        <f t="shared" si="92"/>
        <v>126.5902566622033</v>
      </c>
      <c r="DY62" s="13">
        <f t="shared" si="93"/>
        <v>120.16533981253369</v>
      </c>
      <c r="DZ62" s="13">
        <f t="shared" si="94"/>
        <v>113.76358114694941</v>
      </c>
      <c r="EA62" s="13">
        <f t="shared" si="95"/>
        <v>107.39117633629949</v>
      </c>
      <c r="EB62" s="13">
        <f t="shared" si="96"/>
        <v>101.05119582603432</v>
      </c>
      <c r="EC62" s="13">
        <f t="shared" si="97"/>
        <v>94.744145663199475</v>
      </c>
      <c r="ED62" s="13">
        <f t="shared" si="98"/>
        <v>88.468438324725085</v>
      </c>
      <c r="EE62" s="13">
        <f t="shared" si="99"/>
        <v>82.220796297530796</v>
      </c>
      <c r="EF62" s="13">
        <f t="shared" si="100"/>
        <v>75.996606112733758</v>
      </c>
      <c r="EG62" s="13">
        <f t="shared" si="101"/>
        <v>69.790236538659386</v>
      </c>
      <c r="EH62" s="13">
        <f t="shared" si="102"/>
        <v>63.595331577030699</v>
      </c>
    </row>
    <row r="63" spans="5:138" x14ac:dyDescent="0.25">
      <c r="E63" s="49"/>
      <c r="F63" s="26">
        <v>0.02</v>
      </c>
      <c r="G63">
        <f t="shared" si="10"/>
        <v>300</v>
      </c>
      <c r="H63">
        <f t="shared" si="11"/>
        <v>308.14551341637684</v>
      </c>
      <c r="I63">
        <f t="shared" si="12"/>
        <v>315.07120291600592</v>
      </c>
      <c r="J63">
        <f t="shared" si="13"/>
        <v>320.16051976599124</v>
      </c>
      <c r="K63">
        <f t="shared" si="14"/>
        <v>323.13843695843298</v>
      </c>
      <c r="L63">
        <f t="shared" si="15"/>
        <v>323.97149942665254</v>
      </c>
      <c r="M63">
        <f t="shared" si="16"/>
        <v>322.7788423367881</v>
      </c>
      <c r="N63">
        <f t="shared" si="17"/>
        <v>319.76361815221662</v>
      </c>
      <c r="O63">
        <f t="shared" si="18"/>
        <v>315.16499723829958</v>
      </c>
      <c r="P63">
        <f t="shared" si="19"/>
        <v>309.22723473059392</v>
      </c>
      <c r="Q63">
        <f t="shared" si="20"/>
        <v>302.18145809036804</v>
      </c>
      <c r="R63">
        <f t="shared" si="21"/>
        <v>294.23624148954377</v>
      </c>
      <c r="S63">
        <f t="shared" si="22"/>
        <v>285.57386191745167</v>
      </c>
      <c r="T63">
        <f t="shared" si="23"/>
        <v>276.3499833082592</v>
      </c>
      <c r="U63">
        <f t="shared" si="24"/>
        <v>266.69523256148011</v>
      </c>
      <c r="V63">
        <f t="shared" si="25"/>
        <v>256.71767698769168</v>
      </c>
      <c r="W63">
        <f t="shared" si="26"/>
        <v>246.50560035463067</v>
      </c>
      <c r="X63">
        <f t="shared" si="27"/>
        <v>236.13023588179152</v>
      </c>
      <c r="Y63">
        <f t="shared" si="28"/>
        <v>225.6482823237651</v>
      </c>
      <c r="Z63">
        <f t="shared" si="29"/>
        <v>215.10413191538481</v>
      </c>
      <c r="AA63">
        <f t="shared" si="30"/>
        <v>204.53179813956945</v>
      </c>
      <c r="AB63">
        <f t="shared" si="31"/>
        <v>193.95656267560332</v>
      </c>
      <c r="AC63">
        <f t="shared" si="32"/>
        <v>183.39637525028394</v>
      </c>
      <c r="AD63">
        <f t="shared" si="33"/>
        <v>172.86304455598696</v>
      </c>
      <c r="AE63">
        <f t="shared" si="34"/>
        <v>162.3632574494232</v>
      </c>
      <c r="AF63">
        <f t="shared" si="35"/>
        <v>151.89946008679894</v>
      </c>
      <c r="AG63">
        <f t="shared" si="36"/>
        <v>141.47063012642798</v>
      </c>
      <c r="AH63">
        <f t="shared" si="37"/>
        <v>131.07296455662026</v>
      </c>
      <c r="AI63">
        <f t="shared" si="120"/>
        <v>120.70050356140584</v>
      </c>
      <c r="AJ63">
        <f t="shared" si="103"/>
        <v>110.34570733760353</v>
      </c>
      <c r="AK63">
        <f t="shared" si="39"/>
        <v>100</v>
      </c>
      <c r="AL63" s="47"/>
      <c r="AM63" s="26">
        <v>0.02</v>
      </c>
      <c r="AN63" s="27">
        <f t="shared" si="40"/>
        <v>-1076400000</v>
      </c>
      <c r="AO63" s="27">
        <f t="shared" si="104"/>
        <v>-1110676173.1532955</v>
      </c>
      <c r="AP63" s="27">
        <f t="shared" si="41"/>
        <v>-1138078058.8321543</v>
      </c>
      <c r="AQ63" s="27">
        <f t="shared" si="42"/>
        <v>-1157477139.5026069</v>
      </c>
      <c r="AR63" s="27">
        <f t="shared" si="43"/>
        <v>-1168300410.3651378</v>
      </c>
      <c r="AS63" s="27">
        <f t="shared" si="44"/>
        <v>-1170796218.9132972</v>
      </c>
      <c r="AT63" s="27">
        <f t="shared" si="45"/>
        <v>-1165675914.0764832</v>
      </c>
      <c r="AU63" s="27">
        <f t="shared" si="46"/>
        <v>-1153867124.3896432</v>
      </c>
      <c r="AV63" s="27">
        <f t="shared" si="47"/>
        <v>-1136356056.289304</v>
      </c>
      <c r="AW63" s="27">
        <f t="shared" si="48"/>
        <v>-1114094496.7220047</v>
      </c>
      <c r="AX63" s="27">
        <f t="shared" si="49"/>
        <v>-1087950753.0651181</v>
      </c>
      <c r="AY63" s="27">
        <f t="shared" si="50"/>
        <v>-1058688689.1655321</v>
      </c>
      <c r="AZ63" s="27">
        <f t="shared" si="51"/>
        <v>-1026963622.5734121</v>
      </c>
      <c r="BA63" s="27">
        <f t="shared" si="52"/>
        <v>-993327550.7596432</v>
      </c>
      <c r="BB63" s="27">
        <f t="shared" si="53"/>
        <v>-958238906.41440928</v>
      </c>
      <c r="BC63" s="27">
        <f t="shared" si="54"/>
        <v>-922073942.21722615</v>
      </c>
      <c r="BD63" s="27">
        <f t="shared" si="55"/>
        <v>-885138105.72909665</v>
      </c>
      <c r="BE63" s="27">
        <f t="shared" si="56"/>
        <v>-847676565.1565429</v>
      </c>
      <c r="BF63" s="27">
        <f t="shared" si="57"/>
        <v>-809883531.93813443</v>
      </c>
      <c r="BG63" s="27">
        <f t="shared" si="58"/>
        <v>-771910304.45358241</v>
      </c>
      <c r="BH63" s="27">
        <f t="shared" si="59"/>
        <v>-733872104.71371925</v>
      </c>
      <c r="BI63" s="27">
        <f t="shared" si="60"/>
        <v>-695853848.00006759</v>
      </c>
      <c r="BJ63" s="27">
        <f t="shared" si="61"/>
        <v>-657915007.53158617</v>
      </c>
      <c r="BK63" s="27">
        <f t="shared" si="62"/>
        <v>-620093733.41366613</v>
      </c>
      <c r="BL63" s="27">
        <f t="shared" si="63"/>
        <v>-582410370.18862104</v>
      </c>
      <c r="BM63" s="27">
        <f t="shared" si="64"/>
        <v>-544870497.74610603</v>
      </c>
      <c r="BN63" s="27">
        <f t="shared" si="65"/>
        <v>-507467600.31669182</v>
      </c>
      <c r="BO63" s="27">
        <f t="shared" si="66"/>
        <v>-470185449.89033765</v>
      </c>
      <c r="BP63" s="27">
        <f t="shared" si="67"/>
        <v>-433000274.62467802</v>
      </c>
      <c r="BQ63" s="27">
        <f t="shared" si="68"/>
        <v>-395882769.9384585</v>
      </c>
      <c r="BR63" s="27">
        <f t="shared" si="69"/>
        <v>-358800000</v>
      </c>
      <c r="BT63" s="47"/>
      <c r="BU63" s="26">
        <v>0.02</v>
      </c>
      <c r="BV63" s="13">
        <v>0</v>
      </c>
      <c r="BW63" s="13">
        <f t="shared" ref="BW63:CY63" si="128">$B$20/($B$21-$B$22*BV63)</f>
        <v>0.34883720930232553</v>
      </c>
      <c r="BX63" s="13">
        <f t="shared" si="128"/>
        <v>0.39716748768472904</v>
      </c>
      <c r="BY63" s="13">
        <f t="shared" si="128"/>
        <v>0.40494040593779607</v>
      </c>
      <c r="BZ63" s="13">
        <f t="shared" si="128"/>
        <v>0.4062190081621499</v>
      </c>
      <c r="CA63" s="13">
        <f t="shared" si="128"/>
        <v>0.40643010492156101</v>
      </c>
      <c r="CB63" s="13">
        <f t="shared" si="128"/>
        <v>0.40646497802255066</v>
      </c>
      <c r="CC63" s="13">
        <f t="shared" si="128"/>
        <v>0.40647073962099717</v>
      </c>
      <c r="CD63" s="13">
        <f t="shared" si="128"/>
        <v>0.40647169154566137</v>
      </c>
      <c r="CE63" s="13">
        <f t="shared" si="128"/>
        <v>0.40647184882198806</v>
      </c>
      <c r="CF63" s="13">
        <f t="shared" si="128"/>
        <v>0.40647187480708435</v>
      </c>
      <c r="CG63" s="13">
        <f t="shared" si="128"/>
        <v>0.40647187910032606</v>
      </c>
      <c r="CH63" s="13">
        <f t="shared" si="128"/>
        <v>0.40647187980965277</v>
      </c>
      <c r="CI63" s="13">
        <f t="shared" si="128"/>
        <v>0.4064718799268473</v>
      </c>
      <c r="CJ63" s="13">
        <f t="shared" si="128"/>
        <v>0.40647187994621015</v>
      </c>
      <c r="CK63" s="13">
        <f t="shared" si="128"/>
        <v>0.40647187994940925</v>
      </c>
      <c r="CL63" s="13">
        <f t="shared" si="128"/>
        <v>0.40647187994993778</v>
      </c>
      <c r="CM63" s="13">
        <f t="shared" si="128"/>
        <v>0.40647187995002515</v>
      </c>
      <c r="CN63" s="13">
        <f t="shared" si="128"/>
        <v>0.40647187995003953</v>
      </c>
      <c r="CO63" s="13">
        <f t="shared" si="128"/>
        <v>0.40647187995004191</v>
      </c>
      <c r="CP63" s="13">
        <f t="shared" si="128"/>
        <v>0.40647187995004236</v>
      </c>
      <c r="CQ63" s="13">
        <f t="shared" si="128"/>
        <v>0.40647187995004236</v>
      </c>
      <c r="CR63" s="13">
        <f t="shared" si="128"/>
        <v>0.40647187995004236</v>
      </c>
      <c r="CS63" s="13">
        <f t="shared" si="128"/>
        <v>0.40647187995004236</v>
      </c>
      <c r="CT63" s="13">
        <f t="shared" si="128"/>
        <v>0.40647187995004236</v>
      </c>
      <c r="CU63" s="13">
        <f t="shared" si="128"/>
        <v>0.40647187995004236</v>
      </c>
      <c r="CV63" s="13">
        <f t="shared" si="128"/>
        <v>0.40647187995004236</v>
      </c>
      <c r="CW63" s="13">
        <f t="shared" si="128"/>
        <v>0.40647187995004236</v>
      </c>
      <c r="CX63" s="13">
        <f t="shared" si="128"/>
        <v>0.40647187995004236</v>
      </c>
      <c r="CY63" s="13">
        <f t="shared" si="128"/>
        <v>0.40647187995004236</v>
      </c>
      <c r="CZ63" s="13">
        <f t="shared" si="71"/>
        <v>100</v>
      </c>
      <c r="DB63" s="47"/>
      <c r="DC63" s="26">
        <v>0.02</v>
      </c>
      <c r="DD63" s="13">
        <f t="shared" si="72"/>
        <v>300</v>
      </c>
      <c r="DE63" s="13">
        <f t="shared" si="73"/>
        <v>198.23695425963061</v>
      </c>
      <c r="DF63" s="13">
        <f t="shared" si="74"/>
        <v>187.91385362471016</v>
      </c>
      <c r="DG63" s="13">
        <f t="shared" si="75"/>
        <v>189.30870992993849</v>
      </c>
      <c r="DH63" s="13">
        <f t="shared" si="76"/>
        <v>191.5350557885337</v>
      </c>
      <c r="DI63" s="13">
        <f t="shared" si="77"/>
        <v>192.78446066925176</v>
      </c>
      <c r="DJ63" s="13">
        <f t="shared" si="78"/>
        <v>192.80613031213613</v>
      </c>
      <c r="DK63" s="13">
        <f t="shared" si="79"/>
        <v>191.65826862211543</v>
      </c>
      <c r="DL63" s="13">
        <f t="shared" si="80"/>
        <v>189.47288006536778</v>
      </c>
      <c r="DM63" s="13">
        <f t="shared" si="81"/>
        <v>186.39897878087791</v>
      </c>
      <c r="DN63" s="13">
        <f t="shared" si="82"/>
        <v>182.58270137592316</v>
      </c>
      <c r="DO63" s="13">
        <f t="shared" si="83"/>
        <v>178.15849721402017</v>
      </c>
      <c r="DP63" s="13">
        <f t="shared" si="84"/>
        <v>173.24536471677737</v>
      </c>
      <c r="DQ63" s="13">
        <f t="shared" si="85"/>
        <v>167.94587076146667</v>
      </c>
      <c r="DR63" s="13">
        <f t="shared" si="86"/>
        <v>162.34671578086915</v>
      </c>
      <c r="DS63" s="13">
        <f t="shared" si="87"/>
        <v>156.52008219348718</v>
      </c>
      <c r="DT63" s="13">
        <f t="shared" si="88"/>
        <v>150.52529946273663</v>
      </c>
      <c r="DU63" s="13">
        <f t="shared" si="89"/>
        <v>144.41055435815667</v>
      </c>
      <c r="DV63" s="13">
        <f t="shared" si="90"/>
        <v>138.21450143909735</v>
      </c>
      <c r="DW63" s="13">
        <f t="shared" si="91"/>
        <v>131.96770741603154</v>
      </c>
      <c r="DX63" s="13">
        <f t="shared" si="92"/>
        <v>125.69390948016876</v>
      </c>
      <c r="DY63" s="13">
        <f t="shared" si="93"/>
        <v>119.41109325159699</v>
      </c>
      <c r="DZ63" s="13">
        <f t="shared" si="94"/>
        <v>113.13240855572397</v>
      </c>
      <c r="EA63" s="13">
        <f t="shared" si="95"/>
        <v>106.86694606570721</v>
      </c>
      <c r="EB63" s="13">
        <f t="shared" si="96"/>
        <v>100.62039834454562</v>
      </c>
      <c r="EC63" s="13">
        <f t="shared" si="97"/>
        <v>94.395627101592652</v>
      </c>
      <c r="ED63" s="13">
        <f t="shared" si="98"/>
        <v>88.193155812473265</v>
      </c>
      <c r="EE63" s="13">
        <f t="shared" si="99"/>
        <v>82.011603963098864</v>
      </c>
      <c r="EF63" s="13">
        <f t="shared" si="100"/>
        <v>75.848076455472949</v>
      </c>
      <c r="EG63" s="13">
        <f t="shared" si="101"/>
        <v>69.698519342599283</v>
      </c>
      <c r="EH63" s="13">
        <f t="shared" si="102"/>
        <v>63.558051115924407</v>
      </c>
    </row>
    <row r="64" spans="5:138" x14ac:dyDescent="0.25">
      <c r="E64" s="49"/>
      <c r="F64" s="26">
        <v>1.6666666666666666E-2</v>
      </c>
      <c r="G64">
        <f t="shared" si="10"/>
        <v>300</v>
      </c>
      <c r="H64">
        <f t="shared" si="11"/>
        <v>305.91546438757064</v>
      </c>
      <c r="I64">
        <f t="shared" si="12"/>
        <v>311.00528111209962</v>
      </c>
      <c r="J64">
        <f t="shared" si="13"/>
        <v>314.76416114766494</v>
      </c>
      <c r="K64">
        <f t="shared" si="14"/>
        <v>316.91377239552236</v>
      </c>
      <c r="L64">
        <f t="shared" si="15"/>
        <v>317.3551818239859</v>
      </c>
      <c r="M64">
        <f t="shared" si="16"/>
        <v>316.11689379272485</v>
      </c>
      <c r="N64">
        <f t="shared" si="17"/>
        <v>313.30913594458804</v>
      </c>
      <c r="O64">
        <f t="shared" si="18"/>
        <v>309.0880455777434</v>
      </c>
      <c r="P64">
        <f t="shared" si="19"/>
        <v>303.62981595969791</v>
      </c>
      <c r="Q64">
        <f t="shared" si="20"/>
        <v>297.11331310934355</v>
      </c>
      <c r="R64">
        <f t="shared" si="21"/>
        <v>289.70923986375044</v>
      </c>
      <c r="S64">
        <f t="shared" si="22"/>
        <v>281.57402962907963</v>
      </c>
      <c r="T64">
        <f t="shared" si="23"/>
        <v>272.84696907199316</v>
      </c>
      <c r="U64">
        <f t="shared" si="24"/>
        <v>263.64940695476344</v>
      </c>
      <c r="V64">
        <f t="shared" si="25"/>
        <v>254.08522809406745</v>
      </c>
      <c r="W64">
        <f t="shared" si="26"/>
        <v>244.24203036730614</v>
      </c>
      <c r="X64">
        <f t="shared" si="27"/>
        <v>234.19263713213053</v>
      </c>
      <c r="Y64">
        <f t="shared" si="28"/>
        <v>223.99671623966054</v>
      </c>
      <c r="Z64">
        <f t="shared" si="29"/>
        <v>213.70237188357655</v>
      </c>
      <c r="AA64">
        <f t="shared" si="30"/>
        <v>203.3476381720931</v>
      </c>
      <c r="AB64">
        <f t="shared" si="31"/>
        <v>192.96184297807002</v>
      </c>
      <c r="AC64">
        <f t="shared" si="32"/>
        <v>182.56683459074378</v>
      </c>
      <c r="AD64">
        <f t="shared" si="33"/>
        <v>172.17807728703363</v>
      </c>
      <c r="AE64">
        <f t="shared" si="34"/>
        <v>161.80562891220316</v>
      </c>
      <c r="AF64">
        <f t="shared" si="35"/>
        <v>151.45501646889576</v>
      </c>
      <c r="AG64">
        <f t="shared" si="36"/>
        <v>141.1280262598481</v>
      </c>
      <c r="AH64">
        <f t="shared" si="37"/>
        <v>130.82342441227453</v>
      </c>
      <c r="AI64">
        <f t="shared" si="120"/>
        <v>120.53762232368277</v>
      </c>
      <c r="AJ64">
        <f t="shared" si="103"/>
        <v>110.26530013407321</v>
      </c>
      <c r="AK64">
        <f t="shared" si="39"/>
        <v>100</v>
      </c>
      <c r="AL64" s="47"/>
      <c r="AM64" s="26">
        <v>1.6666666666666666E-2</v>
      </c>
      <c r="AN64" s="27">
        <f t="shared" si="40"/>
        <v>-1076400000</v>
      </c>
      <c r="AO64" s="27">
        <f t="shared" si="104"/>
        <v>-1101042867.547596</v>
      </c>
      <c r="AP64" s="27">
        <f t="shared" si="41"/>
        <v>-1121397026.5225224</v>
      </c>
      <c r="AQ64" s="27">
        <f t="shared" si="42"/>
        <v>-1136036182.9789326</v>
      </c>
      <c r="AR64" s="27">
        <f t="shared" si="43"/>
        <v>-1144158570.8874252</v>
      </c>
      <c r="AS64" s="27">
        <f t="shared" si="44"/>
        <v>-1145624339.8677213</v>
      </c>
      <c r="AT64" s="27">
        <f t="shared" si="45"/>
        <v>-1140725019.9701624</v>
      </c>
      <c r="AU64" s="27">
        <f t="shared" si="46"/>
        <v>-1130004376.3966317</v>
      </c>
      <c r="AV64" s="27">
        <f t="shared" si="47"/>
        <v>-1114129664.0329156</v>
      </c>
      <c r="AW64" s="27">
        <f t="shared" si="48"/>
        <v>-1093805030.8451545</v>
      </c>
      <c r="AX64" s="27">
        <f t="shared" si="49"/>
        <v>-1069717108.8726133</v>
      </c>
      <c r="AY64" s="27">
        <f t="shared" si="50"/>
        <v>-1042503659.7659179</v>
      </c>
      <c r="AZ64" s="27">
        <f t="shared" si="51"/>
        <v>-1012737878.643939</v>
      </c>
      <c r="BA64" s="27">
        <f t="shared" si="52"/>
        <v>-980922801.4893043</v>
      </c>
      <c r="BB64" s="27">
        <f t="shared" si="53"/>
        <v>-947491865.47164154</v>
      </c>
      <c r="BC64" s="27">
        <f t="shared" si="54"/>
        <v>-912812936.50702453</v>
      </c>
      <c r="BD64" s="27">
        <f t="shared" si="55"/>
        <v>-877194054.36273026</v>
      </c>
      <c r="BE64" s="27">
        <f t="shared" si="56"/>
        <v>-840889806.53128314</v>
      </c>
      <c r="BF64" s="27">
        <f t="shared" si="57"/>
        <v>-804107691.00726402</v>
      </c>
      <c r="BG64" s="27">
        <f t="shared" si="58"/>
        <v>-767014122.24962676</v>
      </c>
      <c r="BH64" s="27">
        <f t="shared" si="59"/>
        <v>-729739920.29918385</v>
      </c>
      <c r="BI64" s="27">
        <f t="shared" si="60"/>
        <v>-692385235.22559083</v>
      </c>
      <c r="BJ64" s="27">
        <f t="shared" si="61"/>
        <v>-655023923.02541816</v>
      </c>
      <c r="BK64" s="27">
        <f t="shared" si="62"/>
        <v>-617707422.34031498</v>
      </c>
      <c r="BL64" s="27">
        <f t="shared" si="63"/>
        <v>-580468195.78047943</v>
      </c>
      <c r="BM64" s="27">
        <f t="shared" si="64"/>
        <v>-543322803.04056287</v>
      </c>
      <c r="BN64" s="27">
        <f t="shared" si="65"/>
        <v>-506274670.40383238</v>
      </c>
      <c r="BO64" s="27">
        <f t="shared" si="66"/>
        <v>-469316615.78905654</v>
      </c>
      <c r="BP64" s="27">
        <f t="shared" si="67"/>
        <v>-432433182.11558771</v>
      </c>
      <c r="BQ64" s="27">
        <f t="shared" si="68"/>
        <v>-395602825.57113451</v>
      </c>
      <c r="BR64" s="27">
        <f t="shared" si="69"/>
        <v>-358800000</v>
      </c>
      <c r="BT64" s="47"/>
      <c r="BU64" s="26">
        <v>1.6666666666666666E-2</v>
      </c>
      <c r="BV64" s="13">
        <v>0</v>
      </c>
      <c r="BW64" s="13">
        <f t="shared" ref="BW64:CY64" si="129">$B$20/($B$21-$B$22*BV64)</f>
        <v>0.34883720930232553</v>
      </c>
      <c r="BX64" s="13">
        <f t="shared" si="129"/>
        <v>0.39716748768472904</v>
      </c>
      <c r="BY64" s="13">
        <f t="shared" si="129"/>
        <v>0.40494040593779607</v>
      </c>
      <c r="BZ64" s="13">
        <f t="shared" si="129"/>
        <v>0.4062190081621499</v>
      </c>
      <c r="CA64" s="13">
        <f t="shared" si="129"/>
        <v>0.40643010492156101</v>
      </c>
      <c r="CB64" s="13">
        <f t="shared" si="129"/>
        <v>0.40646497802255066</v>
      </c>
      <c r="CC64" s="13">
        <f t="shared" si="129"/>
        <v>0.40647073962099717</v>
      </c>
      <c r="CD64" s="13">
        <f t="shared" si="129"/>
        <v>0.40647169154566137</v>
      </c>
      <c r="CE64" s="13">
        <f t="shared" si="129"/>
        <v>0.40647184882198806</v>
      </c>
      <c r="CF64" s="13">
        <f t="shared" si="129"/>
        <v>0.40647187480708435</v>
      </c>
      <c r="CG64" s="13">
        <f t="shared" si="129"/>
        <v>0.40647187910032606</v>
      </c>
      <c r="CH64" s="13">
        <f t="shared" si="129"/>
        <v>0.40647187980965277</v>
      </c>
      <c r="CI64" s="13">
        <f t="shared" si="129"/>
        <v>0.4064718799268473</v>
      </c>
      <c r="CJ64" s="13">
        <f t="shared" si="129"/>
        <v>0.40647187994621015</v>
      </c>
      <c r="CK64" s="13">
        <f t="shared" si="129"/>
        <v>0.40647187994940925</v>
      </c>
      <c r="CL64" s="13">
        <f t="shared" si="129"/>
        <v>0.40647187994993778</v>
      </c>
      <c r="CM64" s="13">
        <f t="shared" si="129"/>
        <v>0.40647187995002515</v>
      </c>
      <c r="CN64" s="13">
        <f t="shared" si="129"/>
        <v>0.40647187995003953</v>
      </c>
      <c r="CO64" s="13">
        <f t="shared" si="129"/>
        <v>0.40647187995004191</v>
      </c>
      <c r="CP64" s="13">
        <f t="shared" si="129"/>
        <v>0.40647187995004236</v>
      </c>
      <c r="CQ64" s="13">
        <f t="shared" si="129"/>
        <v>0.40647187995004236</v>
      </c>
      <c r="CR64" s="13">
        <f t="shared" si="129"/>
        <v>0.40647187995004236</v>
      </c>
      <c r="CS64" s="13">
        <f t="shared" si="129"/>
        <v>0.40647187995004236</v>
      </c>
      <c r="CT64" s="13">
        <f t="shared" si="129"/>
        <v>0.40647187995004236</v>
      </c>
      <c r="CU64" s="13">
        <f t="shared" si="129"/>
        <v>0.40647187995004236</v>
      </c>
      <c r="CV64" s="13">
        <f t="shared" si="129"/>
        <v>0.40647187995004236</v>
      </c>
      <c r="CW64" s="13">
        <f t="shared" si="129"/>
        <v>0.40647187995004236</v>
      </c>
      <c r="CX64" s="13">
        <f t="shared" si="129"/>
        <v>0.40647187995004236</v>
      </c>
      <c r="CY64" s="13">
        <f t="shared" si="129"/>
        <v>0.40647187995004236</v>
      </c>
      <c r="CZ64" s="13">
        <f t="shared" si="71"/>
        <v>100</v>
      </c>
      <c r="DB64" s="47"/>
      <c r="DC64" s="26">
        <v>1.6666666666666666E-2</v>
      </c>
      <c r="DD64" s="13">
        <f t="shared" si="72"/>
        <v>300</v>
      </c>
      <c r="DE64" s="13">
        <f t="shared" si="73"/>
        <v>197.42525004614058</v>
      </c>
      <c r="DF64" s="13">
        <f t="shared" si="74"/>
        <v>185.99119001589031</v>
      </c>
      <c r="DG64" s="13">
        <f t="shared" si="75"/>
        <v>186.4329695065438</v>
      </c>
      <c r="DH64" s="13">
        <f t="shared" si="76"/>
        <v>187.99806519986407</v>
      </c>
      <c r="DI64" s="13">
        <f t="shared" si="77"/>
        <v>188.87575951233077</v>
      </c>
      <c r="DJ64" s="13">
        <f t="shared" si="78"/>
        <v>188.76770273674356</v>
      </c>
      <c r="DK64" s="13">
        <f t="shared" si="79"/>
        <v>187.67388945059417</v>
      </c>
      <c r="DL64" s="13">
        <f t="shared" si="80"/>
        <v>185.67112068090717</v>
      </c>
      <c r="DM64" s="13">
        <f t="shared" si="81"/>
        <v>182.8616182705168</v>
      </c>
      <c r="DN64" s="13">
        <f t="shared" si="82"/>
        <v>179.35465523298961</v>
      </c>
      <c r="DO64" s="13">
        <f t="shared" si="83"/>
        <v>175.25731493456755</v>
      </c>
      <c r="DP64" s="13">
        <f t="shared" si="84"/>
        <v>170.6694092100204</v>
      </c>
      <c r="DQ64" s="13">
        <f t="shared" si="85"/>
        <v>165.68089898549204</v>
      </c>
      <c r="DR64" s="13">
        <f t="shared" si="86"/>
        <v>160.3709066248062</v>
      </c>
      <c r="DS64" s="13">
        <f t="shared" si="87"/>
        <v>154.80771084800782</v>
      </c>
      <c r="DT64" s="13">
        <f t="shared" si="88"/>
        <v>149.04930888177546</v>
      </c>
      <c r="DU64" s="13">
        <f t="shared" si="89"/>
        <v>143.14427077956339</v>
      </c>
      <c r="DV64" s="13">
        <f t="shared" si="90"/>
        <v>137.1327113903607</v>
      </c>
      <c r="DW64" s="13">
        <f t="shared" si="91"/>
        <v>131.04727511236496</v>
      </c>
      <c r="DX64" s="13">
        <f t="shared" si="92"/>
        <v>124.91407509817209</v>
      </c>
      <c r="DY64" s="13">
        <f t="shared" si="93"/>
        <v>118.75355850544199</v>
      </c>
      <c r="DZ64" s="13">
        <f t="shared" si="94"/>
        <v>112.58128782969953</v>
      </c>
      <c r="EA64" s="13">
        <f t="shared" si="95"/>
        <v>106.40863911659149</v>
      </c>
      <c r="EB64" s="13">
        <f t="shared" si="96"/>
        <v>100.24342364022647</v>
      </c>
      <c r="EC64" s="13">
        <f t="shared" si="97"/>
        <v>94.090442321416361</v>
      </c>
      <c r="ED64" s="13">
        <f t="shared" si="98"/>
        <v>87.951982997488599</v>
      </c>
      <c r="EE64" s="13">
        <f t="shared" si="99"/>
        <v>81.828270461659002</v>
      </c>
      <c r="EF64" s="13">
        <f t="shared" si="100"/>
        <v>75.717878484930381</v>
      </c>
      <c r="EG64" s="13">
        <f t="shared" si="101"/>
        <v>69.618112139068984</v>
      </c>
      <c r="EH64" s="13">
        <f t="shared" si="102"/>
        <v>63.525367848743919</v>
      </c>
    </row>
    <row r="65" spans="5:138" x14ac:dyDescent="0.25">
      <c r="E65" s="49"/>
      <c r="F65" s="26">
        <v>1.3333333333333334E-2</v>
      </c>
      <c r="G65">
        <f t="shared" si="10"/>
        <v>300</v>
      </c>
      <c r="H65">
        <f t="shared" si="11"/>
        <v>304.34647511844389</v>
      </c>
      <c r="I65">
        <f t="shared" si="12"/>
        <v>308.10145874710793</v>
      </c>
      <c r="J65">
        <f t="shared" si="13"/>
        <v>310.85005215871672</v>
      </c>
      <c r="K65">
        <f t="shared" si="14"/>
        <v>312.33005295103885</v>
      </c>
      <c r="L65">
        <f t="shared" si="15"/>
        <v>312.41260010293342</v>
      </c>
      <c r="M65">
        <f t="shared" si="16"/>
        <v>311.07318698249617</v>
      </c>
      <c r="N65">
        <f t="shared" si="17"/>
        <v>308.36196098095837</v>
      </c>
      <c r="O65">
        <f t="shared" si="18"/>
        <v>304.37768241347482</v>
      </c>
      <c r="P65">
        <f t="shared" si="19"/>
        <v>299.24692719057305</v>
      </c>
      <c r="Q65">
        <f t="shared" si="20"/>
        <v>293.10858737626904</v>
      </c>
      <c r="R65">
        <f t="shared" si="21"/>
        <v>286.10300283177389</v>
      </c>
      <c r="S65">
        <f t="shared" si="22"/>
        <v>278.36481146139272</v>
      </c>
      <c r="T65">
        <f t="shared" si="23"/>
        <v>270.01861150164069</v>
      </c>
      <c r="U65">
        <f t="shared" si="24"/>
        <v>261.17664925188615</v>
      </c>
      <c r="V65">
        <f t="shared" si="25"/>
        <v>251.93790165429118</v>
      </c>
      <c r="W65">
        <f t="shared" si="26"/>
        <v>242.38807522633817</v>
      </c>
      <c r="X65">
        <f t="shared" si="27"/>
        <v>232.60017363452471</v>
      </c>
      <c r="Y65">
        <f t="shared" si="28"/>
        <v>222.63539068750799</v>
      </c>
      <c r="Z65">
        <f t="shared" si="29"/>
        <v>212.54416490092777</v>
      </c>
      <c r="AA65">
        <f t="shared" si="30"/>
        <v>202.36728979052265</v>
      </c>
      <c r="AB65">
        <f t="shared" si="31"/>
        <v>192.13701507291623</v>
      </c>
      <c r="AC65">
        <f t="shared" si="32"/>
        <v>181.87810209835084</v>
      </c>
      <c r="AD65">
        <f t="shared" si="33"/>
        <v>171.60881556071064</v>
      </c>
      <c r="AE65">
        <f t="shared" si="34"/>
        <v>161.34184555787746</v>
      </c>
      <c r="AF65">
        <f t="shared" si="35"/>
        <v>151.08516147849252</v>
      </c>
      <c r="AG65">
        <f t="shared" si="36"/>
        <v>140.84280348843254</v>
      </c>
      <c r="AH65">
        <f t="shared" si="37"/>
        <v>130.61561966953968</v>
      </c>
      <c r="AI65">
        <f t="shared" si="120"/>
        <v>120.40195788722664</v>
      </c>
      <c r="AJ65">
        <f t="shared" si="103"/>
        <v>110.19832175732839</v>
      </c>
      <c r="AK65">
        <f t="shared" si="39"/>
        <v>100</v>
      </c>
      <c r="AL65" s="47"/>
      <c r="AM65" s="26">
        <v>1.3333333333333334E-2</v>
      </c>
      <c r="AN65" s="27">
        <f t="shared" si="40"/>
        <v>-1076400000</v>
      </c>
      <c r="AO65" s="27">
        <f t="shared" si="104"/>
        <v>-1094443927.4926658</v>
      </c>
      <c r="AP65" s="27">
        <f t="shared" si="41"/>
        <v>-1109634489.4832318</v>
      </c>
      <c r="AQ65" s="27">
        <f t="shared" si="42"/>
        <v>-1120581960.5893223</v>
      </c>
      <c r="AR65" s="27">
        <f t="shared" si="43"/>
        <v>-1126425688.0596974</v>
      </c>
      <c r="AS65" s="27">
        <f t="shared" si="44"/>
        <v>-1126823324.696779</v>
      </c>
      <c r="AT65" s="27">
        <f t="shared" si="45"/>
        <v>-1121809900.2209523</v>
      </c>
      <c r="AU65" s="27">
        <f t="shared" si="46"/>
        <v>-1111673153.622694</v>
      </c>
      <c r="AV65" s="27">
        <f t="shared" si="47"/>
        <v>-1096853537.8529792</v>
      </c>
      <c r="AW65" s="27">
        <f t="shared" si="48"/>
        <v>-1077869374.9681814</v>
      </c>
      <c r="AX65" s="27">
        <f t="shared" si="49"/>
        <v>-1055264004.6890448</v>
      </c>
      <c r="AY65" s="27">
        <f t="shared" si="50"/>
        <v>-1029570566.4195725</v>
      </c>
      <c r="AZ65" s="27">
        <f t="shared" si="51"/>
        <v>-1001290099.0834726</v>
      </c>
      <c r="BA65" s="27">
        <f t="shared" si="52"/>
        <v>-970879233.94849753</v>
      </c>
      <c r="BB65" s="27">
        <f t="shared" si="53"/>
        <v>-938744508.8558265</v>
      </c>
      <c r="BC65" s="27">
        <f t="shared" si="54"/>
        <v>-905241057.49327922</v>
      </c>
      <c r="BD65" s="27">
        <f t="shared" si="55"/>
        <v>-870674045.09048378</v>
      </c>
      <c r="BE65" s="27">
        <f t="shared" si="56"/>
        <v>-835301711.81121612</v>
      </c>
      <c r="BF65" s="27">
        <f t="shared" si="57"/>
        <v>-799339255.14257145</v>
      </c>
      <c r="BG65" s="27">
        <f t="shared" si="58"/>
        <v>-762963051.86516416</v>
      </c>
      <c r="BH65" s="27">
        <f t="shared" si="59"/>
        <v>-726314910.14220834</v>
      </c>
      <c r="BI65" s="27">
        <f t="shared" si="60"/>
        <v>-689506172.46543372</v>
      </c>
      <c r="BJ65" s="27">
        <f t="shared" si="61"/>
        <v>-652621576.88001263</v>
      </c>
      <c r="BK65" s="27">
        <f t="shared" si="62"/>
        <v>-615722839.7777288</v>
      </c>
      <c r="BL65" s="27">
        <f t="shared" si="63"/>
        <v>-578851958.13858902</v>
      </c>
      <c r="BM65" s="27">
        <f t="shared" si="64"/>
        <v>-542034249.37502575</v>
      </c>
      <c r="BN65" s="27">
        <f t="shared" si="65"/>
        <v>-505281157.84786427</v>
      </c>
      <c r="BO65" s="27">
        <f t="shared" si="66"/>
        <v>-468592862.14286798</v>
      </c>
      <c r="BP65" s="27">
        <f t="shared" si="67"/>
        <v>-431960718.69837213</v>
      </c>
      <c r="BQ65" s="27">
        <f t="shared" si="68"/>
        <v>-395369576.96285504</v>
      </c>
      <c r="BR65" s="27">
        <f t="shared" si="69"/>
        <v>-358800000</v>
      </c>
      <c r="BT65" s="47"/>
      <c r="BU65" s="26">
        <v>1.3333333333333334E-2</v>
      </c>
      <c r="BV65" s="13">
        <v>0</v>
      </c>
      <c r="BW65" s="13">
        <f t="shared" ref="BW65:CY65" si="130">$B$20/($B$21-$B$22*BV65)</f>
        <v>0.34883720930232553</v>
      </c>
      <c r="BX65" s="13">
        <f t="shared" si="130"/>
        <v>0.39716748768472904</v>
      </c>
      <c r="BY65" s="13">
        <f t="shared" si="130"/>
        <v>0.40494040593779607</v>
      </c>
      <c r="BZ65" s="13">
        <f t="shared" si="130"/>
        <v>0.4062190081621499</v>
      </c>
      <c r="CA65" s="13">
        <f t="shared" si="130"/>
        <v>0.40643010492156101</v>
      </c>
      <c r="CB65" s="13">
        <f t="shared" si="130"/>
        <v>0.40646497802255066</v>
      </c>
      <c r="CC65" s="13">
        <f t="shared" si="130"/>
        <v>0.40647073962099717</v>
      </c>
      <c r="CD65" s="13">
        <f t="shared" si="130"/>
        <v>0.40647169154566137</v>
      </c>
      <c r="CE65" s="13">
        <f t="shared" si="130"/>
        <v>0.40647184882198806</v>
      </c>
      <c r="CF65" s="13">
        <f t="shared" si="130"/>
        <v>0.40647187480708435</v>
      </c>
      <c r="CG65" s="13">
        <f t="shared" si="130"/>
        <v>0.40647187910032606</v>
      </c>
      <c r="CH65" s="13">
        <f t="shared" si="130"/>
        <v>0.40647187980965277</v>
      </c>
      <c r="CI65" s="13">
        <f t="shared" si="130"/>
        <v>0.4064718799268473</v>
      </c>
      <c r="CJ65" s="13">
        <f t="shared" si="130"/>
        <v>0.40647187994621015</v>
      </c>
      <c r="CK65" s="13">
        <f t="shared" si="130"/>
        <v>0.40647187994940925</v>
      </c>
      <c r="CL65" s="13">
        <f t="shared" si="130"/>
        <v>0.40647187994993778</v>
      </c>
      <c r="CM65" s="13">
        <f t="shared" si="130"/>
        <v>0.40647187995002515</v>
      </c>
      <c r="CN65" s="13">
        <f t="shared" si="130"/>
        <v>0.40647187995003953</v>
      </c>
      <c r="CO65" s="13">
        <f t="shared" si="130"/>
        <v>0.40647187995004191</v>
      </c>
      <c r="CP65" s="13">
        <f t="shared" si="130"/>
        <v>0.40647187995004236</v>
      </c>
      <c r="CQ65" s="13">
        <f t="shared" si="130"/>
        <v>0.40647187995004236</v>
      </c>
      <c r="CR65" s="13">
        <f t="shared" si="130"/>
        <v>0.40647187995004236</v>
      </c>
      <c r="CS65" s="13">
        <f t="shared" si="130"/>
        <v>0.40647187995004236</v>
      </c>
      <c r="CT65" s="13">
        <f t="shared" si="130"/>
        <v>0.40647187995004236</v>
      </c>
      <c r="CU65" s="13">
        <f t="shared" si="130"/>
        <v>0.40647187995004236</v>
      </c>
      <c r="CV65" s="13">
        <f t="shared" si="130"/>
        <v>0.40647187995004236</v>
      </c>
      <c r="CW65" s="13">
        <f t="shared" si="130"/>
        <v>0.40647187995004236</v>
      </c>
      <c r="CX65" s="13">
        <f t="shared" si="130"/>
        <v>0.40647187995004236</v>
      </c>
      <c r="CY65" s="13">
        <f t="shared" si="130"/>
        <v>0.40647187995004236</v>
      </c>
      <c r="CZ65" s="13">
        <f t="shared" si="71"/>
        <v>100</v>
      </c>
      <c r="DB65" s="47"/>
      <c r="DC65" s="26">
        <v>1.3333333333333334E-2</v>
      </c>
      <c r="DD65" s="13">
        <f t="shared" si="72"/>
        <v>300</v>
      </c>
      <c r="DE65" s="13">
        <f t="shared" si="73"/>
        <v>196.8692220671272</v>
      </c>
      <c r="DF65" s="13">
        <f t="shared" si="74"/>
        <v>184.64192448456345</v>
      </c>
      <c r="DG65" s="13">
        <f t="shared" si="75"/>
        <v>184.37499373014973</v>
      </c>
      <c r="DH65" s="13">
        <f t="shared" si="76"/>
        <v>185.42211639986684</v>
      </c>
      <c r="DI65" s="13">
        <f t="shared" si="77"/>
        <v>185.98309207935313</v>
      </c>
      <c r="DJ65" s="13">
        <f t="shared" si="78"/>
        <v>185.73484928938026</v>
      </c>
      <c r="DK65" s="13">
        <f t="shared" si="79"/>
        <v>184.64133928622829</v>
      </c>
      <c r="DL65" s="13">
        <f t="shared" si="80"/>
        <v>182.74227772848121</v>
      </c>
      <c r="DM65" s="13">
        <f t="shared" si="81"/>
        <v>180.10653777413975</v>
      </c>
      <c r="DN65" s="13">
        <f t="shared" si="82"/>
        <v>176.81576342730133</v>
      </c>
      <c r="DO65" s="13">
        <f t="shared" si="83"/>
        <v>172.95553484165359</v>
      </c>
      <c r="DP65" s="13">
        <f t="shared" si="84"/>
        <v>168.60983886072847</v>
      </c>
      <c r="DQ65" s="13">
        <f t="shared" si="85"/>
        <v>163.85764788723171</v>
      </c>
      <c r="DR65" s="13">
        <f t="shared" si="86"/>
        <v>158.77097673676298</v>
      </c>
      <c r="DS65" s="13">
        <f t="shared" si="87"/>
        <v>153.41396503972268</v>
      </c>
      <c r="DT65" s="13">
        <f t="shared" si="88"/>
        <v>147.84264537243098</v>
      </c>
      <c r="DU65" s="13">
        <f t="shared" si="89"/>
        <v>142.10514783836501</v>
      </c>
      <c r="DV65" s="13">
        <f t="shared" si="90"/>
        <v>136.24216440781666</v>
      </c>
      <c r="DW65" s="13">
        <f t="shared" si="91"/>
        <v>130.28755217937911</v>
      </c>
      <c r="DX65" s="13">
        <f t="shared" si="92"/>
        <v>124.26899606584476</v>
      </c>
      <c r="DY65" s="13">
        <f t="shared" si="93"/>
        <v>118.20868099125381</v>
      </c>
      <c r="DZ65" s="13">
        <f t="shared" si="94"/>
        <v>112.1239442213887</v>
      </c>
      <c r="EA65" s="13">
        <f t="shared" si="95"/>
        <v>106.02789228219078</v>
      </c>
      <c r="EB65" s="13">
        <f t="shared" si="96"/>
        <v>99.929975939158894</v>
      </c>
      <c r="EC65" s="13">
        <f t="shared" si="97"/>
        <v>93.836522367114952</v>
      </c>
      <c r="ED65" s="13">
        <f t="shared" si="98"/>
        <v>87.751227010515009</v>
      </c>
      <c r="EE65" s="13">
        <f t="shared" si="99"/>
        <v>81.675609497452825</v>
      </c>
      <c r="EF65" s="13">
        <f t="shared" si="100"/>
        <v>75.609438875185717</v>
      </c>
      <c r="EG65" s="13">
        <f t="shared" si="101"/>
        <v>69.551133762324142</v>
      </c>
      <c r="EH65" s="13">
        <f t="shared" si="102"/>
        <v>63.498143022032444</v>
      </c>
    </row>
    <row r="66" spans="5:138" x14ac:dyDescent="0.25">
      <c r="E66" s="49"/>
      <c r="F66" s="26">
        <v>0.01</v>
      </c>
      <c r="G66">
        <f t="shared" si="10"/>
        <v>300</v>
      </c>
      <c r="H66">
        <f t="shared" si="11"/>
        <v>303.27885425397858</v>
      </c>
      <c r="I66">
        <f t="shared" si="12"/>
        <v>306.10489351232548</v>
      </c>
      <c r="J66">
        <f t="shared" si="13"/>
        <v>308.12861821619839</v>
      </c>
      <c r="K66">
        <f t="shared" si="14"/>
        <v>309.10727230012441</v>
      </c>
      <c r="L66">
        <f t="shared" si="15"/>
        <v>308.89997557839393</v>
      </c>
      <c r="M66">
        <f t="shared" si="16"/>
        <v>307.45228844029702</v>
      </c>
      <c r="N66">
        <f t="shared" si="17"/>
        <v>304.77695578071553</v>
      </c>
      <c r="O66">
        <f t="shared" si="18"/>
        <v>300.9348834382518</v>
      </c>
      <c r="P66">
        <f t="shared" si="19"/>
        <v>296.01844050878174</v>
      </c>
      <c r="Q66">
        <f t="shared" si="20"/>
        <v>290.13790136276333</v>
      </c>
      <c r="R66">
        <f t="shared" si="21"/>
        <v>283.41108756908466</v>
      </c>
      <c r="S66">
        <f t="shared" si="22"/>
        <v>275.95588057183932</v>
      </c>
      <c r="T66">
        <f t="shared" si="23"/>
        <v>267.88511774019577</v>
      </c>
      <c r="U66">
        <f t="shared" si="24"/>
        <v>259.30336033048803</v>
      </c>
      <c r="V66">
        <f t="shared" si="25"/>
        <v>250.30506710125718</v>
      </c>
      <c r="W66">
        <f t="shared" si="26"/>
        <v>240.97378152883283</v>
      </c>
      <c r="X66">
        <f t="shared" si="27"/>
        <v>231.38202067896248</v>
      </c>
      <c r="Y66">
        <f t="shared" si="28"/>
        <v>221.59162787880382</v>
      </c>
      <c r="Z66">
        <f t="shared" si="29"/>
        <v>211.65441431020429</v>
      </c>
      <c r="AA66">
        <f t="shared" si="30"/>
        <v>201.61296529502368</v>
      </c>
      <c r="AB66">
        <f t="shared" si="31"/>
        <v>191.50152615022438</v>
      </c>
      <c r="AC66">
        <f t="shared" si="32"/>
        <v>181.34691170552355</v>
      </c>
      <c r="AD66">
        <f t="shared" si="33"/>
        <v>171.16940478035457</v>
      </c>
      <c r="AE66">
        <f t="shared" si="34"/>
        <v>160.98362389263011</v>
      </c>
      <c r="AF66">
        <f t="shared" si="35"/>
        <v>150.79935076077447</v>
      </c>
      <c r="AG66">
        <f t="shared" si="36"/>
        <v>140.62231502186779</v>
      </c>
      <c r="AH66">
        <f t="shared" si="37"/>
        <v>130.4549380112544</v>
      </c>
      <c r="AI66">
        <f t="shared" si="120"/>
        <v>120.29704018581003</v>
      </c>
      <c r="AJ66">
        <f t="shared" si="103"/>
        <v>110.1465183834284</v>
      </c>
      <c r="AK66">
        <f t="shared" si="39"/>
        <v>100</v>
      </c>
      <c r="AL66" s="47"/>
      <c r="AM66" s="26">
        <v>0.01</v>
      </c>
      <c r="AN66" s="27">
        <f t="shared" si="40"/>
        <v>-1076400000</v>
      </c>
      <c r="AO66" s="27">
        <f t="shared" si="104"/>
        <v>-1090039183.1451907</v>
      </c>
      <c r="AP66" s="27">
        <f t="shared" si="41"/>
        <v>-1101625940.1777458</v>
      </c>
      <c r="AQ66" s="27">
        <f t="shared" si="42"/>
        <v>-1109892074.5262997</v>
      </c>
      <c r="AR66" s="27">
        <f t="shared" si="43"/>
        <v>-1113986729.3482647</v>
      </c>
      <c r="AS66" s="27">
        <f t="shared" si="44"/>
        <v>-1113468328.6990345</v>
      </c>
      <c r="AT66" s="27">
        <f t="shared" si="45"/>
        <v>-1108221263.3827317</v>
      </c>
      <c r="AU66" s="27">
        <f t="shared" si="46"/>
        <v>-1098370019.6283393</v>
      </c>
      <c r="AV66" s="27">
        <f t="shared" si="47"/>
        <v>-1084202256.0066543</v>
      </c>
      <c r="AW66" s="27">
        <f t="shared" si="48"/>
        <v>-1066105522.8820189</v>
      </c>
      <c r="AX66" s="27">
        <f t="shared" si="49"/>
        <v>-1044518367.1309085</v>
      </c>
      <c r="AY66" s="27">
        <f t="shared" si="50"/>
        <v>-1019894530.0606418</v>
      </c>
      <c r="AZ66" s="27">
        <f t="shared" si="51"/>
        <v>-992678100.64616799</v>
      </c>
      <c r="BA66" s="27">
        <f t="shared" si="52"/>
        <v>-963287320.00500834</v>
      </c>
      <c r="BB66" s="27">
        <f t="shared" si="53"/>
        <v>-932104915.15861702</v>
      </c>
      <c r="BC66" s="27">
        <f t="shared" si="54"/>
        <v>-899473169.06013191</v>
      </c>
      <c r="BD66" s="27">
        <f t="shared" si="55"/>
        <v>-865692295.77407873</v>
      </c>
      <c r="BE66" s="27">
        <f t="shared" si="56"/>
        <v>-831021026.47031081</v>
      </c>
      <c r="BF66" s="27">
        <f t="shared" si="57"/>
        <v>-795678598.81049383</v>
      </c>
      <c r="BG66" s="27">
        <f t="shared" si="58"/>
        <v>-759847573.29385865</v>
      </c>
      <c r="BH66" s="27">
        <f t="shared" si="59"/>
        <v>-723677078.61516595</v>
      </c>
      <c r="BI66" s="27">
        <f t="shared" si="60"/>
        <v>-687286221.56859744</v>
      </c>
      <c r="BJ66" s="27">
        <f t="shared" si="61"/>
        <v>-650767494.0685569</v>
      </c>
      <c r="BK66" s="27">
        <f t="shared" si="62"/>
        <v>-614190078.55689192</v>
      </c>
      <c r="BL66" s="27">
        <f t="shared" si="63"/>
        <v>-577603000.41746008</v>
      </c>
      <c r="BM66" s="27">
        <f t="shared" si="64"/>
        <v>-541038107.72285032</v>
      </c>
      <c r="BN66" s="27">
        <f t="shared" si="65"/>
        <v>-504512879.16332763</v>
      </c>
      <c r="BO66" s="27">
        <f t="shared" si="66"/>
        <v>-468033073.75778127</v>
      </c>
      <c r="BP66" s="27">
        <f t="shared" si="67"/>
        <v>-431595243.45120674</v>
      </c>
      <c r="BQ66" s="27">
        <f t="shared" si="68"/>
        <v>-395189133.80527472</v>
      </c>
      <c r="BR66" s="27">
        <f t="shared" si="69"/>
        <v>-358800000</v>
      </c>
      <c r="BT66" s="47"/>
      <c r="BU66" s="26">
        <v>0.01</v>
      </c>
      <c r="BV66" s="13">
        <v>0</v>
      </c>
      <c r="BW66" s="13">
        <f t="shared" ref="BW66:CY66" si="131">$B$20/($B$21-$B$22*BV66)</f>
        <v>0.34883720930232553</v>
      </c>
      <c r="BX66" s="13">
        <f t="shared" si="131"/>
        <v>0.39716748768472904</v>
      </c>
      <c r="BY66" s="13">
        <f t="shared" si="131"/>
        <v>0.40494040593779607</v>
      </c>
      <c r="BZ66" s="13">
        <f t="shared" si="131"/>
        <v>0.4062190081621499</v>
      </c>
      <c r="CA66" s="13">
        <f t="shared" si="131"/>
        <v>0.40643010492156101</v>
      </c>
      <c r="CB66" s="13">
        <f t="shared" si="131"/>
        <v>0.40646497802255066</v>
      </c>
      <c r="CC66" s="13">
        <f t="shared" si="131"/>
        <v>0.40647073962099717</v>
      </c>
      <c r="CD66" s="13">
        <f t="shared" si="131"/>
        <v>0.40647169154566137</v>
      </c>
      <c r="CE66" s="13">
        <f t="shared" si="131"/>
        <v>0.40647184882198806</v>
      </c>
      <c r="CF66" s="13">
        <f t="shared" si="131"/>
        <v>0.40647187480708435</v>
      </c>
      <c r="CG66" s="13">
        <f t="shared" si="131"/>
        <v>0.40647187910032606</v>
      </c>
      <c r="CH66" s="13">
        <f t="shared" si="131"/>
        <v>0.40647187980965277</v>
      </c>
      <c r="CI66" s="13">
        <f t="shared" si="131"/>
        <v>0.4064718799268473</v>
      </c>
      <c r="CJ66" s="13">
        <f t="shared" si="131"/>
        <v>0.40647187994621015</v>
      </c>
      <c r="CK66" s="13">
        <f t="shared" si="131"/>
        <v>0.40647187994940925</v>
      </c>
      <c r="CL66" s="13">
        <f t="shared" si="131"/>
        <v>0.40647187994993778</v>
      </c>
      <c r="CM66" s="13">
        <f t="shared" si="131"/>
        <v>0.40647187995002515</v>
      </c>
      <c r="CN66" s="13">
        <f t="shared" si="131"/>
        <v>0.40647187995003953</v>
      </c>
      <c r="CO66" s="13">
        <f t="shared" si="131"/>
        <v>0.40647187995004191</v>
      </c>
      <c r="CP66" s="13">
        <f t="shared" si="131"/>
        <v>0.40647187995004236</v>
      </c>
      <c r="CQ66" s="13">
        <f t="shared" si="131"/>
        <v>0.40647187995004236</v>
      </c>
      <c r="CR66" s="13">
        <f t="shared" si="131"/>
        <v>0.40647187995004236</v>
      </c>
      <c r="CS66" s="13">
        <f t="shared" si="131"/>
        <v>0.40647187995004236</v>
      </c>
      <c r="CT66" s="13">
        <f t="shared" si="131"/>
        <v>0.40647187995004236</v>
      </c>
      <c r="CU66" s="13">
        <f t="shared" si="131"/>
        <v>0.40647187995004236</v>
      </c>
      <c r="CV66" s="13">
        <f t="shared" si="131"/>
        <v>0.40647187995004236</v>
      </c>
      <c r="CW66" s="13">
        <f t="shared" si="131"/>
        <v>0.40647187995004236</v>
      </c>
      <c r="CX66" s="13">
        <f t="shared" si="131"/>
        <v>0.40647187995004236</v>
      </c>
      <c r="CY66" s="13">
        <f t="shared" si="131"/>
        <v>0.40647187995004236</v>
      </c>
      <c r="CZ66" s="13">
        <f t="shared" si="71"/>
        <v>100</v>
      </c>
      <c r="DB66" s="47"/>
      <c r="DC66" s="26">
        <v>0.01</v>
      </c>
      <c r="DD66" s="13">
        <f t="shared" si="72"/>
        <v>300</v>
      </c>
      <c r="DE66" s="13">
        <f t="shared" si="73"/>
        <v>196.49807744735344</v>
      </c>
      <c r="DF66" s="13">
        <f t="shared" si="74"/>
        <v>183.7262243316309</v>
      </c>
      <c r="DG66" s="13">
        <f t="shared" si="75"/>
        <v>182.95859389266113</v>
      </c>
      <c r="DH66" s="13">
        <f t="shared" si="76"/>
        <v>183.62623059935692</v>
      </c>
      <c r="DI66" s="13">
        <f t="shared" si="77"/>
        <v>183.94210972922997</v>
      </c>
      <c r="DJ66" s="13">
        <f t="shared" si="78"/>
        <v>183.5711298071086</v>
      </c>
      <c r="DK66" s="13">
        <f t="shared" si="79"/>
        <v>182.45573113181072</v>
      </c>
      <c r="DL66" s="13">
        <f t="shared" si="80"/>
        <v>180.61176719593857</v>
      </c>
      <c r="DM66" s="13">
        <f t="shared" si="81"/>
        <v>178.08555132852774</v>
      </c>
      <c r="DN66" s="13">
        <f t="shared" si="82"/>
        <v>174.93926525744274</v>
      </c>
      <c r="DO66" s="13">
        <f t="shared" si="83"/>
        <v>171.24278224426399</v>
      </c>
      <c r="DP66" s="13">
        <f t="shared" si="84"/>
        <v>167.06811319095175</v>
      </c>
      <c r="DQ66" s="13">
        <f t="shared" si="85"/>
        <v>162.4855933953136</v>
      </c>
      <c r="DR66" s="13">
        <f t="shared" si="86"/>
        <v>157.56138914577775</v>
      </c>
      <c r="DS66" s="13">
        <f t="shared" si="87"/>
        <v>152.35600110471427</v>
      </c>
      <c r="DT66" s="13">
        <f t="shared" si="88"/>
        <v>146.92349659683956</v>
      </c>
      <c r="DU66" s="13">
        <f t="shared" si="89"/>
        <v>141.31125511387867</v>
      </c>
      <c r="DV66" s="13">
        <f t="shared" si="90"/>
        <v>135.56006019441054</v>
      </c>
      <c r="DW66" s="13">
        <f t="shared" si="91"/>
        <v>129.70441328443346</v>
      </c>
      <c r="DX66" s="13">
        <f t="shared" si="92"/>
        <v>123.77297994743977</v>
      </c>
      <c r="DY66" s="13">
        <f t="shared" si="93"/>
        <v>117.78910602614586</v>
      </c>
      <c r="DZ66" s="13">
        <f t="shared" si="94"/>
        <v>111.77136195452306</v>
      </c>
      <c r="EA66" s="13">
        <f t="shared" si="95"/>
        <v>105.73408853554665</v>
      </c>
      <c r="EB66" s="13">
        <f t="shared" si="96"/>
        <v>99.687928293652263</v>
      </c>
      <c r="EC66" s="13">
        <f t="shared" si="97"/>
        <v>93.640334010908788</v>
      </c>
      <c r="ED66" s="13">
        <f t="shared" si="98"/>
        <v>87.596051119666981</v>
      </c>
      <c r="EE66" s="13">
        <f t="shared" si="99"/>
        <v>81.557573934502415</v>
      </c>
      <c r="EF66" s="13">
        <f t="shared" si="100"/>
        <v>75.525577788545988</v>
      </c>
      <c r="EG66" s="13">
        <f t="shared" si="101"/>
        <v>69.499330388424156</v>
      </c>
      <c r="EH66" s="13">
        <f t="shared" si="102"/>
        <v>63.477086407255555</v>
      </c>
    </row>
    <row r="67" spans="5:138" x14ac:dyDescent="0.25">
      <c r="E67" s="49"/>
      <c r="F67" s="26">
        <v>6.6666666666666671E-3</v>
      </c>
      <c r="G67">
        <f t="shared" si="10"/>
        <v>300</v>
      </c>
      <c r="H67">
        <f t="shared" si="11"/>
        <v>302.61397237989513</v>
      </c>
      <c r="I67">
        <f t="shared" si="12"/>
        <v>304.85303726183469</v>
      </c>
      <c r="J67">
        <f t="shared" si="13"/>
        <v>306.40938934857695</v>
      </c>
      <c r="K67">
        <f t="shared" si="14"/>
        <v>307.05569323599718</v>
      </c>
      <c r="L67">
        <f t="shared" si="15"/>
        <v>306.64717985597451</v>
      </c>
      <c r="M67">
        <f t="shared" si="16"/>
        <v>305.11360988745605</v>
      </c>
      <c r="N67">
        <f t="shared" si="17"/>
        <v>302.44619211898748</v>
      </c>
      <c r="O67">
        <f t="shared" si="18"/>
        <v>298.68300108576807</v>
      </c>
      <c r="P67">
        <f t="shared" si="19"/>
        <v>293.8950758835349</v>
      </c>
      <c r="Q67">
        <f t="shared" si="20"/>
        <v>288.17434800380096</v>
      </c>
      <c r="R67">
        <f t="shared" si="21"/>
        <v>281.6238412078892</v>
      </c>
      <c r="S67">
        <f t="shared" si="22"/>
        <v>274.35015235246794</v>
      </c>
      <c r="T67">
        <f t="shared" si="23"/>
        <v>266.45798639357793</v>
      </c>
      <c r="U67">
        <f t="shared" si="24"/>
        <v>258.04641620999632</v>
      </c>
      <c r="V67">
        <f t="shared" si="25"/>
        <v>249.20651723489402</v>
      </c>
      <c r="W67">
        <f t="shared" si="26"/>
        <v>240.02005162957207</v>
      </c>
      <c r="X67">
        <f t="shared" si="27"/>
        <v>230.55892267294092</v>
      </c>
      <c r="Y67">
        <f t="shared" si="28"/>
        <v>220.88517229524695</v>
      </c>
      <c r="Z67">
        <f t="shared" si="29"/>
        <v>211.05134489658738</v>
      </c>
      <c r="AA67">
        <f t="shared" si="30"/>
        <v>201.1010846780249</v>
      </c>
      <c r="AB67">
        <f t="shared" si="31"/>
        <v>191.06987021890953</v>
      </c>
      <c r="AC67">
        <f t="shared" si="32"/>
        <v>180.98581899108086</v>
      </c>
      <c r="AD67">
        <f t="shared" si="33"/>
        <v>170.87051669317907</v>
      </c>
      <c r="AE67">
        <f t="shared" si="34"/>
        <v>160.73984279973601</v>
      </c>
      <c r="AF67">
        <f t="shared" si="35"/>
        <v>150.60477567412448</v>
      </c>
      <c r="AG67">
        <f t="shared" si="36"/>
        <v>140.47216902295202</v>
      </c>
      <c r="AH67">
        <f t="shared" si="37"/>
        <v>130.34549725292314</v>
      </c>
      <c r="AI67">
        <f t="shared" si="120"/>
        <v>120.22557114635083</v>
      </c>
      <c r="AJ67">
        <f t="shared" si="103"/>
        <v>110.11122776007829</v>
      </c>
      <c r="AK67">
        <f t="shared" si="39"/>
        <v>100</v>
      </c>
      <c r="AL67" s="47"/>
      <c r="AM67" s="26">
        <v>6.6666666666666671E-3</v>
      </c>
      <c r="AN67" s="27">
        <f t="shared" si="40"/>
        <v>-1076400000</v>
      </c>
      <c r="AO67" s="27">
        <f t="shared" si="104"/>
        <v>-1087331049.9405997</v>
      </c>
      <c r="AP67" s="27">
        <f t="shared" si="41"/>
        <v>-1096639128.6675797</v>
      </c>
      <c r="AQ67" s="27">
        <f t="shared" si="42"/>
        <v>-1103164488.5278876</v>
      </c>
      <c r="AR67" s="27">
        <f t="shared" si="43"/>
        <v>-1106082770.8179712</v>
      </c>
      <c r="AS67" s="27">
        <f t="shared" si="44"/>
        <v>-1104907815.5996096</v>
      </c>
      <c r="AT67" s="27">
        <f t="shared" si="45"/>
        <v>-1099441762.1679854</v>
      </c>
      <c r="AU67" s="27">
        <f t="shared" si="46"/>
        <v>-1089713438.6389949</v>
      </c>
      <c r="AV67" s="27">
        <f t="shared" si="47"/>
        <v>-1075917007.3554535</v>
      </c>
      <c r="AW67" s="27">
        <f t="shared" si="48"/>
        <v>-1058357335.3549762</v>
      </c>
      <c r="AX67" s="27">
        <f t="shared" si="49"/>
        <v>-1037404845.3506141</v>
      </c>
      <c r="AY67" s="27">
        <f t="shared" si="50"/>
        <v>-1013460315.9802759</v>
      </c>
      <c r="AZ67" s="27">
        <f t="shared" si="51"/>
        <v>-986928841.84901619</v>
      </c>
      <c r="BA67" s="27">
        <f t="shared" si="52"/>
        <v>-958201588.67038059</v>
      </c>
      <c r="BB67" s="27">
        <f t="shared" si="53"/>
        <v>-927643822.55836236</v>
      </c>
      <c r="BC67" s="27">
        <f t="shared" si="54"/>
        <v>-895587769.68790901</v>
      </c>
      <c r="BD67" s="27">
        <f t="shared" si="55"/>
        <v>-862329051.52132499</v>
      </c>
      <c r="BE67" s="27">
        <f t="shared" si="56"/>
        <v>-828125667.23371243</v>
      </c>
      <c r="BF67" s="27">
        <f t="shared" si="57"/>
        <v>-793198717.06214368</v>
      </c>
      <c r="BG67" s="27">
        <f t="shared" si="58"/>
        <v>-757734257.36335361</v>
      </c>
      <c r="BH67" s="27">
        <f t="shared" si="59"/>
        <v>-721885842.38064218</v>
      </c>
      <c r="BI67" s="27">
        <f t="shared" si="60"/>
        <v>-685777438.56792057</v>
      </c>
      <c r="BJ67" s="27">
        <f t="shared" si="61"/>
        <v>-649506497.97010112</v>
      </c>
      <c r="BK67" s="27">
        <f t="shared" si="62"/>
        <v>-613147052.30066764</v>
      </c>
      <c r="BL67" s="27">
        <f t="shared" si="63"/>
        <v>-576752743.94663048</v>
      </c>
      <c r="BM67" s="27">
        <f t="shared" si="64"/>
        <v>-540359748.75458121</v>
      </c>
      <c r="BN67" s="27">
        <f t="shared" si="65"/>
        <v>-503989572.04641765</v>
      </c>
      <c r="BO67" s="27">
        <f t="shared" si="66"/>
        <v>-467651717.09677821</v>
      </c>
      <c r="BP67" s="27">
        <f t="shared" si="67"/>
        <v>-431346236.81106579</v>
      </c>
      <c r="BQ67" s="27">
        <f t="shared" si="68"/>
        <v>-395066186.5107168</v>
      </c>
      <c r="BR67" s="27">
        <f t="shared" si="69"/>
        <v>-358800000</v>
      </c>
      <c r="BT67" s="47"/>
      <c r="BU67" s="26">
        <v>6.6666666666666671E-3</v>
      </c>
      <c r="BV67" s="13">
        <v>0</v>
      </c>
      <c r="BW67" s="13">
        <f t="shared" ref="BW67:CY67" si="132">$B$20/($B$21-$B$22*BV67)</f>
        <v>0.34883720930232553</v>
      </c>
      <c r="BX67" s="13">
        <f t="shared" si="132"/>
        <v>0.39716748768472904</v>
      </c>
      <c r="BY67" s="13">
        <f t="shared" si="132"/>
        <v>0.40494040593779607</v>
      </c>
      <c r="BZ67" s="13">
        <f t="shared" si="132"/>
        <v>0.4062190081621499</v>
      </c>
      <c r="CA67" s="13">
        <f t="shared" si="132"/>
        <v>0.40643010492156101</v>
      </c>
      <c r="CB67" s="13">
        <f t="shared" si="132"/>
        <v>0.40646497802255066</v>
      </c>
      <c r="CC67" s="13">
        <f t="shared" si="132"/>
        <v>0.40647073962099717</v>
      </c>
      <c r="CD67" s="13">
        <f t="shared" si="132"/>
        <v>0.40647169154566137</v>
      </c>
      <c r="CE67" s="13">
        <f t="shared" si="132"/>
        <v>0.40647184882198806</v>
      </c>
      <c r="CF67" s="13">
        <f t="shared" si="132"/>
        <v>0.40647187480708435</v>
      </c>
      <c r="CG67" s="13">
        <f t="shared" si="132"/>
        <v>0.40647187910032606</v>
      </c>
      <c r="CH67" s="13">
        <f t="shared" si="132"/>
        <v>0.40647187980965277</v>
      </c>
      <c r="CI67" s="13">
        <f t="shared" si="132"/>
        <v>0.4064718799268473</v>
      </c>
      <c r="CJ67" s="13">
        <f t="shared" si="132"/>
        <v>0.40647187994621015</v>
      </c>
      <c r="CK67" s="13">
        <f t="shared" si="132"/>
        <v>0.40647187994940925</v>
      </c>
      <c r="CL67" s="13">
        <f t="shared" si="132"/>
        <v>0.40647187994993778</v>
      </c>
      <c r="CM67" s="13">
        <f t="shared" si="132"/>
        <v>0.40647187995002515</v>
      </c>
      <c r="CN67" s="13">
        <f t="shared" si="132"/>
        <v>0.40647187995003953</v>
      </c>
      <c r="CO67" s="13">
        <f t="shared" si="132"/>
        <v>0.40647187995004191</v>
      </c>
      <c r="CP67" s="13">
        <f t="shared" si="132"/>
        <v>0.40647187995004236</v>
      </c>
      <c r="CQ67" s="13">
        <f t="shared" si="132"/>
        <v>0.40647187995004236</v>
      </c>
      <c r="CR67" s="13">
        <f t="shared" si="132"/>
        <v>0.40647187995004236</v>
      </c>
      <c r="CS67" s="13">
        <f t="shared" si="132"/>
        <v>0.40647187995004236</v>
      </c>
      <c r="CT67" s="13">
        <f t="shared" si="132"/>
        <v>0.40647187995004236</v>
      </c>
      <c r="CU67" s="13">
        <f t="shared" si="132"/>
        <v>0.40647187995004236</v>
      </c>
      <c r="CV67" s="13">
        <f t="shared" si="132"/>
        <v>0.40647187995004236</v>
      </c>
      <c r="CW67" s="13">
        <f t="shared" si="132"/>
        <v>0.40647187995004236</v>
      </c>
      <c r="CX67" s="13">
        <f t="shared" si="132"/>
        <v>0.40647187995004236</v>
      </c>
      <c r="CY67" s="13">
        <f t="shared" si="132"/>
        <v>0.40647187995004236</v>
      </c>
      <c r="CZ67" s="13">
        <f t="shared" si="71"/>
        <v>100</v>
      </c>
      <c r="DB67" s="47"/>
      <c r="DC67" s="26">
        <v>6.6666666666666671E-3</v>
      </c>
      <c r="DD67" s="13">
        <f t="shared" si="72"/>
        <v>300</v>
      </c>
      <c r="DE67" s="13">
        <f t="shared" si="73"/>
        <v>196.26988961413883</v>
      </c>
      <c r="DF67" s="13">
        <f t="shared" si="74"/>
        <v>183.15718989124841</v>
      </c>
      <c r="DG67" s="13">
        <f t="shared" si="75"/>
        <v>182.0701322840809</v>
      </c>
      <c r="DH67" s="13">
        <f t="shared" si="76"/>
        <v>182.4897799791828</v>
      </c>
      <c r="DI67" s="13">
        <f t="shared" si="77"/>
        <v>182.63982337641954</v>
      </c>
      <c r="DJ67" s="13">
        <f t="shared" si="78"/>
        <v>182.17982505480765</v>
      </c>
      <c r="DK67" s="13">
        <f t="shared" si="79"/>
        <v>181.04029175543621</v>
      </c>
      <c r="DL67" s="13">
        <f t="shared" si="80"/>
        <v>179.22297245444716</v>
      </c>
      <c r="DM67" s="13">
        <f t="shared" si="81"/>
        <v>176.76031586735894</v>
      </c>
      <c r="DN67" s="13">
        <f t="shared" si="82"/>
        <v>173.70217727765763</v>
      </c>
      <c r="DO67" s="13">
        <f t="shared" si="83"/>
        <v>170.10821924972083</v>
      </c>
      <c r="DP67" s="13">
        <f t="shared" si="84"/>
        <v>166.04247373277548</v>
      </c>
      <c r="DQ67" s="13">
        <f t="shared" si="85"/>
        <v>161.56937448831502</v>
      </c>
      <c r="DR67" s="13">
        <f t="shared" si="86"/>
        <v>156.7509746546813</v>
      </c>
      <c r="DS67" s="13">
        <f t="shared" si="87"/>
        <v>151.64511562346758</v>
      </c>
      <c r="DT67" s="13">
        <f t="shared" si="88"/>
        <v>146.30433289146944</v>
      </c>
      <c r="DU67" s="13">
        <f t="shared" si="89"/>
        <v>140.77531143700671</v>
      </c>
      <c r="DV67" s="13">
        <f t="shared" si="90"/>
        <v>135.09873536914688</v>
      </c>
      <c r="DW67" s="13">
        <f t="shared" si="91"/>
        <v>129.30940894751802</v>
      </c>
      <c r="DX67" s="13">
        <f t="shared" si="92"/>
        <v>123.43655532833412</v>
      </c>
      <c r="DY67" s="13">
        <f t="shared" si="93"/>
        <v>117.50422412930681</v>
      </c>
      <c r="DZ67" s="13">
        <f t="shared" si="94"/>
        <v>111.53175884276928</v>
      </c>
      <c r="EA67" s="13">
        <f t="shared" si="95"/>
        <v>105.5342906074961</v>
      </c>
      <c r="EB67" s="13">
        <f t="shared" si="96"/>
        <v>99.523236502020225</v>
      </c>
      <c r="EC67" s="13">
        <f t="shared" si="97"/>
        <v>93.506789050705081</v>
      </c>
      <c r="ED67" s="13">
        <f t="shared" si="98"/>
        <v>87.490389711533282</v>
      </c>
      <c r="EE67" s="13">
        <f t="shared" si="99"/>
        <v>81.477183330998358</v>
      </c>
      <c r="EF67" s="13">
        <f t="shared" si="100"/>
        <v>75.468453395104518</v>
      </c>
      <c r="EG67" s="13">
        <f t="shared" si="101"/>
        <v>69.464039765074048</v>
      </c>
      <c r="EH67" s="13">
        <f t="shared" si="102"/>
        <v>63.46274176123783</v>
      </c>
    </row>
    <row r="68" spans="5:138" x14ac:dyDescent="0.25">
      <c r="E68" s="49"/>
      <c r="F68" s="26">
        <v>3.3333333333333335E-3</v>
      </c>
      <c r="G68">
        <f t="shared" si="10"/>
        <v>300</v>
      </c>
      <c r="H68">
        <f t="shared" si="11"/>
        <v>302.29466478019049</v>
      </c>
      <c r="I68">
        <f t="shared" si="12"/>
        <v>304.24953980459941</v>
      </c>
      <c r="J68">
        <f t="shared" si="13"/>
        <v>305.57698555222214</v>
      </c>
      <c r="K68">
        <f t="shared" si="14"/>
        <v>306.05793576634699</v>
      </c>
      <c r="L68">
        <f t="shared" si="15"/>
        <v>305.54676111269441</v>
      </c>
      <c r="M68">
        <f t="shared" si="16"/>
        <v>303.96646908945712</v>
      </c>
      <c r="N68">
        <f t="shared" si="17"/>
        <v>301.29846960317172</v>
      </c>
      <c r="O68">
        <f t="shared" si="18"/>
        <v>297.57012787517539</v>
      </c>
      <c r="P68">
        <f t="shared" si="19"/>
        <v>292.84226587009397</v>
      </c>
      <c r="Q68">
        <f t="shared" si="20"/>
        <v>287.19787924708999</v>
      </c>
      <c r="R68">
        <f t="shared" si="21"/>
        <v>280.73267433042025</v>
      </c>
      <c r="S68">
        <f t="shared" si="22"/>
        <v>273.54758708528141</v>
      </c>
      <c r="T68">
        <f t="shared" si="23"/>
        <v>265.74318093234143</v>
      </c>
      <c r="U68">
        <f t="shared" si="24"/>
        <v>257.41568376724086</v>
      </c>
      <c r="V68">
        <f t="shared" si="25"/>
        <v>248.65437363043409</v>
      </c>
      <c r="W68">
        <f t="shared" si="26"/>
        <v>239.54002347206881</v>
      </c>
      <c r="X68">
        <f t="shared" si="27"/>
        <v>230.14414438756063</v>
      </c>
      <c r="Y68">
        <f t="shared" si="28"/>
        <v>220.52880769490798</v>
      </c>
      <c r="Z68">
        <f t="shared" si="29"/>
        <v>210.74686958091746</v>
      </c>
      <c r="AA68">
        <f t="shared" si="30"/>
        <v>200.84246239179345</v>
      </c>
      <c r="AB68">
        <f t="shared" si="31"/>
        <v>190.85165146890392</v>
      </c>
      <c r="AC68">
        <f t="shared" si="32"/>
        <v>180.80318497154556</v>
      </c>
      <c r="AD68">
        <f t="shared" si="33"/>
        <v>170.71928661332186</v>
      </c>
      <c r="AE68">
        <f t="shared" si="34"/>
        <v>160.61645838452665</v>
      </c>
      <c r="AF68">
        <f t="shared" si="35"/>
        <v>150.50627303744122</v>
      </c>
      <c r="AG68">
        <f t="shared" si="36"/>
        <v>140.39614527635621</v>
      </c>
      <c r="AH68">
        <f t="shared" si="37"/>
        <v>130.29007703407976</v>
      </c>
      <c r="AI68">
        <f t="shared" si="120"/>
        <v>120.18937662129615</v>
      </c>
      <c r="AJ68">
        <f t="shared" si="103"/>
        <v>110.09335446110819</v>
      </c>
      <c r="AK68">
        <f t="shared" si="39"/>
        <v>100</v>
      </c>
      <c r="AL68" s="47"/>
      <c r="AM68" s="26">
        <v>3.3333333333333335E-3</v>
      </c>
      <c r="AN68" s="27">
        <f t="shared" si="40"/>
        <v>-1076400000</v>
      </c>
      <c r="AO68" s="27">
        <f t="shared" si="104"/>
        <v>-1086039986.8202596</v>
      </c>
      <c r="AP68" s="27">
        <f t="shared" si="41"/>
        <v>-1094244906.0247974</v>
      </c>
      <c r="AQ68" s="27">
        <f t="shared" si="42"/>
        <v>-1099914715.670054</v>
      </c>
      <c r="AR68" s="27">
        <f t="shared" si="43"/>
        <v>-1102243270.4822519</v>
      </c>
      <c r="AS68" s="27">
        <f t="shared" si="44"/>
        <v>-1100727924.7824285</v>
      </c>
      <c r="AT68" s="27">
        <f t="shared" si="45"/>
        <v>-1095134799.9899912</v>
      </c>
      <c r="AU68" s="27">
        <f t="shared" si="46"/>
        <v>-1085448725.8168628</v>
      </c>
      <c r="AV68" s="27">
        <f t="shared" si="47"/>
        <v>-1071819632.7632619</v>
      </c>
      <c r="AW68" s="27">
        <f t="shared" si="48"/>
        <v>-1054512461.8600963</v>
      </c>
      <c r="AX68" s="27">
        <f t="shared" si="49"/>
        <v>-1033864178.4743356</v>
      </c>
      <c r="AY68" s="27">
        <f t="shared" si="50"/>
        <v>-1010249148.3374096</v>
      </c>
      <c r="AZ68" s="27">
        <f t="shared" si="51"/>
        <v>-984052722.74028707</v>
      </c>
      <c r="BA68" s="27">
        <f t="shared" si="52"/>
        <v>-955652129.97558582</v>
      </c>
      <c r="BB68" s="27">
        <f t="shared" si="53"/>
        <v>-925403459.05972385</v>
      </c>
      <c r="BC68" s="27">
        <f t="shared" si="54"/>
        <v>-893633478.27524984</v>
      </c>
      <c r="BD68" s="27">
        <f t="shared" si="55"/>
        <v>-860635133.97201443</v>
      </c>
      <c r="BE68" s="27">
        <f t="shared" si="56"/>
        <v>-826665744.56028605</v>
      </c>
      <c r="BF68" s="27">
        <f t="shared" si="57"/>
        <v>-791947091.89366853</v>
      </c>
      <c r="BG68" s="27">
        <f t="shared" si="58"/>
        <v>-756666790.02738464</v>
      </c>
      <c r="BH68" s="27">
        <f t="shared" si="59"/>
        <v>-720980466.51954401</v>
      </c>
      <c r="BI68" s="27">
        <f t="shared" si="60"/>
        <v>-685014419.5487287</v>
      </c>
      <c r="BJ68" s="27">
        <f t="shared" si="61"/>
        <v>-648868515.5818882</v>
      </c>
      <c r="BK68" s="27">
        <f t="shared" si="62"/>
        <v>-612619170.03276503</v>
      </c>
      <c r="BL68" s="27">
        <f t="shared" si="63"/>
        <v>-576322311.15340352</v>
      </c>
      <c r="BM68" s="27">
        <f t="shared" si="64"/>
        <v>-540016269.25229752</v>
      </c>
      <c r="BN68" s="27">
        <f t="shared" si="65"/>
        <v>-503724562.84369874</v>
      </c>
      <c r="BO68" s="27">
        <f t="shared" si="66"/>
        <v>-467458573.58417797</v>
      </c>
      <c r="BP68" s="27">
        <f t="shared" si="67"/>
        <v>-431220115.35146469</v>
      </c>
      <c r="BQ68" s="27">
        <f t="shared" si="68"/>
        <v>-395003911.53226602</v>
      </c>
      <c r="BR68" s="27">
        <f t="shared" si="69"/>
        <v>-358800000</v>
      </c>
      <c r="BT68" s="47"/>
      <c r="BU68" s="26">
        <v>3.3333333333333335E-3</v>
      </c>
      <c r="BV68" s="13">
        <v>0</v>
      </c>
      <c r="BW68" s="13">
        <f t="shared" ref="BW68:CY68" si="133">$B$20/($B$21-$B$22*BV68)</f>
        <v>0.34883720930232553</v>
      </c>
      <c r="BX68" s="13">
        <f t="shared" si="133"/>
        <v>0.39716748768472904</v>
      </c>
      <c r="BY68" s="13">
        <f t="shared" si="133"/>
        <v>0.40494040593779607</v>
      </c>
      <c r="BZ68" s="13">
        <f t="shared" si="133"/>
        <v>0.4062190081621499</v>
      </c>
      <c r="CA68" s="13">
        <f t="shared" si="133"/>
        <v>0.40643010492156101</v>
      </c>
      <c r="CB68" s="13">
        <f t="shared" si="133"/>
        <v>0.40646497802255066</v>
      </c>
      <c r="CC68" s="13">
        <f t="shared" si="133"/>
        <v>0.40647073962099717</v>
      </c>
      <c r="CD68" s="13">
        <f t="shared" si="133"/>
        <v>0.40647169154566137</v>
      </c>
      <c r="CE68" s="13">
        <f t="shared" si="133"/>
        <v>0.40647184882198806</v>
      </c>
      <c r="CF68" s="13">
        <f t="shared" si="133"/>
        <v>0.40647187480708435</v>
      </c>
      <c r="CG68" s="13">
        <f t="shared" si="133"/>
        <v>0.40647187910032606</v>
      </c>
      <c r="CH68" s="13">
        <f t="shared" si="133"/>
        <v>0.40647187980965277</v>
      </c>
      <c r="CI68" s="13">
        <f t="shared" si="133"/>
        <v>0.4064718799268473</v>
      </c>
      <c r="CJ68" s="13">
        <f t="shared" si="133"/>
        <v>0.40647187994621015</v>
      </c>
      <c r="CK68" s="13">
        <f t="shared" si="133"/>
        <v>0.40647187994940925</v>
      </c>
      <c r="CL68" s="13">
        <f t="shared" si="133"/>
        <v>0.40647187994993778</v>
      </c>
      <c r="CM68" s="13">
        <f t="shared" si="133"/>
        <v>0.40647187995002515</v>
      </c>
      <c r="CN68" s="13">
        <f t="shared" si="133"/>
        <v>0.40647187995003953</v>
      </c>
      <c r="CO68" s="13">
        <f t="shared" si="133"/>
        <v>0.40647187995004191</v>
      </c>
      <c r="CP68" s="13">
        <f t="shared" si="133"/>
        <v>0.40647187995004236</v>
      </c>
      <c r="CQ68" s="13">
        <f t="shared" si="133"/>
        <v>0.40647187995004236</v>
      </c>
      <c r="CR68" s="13">
        <f t="shared" si="133"/>
        <v>0.40647187995004236</v>
      </c>
      <c r="CS68" s="13">
        <f t="shared" si="133"/>
        <v>0.40647187995004236</v>
      </c>
      <c r="CT68" s="13">
        <f t="shared" si="133"/>
        <v>0.40647187995004236</v>
      </c>
      <c r="CU68" s="13">
        <f t="shared" si="133"/>
        <v>0.40647187995004236</v>
      </c>
      <c r="CV68" s="13">
        <f t="shared" si="133"/>
        <v>0.40647187995004236</v>
      </c>
      <c r="CW68" s="13">
        <f t="shared" si="133"/>
        <v>0.40647187995004236</v>
      </c>
      <c r="CX68" s="13">
        <f t="shared" si="133"/>
        <v>0.40647187995004236</v>
      </c>
      <c r="CY68" s="13">
        <f t="shared" si="133"/>
        <v>0.40647187995004236</v>
      </c>
      <c r="CZ68" s="13">
        <f t="shared" si="71"/>
        <v>100</v>
      </c>
      <c r="DB68" s="47"/>
      <c r="DC68" s="26">
        <v>3.3333333333333335E-3</v>
      </c>
      <c r="DD68" s="13">
        <f t="shared" si="72"/>
        <v>300</v>
      </c>
      <c r="DE68" s="13">
        <f t="shared" si="73"/>
        <v>196.16110438323724</v>
      </c>
      <c r="DF68" s="13">
        <f t="shared" si="74"/>
        <v>182.88429615855063</v>
      </c>
      <c r="DG68" s="13">
        <f t="shared" si="75"/>
        <v>181.64176080251366</v>
      </c>
      <c r="DH68" s="13">
        <f t="shared" si="76"/>
        <v>181.93903351999091</v>
      </c>
      <c r="DI68" s="13">
        <f t="shared" si="77"/>
        <v>182.00563718802991</v>
      </c>
      <c r="DJ68" s="13">
        <f t="shared" si="78"/>
        <v>181.49919326397577</v>
      </c>
      <c r="DK68" s="13">
        <f t="shared" si="79"/>
        <v>180.34491963663444</v>
      </c>
      <c r="DL68" s="13">
        <f t="shared" si="80"/>
        <v>178.538036710894</v>
      </c>
      <c r="DM68" s="13">
        <f t="shared" si="81"/>
        <v>176.10441291477522</v>
      </c>
      <c r="DN68" s="13">
        <f t="shared" si="82"/>
        <v>173.08794279239746</v>
      </c>
      <c r="DO68" s="13">
        <f t="shared" si="83"/>
        <v>169.54327258450581</v>
      </c>
      <c r="DP68" s="13">
        <f t="shared" si="84"/>
        <v>165.53045678511594</v>
      </c>
      <c r="DQ68" s="13">
        <f t="shared" si="85"/>
        <v>161.11094402881619</v>
      </c>
      <c r="DR68" s="13">
        <f t="shared" si="86"/>
        <v>156.34467306083096</v>
      </c>
      <c r="DS68" s="13">
        <f t="shared" si="87"/>
        <v>151.28808996661667</v>
      </c>
      <c r="DT68" s="13">
        <f t="shared" si="88"/>
        <v>145.9929004433871</v>
      </c>
      <c r="DU68" s="13">
        <f t="shared" si="89"/>
        <v>140.50538534067383</v>
      </c>
      <c r="DV68" s="13">
        <f t="shared" si="90"/>
        <v>134.86613142276664</v>
      </c>
      <c r="DW68" s="13">
        <f t="shared" si="91"/>
        <v>129.11005631872959</v>
      </c>
      <c r="DX68" s="13">
        <f t="shared" si="92"/>
        <v>123.2666328276578</v>
      </c>
      <c r="DY68" s="13">
        <f t="shared" si="93"/>
        <v>117.36024097256457</v>
      </c>
      <c r="DZ68" s="13">
        <f t="shared" si="94"/>
        <v>111.41059559809852</v>
      </c>
      <c r="EA68" s="13">
        <f t="shared" si="95"/>
        <v>105.43321282284556</v>
      </c>
      <c r="EB68" s="13">
        <f t="shared" si="96"/>
        <v>99.439890638723554</v>
      </c>
      <c r="EC68" s="13">
        <f t="shared" si="97"/>
        <v>93.439187929221461</v>
      </c>
      <c r="ED68" s="13">
        <f t="shared" si="98"/>
        <v>87.436892725477975</v>
      </c>
      <c r="EE68" s="13">
        <f t="shared" si="99"/>
        <v>81.436475168797841</v>
      </c>
      <c r="EF68" s="13">
        <f t="shared" si="100"/>
        <v>75.439523863483117</v>
      </c>
      <c r="EG68" s="13">
        <f t="shared" si="101"/>
        <v>69.446166466103946</v>
      </c>
      <c r="EH68" s="13">
        <f t="shared" si="102"/>
        <v>63.455476767804548</v>
      </c>
    </row>
    <row r="69" spans="5:138" x14ac:dyDescent="0.25">
      <c r="E69" s="49"/>
      <c r="F69" s="26">
        <v>0</v>
      </c>
      <c r="G69">
        <f t="shared" si="10"/>
        <v>300</v>
      </c>
      <c r="H69">
        <f t="shared" si="11"/>
        <v>302.29466478019049</v>
      </c>
      <c r="I69">
        <f t="shared" si="12"/>
        <v>304.24953980459941</v>
      </c>
      <c r="J69">
        <f t="shared" si="13"/>
        <v>305.57698555222214</v>
      </c>
      <c r="K69">
        <f t="shared" si="14"/>
        <v>306.05793576634699</v>
      </c>
      <c r="L69">
        <f t="shared" si="15"/>
        <v>305.54676111269441</v>
      </c>
      <c r="M69">
        <f t="shared" si="16"/>
        <v>303.96646908945712</v>
      </c>
      <c r="N69">
        <f t="shared" si="17"/>
        <v>301.29846960317172</v>
      </c>
      <c r="O69">
        <f t="shared" si="18"/>
        <v>297.57012787517539</v>
      </c>
      <c r="P69">
        <f t="shared" si="19"/>
        <v>292.84226587009397</v>
      </c>
      <c r="Q69">
        <f t="shared" si="20"/>
        <v>287.19787924708999</v>
      </c>
      <c r="R69">
        <f t="shared" si="21"/>
        <v>280.73267433042025</v>
      </c>
      <c r="S69">
        <f t="shared" si="22"/>
        <v>273.54758708528141</v>
      </c>
      <c r="T69">
        <f t="shared" si="23"/>
        <v>265.74318093234143</v>
      </c>
      <c r="U69">
        <f t="shared" si="24"/>
        <v>257.41568376724086</v>
      </c>
      <c r="V69">
        <f t="shared" si="25"/>
        <v>248.65437363043409</v>
      </c>
      <c r="W69">
        <f t="shared" si="26"/>
        <v>239.54002347206881</v>
      </c>
      <c r="X69">
        <f t="shared" si="27"/>
        <v>230.14414438756063</v>
      </c>
      <c r="Y69">
        <f t="shared" si="28"/>
        <v>220.52880769490798</v>
      </c>
      <c r="Z69">
        <f t="shared" si="29"/>
        <v>210.74686958091746</v>
      </c>
      <c r="AA69">
        <f t="shared" si="30"/>
        <v>200.84246239179345</v>
      </c>
      <c r="AB69">
        <f t="shared" si="31"/>
        <v>190.85165146890392</v>
      </c>
      <c r="AC69">
        <f t="shared" si="32"/>
        <v>180.80318497154556</v>
      </c>
      <c r="AD69">
        <f t="shared" si="33"/>
        <v>170.71928661332186</v>
      </c>
      <c r="AE69">
        <f t="shared" si="34"/>
        <v>160.61645838452665</v>
      </c>
      <c r="AF69">
        <f t="shared" si="35"/>
        <v>150.50627303744122</v>
      </c>
      <c r="AG69">
        <f t="shared" si="36"/>
        <v>140.39614527635621</v>
      </c>
      <c r="AH69">
        <f t="shared" si="37"/>
        <v>130.29007703407976</v>
      </c>
      <c r="AI69">
        <f t="shared" si="120"/>
        <v>120.18937662129615</v>
      </c>
      <c r="AJ69">
        <f t="shared" si="103"/>
        <v>110.09335446110819</v>
      </c>
      <c r="AK69">
        <f t="shared" si="39"/>
        <v>100</v>
      </c>
      <c r="AL69" s="47"/>
      <c r="AM69" s="26">
        <v>0</v>
      </c>
      <c r="AN69" s="27">
        <f t="shared" si="40"/>
        <v>-1076400000</v>
      </c>
      <c r="AO69" s="27">
        <f t="shared" si="104"/>
        <v>-1086039986.8202596</v>
      </c>
      <c r="AP69" s="27">
        <f t="shared" si="41"/>
        <v>-1094244906.0247974</v>
      </c>
      <c r="AQ69" s="27">
        <f t="shared" si="42"/>
        <v>-1099914715.670054</v>
      </c>
      <c r="AR69" s="27">
        <f t="shared" si="43"/>
        <v>-1102243270.4822519</v>
      </c>
      <c r="AS69" s="27">
        <f t="shared" si="44"/>
        <v>-1100727924.7824285</v>
      </c>
      <c r="AT69" s="27">
        <f t="shared" si="45"/>
        <v>-1095134799.9899912</v>
      </c>
      <c r="AU69" s="27">
        <f t="shared" si="46"/>
        <v>-1085448725.8168628</v>
      </c>
      <c r="AV69" s="27">
        <f t="shared" si="47"/>
        <v>-1071819632.7632619</v>
      </c>
      <c r="AW69" s="27">
        <f t="shared" si="48"/>
        <v>-1054512461.8600963</v>
      </c>
      <c r="AX69" s="27">
        <f t="shared" si="49"/>
        <v>-1033864178.4743356</v>
      </c>
      <c r="AY69" s="27">
        <f t="shared" si="50"/>
        <v>-1010249148.3374096</v>
      </c>
      <c r="AZ69" s="27">
        <f t="shared" si="51"/>
        <v>-984052722.74028707</v>
      </c>
      <c r="BA69" s="27">
        <f t="shared" si="52"/>
        <v>-955652129.97558582</v>
      </c>
      <c r="BB69" s="27">
        <f t="shared" si="53"/>
        <v>-925403459.05972385</v>
      </c>
      <c r="BC69" s="27">
        <f t="shared" si="54"/>
        <v>-893633478.27524984</v>
      </c>
      <c r="BD69" s="27">
        <f t="shared" si="55"/>
        <v>-860635133.97201443</v>
      </c>
      <c r="BE69" s="27">
        <f t="shared" si="56"/>
        <v>-826665744.56028605</v>
      </c>
      <c r="BF69" s="27">
        <f t="shared" si="57"/>
        <v>-791947091.89366853</v>
      </c>
      <c r="BG69" s="27">
        <f t="shared" si="58"/>
        <v>-756666790.02738464</v>
      </c>
      <c r="BH69" s="27">
        <f t="shared" si="59"/>
        <v>-720980466.51954401</v>
      </c>
      <c r="BI69" s="27">
        <f t="shared" si="60"/>
        <v>-685014419.5487287</v>
      </c>
      <c r="BJ69" s="27">
        <f t="shared" si="61"/>
        <v>-648868515.5818882</v>
      </c>
      <c r="BK69" s="27">
        <f t="shared" si="62"/>
        <v>-612619170.03276503</v>
      </c>
      <c r="BL69" s="27">
        <f t="shared" si="63"/>
        <v>-576322311.15340352</v>
      </c>
      <c r="BM69" s="27">
        <f t="shared" si="64"/>
        <v>-540016269.25229752</v>
      </c>
      <c r="BN69" s="27">
        <f t="shared" si="65"/>
        <v>-503724562.84369874</v>
      </c>
      <c r="BO69" s="27">
        <f t="shared" si="66"/>
        <v>-467458573.58417797</v>
      </c>
      <c r="BP69" s="27">
        <f t="shared" si="67"/>
        <v>-431220115.35146469</v>
      </c>
      <c r="BQ69" s="27">
        <f t="shared" si="68"/>
        <v>-395003911.53226602</v>
      </c>
      <c r="BR69" s="27">
        <f t="shared" si="69"/>
        <v>-358800000</v>
      </c>
      <c r="BT69" s="47"/>
      <c r="BU69" s="26">
        <v>0</v>
      </c>
      <c r="BV69" s="13">
        <v>0</v>
      </c>
      <c r="BW69" s="13">
        <f t="shared" ref="BW69:CY69" si="134">$B$20/($B$21-$B$22*BV69)</f>
        <v>0.34883720930232553</v>
      </c>
      <c r="BX69" s="13">
        <f t="shared" si="134"/>
        <v>0.39716748768472904</v>
      </c>
      <c r="BY69" s="13">
        <f t="shared" si="134"/>
        <v>0.40494040593779607</v>
      </c>
      <c r="BZ69" s="13">
        <f t="shared" si="134"/>
        <v>0.4062190081621499</v>
      </c>
      <c r="CA69" s="13">
        <f t="shared" si="134"/>
        <v>0.40643010492156101</v>
      </c>
      <c r="CB69" s="13">
        <f t="shared" si="134"/>
        <v>0.40646497802255066</v>
      </c>
      <c r="CC69" s="13">
        <f t="shared" si="134"/>
        <v>0.40647073962099717</v>
      </c>
      <c r="CD69" s="13">
        <f t="shared" si="134"/>
        <v>0.40647169154566137</v>
      </c>
      <c r="CE69" s="13">
        <f t="shared" si="134"/>
        <v>0.40647184882198806</v>
      </c>
      <c r="CF69" s="13">
        <f t="shared" si="134"/>
        <v>0.40647187480708435</v>
      </c>
      <c r="CG69" s="13">
        <f t="shared" si="134"/>
        <v>0.40647187910032606</v>
      </c>
      <c r="CH69" s="13">
        <f t="shared" si="134"/>
        <v>0.40647187980965277</v>
      </c>
      <c r="CI69" s="13">
        <f t="shared" si="134"/>
        <v>0.4064718799268473</v>
      </c>
      <c r="CJ69" s="13">
        <f t="shared" si="134"/>
        <v>0.40647187994621015</v>
      </c>
      <c r="CK69" s="13">
        <f t="shared" si="134"/>
        <v>0.40647187994940925</v>
      </c>
      <c r="CL69" s="13">
        <f t="shared" si="134"/>
        <v>0.40647187994993778</v>
      </c>
      <c r="CM69" s="13">
        <f t="shared" si="134"/>
        <v>0.40647187995002515</v>
      </c>
      <c r="CN69" s="13">
        <f t="shared" si="134"/>
        <v>0.40647187995003953</v>
      </c>
      <c r="CO69" s="13">
        <f t="shared" si="134"/>
        <v>0.40647187995004191</v>
      </c>
      <c r="CP69" s="13">
        <f t="shared" si="134"/>
        <v>0.40647187995004236</v>
      </c>
      <c r="CQ69" s="13">
        <f t="shared" si="134"/>
        <v>0.40647187995004236</v>
      </c>
      <c r="CR69" s="13">
        <f t="shared" si="134"/>
        <v>0.40647187995004236</v>
      </c>
      <c r="CS69" s="13">
        <f t="shared" si="134"/>
        <v>0.40647187995004236</v>
      </c>
      <c r="CT69" s="13">
        <f t="shared" si="134"/>
        <v>0.40647187995004236</v>
      </c>
      <c r="CU69" s="13">
        <f t="shared" si="134"/>
        <v>0.40647187995004236</v>
      </c>
      <c r="CV69" s="13">
        <f t="shared" si="134"/>
        <v>0.40647187995004236</v>
      </c>
      <c r="CW69" s="13">
        <f t="shared" si="134"/>
        <v>0.40647187995004236</v>
      </c>
      <c r="CX69" s="13">
        <f t="shared" si="134"/>
        <v>0.40647187995004236</v>
      </c>
      <c r="CY69" s="13">
        <f t="shared" si="134"/>
        <v>0.40647187995004236</v>
      </c>
      <c r="CZ69" s="13">
        <f t="shared" si="71"/>
        <v>100</v>
      </c>
      <c r="DB69" s="47"/>
      <c r="DC69" s="26">
        <v>0</v>
      </c>
      <c r="DD69" s="13">
        <f t="shared" si="72"/>
        <v>300</v>
      </c>
      <c r="DE69" s="13">
        <f t="shared" si="73"/>
        <v>196.16110438323724</v>
      </c>
      <c r="DF69" s="13">
        <f t="shared" si="74"/>
        <v>182.88429615855063</v>
      </c>
      <c r="DG69" s="13">
        <f t="shared" si="75"/>
        <v>181.64176080251366</v>
      </c>
      <c r="DH69" s="13">
        <f t="shared" si="76"/>
        <v>181.93903351999091</v>
      </c>
      <c r="DI69" s="13">
        <f t="shared" si="77"/>
        <v>182.00563718802991</v>
      </c>
      <c r="DJ69" s="13">
        <f t="shared" si="78"/>
        <v>181.49919326397577</v>
      </c>
      <c r="DK69" s="13">
        <f t="shared" si="79"/>
        <v>180.34491963663444</v>
      </c>
      <c r="DL69" s="13">
        <f t="shared" si="80"/>
        <v>178.538036710894</v>
      </c>
      <c r="DM69" s="13">
        <f t="shared" si="81"/>
        <v>176.10441291477522</v>
      </c>
      <c r="DN69" s="13">
        <f t="shared" si="82"/>
        <v>173.08794279239746</v>
      </c>
      <c r="DO69" s="13">
        <f t="shared" si="83"/>
        <v>169.54327258450581</v>
      </c>
      <c r="DP69" s="13">
        <f t="shared" si="84"/>
        <v>165.53045678511594</v>
      </c>
      <c r="DQ69" s="13">
        <f t="shared" si="85"/>
        <v>161.11094402881619</v>
      </c>
      <c r="DR69" s="13">
        <f t="shared" si="86"/>
        <v>156.34467306083096</v>
      </c>
      <c r="DS69" s="13">
        <f t="shared" si="87"/>
        <v>151.28808996661667</v>
      </c>
      <c r="DT69" s="13">
        <f t="shared" si="88"/>
        <v>145.9929004433871</v>
      </c>
      <c r="DU69" s="13">
        <f t="shared" si="89"/>
        <v>140.50538534067383</v>
      </c>
      <c r="DV69" s="13">
        <f t="shared" si="90"/>
        <v>134.86613142276664</v>
      </c>
      <c r="DW69" s="13">
        <f t="shared" si="91"/>
        <v>129.11005631872959</v>
      </c>
      <c r="DX69" s="13">
        <f t="shared" si="92"/>
        <v>123.2666328276578</v>
      </c>
      <c r="DY69" s="13">
        <f t="shared" si="93"/>
        <v>117.36024097256457</v>
      </c>
      <c r="DZ69" s="13">
        <f t="shared" si="94"/>
        <v>111.41059559809852</v>
      </c>
      <c r="EA69" s="13">
        <f t="shared" si="95"/>
        <v>105.43321282284556</v>
      </c>
      <c r="EB69" s="13">
        <f t="shared" si="96"/>
        <v>99.439890638723554</v>
      </c>
      <c r="EC69" s="13">
        <f t="shared" si="97"/>
        <v>93.439187929221461</v>
      </c>
      <c r="ED69" s="13">
        <f t="shared" si="98"/>
        <v>87.436892725477975</v>
      </c>
      <c r="EE69" s="13">
        <f t="shared" si="99"/>
        <v>81.436475168797841</v>
      </c>
      <c r="EF69" s="13">
        <f t="shared" si="100"/>
        <v>75.439523863483117</v>
      </c>
      <c r="EG69" s="13">
        <f t="shared" si="101"/>
        <v>69.446166466103946</v>
      </c>
      <c r="EH69" s="13">
        <f t="shared" si="102"/>
        <v>63.455476767804548</v>
      </c>
    </row>
    <row r="70" spans="5:138" x14ac:dyDescent="0.25">
      <c r="AM70" s="28"/>
    </row>
    <row r="71" spans="5:138" x14ac:dyDescent="0.25">
      <c r="AM71" s="28"/>
    </row>
    <row r="72" spans="5:138" x14ac:dyDescent="0.25">
      <c r="AM72" s="28"/>
    </row>
    <row r="73" spans="5:138" x14ac:dyDescent="0.25">
      <c r="E73" s="48" t="s">
        <v>44</v>
      </c>
      <c r="F73" s="25" t="s">
        <v>39</v>
      </c>
      <c r="G73" s="25">
        <v>0</v>
      </c>
      <c r="H73" s="26">
        <v>3.3333333333333335E-3</v>
      </c>
      <c r="I73" s="26">
        <v>6.6666666666666671E-3</v>
      </c>
      <c r="J73" s="26">
        <v>0.01</v>
      </c>
      <c r="K73" s="26">
        <v>1.3333333333333334E-2</v>
      </c>
      <c r="L73" s="26">
        <v>1.6666666666666666E-2</v>
      </c>
      <c r="M73" s="26">
        <v>0.02</v>
      </c>
      <c r="N73" s="26">
        <v>2.3333333333333334E-2</v>
      </c>
      <c r="O73" s="26">
        <v>2.6666666666666668E-2</v>
      </c>
      <c r="P73" s="26">
        <v>3.0000000000000002E-2</v>
      </c>
      <c r="Q73" s="26">
        <v>3.3333333333333333E-2</v>
      </c>
      <c r="R73" s="26">
        <v>3.6666666666666667E-2</v>
      </c>
      <c r="S73" s="26">
        <v>0.04</v>
      </c>
      <c r="T73" s="26">
        <v>4.3333333333333335E-2</v>
      </c>
      <c r="U73" s="26">
        <v>4.6666666666666669E-2</v>
      </c>
      <c r="V73" s="26">
        <v>0.05</v>
      </c>
      <c r="W73" s="26">
        <v>5.3333333333333337E-2</v>
      </c>
      <c r="X73" s="26">
        <v>5.6666666666666671E-2</v>
      </c>
      <c r="Y73" s="26">
        <v>6.0000000000000005E-2</v>
      </c>
      <c r="Z73" s="26">
        <v>6.3333333333333339E-2</v>
      </c>
      <c r="AA73" s="26">
        <v>6.6666666666666666E-2</v>
      </c>
      <c r="AB73" s="26">
        <v>7.0000000000000007E-2</v>
      </c>
      <c r="AC73" s="26">
        <v>7.3333333333333334E-2</v>
      </c>
      <c r="AD73" s="26">
        <v>7.6666666666666675E-2</v>
      </c>
      <c r="AE73" s="26">
        <v>0.08</v>
      </c>
      <c r="AF73" s="26">
        <v>8.3333333333333343E-2</v>
      </c>
      <c r="AG73" s="26">
        <v>8.666666666666667E-2</v>
      </c>
      <c r="AH73" s="26">
        <v>9.0000000000000011E-2</v>
      </c>
      <c r="AI73" s="26">
        <v>9.3333333333333338E-2</v>
      </c>
      <c r="AJ73" s="26">
        <v>9.6666666666666679E-2</v>
      </c>
      <c r="AK73" s="26">
        <v>0.1</v>
      </c>
      <c r="AL73" s="47" t="s">
        <v>45</v>
      </c>
      <c r="AM73" s="25" t="s">
        <v>39</v>
      </c>
      <c r="AN73" s="25">
        <v>0</v>
      </c>
      <c r="AO73" s="26">
        <v>3.3333333333333335E-3</v>
      </c>
      <c r="AP73" s="26">
        <v>6.6666666666666671E-3</v>
      </c>
      <c r="AQ73" s="26">
        <v>0.01</v>
      </c>
      <c r="AR73" s="26">
        <v>1.3333333333333334E-2</v>
      </c>
      <c r="AS73" s="26">
        <v>1.6666666666666666E-2</v>
      </c>
      <c r="AT73" s="26">
        <v>0.02</v>
      </c>
      <c r="AU73" s="26">
        <v>2.3333333333333334E-2</v>
      </c>
      <c r="AV73" s="26">
        <v>2.6666666666666668E-2</v>
      </c>
      <c r="AW73" s="26">
        <v>3.0000000000000002E-2</v>
      </c>
      <c r="AX73" s="26">
        <v>3.3333333333333333E-2</v>
      </c>
      <c r="AY73" s="26">
        <v>3.6666666666666667E-2</v>
      </c>
      <c r="AZ73" s="26">
        <v>0.04</v>
      </c>
      <c r="BA73" s="26">
        <v>4.3333333333333335E-2</v>
      </c>
      <c r="BB73" s="26">
        <v>4.6666666666666669E-2</v>
      </c>
      <c r="BC73" s="26">
        <v>0.05</v>
      </c>
      <c r="BD73" s="26">
        <v>5.3333333333333337E-2</v>
      </c>
      <c r="BE73" s="26">
        <v>5.6666666666666671E-2</v>
      </c>
      <c r="BF73" s="26">
        <v>6.0000000000000005E-2</v>
      </c>
      <c r="BG73" s="26">
        <v>6.3333333333333339E-2</v>
      </c>
      <c r="BH73" s="26">
        <v>6.6666666666666666E-2</v>
      </c>
      <c r="BI73" s="26">
        <v>7.0000000000000007E-2</v>
      </c>
      <c r="BJ73" s="26">
        <v>7.3333333333333334E-2</v>
      </c>
      <c r="BK73" s="26">
        <v>7.6666666666666675E-2</v>
      </c>
      <c r="BL73" s="26">
        <v>0.08</v>
      </c>
      <c r="BM73" s="26">
        <v>8.3333333333333343E-2</v>
      </c>
      <c r="BN73" s="26">
        <v>8.666666666666667E-2</v>
      </c>
      <c r="BO73" s="26">
        <v>9.0000000000000011E-2</v>
      </c>
      <c r="BP73" s="26">
        <v>9.3333333333333338E-2</v>
      </c>
      <c r="BQ73" s="26">
        <v>9.6666666666666679E-2</v>
      </c>
      <c r="BR73" s="26">
        <v>0.1</v>
      </c>
      <c r="BT73" s="50" t="s">
        <v>46</v>
      </c>
      <c r="BU73" s="25" t="s">
        <v>39</v>
      </c>
      <c r="BV73" s="25">
        <v>0</v>
      </c>
      <c r="BW73" s="26">
        <v>3.3333333333333335E-3</v>
      </c>
      <c r="BX73" s="26">
        <v>6.6666666666666671E-3</v>
      </c>
      <c r="BY73" s="26">
        <v>0.01</v>
      </c>
      <c r="BZ73" s="26">
        <v>1.3333333333333334E-2</v>
      </c>
      <c r="CA73" s="26">
        <v>1.6666666666666666E-2</v>
      </c>
      <c r="CB73" s="26">
        <v>0.02</v>
      </c>
      <c r="CC73" s="26">
        <v>2.3333333333333334E-2</v>
      </c>
      <c r="CD73" s="26">
        <v>2.6666666666666668E-2</v>
      </c>
      <c r="CE73" s="26">
        <v>3.0000000000000002E-2</v>
      </c>
      <c r="CF73" s="26">
        <v>3.3333333333333333E-2</v>
      </c>
      <c r="CG73" s="26">
        <v>3.6666666666666667E-2</v>
      </c>
      <c r="CH73" s="26">
        <v>0.04</v>
      </c>
      <c r="CI73" s="26">
        <v>4.3333333333333335E-2</v>
      </c>
      <c r="CJ73" s="26">
        <v>4.6666666666666669E-2</v>
      </c>
      <c r="CK73" s="26">
        <v>0.05</v>
      </c>
      <c r="CL73" s="26">
        <v>5.3333333333333337E-2</v>
      </c>
      <c r="CM73" s="26">
        <v>5.6666666666666671E-2</v>
      </c>
      <c r="CN73" s="26">
        <v>6.0000000000000005E-2</v>
      </c>
      <c r="CO73" s="26">
        <v>6.3333333333333339E-2</v>
      </c>
      <c r="CP73" s="26">
        <v>6.6666666666666666E-2</v>
      </c>
      <c r="CQ73" s="26">
        <v>7.0000000000000007E-2</v>
      </c>
      <c r="CR73" s="26">
        <v>7.3333333333333334E-2</v>
      </c>
      <c r="CS73" s="26">
        <v>7.6666666666666675E-2</v>
      </c>
      <c r="CT73" s="26">
        <v>0.08</v>
      </c>
      <c r="CU73" s="26">
        <v>8.3333333333333343E-2</v>
      </c>
      <c r="CV73" s="26">
        <v>8.666666666666667E-2</v>
      </c>
      <c r="CW73" s="26">
        <v>9.0000000000000011E-2</v>
      </c>
      <c r="CX73" s="26">
        <v>9.3333333333333338E-2</v>
      </c>
      <c r="CY73" s="26">
        <v>9.6666666666666679E-2</v>
      </c>
      <c r="CZ73" s="26">
        <v>0.1</v>
      </c>
      <c r="DB73" s="50" t="s">
        <v>47</v>
      </c>
      <c r="DC73" s="25" t="s">
        <v>39</v>
      </c>
      <c r="DD73" s="25">
        <v>0</v>
      </c>
      <c r="DE73" s="26">
        <v>3.3333333333333335E-3</v>
      </c>
      <c r="DF73" s="26">
        <v>6.6666666666666671E-3</v>
      </c>
      <c r="DG73" s="26">
        <v>0.01</v>
      </c>
      <c r="DH73" s="26">
        <v>1.3333333333333334E-2</v>
      </c>
      <c r="DI73" s="26">
        <v>1.6666666666666666E-2</v>
      </c>
      <c r="DJ73" s="26">
        <v>0.02</v>
      </c>
      <c r="DK73" s="26">
        <v>2.3333333333333334E-2</v>
      </c>
      <c r="DL73" s="26">
        <v>2.6666666666666668E-2</v>
      </c>
      <c r="DM73" s="26">
        <v>3.0000000000000002E-2</v>
      </c>
      <c r="DN73" s="26">
        <v>3.3333333333333333E-2</v>
      </c>
      <c r="DO73" s="26">
        <v>3.6666666666666667E-2</v>
      </c>
      <c r="DP73" s="26">
        <v>0.04</v>
      </c>
      <c r="DQ73" s="26">
        <v>4.3333333333333335E-2</v>
      </c>
      <c r="DR73" s="26">
        <v>4.6666666666666669E-2</v>
      </c>
      <c r="DS73" s="26">
        <v>0.05</v>
      </c>
      <c r="DT73" s="26">
        <v>5.3333333333333337E-2</v>
      </c>
      <c r="DU73" s="26">
        <v>5.6666666666666671E-2</v>
      </c>
      <c r="DV73" s="26">
        <v>6.0000000000000005E-2</v>
      </c>
      <c r="DW73" s="26">
        <v>6.3333333333333339E-2</v>
      </c>
      <c r="DX73" s="26">
        <v>6.6666666666666666E-2</v>
      </c>
      <c r="DY73" s="26">
        <v>7.0000000000000007E-2</v>
      </c>
      <c r="DZ73" s="26">
        <v>7.3333333333333334E-2</v>
      </c>
      <c r="EA73" s="26">
        <v>7.6666666666666675E-2</v>
      </c>
      <c r="EB73" s="26">
        <v>0.08</v>
      </c>
      <c r="EC73" s="26">
        <v>8.3333333333333343E-2</v>
      </c>
      <c r="ED73" s="26">
        <v>8.666666666666667E-2</v>
      </c>
      <c r="EE73" s="26">
        <v>9.0000000000000011E-2</v>
      </c>
      <c r="EF73" s="26">
        <v>9.3333333333333338E-2</v>
      </c>
      <c r="EG73" s="26">
        <v>9.6666666666666679E-2</v>
      </c>
      <c r="EH73" s="26">
        <v>0.1</v>
      </c>
    </row>
    <row r="74" spans="5:138" x14ac:dyDescent="0.25">
      <c r="E74" s="49"/>
      <c r="F74" s="26">
        <v>0.1</v>
      </c>
      <c r="G74" s="13">
        <f>$B$16</f>
        <v>300</v>
      </c>
      <c r="H74" s="13">
        <f t="shared" ref="H74:AI74" si="135">DE75/(1-BW75)</f>
        <v>326.29285480956105</v>
      </c>
      <c r="I74" s="13">
        <f t="shared" si="135"/>
        <v>337.63362944684155</v>
      </c>
      <c r="J74" s="13">
        <f t="shared" si="135"/>
        <v>345.38317461149796</v>
      </c>
      <c r="K74" s="13">
        <f t="shared" si="135"/>
        <v>350.01614195749499</v>
      </c>
      <c r="L74" s="13">
        <f t="shared" si="135"/>
        <v>351.84105240765166</v>
      </c>
      <c r="M74" s="13">
        <f t="shared" si="135"/>
        <v>351.13313011825079</v>
      </c>
      <c r="N74" s="13">
        <f t="shared" si="135"/>
        <v>348.17593212928335</v>
      </c>
      <c r="O74" s="13">
        <f t="shared" si="135"/>
        <v>343.26384362019184</v>
      </c>
      <c r="P74" s="13">
        <f t="shared" si="135"/>
        <v>336.69130531758816</v>
      </c>
      <c r="Q74" s="13">
        <f t="shared" si="135"/>
        <v>328.74042946135387</v>
      </c>
      <c r="R74" s="13">
        <f t="shared" si="135"/>
        <v>319.67140664918315</v>
      </c>
      <c r="S74" s="13">
        <f t="shared" si="135"/>
        <v>309.71668628820925</v>
      </c>
      <c r="T74" s="13">
        <f t="shared" si="135"/>
        <v>299.07849858378768</v>
      </c>
      <c r="U74" s="13">
        <f t="shared" si="135"/>
        <v>287.92885279416191</v>
      </c>
      <c r="V74" s="13">
        <f t="shared" si="135"/>
        <v>276.41114890262145</v>
      </c>
      <c r="W74" s="13">
        <f t="shared" si="135"/>
        <v>264.64270215968105</v>
      </c>
      <c r="X74" s="13">
        <f t="shared" si="135"/>
        <v>252.71767308188606</v>
      </c>
      <c r="Y74" s="13">
        <f t="shared" si="135"/>
        <v>240.7100664050495</v>
      </c>
      <c r="Z74" s="13">
        <f t="shared" si="135"/>
        <v>228.676595157138</v>
      </c>
      <c r="AA74" s="13">
        <f t="shared" si="135"/>
        <v>216.65930085482231</v>
      </c>
      <c r="AB74" s="13">
        <f t="shared" si="135"/>
        <v>204.68788432836223</v>
      </c>
      <c r="AC74" s="13">
        <f t="shared" si="135"/>
        <v>192.78174155443583</v>
      </c>
      <c r="AD74" s="13">
        <f t="shared" si="135"/>
        <v>180.95172204704096</v>
      </c>
      <c r="AE74" s="13">
        <f t="shared" si="135"/>
        <v>169.20163932466684</v>
      </c>
      <c r="AF74" s="13">
        <f t="shared" si="135"/>
        <v>157.52956781082423</v>
      </c>
      <c r="AG74" s="13">
        <f t="shared" si="135"/>
        <v>145.92896110401782</v>
      </c>
      <c r="AH74" s="13">
        <f t="shared" si="135"/>
        <v>134.38962481495903</v>
      </c>
      <c r="AI74" s="13">
        <f t="shared" si="135"/>
        <v>122.89857438300017</v>
      </c>
      <c r="AJ74" s="13">
        <f>EG75/(1-CY75)</f>
        <v>111.44080525233912</v>
      </c>
      <c r="AK74" s="13">
        <f>$B$17</f>
        <v>100</v>
      </c>
      <c r="AL74" s="47"/>
      <c r="AM74" s="26">
        <v>0.1</v>
      </c>
      <c r="AN74" s="13">
        <f>-($B$12*$B$11)/$B$8*G39</f>
        <v>-1076400000</v>
      </c>
      <c r="AO74" s="13">
        <f t="shared" ref="AO74:BR74" si="136">-($B$12*$B$11)/$B$8*H39</f>
        <v>-1145537884.5945494</v>
      </c>
      <c r="AP74" s="13">
        <f t="shared" si="136"/>
        <v>-1192907667.7844954</v>
      </c>
      <c r="AQ74" s="13">
        <f t="shared" si="136"/>
        <v>-1224369751.8624258</v>
      </c>
      <c r="AR74" s="13">
        <f t="shared" si="136"/>
        <v>-1243163568.6483572</v>
      </c>
      <c r="AS74" s="13">
        <f t="shared" si="136"/>
        <v>-1251238339.5682547</v>
      </c>
      <c r="AT74" s="13">
        <f t="shared" si="136"/>
        <v>-1249982279.4275923</v>
      </c>
      <c r="AU74" s="13">
        <f t="shared" si="136"/>
        <v>-1240569168.1751494</v>
      </c>
      <c r="AV74" s="13">
        <f t="shared" si="136"/>
        <v>-1224093209.1003222</v>
      </c>
      <c r="AW74" s="13">
        <f t="shared" si="136"/>
        <v>-1201601298.6634998</v>
      </c>
      <c r="AX74" s="13">
        <f t="shared" si="136"/>
        <v>-1174084180.3942404</v>
      </c>
      <c r="AY74" s="13">
        <f t="shared" si="136"/>
        <v>-1142457331.8011439</v>
      </c>
      <c r="AZ74" s="13">
        <f t="shared" si="136"/>
        <v>-1107544855.9757063</v>
      </c>
      <c r="BA74" s="13">
        <f t="shared" si="136"/>
        <v>-1070070518.4828035</v>
      </c>
      <c r="BB74" s="13">
        <f t="shared" si="136"/>
        <v>-1030655871.0678157</v>
      </c>
      <c r="BC74" s="13">
        <f t="shared" si="136"/>
        <v>-989823844.57922804</v>
      </c>
      <c r="BD74" s="13">
        <f t="shared" si="136"/>
        <v>-948005915.53399706</v>
      </c>
      <c r="BE74" s="13">
        <f t="shared" si="136"/>
        <v>-905551208.35131204</v>
      </c>
      <c r="BF74" s="13">
        <f t="shared" si="136"/>
        <v>-862736311.14069724</v>
      </c>
      <c r="BG74" s="13">
        <f t="shared" si="136"/>
        <v>-819774986.00959814</v>
      </c>
      <c r="BH74" s="13">
        <f t="shared" si="136"/>
        <v>-776827281.95636439</v>
      </c>
      <c r="BI74" s="13">
        <f t="shared" si="136"/>
        <v>-734007798.12338066</v>
      </c>
      <c r="BJ74" s="13">
        <f t="shared" si="136"/>
        <v>-691393007.79764235</v>
      </c>
      <c r="BK74" s="13">
        <f t="shared" si="136"/>
        <v>-649027656.00731122</v>
      </c>
      <c r="BL74" s="13">
        <f t="shared" si="136"/>
        <v>-606930302.63026166</v>
      </c>
      <c r="BM74" s="13">
        <f t="shared" si="136"/>
        <v>-565098112.58849597</v>
      </c>
      <c r="BN74" s="13">
        <f t="shared" si="136"/>
        <v>-523511005.61471695</v>
      </c>
      <c r="BO74" s="13">
        <f t="shared" si="136"/>
        <v>-482135277.90827048</v>
      </c>
      <c r="BP74" s="13">
        <f t="shared" si="136"/>
        <v>-440926802.01219094</v>
      </c>
      <c r="BQ74" s="13">
        <f t="shared" si="136"/>
        <v>-399833902.92202103</v>
      </c>
      <c r="BR74" s="13">
        <f t="shared" si="136"/>
        <v>-358800000</v>
      </c>
      <c r="BT74" s="47"/>
      <c r="BU74" s="26">
        <v>0.1</v>
      </c>
      <c r="BV74" s="13">
        <f>$B$20/($B$21-$B$22*BV75)</f>
        <v>0.40647187995004247</v>
      </c>
      <c r="BW74" s="13">
        <f>$B$20/($B$21-$B$22*BW75)</f>
        <v>0.40647187995004247</v>
      </c>
      <c r="BX74" s="13">
        <f t="shared" ref="BX74:CZ74" si="137">$B$20/($B$21-$B$22*BX75)</f>
        <v>0.40647187995004247</v>
      </c>
      <c r="BY74" s="13">
        <f t="shared" si="137"/>
        <v>0.40647187995004247</v>
      </c>
      <c r="BZ74" s="13">
        <f t="shared" si="137"/>
        <v>0.40647187995004247</v>
      </c>
      <c r="CA74" s="13">
        <f t="shared" si="137"/>
        <v>0.40647187995004247</v>
      </c>
      <c r="CB74" s="13">
        <f t="shared" si="137"/>
        <v>0.40647187995004247</v>
      </c>
      <c r="CC74" s="13">
        <f t="shared" si="137"/>
        <v>0.40647187995004247</v>
      </c>
      <c r="CD74" s="13">
        <f t="shared" si="137"/>
        <v>0.40647187995004247</v>
      </c>
      <c r="CE74" s="13">
        <f t="shared" si="137"/>
        <v>0.40647187995004247</v>
      </c>
      <c r="CF74" s="13">
        <f t="shared" si="137"/>
        <v>0.40647187995004247</v>
      </c>
      <c r="CG74" s="13">
        <f t="shared" si="137"/>
        <v>0.40647187995004247</v>
      </c>
      <c r="CH74" s="13">
        <f t="shared" si="137"/>
        <v>0.40647187995004247</v>
      </c>
      <c r="CI74" s="13">
        <f t="shared" si="137"/>
        <v>0.40647187995004247</v>
      </c>
      <c r="CJ74" s="13">
        <f t="shared" si="137"/>
        <v>0.40647187995004247</v>
      </c>
      <c r="CK74" s="13">
        <f t="shared" si="137"/>
        <v>0.40647187995004247</v>
      </c>
      <c r="CL74" s="13">
        <f t="shared" si="137"/>
        <v>0.40647187995004247</v>
      </c>
      <c r="CM74" s="13">
        <f t="shared" si="137"/>
        <v>0.40647187995004247</v>
      </c>
      <c r="CN74" s="13">
        <f t="shared" si="137"/>
        <v>0.40647187995004247</v>
      </c>
      <c r="CO74" s="13">
        <f t="shared" si="137"/>
        <v>0.40647187995004247</v>
      </c>
      <c r="CP74" s="13">
        <f t="shared" si="137"/>
        <v>0.40647187995004247</v>
      </c>
      <c r="CQ74" s="13">
        <f t="shared" si="137"/>
        <v>0.40647187995004247</v>
      </c>
      <c r="CR74" s="13">
        <f t="shared" si="137"/>
        <v>0.40647187995004247</v>
      </c>
      <c r="CS74" s="13">
        <f t="shared" si="137"/>
        <v>0.40647187995004247</v>
      </c>
      <c r="CT74" s="13">
        <f t="shared" si="137"/>
        <v>0.40647187995004247</v>
      </c>
      <c r="CU74" s="13">
        <f t="shared" si="137"/>
        <v>0.40647187995004247</v>
      </c>
      <c r="CV74" s="13">
        <f t="shared" si="137"/>
        <v>0.40647187995004247</v>
      </c>
      <c r="CW74" s="13">
        <f t="shared" si="137"/>
        <v>0.40647187995004247</v>
      </c>
      <c r="CX74" s="13">
        <f t="shared" si="137"/>
        <v>0.40647187995004247</v>
      </c>
      <c r="CY74" s="13">
        <f t="shared" si="137"/>
        <v>0.40647187995004247</v>
      </c>
      <c r="CZ74" s="13">
        <f t="shared" si="137"/>
        <v>0.40647187995004247</v>
      </c>
      <c r="DB74" s="47"/>
      <c r="DC74" s="26">
        <v>0.1</v>
      </c>
      <c r="DD74" s="13">
        <f>(DD75*$B$22-AN74)/($B$21-$B$22*BV75)</f>
        <v>178.05843601498725</v>
      </c>
      <c r="DE74" s="13">
        <f t="shared" ref="DE74:EH74" si="138">(DE75*$B$22-AO74)/($B$21-$B$22*BW75)</f>
        <v>191.18972179145521</v>
      </c>
      <c r="DF74" s="13">
        <f t="shared" si="138"/>
        <v>198.57655366526714</v>
      </c>
      <c r="DG74" s="13">
        <f t="shared" si="138"/>
        <v>203.53514891779719</v>
      </c>
      <c r="DH74" s="13">
        <f t="shared" si="138"/>
        <v>206.49807108576704</v>
      </c>
      <c r="DI74" s="13">
        <f t="shared" si="138"/>
        <v>207.73112931495666</v>
      </c>
      <c r="DJ74" s="13">
        <f t="shared" si="138"/>
        <v>207.43701928809276</v>
      </c>
      <c r="DK74" s="13">
        <f t="shared" si="138"/>
        <v>205.79939345662777</v>
      </c>
      <c r="DL74" s="13">
        <f t="shared" si="138"/>
        <v>202.9967036228108</v>
      </c>
      <c r="DM74" s="13">
        <f t="shared" si="138"/>
        <v>199.20277032898176</v>
      </c>
      <c r="DN74" s="13">
        <f t="shared" si="138"/>
        <v>194.58292665399699</v>
      </c>
      <c r="DO74" s="13">
        <f t="shared" si="138"/>
        <v>189.28982728655319</v>
      </c>
      <c r="DP74" s="13">
        <f t="shared" si="138"/>
        <v>183.46046299632218</v>
      </c>
      <c r="DQ74" s="13">
        <f t="shared" si="138"/>
        <v>177.21468279501869</v>
      </c>
      <c r="DR74" s="13">
        <f t="shared" si="138"/>
        <v>170.65500929787186</v>
      </c>
      <c r="DS74" s="13">
        <f t="shared" si="138"/>
        <v>163.86738030248603</v>
      </c>
      <c r="DT74" s="13">
        <f t="shared" si="138"/>
        <v>156.92246146588042</v>
      </c>
      <c r="DU74" s="13">
        <f t="shared" si="138"/>
        <v>149.87724684599613</v>
      </c>
      <c r="DV74" s="13">
        <f t="shared" si="138"/>
        <v>142.7767461365481</v>
      </c>
      <c r="DW74" s="13">
        <f t="shared" si="138"/>
        <v>135.65562900540908</v>
      </c>
      <c r="DX74" s="13">
        <f t="shared" si="138"/>
        <v>128.53975194209056</v>
      </c>
      <c r="DY74" s="13">
        <f t="shared" si="138"/>
        <v>121.44753187457707</v>
      </c>
      <c r="DZ74" s="13">
        <f t="shared" si="138"/>
        <v>114.39115640126084</v>
      </c>
      <c r="EA74" s="13">
        <f t="shared" si="138"/>
        <v>107.37763613347916</v>
      </c>
      <c r="EB74" s="13">
        <f t="shared" si="138"/>
        <v>100.40971333082234</v>
      </c>
      <c r="EC74" s="13">
        <f t="shared" si="138"/>
        <v>93.486645090633999</v>
      </c>
      <c r="ED74" s="13">
        <f t="shared" si="138"/>
        <v>86.604880564204862</v>
      </c>
      <c r="EE74" s="13">
        <f t="shared" si="138"/>
        <v>79.758651236197451</v>
      </c>
      <c r="EF74" s="13">
        <f t="shared" si="138"/>
        <v>72.940492044088913</v>
      </c>
      <c r="EG74" s="13">
        <f t="shared" si="138"/>
        <v>66.141709566103259</v>
      </c>
      <c r="EH74" s="13">
        <f t="shared" si="138"/>
        <v>59.352812004995762</v>
      </c>
    </row>
    <row r="75" spans="5:138" x14ac:dyDescent="0.25">
      <c r="E75" s="49"/>
      <c r="F75" s="26">
        <v>9.6666666666666679E-2</v>
      </c>
      <c r="G75" s="13">
        <f t="shared" ref="G75:G104" si="139">$B$16</f>
        <v>300</v>
      </c>
      <c r="H75" s="13">
        <f>BW75*H74+DE75</f>
        <v>326.29285480956105</v>
      </c>
      <c r="I75" s="13">
        <f t="shared" ref="I75:AJ75" si="140">BX75*I74+DF75</f>
        <v>337.63362944684155</v>
      </c>
      <c r="J75" s="13">
        <f t="shared" si="140"/>
        <v>345.38317461149802</v>
      </c>
      <c r="K75" s="13">
        <f t="shared" si="140"/>
        <v>350.01614195749505</v>
      </c>
      <c r="L75" s="13">
        <f t="shared" si="140"/>
        <v>351.84105240765166</v>
      </c>
      <c r="M75" s="13">
        <f t="shared" si="140"/>
        <v>351.13313011825079</v>
      </c>
      <c r="N75" s="13">
        <f t="shared" si="140"/>
        <v>348.17593212928341</v>
      </c>
      <c r="O75" s="13">
        <f t="shared" si="140"/>
        <v>343.26384362019184</v>
      </c>
      <c r="P75" s="13">
        <f t="shared" si="140"/>
        <v>336.69130531758822</v>
      </c>
      <c r="Q75" s="13">
        <f t="shared" si="140"/>
        <v>328.74042946135387</v>
      </c>
      <c r="R75" s="13">
        <f t="shared" si="140"/>
        <v>319.67140664918315</v>
      </c>
      <c r="S75" s="13">
        <f t="shared" si="140"/>
        <v>309.7166862882093</v>
      </c>
      <c r="T75" s="13">
        <f t="shared" si="140"/>
        <v>299.07849858378768</v>
      </c>
      <c r="U75" s="13">
        <f t="shared" si="140"/>
        <v>287.92885279416191</v>
      </c>
      <c r="V75" s="13">
        <f t="shared" si="140"/>
        <v>276.41114890262145</v>
      </c>
      <c r="W75" s="13">
        <f t="shared" si="140"/>
        <v>264.64270215968111</v>
      </c>
      <c r="X75" s="13">
        <f t="shared" si="140"/>
        <v>252.71767308188606</v>
      </c>
      <c r="Y75" s="13">
        <f t="shared" si="140"/>
        <v>240.71006640504953</v>
      </c>
      <c r="Z75" s="13">
        <f t="shared" si="140"/>
        <v>228.67659515713802</v>
      </c>
      <c r="AA75" s="13">
        <f t="shared" si="140"/>
        <v>216.65930085482233</v>
      </c>
      <c r="AB75" s="13">
        <f t="shared" si="140"/>
        <v>204.68788432836226</v>
      </c>
      <c r="AC75" s="13">
        <f t="shared" si="140"/>
        <v>192.78174155443583</v>
      </c>
      <c r="AD75" s="13">
        <f t="shared" si="140"/>
        <v>180.95172204704096</v>
      </c>
      <c r="AE75" s="13">
        <f t="shared" si="140"/>
        <v>169.20163932466687</v>
      </c>
      <c r="AF75" s="13">
        <f t="shared" si="140"/>
        <v>157.52956781082423</v>
      </c>
      <c r="AG75" s="13">
        <f t="shared" si="140"/>
        <v>145.92896110401784</v>
      </c>
      <c r="AH75" s="13">
        <f t="shared" si="140"/>
        <v>134.38962481495906</v>
      </c>
      <c r="AI75" s="13">
        <f t="shared" si="140"/>
        <v>122.89857438300018</v>
      </c>
      <c r="AJ75" s="13">
        <f t="shared" si="140"/>
        <v>111.44080525233912</v>
      </c>
      <c r="AK75" s="13">
        <f t="shared" ref="AK75:AK104" si="141">$B$17</f>
        <v>100</v>
      </c>
      <c r="AL75" s="47"/>
      <c r="AM75" s="26">
        <v>9.6666666666666679E-2</v>
      </c>
      <c r="AN75" s="13">
        <f t="shared" ref="AN75:AN104" si="142">-($B$12*$B$11)/$B$8*G40</f>
        <v>-1076400000</v>
      </c>
      <c r="AO75" s="13">
        <f t="shared" ref="AO75:AO104" si="143">-($B$12*$B$11)/$B$8*H40</f>
        <v>-1145537884.5945494</v>
      </c>
      <c r="AP75" s="13">
        <f t="shared" ref="AP75:AP104" si="144">-($B$12*$B$11)/$B$8*I40</f>
        <v>-1192907667.7844954</v>
      </c>
      <c r="AQ75" s="13">
        <f t="shared" ref="AQ75:AQ104" si="145">-($B$12*$B$11)/$B$8*J40</f>
        <v>-1224369751.8624258</v>
      </c>
      <c r="AR75" s="13">
        <f t="shared" ref="AR75:AR104" si="146">-($B$12*$B$11)/$B$8*K40</f>
        <v>-1243163568.6483572</v>
      </c>
      <c r="AS75" s="13">
        <f t="shared" ref="AS75:AS104" si="147">-($B$12*$B$11)/$B$8*L40</f>
        <v>-1251238339.5682547</v>
      </c>
      <c r="AT75" s="13">
        <f t="shared" ref="AT75:AT104" si="148">-($B$12*$B$11)/$B$8*M40</f>
        <v>-1249982279.4275923</v>
      </c>
      <c r="AU75" s="13">
        <f t="shared" ref="AU75:AU104" si="149">-($B$12*$B$11)/$B$8*N40</f>
        <v>-1240569168.1751494</v>
      </c>
      <c r="AV75" s="13">
        <f t="shared" ref="AV75:AV104" si="150">-($B$12*$B$11)/$B$8*O40</f>
        <v>-1224093209.1003222</v>
      </c>
      <c r="AW75" s="13">
        <f t="shared" ref="AW75:AW104" si="151">-($B$12*$B$11)/$B$8*P40</f>
        <v>-1201601298.6634998</v>
      </c>
      <c r="AX75" s="13">
        <f t="shared" ref="AX75:AX104" si="152">-($B$12*$B$11)/$B$8*Q40</f>
        <v>-1174084180.3942404</v>
      </c>
      <c r="AY75" s="13">
        <f t="shared" ref="AY75:AY104" si="153">-($B$12*$B$11)/$B$8*R40</f>
        <v>-1142457331.8011439</v>
      </c>
      <c r="AZ75" s="13">
        <f t="shared" ref="AZ75:AZ104" si="154">-($B$12*$B$11)/$B$8*S40</f>
        <v>-1107544855.9757063</v>
      </c>
      <c r="BA75" s="13">
        <f t="shared" ref="BA75:BA104" si="155">-($B$12*$B$11)/$B$8*T40</f>
        <v>-1070070518.4828035</v>
      </c>
      <c r="BB75" s="13">
        <f t="shared" ref="BB75:BB104" si="156">-($B$12*$B$11)/$B$8*U40</f>
        <v>-1030655871.0678157</v>
      </c>
      <c r="BC75" s="13">
        <f t="shared" ref="BC75:BC104" si="157">-($B$12*$B$11)/$B$8*V40</f>
        <v>-989823844.57922804</v>
      </c>
      <c r="BD75" s="13">
        <f t="shared" ref="BD75:BD104" si="158">-($B$12*$B$11)/$B$8*W40</f>
        <v>-948005915.5339973</v>
      </c>
      <c r="BE75" s="13">
        <f t="shared" ref="BE75:BE104" si="159">-($B$12*$B$11)/$B$8*X40</f>
        <v>-905551208.35131204</v>
      </c>
      <c r="BF75" s="13">
        <f t="shared" ref="BF75:BF104" si="160">-($B$12*$B$11)/$B$8*Y40</f>
        <v>-862736311.14069724</v>
      </c>
      <c r="BG75" s="13">
        <f t="shared" ref="BG75:BG104" si="161">-($B$12*$B$11)/$B$8*Z40</f>
        <v>-819774986.00959814</v>
      </c>
      <c r="BH75" s="13">
        <f t="shared" ref="BH75:BH104" si="162">-($B$12*$B$11)/$B$8*AA40</f>
        <v>-776827281.95636439</v>
      </c>
      <c r="BI75" s="13">
        <f t="shared" ref="BI75:BI104" si="163">-($B$12*$B$11)/$B$8*AB40</f>
        <v>-734007798.12338066</v>
      </c>
      <c r="BJ75" s="13">
        <f t="shared" ref="BJ75:BJ104" si="164">-($B$12*$B$11)/$B$8*AC40</f>
        <v>-691393007.79764247</v>
      </c>
      <c r="BK75" s="13">
        <f t="shared" ref="BK75:BK104" si="165">-($B$12*$B$11)/$B$8*AD40</f>
        <v>-649027656.00731134</v>
      </c>
      <c r="BL75" s="13">
        <f t="shared" ref="BL75:BL104" si="166">-($B$12*$B$11)/$B$8*AE40</f>
        <v>-606930302.63026178</v>
      </c>
      <c r="BM75" s="13">
        <f t="shared" ref="BM75:BM104" si="167">-($B$12*$B$11)/$B$8*AF40</f>
        <v>-565098112.58849597</v>
      </c>
      <c r="BN75" s="13">
        <f t="shared" ref="BN75:BN104" si="168">-($B$12*$B$11)/$B$8*AG40</f>
        <v>-523511005.61471695</v>
      </c>
      <c r="BO75" s="13">
        <f t="shared" ref="BO75:BO104" si="169">-($B$12*$B$11)/$B$8*AH40</f>
        <v>-482135277.90827048</v>
      </c>
      <c r="BP75" s="13">
        <f t="shared" ref="BP75:BP104" si="170">-($B$12*$B$11)/$B$8*AI40</f>
        <v>-440926802.01219094</v>
      </c>
      <c r="BQ75" s="13">
        <f t="shared" ref="BQ75:BQ104" si="171">-($B$12*$B$11)/$B$8*AJ40</f>
        <v>-399833902.92202103</v>
      </c>
      <c r="BR75" s="13">
        <f t="shared" ref="BR75:BR104" si="172">-($B$12*$B$11)/$B$8*AK40</f>
        <v>-358800000</v>
      </c>
      <c r="BT75" s="47"/>
      <c r="BU75" s="26">
        <v>9.6666666666666679E-2</v>
      </c>
      <c r="BV75" s="13">
        <f t="shared" ref="BV75:BV103" si="173">$B$20/($B$21-$B$22*BV76)</f>
        <v>0.40647187995004247</v>
      </c>
      <c r="BW75" s="13">
        <f t="shared" ref="BW75:BW103" si="174">$B$20/($B$21-$B$22*BW76)</f>
        <v>0.40647187995004247</v>
      </c>
      <c r="BX75" s="13">
        <f t="shared" ref="BX75:BX103" si="175">$B$20/($B$21-$B$22*BX76)</f>
        <v>0.40647187995004247</v>
      </c>
      <c r="BY75" s="13">
        <f t="shared" ref="BY75:BY103" si="176">$B$20/($B$21-$B$22*BY76)</f>
        <v>0.40647187995004247</v>
      </c>
      <c r="BZ75" s="13">
        <f t="shared" ref="BZ75:BZ103" si="177">$B$20/($B$21-$B$22*BZ76)</f>
        <v>0.40647187995004247</v>
      </c>
      <c r="CA75" s="13">
        <f t="shared" ref="CA75:CA103" si="178">$B$20/($B$21-$B$22*CA76)</f>
        <v>0.40647187995004247</v>
      </c>
      <c r="CB75" s="13">
        <f t="shared" ref="CB75:CB103" si="179">$B$20/($B$21-$B$22*CB76)</f>
        <v>0.40647187995004247</v>
      </c>
      <c r="CC75" s="13">
        <f t="shared" ref="CC75:CC103" si="180">$B$20/($B$21-$B$22*CC76)</f>
        <v>0.40647187995004247</v>
      </c>
      <c r="CD75" s="13">
        <f t="shared" ref="CD75:CD103" si="181">$B$20/($B$21-$B$22*CD76)</f>
        <v>0.40647187995004247</v>
      </c>
      <c r="CE75" s="13">
        <f t="shared" ref="CE75:CE103" si="182">$B$20/($B$21-$B$22*CE76)</f>
        <v>0.40647187995004247</v>
      </c>
      <c r="CF75" s="13">
        <f t="shared" ref="CF75:CF103" si="183">$B$20/($B$21-$B$22*CF76)</f>
        <v>0.40647187995004247</v>
      </c>
      <c r="CG75" s="13">
        <f t="shared" ref="CG75:CG103" si="184">$B$20/($B$21-$B$22*CG76)</f>
        <v>0.40647187995004247</v>
      </c>
      <c r="CH75" s="13">
        <f t="shared" ref="CH75:CH103" si="185">$B$20/($B$21-$B$22*CH76)</f>
        <v>0.40647187995004247</v>
      </c>
      <c r="CI75" s="13">
        <f t="shared" ref="CI75:CI103" si="186">$B$20/($B$21-$B$22*CI76)</f>
        <v>0.40647187995004247</v>
      </c>
      <c r="CJ75" s="13">
        <f t="shared" ref="CJ75:CJ103" si="187">$B$20/($B$21-$B$22*CJ76)</f>
        <v>0.40647187995004247</v>
      </c>
      <c r="CK75" s="13">
        <f t="shared" ref="CK75:CK103" si="188">$B$20/($B$21-$B$22*CK76)</f>
        <v>0.40647187995004247</v>
      </c>
      <c r="CL75" s="13">
        <f t="shared" ref="CL75:CL103" si="189">$B$20/($B$21-$B$22*CL76)</f>
        <v>0.40647187995004247</v>
      </c>
      <c r="CM75" s="13">
        <f t="shared" ref="CM75:CM103" si="190">$B$20/($B$21-$B$22*CM76)</f>
        <v>0.40647187995004247</v>
      </c>
      <c r="CN75" s="13">
        <f t="shared" ref="CN75:CN103" si="191">$B$20/($B$21-$B$22*CN76)</f>
        <v>0.40647187995004247</v>
      </c>
      <c r="CO75" s="13">
        <f t="shared" ref="CO75:CO103" si="192">$B$20/($B$21-$B$22*CO76)</f>
        <v>0.40647187995004247</v>
      </c>
      <c r="CP75" s="13">
        <f t="shared" ref="CP75:CP103" si="193">$B$20/($B$21-$B$22*CP76)</f>
        <v>0.40647187995004247</v>
      </c>
      <c r="CQ75" s="13">
        <f t="shared" ref="CQ75:CQ103" si="194">$B$20/($B$21-$B$22*CQ76)</f>
        <v>0.40647187995004247</v>
      </c>
      <c r="CR75" s="13">
        <f t="shared" ref="CR75:CR103" si="195">$B$20/($B$21-$B$22*CR76)</f>
        <v>0.40647187995004247</v>
      </c>
      <c r="CS75" s="13">
        <f t="shared" ref="CS75:CS103" si="196">$B$20/($B$21-$B$22*CS76)</f>
        <v>0.40647187995004247</v>
      </c>
      <c r="CT75" s="13">
        <f t="shared" ref="CT75:CT103" si="197">$B$20/($B$21-$B$22*CT76)</f>
        <v>0.40647187995004247</v>
      </c>
      <c r="CU75" s="13">
        <f t="shared" ref="CU75:CU103" si="198">$B$20/($B$21-$B$22*CU76)</f>
        <v>0.40647187995004247</v>
      </c>
      <c r="CV75" s="13">
        <f t="shared" ref="CV75:CV103" si="199">$B$20/($B$21-$B$22*CV76)</f>
        <v>0.40647187995004247</v>
      </c>
      <c r="CW75" s="13">
        <f t="shared" ref="CW75:CW103" si="200">$B$20/($B$21-$B$22*CW76)</f>
        <v>0.40647187995004247</v>
      </c>
      <c r="CX75" s="13">
        <f t="shared" ref="CX75:CX103" si="201">$B$20/($B$21-$B$22*CX76)</f>
        <v>0.40647187995004247</v>
      </c>
      <c r="CY75" s="13">
        <f t="shared" ref="CY75:CY103" si="202">$B$20/($B$21-$B$22*CY76)</f>
        <v>0.40647187995004247</v>
      </c>
      <c r="CZ75" s="13">
        <f t="shared" ref="CZ75:CZ103" si="203">$B$20/($B$21-$B$22*CZ76)</f>
        <v>0.40647187995004247</v>
      </c>
      <c r="DB75" s="47"/>
      <c r="DC75" s="26">
        <v>9.6666666666666679E-2</v>
      </c>
      <c r="DD75" s="13">
        <f t="shared" ref="DD75:DD103" si="204">(DD76*$B$22-AN75)/($B$21-$B$22*BV76)</f>
        <v>178.05843601498725</v>
      </c>
      <c r="DE75" s="13">
        <f t="shared" ref="DE75:DE103" si="205">(DE76*$B$22-AO75)/($B$21-$B$22*BW76)</f>
        <v>193.66398470085252</v>
      </c>
      <c r="DF75" s="13">
        <f t="shared" ref="DF75:DF103" si="206">(DF76*$B$22-AP75)/($B$21-$B$22*BX76)</f>
        <v>200.39505335122786</v>
      </c>
      <c r="DG75" s="13">
        <f t="shared" ref="DG75:DG103" si="207">(DG76*$B$22-AQ75)/($B$21-$B$22*BY76)</f>
        <v>204.99462632404862</v>
      </c>
      <c r="DH75" s="13">
        <f t="shared" ref="DH75:DH103" si="208">(DH76*$B$22-AR75)/($B$21-$B$22*BZ76)</f>
        <v>207.74442272317108</v>
      </c>
      <c r="DI75" s="13">
        <f t="shared" ref="DI75:DI103" si="209">(DI76*$B$22-AS75)/($B$21-$B$22*CA76)</f>
        <v>208.82755839191208</v>
      </c>
      <c r="DJ75" s="13">
        <f t="shared" ref="DJ75:DJ103" si="210">(DJ76*$B$22-AT75)/($B$21-$B$22*CB76)</f>
        <v>208.40738660634253</v>
      </c>
      <c r="DK75" s="13">
        <f t="shared" ref="DK75:DK103" si="211">(DK76*$B$22-AU75)/($B$21-$B$22*CC76)</f>
        <v>206.65220644333519</v>
      </c>
      <c r="DL75" s="13">
        <f t="shared" ref="DL75:DL103" si="212">(DL76*$B$22-AV75)/($B$21-$B$22*CD76)</f>
        <v>203.73674378501508</v>
      </c>
      <c r="DM75" s="13">
        <f t="shared" ref="DM75:DM103" si="213">(DM76*$B$22-AW75)/($B$21-$B$22*CE76)</f>
        <v>199.83575748231439</v>
      </c>
      <c r="DN75" s="13">
        <f t="shared" ref="DN75:DN103" si="214">(DN76*$B$22-AX75)/($B$21-$B$22*CF76)</f>
        <v>195.11668908261305</v>
      </c>
      <c r="DO75" s="13">
        <f t="shared" ref="DO75:DO103" si="215">(DO76*$B$22-AY75)/($B$21-$B$22*CG76)</f>
        <v>189.73396902221521</v>
      </c>
      <c r="DP75" s="13">
        <f t="shared" ref="DP75:DP103" si="216">(DP76*$B$22-AZ75)/($B$21-$B$22*CH76)</f>
        <v>183.82556256074332</v>
      </c>
      <c r="DQ75" s="13">
        <f t="shared" ref="DQ75:DQ103" si="217">(DQ76*$B$22-BA75)/($B$21-$B$22*CI76)</f>
        <v>177.5114990117994</v>
      </c>
      <c r="DR75" s="13">
        <f t="shared" ref="DR75:DR103" si="218">(DR76*$B$22-BB75)/($B$21-$B$22*CJ76)</f>
        <v>170.8938707070599</v>
      </c>
      <c r="DS75" s="13">
        <f t="shared" ref="DS75:DS103" si="219">(DS76*$B$22-BC75)/($B$21-$B$22*CK76)</f>
        <v>164.05778956902179</v>
      </c>
      <c r="DT75" s="13">
        <f t="shared" ref="DT75:DT103" si="220">(DT76*$B$22-BD75)/($B$21-$B$22*CL76)</f>
        <v>157.07288549777635</v>
      </c>
      <c r="DU75" s="13">
        <f t="shared" ref="DU75:DU103" si="221">(DU76*$B$22-BE75)/($B$21-$B$22*CM76)</f>
        <v>149.99504540769161</v>
      </c>
      <c r="DV75" s="13">
        <f t="shared" ref="DV75:DV103" si="222">(DV76*$B$22-BF75)/($B$21-$B$22*CN76)</f>
        <v>142.86819319048948</v>
      </c>
      <c r="DW75" s="13">
        <f t="shared" ref="DW75:DW103" si="223">(DW76*$B$22-BG75)/($B$21-$B$22*CO76)</f>
        <v>135.72598962304136</v>
      </c>
      <c r="DX75" s="13">
        <f t="shared" ref="DX75:DX103" si="224">(DX76*$B$22-BH75)/($B$21-$B$22*CP76)</f>
        <v>128.59338752770086</v>
      </c>
      <c r="DY75" s="13">
        <f t="shared" ref="DY75:DY103" si="225">(DY76*$B$22-BI75)/($B$21-$B$22*CQ76)</f>
        <v>121.48801518241601</v>
      </c>
      <c r="DZ75" s="13">
        <f t="shared" ref="DZ75:DZ103" si="226">(DZ76*$B$22-BJ75)/($B$21-$B$22*CR76)</f>
        <v>114.42138464476109</v>
      </c>
      <c r="EA75" s="13">
        <f t="shared" ref="EA75:EA103" si="227">(EA76*$B$22-BK75)/($B$21-$B$22*CS76)</f>
        <v>107.39993540638268</v>
      </c>
      <c r="EB75" s="13">
        <f t="shared" ref="EB75:EB103" si="228">(EB76*$B$22-BL75)/($B$21-$B$22*CT76)</f>
        <v>100.42593089774049</v>
      </c>
      <c r="EC75" s="13">
        <f t="shared" ref="EC75:EC103" si="229">(EC76*$B$22-BM75)/($B$21-$B$22*CU76)</f>
        <v>93.498228235040813</v>
      </c>
      <c r="ED75" s="13">
        <f t="shared" ref="ED75:ED103" si="230">(ED76*$B$22-BN75)/($B$21-$B$22*CV76)</f>
        <v>86.612941944911086</v>
      </c>
      <c r="EE75" s="13">
        <f t="shared" ref="EE75:EE103" si="231">(EE76*$B$22-BO75)/($B$21-$B$22*CW76)</f>
        <v>79.764021370641771</v>
      </c>
      <c r="EF75" s="13">
        <f t="shared" ref="EF75:EF103" si="232">(EF76*$B$22-BP75)/($B$21-$B$22*CX76)</f>
        <v>72.943759810361968</v>
      </c>
      <c r="EG75" s="13">
        <f t="shared" ref="EG75:EG103" si="233">(EG76*$B$22-BQ75)/($B$21-$B$22*CY76)</f>
        <v>66.143251638274279</v>
      </c>
      <c r="EH75" s="13">
        <f t="shared" ref="EH75:EH103" si="234">(EH76*$B$22-BR75)/($B$21-$B$22*CZ76)</f>
        <v>59.352812004995762</v>
      </c>
    </row>
    <row r="76" spans="5:138" x14ac:dyDescent="0.25">
      <c r="E76" s="49"/>
      <c r="F76" s="26">
        <v>9.3333333333333338E-2</v>
      </c>
      <c r="G76" s="13">
        <f t="shared" si="139"/>
        <v>300</v>
      </c>
      <c r="H76" s="13">
        <f t="shared" ref="H76:H104" si="235">BW76*H75+DE76</f>
        <v>332.38002352022659</v>
      </c>
      <c r="I76" s="13">
        <f t="shared" ref="I76:I104" si="236">BX76*I75+DF76</f>
        <v>342.10749289388798</v>
      </c>
      <c r="J76" s="13">
        <f t="shared" ref="J76:J104" si="237">BY76*J75+DG76</f>
        <v>348.97377331768848</v>
      </c>
      <c r="K76" s="13">
        <f t="shared" ref="K76:K104" si="238">BZ76*K75+DH76</f>
        <v>353.08240975825225</v>
      </c>
      <c r="L76" s="13">
        <f t="shared" ref="L76:L104" si="239">CA76*L75+DI76</f>
        <v>354.53848150678198</v>
      </c>
      <c r="M76" s="13">
        <f t="shared" ref="M76:M104" si="240">CB76*M75+DJ76</f>
        <v>353.52042273580912</v>
      </c>
      <c r="N76" s="13">
        <f t="shared" ref="N76:N104" si="241">CC76*N75+DK76</f>
        <v>350.27401819322529</v>
      </c>
      <c r="O76" s="13">
        <f t="shared" ref="O76:O104" si="242">CD76*O75+DL76</f>
        <v>345.0844865692078</v>
      </c>
      <c r="P76" s="13">
        <f t="shared" ref="P76:P104" si="243">CE76*P75+DM76</f>
        <v>338.24857701227575</v>
      </c>
      <c r="Q76" s="13">
        <f t="shared" ref="Q76:Q104" si="244">CF76*Q75+DN76</f>
        <v>330.05358900558031</v>
      </c>
      <c r="R76" s="13">
        <f t="shared" ref="R76:R104" si="245">CG76*R75+DO76</f>
        <v>320.76408183182207</v>
      </c>
      <c r="S76" s="13">
        <f t="shared" ref="S76:S104" si="246">CH76*S75+DP76</f>
        <v>310.6149023332307</v>
      </c>
      <c r="T76" s="13">
        <f t="shared" ref="T76:T104" si="247">CI76*T75+DQ76</f>
        <v>299.80872429292458</v>
      </c>
      <c r="U76" s="13">
        <f t="shared" ref="U76:U104" si="248">CJ76*U75+DR76</f>
        <v>288.51649838779412</v>
      </c>
      <c r="V76" s="13">
        <f t="shared" ref="V76:V104" si="249">CK76*V75+DS76</f>
        <v>276.8795927874952</v>
      </c>
      <c r="W76" s="13">
        <f t="shared" ref="W76:W104" si="250">CL76*W75+DT76</f>
        <v>265.01277457874835</v>
      </c>
      <c r="X76" s="13">
        <f t="shared" ref="X76:X104" si="251">CM76*X75+DU76</f>
        <v>253.00748048925203</v>
      </c>
      <c r="Y76" s="13">
        <f t="shared" ref="Y76:Y104" si="252">CN76*Y75+DV76</f>
        <v>240.9350439704167</v>
      </c>
      <c r="Z76" s="13">
        <f t="shared" ref="Z76:Z104" si="253">CO76*Z75+DW76</f>
        <v>228.84969598182715</v>
      </c>
      <c r="AA76" s="13">
        <f t="shared" ref="AA76:AA104" si="254">CP76*AA75+DX76</f>
        <v>216.79125484292331</v>
      </c>
      <c r="AB76" s="13">
        <f t="shared" ref="AB76:AB104" si="255">CQ76*AB75+DY76</f>
        <v>204.78748115125669</v>
      </c>
      <c r="AC76" s="13">
        <f t="shared" ref="AC76:AC104" si="256">CR76*AC75+DZ76</f>
        <v>192.85610892150669</v>
      </c>
      <c r="AD76" s="13">
        <f t="shared" ref="AD76:AD104" si="257">CS76*AD75+EA76</f>
        <v>181.00658260198583</v>
      </c>
      <c r="AE76" s="13">
        <f t="shared" ref="AE76:AE104" si="258">CT76*AE75+EB76</f>
        <v>169.24153769825207</v>
      </c>
      <c r="AF76" s="13">
        <f t="shared" ref="AF76:AF104" si="259">CU76*AF75+EC76</f>
        <v>157.55806460230764</v>
      </c>
      <c r="AG76" s="13">
        <f t="shared" ref="AG76:AG104" si="260">CV76*AG75+ED76</f>
        <v>145.94879367080503</v>
      </c>
      <c r="AH76" s="13">
        <f t="shared" ref="AH76:AH104" si="261">CW76*AH75+EE76</f>
        <v>134.40283639172296</v>
      </c>
      <c r="AI76" s="13">
        <f t="shared" ref="AI76:AI104" si="262">CX76*AI75+EF76</f>
        <v>122.90661372454936</v>
      </c>
      <c r="AJ76" s="13">
        <f t="shared" ref="AJ76:AJ104" si="263">CY76*AJ75+EG76</f>
        <v>111.44459905025502</v>
      </c>
      <c r="AK76" s="13">
        <f t="shared" si="141"/>
        <v>100</v>
      </c>
      <c r="AL76" s="47"/>
      <c r="AM76" s="26">
        <v>9.3333333333333338E-2</v>
      </c>
      <c r="AN76" s="13">
        <f t="shared" si="142"/>
        <v>-1076400000</v>
      </c>
      <c r="AO76" s="13">
        <f t="shared" si="143"/>
        <v>-1156685438.2354078</v>
      </c>
      <c r="AP76" s="13">
        <f t="shared" si="144"/>
        <v>-1205935323.9646575</v>
      </c>
      <c r="AQ76" s="13">
        <f t="shared" si="145"/>
        <v>-1236656211.3431978</v>
      </c>
      <c r="AR76" s="13">
        <f t="shared" si="146"/>
        <v>-1254191757.467572</v>
      </c>
      <c r="AS76" s="13">
        <f t="shared" si="147"/>
        <v>-1261031137.7622743</v>
      </c>
      <c r="AT76" s="13">
        <f t="shared" si="148"/>
        <v>-1258638832.028512</v>
      </c>
      <c r="AU76" s="13">
        <f t="shared" si="149"/>
        <v>-1248168270.714498</v>
      </c>
      <c r="AV76" s="13">
        <f t="shared" si="150"/>
        <v>-1230696513.6392729</v>
      </c>
      <c r="AW76" s="13">
        <f t="shared" si="151"/>
        <v>-1207270166.3015964</v>
      </c>
      <c r="AX76" s="13">
        <f t="shared" si="152"/>
        <v>-1178889103.3770027</v>
      </c>
      <c r="AY76" s="13">
        <f t="shared" si="153"/>
        <v>-1146479139.0664229</v>
      </c>
      <c r="AZ76" s="13">
        <f t="shared" si="154"/>
        <v>-1110871292.3302712</v>
      </c>
      <c r="BA76" s="13">
        <f t="shared" si="155"/>
        <v>-1072791362.4898269</v>
      </c>
      <c r="BB76" s="13">
        <f t="shared" si="156"/>
        <v>-1032858436.1911786</v>
      </c>
      <c r="BC76" s="13">
        <f t="shared" si="157"/>
        <v>-991589635.68550742</v>
      </c>
      <c r="BD76" s="13">
        <f t="shared" si="158"/>
        <v>-949408569.41197276</v>
      </c>
      <c r="BE76" s="13">
        <f t="shared" si="159"/>
        <v>-906655539.00328994</v>
      </c>
      <c r="BF76" s="13">
        <f t="shared" si="160"/>
        <v>-863598178.55003893</v>
      </c>
      <c r="BG76" s="13">
        <f t="shared" si="161"/>
        <v>-820441711.37677073</v>
      </c>
      <c r="BH76" s="13">
        <f t="shared" si="162"/>
        <v>-777338380.88364482</v>
      </c>
      <c r="BI76" s="13">
        <f t="shared" si="163"/>
        <v>-734395862.18440306</v>
      </c>
      <c r="BJ76" s="13">
        <f t="shared" si="164"/>
        <v>-691684618.60761464</v>
      </c>
      <c r="BK76" s="13">
        <f t="shared" si="165"/>
        <v>-649244258.67310095</v>
      </c>
      <c r="BL76" s="13">
        <f t="shared" si="166"/>
        <v>-607088996.72155535</v>
      </c>
      <c r="BM76" s="13">
        <f t="shared" si="167"/>
        <v>-565212340.09136307</v>
      </c>
      <c r="BN76" s="13">
        <f t="shared" si="168"/>
        <v>-523591128.88598543</v>
      </c>
      <c r="BO76" s="13">
        <f t="shared" si="169"/>
        <v>-482189048.53002149</v>
      </c>
      <c r="BP76" s="13">
        <f t="shared" si="170"/>
        <v>-440959725.37559241</v>
      </c>
      <c r="BQ76" s="13">
        <f t="shared" si="171"/>
        <v>-399849504.6616407</v>
      </c>
      <c r="BR76" s="13">
        <f t="shared" si="172"/>
        <v>-358800000</v>
      </c>
      <c r="BT76" s="47"/>
      <c r="BU76" s="26">
        <v>9.3333333333333338E-2</v>
      </c>
      <c r="BV76" s="13">
        <f t="shared" si="173"/>
        <v>0.40647187995004247</v>
      </c>
      <c r="BW76" s="13">
        <f t="shared" si="174"/>
        <v>0.40647187995004247</v>
      </c>
      <c r="BX76" s="13">
        <f t="shared" si="175"/>
        <v>0.40647187995004247</v>
      </c>
      <c r="BY76" s="13">
        <f t="shared" si="176"/>
        <v>0.40647187995004247</v>
      </c>
      <c r="BZ76" s="13">
        <f t="shared" si="177"/>
        <v>0.40647187995004247</v>
      </c>
      <c r="CA76" s="13">
        <f t="shared" si="178"/>
        <v>0.40647187995004247</v>
      </c>
      <c r="CB76" s="13">
        <f t="shared" si="179"/>
        <v>0.40647187995004247</v>
      </c>
      <c r="CC76" s="13">
        <f t="shared" si="180"/>
        <v>0.40647187995004247</v>
      </c>
      <c r="CD76" s="13">
        <f t="shared" si="181"/>
        <v>0.40647187995004247</v>
      </c>
      <c r="CE76" s="13">
        <f t="shared" si="182"/>
        <v>0.40647187995004247</v>
      </c>
      <c r="CF76" s="13">
        <f t="shared" si="183"/>
        <v>0.40647187995004247</v>
      </c>
      <c r="CG76" s="13">
        <f t="shared" si="184"/>
        <v>0.40647187995004247</v>
      </c>
      <c r="CH76" s="13">
        <f t="shared" si="185"/>
        <v>0.40647187995004247</v>
      </c>
      <c r="CI76" s="13">
        <f t="shared" si="186"/>
        <v>0.40647187995004247</v>
      </c>
      <c r="CJ76" s="13">
        <f t="shared" si="187"/>
        <v>0.40647187995004247</v>
      </c>
      <c r="CK76" s="13">
        <f t="shared" si="188"/>
        <v>0.40647187995004247</v>
      </c>
      <c r="CL76" s="13">
        <f t="shared" si="189"/>
        <v>0.40647187995004247</v>
      </c>
      <c r="CM76" s="13">
        <f t="shared" si="190"/>
        <v>0.40647187995004247</v>
      </c>
      <c r="CN76" s="13">
        <f t="shared" si="191"/>
        <v>0.40647187995004247</v>
      </c>
      <c r="CO76" s="13">
        <f t="shared" si="192"/>
        <v>0.40647187995004247</v>
      </c>
      <c r="CP76" s="13">
        <f t="shared" si="193"/>
        <v>0.40647187995004247</v>
      </c>
      <c r="CQ76" s="13">
        <f t="shared" si="194"/>
        <v>0.40647187995004247</v>
      </c>
      <c r="CR76" s="13">
        <f t="shared" si="195"/>
        <v>0.40647187995004247</v>
      </c>
      <c r="CS76" s="13">
        <f t="shared" si="196"/>
        <v>0.40647187995004247</v>
      </c>
      <c r="CT76" s="13">
        <f t="shared" si="197"/>
        <v>0.40647187995004247</v>
      </c>
      <c r="CU76" s="13">
        <f t="shared" si="198"/>
        <v>0.40647187995004247</v>
      </c>
      <c r="CV76" s="13">
        <f t="shared" si="199"/>
        <v>0.40647187995004247</v>
      </c>
      <c r="CW76" s="13">
        <f t="shared" si="200"/>
        <v>0.40647187995004247</v>
      </c>
      <c r="CX76" s="13">
        <f t="shared" si="201"/>
        <v>0.40647187995004247</v>
      </c>
      <c r="CY76" s="13">
        <f t="shared" si="202"/>
        <v>0.40647187995004247</v>
      </c>
      <c r="CZ76" s="13">
        <f t="shared" si="203"/>
        <v>0.40647187995004247</v>
      </c>
      <c r="DB76" s="47"/>
      <c r="DC76" s="26">
        <v>9.3333333333333338E-2</v>
      </c>
      <c r="DD76" s="13">
        <f t="shared" si="204"/>
        <v>178.05843601498725</v>
      </c>
      <c r="DE76" s="13">
        <f t="shared" si="205"/>
        <v>199.75115341151806</v>
      </c>
      <c r="DF76" s="13">
        <f t="shared" si="206"/>
        <v>204.86891679827426</v>
      </c>
      <c r="DG76" s="13">
        <f t="shared" si="207"/>
        <v>208.58522503023914</v>
      </c>
      <c r="DH76" s="13">
        <f t="shared" si="208"/>
        <v>210.81069052392832</v>
      </c>
      <c r="DI76" s="13">
        <f t="shared" si="209"/>
        <v>211.52498749104237</v>
      </c>
      <c r="DJ76" s="13">
        <f t="shared" si="210"/>
        <v>210.79467922390089</v>
      </c>
      <c r="DK76" s="13">
        <f t="shared" si="211"/>
        <v>208.75029250727704</v>
      </c>
      <c r="DL76" s="13">
        <f t="shared" si="212"/>
        <v>205.55738673403101</v>
      </c>
      <c r="DM76" s="13">
        <f t="shared" si="213"/>
        <v>201.39302917700192</v>
      </c>
      <c r="DN76" s="13">
        <f t="shared" si="214"/>
        <v>196.42984862683943</v>
      </c>
      <c r="DO76" s="13">
        <f t="shared" si="215"/>
        <v>190.82664420485412</v>
      </c>
      <c r="DP76" s="13">
        <f t="shared" si="216"/>
        <v>184.72377860576469</v>
      </c>
      <c r="DQ76" s="13">
        <f t="shared" si="217"/>
        <v>178.2417247209363</v>
      </c>
      <c r="DR76" s="13">
        <f t="shared" si="218"/>
        <v>171.48151630069208</v>
      </c>
      <c r="DS76" s="13">
        <f t="shared" si="219"/>
        <v>164.52623345389557</v>
      </c>
      <c r="DT76" s="13">
        <f t="shared" si="220"/>
        <v>157.4429579168436</v>
      </c>
      <c r="DU76" s="13">
        <f t="shared" si="221"/>
        <v>150.28485281505758</v>
      </c>
      <c r="DV76" s="13">
        <f t="shared" si="222"/>
        <v>143.09317075585668</v>
      </c>
      <c r="DW76" s="13">
        <f t="shared" si="223"/>
        <v>135.89909044773049</v>
      </c>
      <c r="DX76" s="13">
        <f t="shared" si="224"/>
        <v>128.72534151580183</v>
      </c>
      <c r="DY76" s="13">
        <f t="shared" si="225"/>
        <v>121.58761200531045</v>
      </c>
      <c r="DZ76" s="13">
        <f t="shared" si="226"/>
        <v>114.49575201183193</v>
      </c>
      <c r="EA76" s="13">
        <f t="shared" si="227"/>
        <v>107.45479596132753</v>
      </c>
      <c r="EB76" s="13">
        <f t="shared" si="228"/>
        <v>100.4658292713257</v>
      </c>
      <c r="EC76" s="13">
        <f t="shared" si="229"/>
        <v>93.526725026524218</v>
      </c>
      <c r="ED76" s="13">
        <f t="shared" si="230"/>
        <v>86.632774511698273</v>
      </c>
      <c r="EE76" s="13">
        <f t="shared" si="231"/>
        <v>79.777232947405665</v>
      </c>
      <c r="EF76" s="13">
        <f t="shared" si="232"/>
        <v>72.951799151911146</v>
      </c>
      <c r="EG76" s="13">
        <f t="shared" si="233"/>
        <v>66.147045436190169</v>
      </c>
      <c r="EH76" s="13">
        <f t="shared" si="234"/>
        <v>59.352812004995762</v>
      </c>
    </row>
    <row r="77" spans="5:138" x14ac:dyDescent="0.25">
      <c r="E77" s="49"/>
      <c r="F77" s="26">
        <v>9.0000000000000011E-2</v>
      </c>
      <c r="G77" s="13">
        <f t="shared" si="139"/>
        <v>300</v>
      </c>
      <c r="H77" s="13">
        <f t="shared" si="235"/>
        <v>347.13726135049717</v>
      </c>
      <c r="I77" s="13">
        <f t="shared" si="236"/>
        <v>351.78579125364263</v>
      </c>
      <c r="J77" s="13">
        <f t="shared" si="237"/>
        <v>356.29907910616606</v>
      </c>
      <c r="K77" s="13">
        <f t="shared" si="238"/>
        <v>359.20856372930825</v>
      </c>
      <c r="L77" s="13">
        <f t="shared" si="239"/>
        <v>359.90570139916338</v>
      </c>
      <c r="M77" s="13">
        <f t="shared" si="240"/>
        <v>358.2730401716214</v>
      </c>
      <c r="N77" s="13">
        <f t="shared" si="241"/>
        <v>354.4529995621898</v>
      </c>
      <c r="O77" s="13">
        <f t="shared" si="242"/>
        <v>348.70866192668859</v>
      </c>
      <c r="P77" s="13">
        <f t="shared" si="243"/>
        <v>341.3434641703567</v>
      </c>
      <c r="Q77" s="13">
        <f t="shared" si="244"/>
        <v>332.65737028290312</v>
      </c>
      <c r="R77" s="13">
        <f t="shared" si="245"/>
        <v>322.92496632512643</v>
      </c>
      <c r="S77" s="13">
        <f t="shared" si="246"/>
        <v>312.38630128679318</v>
      </c>
      <c r="T77" s="13">
        <f t="shared" si="247"/>
        <v>301.24482929510168</v>
      </c>
      <c r="U77" s="13">
        <f t="shared" si="248"/>
        <v>289.66906186167421</v>
      </c>
      <c r="V77" s="13">
        <f t="shared" si="249"/>
        <v>277.79594566657801</v>
      </c>
      <c r="W77" s="13">
        <f t="shared" si="250"/>
        <v>265.73484356220592</v>
      </c>
      <c r="X77" s="13">
        <f t="shared" si="251"/>
        <v>253.57151518940699</v>
      </c>
      <c r="Y77" s="13">
        <f t="shared" si="252"/>
        <v>241.3717991241453</v>
      </c>
      <c r="Z77" s="13">
        <f t="shared" si="253"/>
        <v>229.18487357125665</v>
      </c>
      <c r="AA77" s="13">
        <f t="shared" si="254"/>
        <v>217.04606909497687</v>
      </c>
      <c r="AB77" s="13">
        <f t="shared" si="255"/>
        <v>204.97925676311388</v>
      </c>
      <c r="AC77" s="13">
        <f t="shared" si="256"/>
        <v>192.99885798006332</v>
      </c>
      <c r="AD77" s="13">
        <f t="shared" si="257"/>
        <v>181.11153004167079</v>
      </c>
      <c r="AE77" s="13">
        <f t="shared" si="258"/>
        <v>169.31758112975348</v>
      </c>
      <c r="AF77" s="13">
        <f t="shared" si="259"/>
        <v>157.61216422029264</v>
      </c>
      <c r="AG77" s="13">
        <f t="shared" si="260"/>
        <v>145.986293581762</v>
      </c>
      <c r="AH77" s="13">
        <f t="shared" si="261"/>
        <v>134.42772150555939</v>
      </c>
      <c r="AI77" s="13">
        <f t="shared" si="262"/>
        <v>122.92170733375328</v>
      </c>
      <c r="AJ77" s="13">
        <f t="shared" si="263"/>
        <v>111.45170606814054</v>
      </c>
      <c r="AK77" s="13">
        <f t="shared" si="141"/>
        <v>100</v>
      </c>
      <c r="AL77" s="47"/>
      <c r="AM77" s="26">
        <v>9.0000000000000011E-2</v>
      </c>
      <c r="AN77" s="13">
        <f t="shared" si="142"/>
        <v>-1076400000</v>
      </c>
      <c r="AO77" s="13">
        <f t="shared" si="143"/>
        <v>-1255569759.0674186</v>
      </c>
      <c r="AP77" s="13">
        <f t="shared" si="144"/>
        <v>-1264114594.7759914</v>
      </c>
      <c r="AQ77" s="13">
        <f t="shared" si="145"/>
        <v>-1274456812.7207632</v>
      </c>
      <c r="AR77" s="13">
        <f t="shared" si="146"/>
        <v>-1281595413.6610951</v>
      </c>
      <c r="AS77" s="13">
        <f t="shared" si="147"/>
        <v>-1282737761.44521</v>
      </c>
      <c r="AT77" s="13">
        <f t="shared" si="148"/>
        <v>-1276770881.2443819</v>
      </c>
      <c r="AU77" s="13">
        <f t="shared" si="149"/>
        <v>-1263661399.3651917</v>
      </c>
      <c r="AV77" s="13">
        <f t="shared" si="150"/>
        <v>-1243983082.9917209</v>
      </c>
      <c r="AW77" s="13">
        <f t="shared" si="151"/>
        <v>-1218595404.7646434</v>
      </c>
      <c r="AX77" s="13">
        <f t="shared" si="152"/>
        <v>-1188444288.2880027</v>
      </c>
      <c r="AY77" s="13">
        <f t="shared" si="153"/>
        <v>-1154448639.3937497</v>
      </c>
      <c r="AZ77" s="13">
        <f t="shared" si="154"/>
        <v>-1117442444.9061093</v>
      </c>
      <c r="BA77" s="13">
        <f t="shared" si="155"/>
        <v>-1078150743.8373868</v>
      </c>
      <c r="BB77" s="13">
        <f t="shared" si="156"/>
        <v>-1037185048.8940086</v>
      </c>
      <c r="BC77" s="13">
        <f t="shared" si="157"/>
        <v>-995049115.52892387</v>
      </c>
      <c r="BD77" s="13">
        <f t="shared" si="158"/>
        <v>-952149557.04497421</v>
      </c>
      <c r="BE77" s="13">
        <f t="shared" si="159"/>
        <v>-908808127.49424577</v>
      </c>
      <c r="BF77" s="13">
        <f t="shared" si="160"/>
        <v>-865273939.83649969</v>
      </c>
      <c r="BG77" s="13">
        <f t="shared" si="161"/>
        <v>-821734757.91793525</v>
      </c>
      <c r="BH77" s="13">
        <f t="shared" si="162"/>
        <v>-778327007.78588665</v>
      </c>
      <c r="BI77" s="13">
        <f t="shared" si="163"/>
        <v>-735144436.04312921</v>
      </c>
      <c r="BJ77" s="13">
        <f t="shared" si="164"/>
        <v>-692245489.81063104</v>
      </c>
      <c r="BK77" s="13">
        <f t="shared" si="165"/>
        <v>-649659560.49758899</v>
      </c>
      <c r="BL77" s="13">
        <f t="shared" si="166"/>
        <v>-607392256.47026539</v>
      </c>
      <c r="BM77" s="13">
        <f t="shared" si="167"/>
        <v>-565429868.6951772</v>
      </c>
      <c r="BN77" s="13">
        <f t="shared" si="168"/>
        <v>-523743180.83129674</v>
      </c>
      <c r="BO77" s="13">
        <f t="shared" si="169"/>
        <v>-482290758.17435867</v>
      </c>
      <c r="BP77" s="13">
        <f t="shared" si="170"/>
        <v>-441021832.28989947</v>
      </c>
      <c r="BQ77" s="13">
        <f t="shared" si="171"/>
        <v>-399878882.23294002</v>
      </c>
      <c r="BR77" s="13">
        <f t="shared" si="172"/>
        <v>-358800000</v>
      </c>
      <c r="BT77" s="47"/>
      <c r="BU77" s="26">
        <v>9.0000000000000011E-2</v>
      </c>
      <c r="BV77" s="13">
        <f t="shared" si="173"/>
        <v>0.40647187995004247</v>
      </c>
      <c r="BW77" s="13">
        <f t="shared" si="174"/>
        <v>0.40647187995004247</v>
      </c>
      <c r="BX77" s="13">
        <f t="shared" si="175"/>
        <v>0.40647187995004247</v>
      </c>
      <c r="BY77" s="13">
        <f t="shared" si="176"/>
        <v>0.40647187995004247</v>
      </c>
      <c r="BZ77" s="13">
        <f t="shared" si="177"/>
        <v>0.40647187995004247</v>
      </c>
      <c r="CA77" s="13">
        <f t="shared" si="178"/>
        <v>0.40647187995004247</v>
      </c>
      <c r="CB77" s="13">
        <f t="shared" si="179"/>
        <v>0.40647187995004247</v>
      </c>
      <c r="CC77" s="13">
        <f t="shared" si="180"/>
        <v>0.40647187995004247</v>
      </c>
      <c r="CD77" s="13">
        <f t="shared" si="181"/>
        <v>0.40647187995004247</v>
      </c>
      <c r="CE77" s="13">
        <f t="shared" si="182"/>
        <v>0.40647187995004247</v>
      </c>
      <c r="CF77" s="13">
        <f t="shared" si="183"/>
        <v>0.40647187995004247</v>
      </c>
      <c r="CG77" s="13">
        <f t="shared" si="184"/>
        <v>0.40647187995004247</v>
      </c>
      <c r="CH77" s="13">
        <f t="shared" si="185"/>
        <v>0.40647187995004247</v>
      </c>
      <c r="CI77" s="13">
        <f t="shared" si="186"/>
        <v>0.40647187995004247</v>
      </c>
      <c r="CJ77" s="13">
        <f t="shared" si="187"/>
        <v>0.40647187995004247</v>
      </c>
      <c r="CK77" s="13">
        <f t="shared" si="188"/>
        <v>0.40647187995004247</v>
      </c>
      <c r="CL77" s="13">
        <f t="shared" si="189"/>
        <v>0.40647187995004247</v>
      </c>
      <c r="CM77" s="13">
        <f t="shared" si="190"/>
        <v>0.40647187995004247</v>
      </c>
      <c r="CN77" s="13">
        <f t="shared" si="191"/>
        <v>0.40647187995004247</v>
      </c>
      <c r="CO77" s="13">
        <f t="shared" si="192"/>
        <v>0.40647187995004247</v>
      </c>
      <c r="CP77" s="13">
        <f t="shared" si="193"/>
        <v>0.40647187995004247</v>
      </c>
      <c r="CQ77" s="13">
        <f t="shared" si="194"/>
        <v>0.40647187995004247</v>
      </c>
      <c r="CR77" s="13">
        <f t="shared" si="195"/>
        <v>0.40647187995004247</v>
      </c>
      <c r="CS77" s="13">
        <f t="shared" si="196"/>
        <v>0.40647187995004247</v>
      </c>
      <c r="CT77" s="13">
        <f t="shared" si="197"/>
        <v>0.40647187995004247</v>
      </c>
      <c r="CU77" s="13">
        <f t="shared" si="198"/>
        <v>0.40647187995004247</v>
      </c>
      <c r="CV77" s="13">
        <f t="shared" si="199"/>
        <v>0.40647187995004247</v>
      </c>
      <c r="CW77" s="13">
        <f t="shared" si="200"/>
        <v>0.40647187995004247</v>
      </c>
      <c r="CX77" s="13">
        <f t="shared" si="201"/>
        <v>0.40647187995004247</v>
      </c>
      <c r="CY77" s="13">
        <f t="shared" si="202"/>
        <v>0.40647187995004247</v>
      </c>
      <c r="CZ77" s="13">
        <f t="shared" si="203"/>
        <v>0.40647187995004247</v>
      </c>
      <c r="DB77" s="47"/>
      <c r="DC77" s="26">
        <v>9.0000000000000011E-2</v>
      </c>
      <c r="DD77" s="13">
        <f t="shared" si="204"/>
        <v>178.05843601498725</v>
      </c>
      <c r="DE77" s="13">
        <f t="shared" si="205"/>
        <v>212.03412833239136</v>
      </c>
      <c r="DF77" s="13">
        <f t="shared" si="206"/>
        <v>212.72871547206816</v>
      </c>
      <c r="DG77" s="13">
        <f t="shared" si="207"/>
        <v>214.45105341246526</v>
      </c>
      <c r="DH77" s="13">
        <f t="shared" si="208"/>
        <v>215.69049285758027</v>
      </c>
      <c r="DI77" s="13">
        <f t="shared" si="209"/>
        <v>215.79577830646832</v>
      </c>
      <c r="DJ77" s="13">
        <f t="shared" si="210"/>
        <v>214.57692934146334</v>
      </c>
      <c r="DK77" s="13">
        <f t="shared" si="211"/>
        <v>212.07646088953416</v>
      </c>
      <c r="DL77" s="13">
        <f t="shared" si="212"/>
        <v>208.4415219293075</v>
      </c>
      <c r="DM77" s="13">
        <f t="shared" si="213"/>
        <v>203.85492918175029</v>
      </c>
      <c r="DN77" s="13">
        <f t="shared" si="214"/>
        <v>198.49986747554624</v>
      </c>
      <c r="DO77" s="13">
        <f t="shared" si="215"/>
        <v>192.54338696249641</v>
      </c>
      <c r="DP77" s="13">
        <f t="shared" si="216"/>
        <v>186.13007799490606</v>
      </c>
      <c r="DQ77" s="13">
        <f t="shared" si="217"/>
        <v>179.38101350633269</v>
      </c>
      <c r="DR77" s="13">
        <f t="shared" si="218"/>
        <v>172.39521836538412</v>
      </c>
      <c r="DS77" s="13">
        <f t="shared" si="219"/>
        <v>165.25217706644261</v>
      </c>
      <c r="DT77" s="13">
        <f t="shared" si="220"/>
        <v>158.01460286840523</v>
      </c>
      <c r="DU77" s="13">
        <f t="shared" si="221"/>
        <v>150.73108895351703</v>
      </c>
      <c r="DV77" s="13">
        <f t="shared" si="222"/>
        <v>143.43847885564389</v>
      </c>
      <c r="DW77" s="13">
        <f t="shared" si="223"/>
        <v>136.16390741952767</v>
      </c>
      <c r="DX77" s="13">
        <f t="shared" si="224"/>
        <v>128.9265201822451</v>
      </c>
      <c r="DY77" s="13">
        <f t="shared" si="225"/>
        <v>121.73890430932869</v>
      </c>
      <c r="DZ77" s="13">
        <f t="shared" si="226"/>
        <v>114.60827282688834</v>
      </c>
      <c r="EA77" s="13">
        <f t="shared" si="227"/>
        <v>107.53744412810897</v>
      </c>
      <c r="EB77" s="13">
        <f t="shared" si="228"/>
        <v>100.52565513590896</v>
      </c>
      <c r="EC77" s="13">
        <f t="shared" si="229"/>
        <v>93.569241500102436</v>
      </c>
      <c r="ED77" s="13">
        <f t="shared" si="230"/>
        <v>86.662213041949016</v>
      </c>
      <c r="EE77" s="13">
        <f t="shared" si="231"/>
        <v>79.796747926797778</v>
      </c>
      <c r="EF77" s="13">
        <f t="shared" si="232"/>
        <v>72.963624994842007</v>
      </c>
      <c r="EG77" s="13">
        <f t="shared" si="233"/>
        <v>66.152610381904665</v>
      </c>
      <c r="EH77" s="13">
        <f t="shared" si="234"/>
        <v>59.352812004995762</v>
      </c>
    </row>
    <row r="78" spans="5:138" x14ac:dyDescent="0.25">
      <c r="E78" s="49"/>
      <c r="F78" s="26">
        <v>8.666666666666667E-2</v>
      </c>
      <c r="G78" s="13">
        <f t="shared" si="139"/>
        <v>300</v>
      </c>
      <c r="H78" s="13">
        <f t="shared" si="235"/>
        <v>359.4690727696966</v>
      </c>
      <c r="I78" s="13">
        <f t="shared" si="236"/>
        <v>361.0034191404693</v>
      </c>
      <c r="J78" s="13">
        <f t="shared" si="237"/>
        <v>364.57711028405441</v>
      </c>
      <c r="K78" s="13">
        <f t="shared" si="238"/>
        <v>367.08469668579011</v>
      </c>
      <c r="L78" s="13">
        <f t="shared" si="239"/>
        <v>367.3511568410587</v>
      </c>
      <c r="M78" s="13">
        <f t="shared" si="240"/>
        <v>365.13019550390601</v>
      </c>
      <c r="N78" s="13">
        <f t="shared" si="241"/>
        <v>360.59235848283197</v>
      </c>
      <c r="O78" s="13">
        <f t="shared" si="242"/>
        <v>354.0680054004103</v>
      </c>
      <c r="P78" s="13">
        <f t="shared" si="243"/>
        <v>345.92263748268806</v>
      </c>
      <c r="Q78" s="13">
        <f t="shared" si="244"/>
        <v>336.50036805468335</v>
      </c>
      <c r="R78" s="13">
        <f t="shared" si="245"/>
        <v>326.10182661089539</v>
      </c>
      <c r="S78" s="13">
        <f t="shared" si="246"/>
        <v>314.97886065361757</v>
      </c>
      <c r="T78" s="13">
        <f t="shared" si="247"/>
        <v>303.33690136815756</v>
      </c>
      <c r="U78" s="13">
        <f t="shared" si="248"/>
        <v>291.34035602774713</v>
      </c>
      <c r="V78" s="13">
        <f t="shared" si="249"/>
        <v>279.11875688449118</v>
      </c>
      <c r="W78" s="13">
        <f t="shared" si="250"/>
        <v>266.7726279215621</v>
      </c>
      <c r="X78" s="13">
        <f t="shared" si="251"/>
        <v>254.37865834495966</v>
      </c>
      <c r="Y78" s="13">
        <f t="shared" si="252"/>
        <v>241.99407974186749</v>
      </c>
      <c r="Z78" s="13">
        <f t="shared" si="253"/>
        <v>229.66028508719177</v>
      </c>
      <c r="AA78" s="13">
        <f t="shared" si="254"/>
        <v>217.40578386077206</v>
      </c>
      <c r="AB78" s="13">
        <f t="shared" si="255"/>
        <v>205.24860175248878</v>
      </c>
      <c r="AC78" s="13">
        <f t="shared" si="256"/>
        <v>193.19822844486055</v>
      </c>
      <c r="AD78" s="13">
        <f t="shared" si="257"/>
        <v>181.25720436346342</v>
      </c>
      <c r="AE78" s="13">
        <f t="shared" si="258"/>
        <v>169.42242277944081</v>
      </c>
      <c r="AF78" s="13">
        <f t="shared" si="259"/>
        <v>157.68620985934839</v>
      </c>
      <c r="AG78" s="13">
        <f t="shared" si="260"/>
        <v>146.03723323669607</v>
      </c>
      <c r="AH78" s="13">
        <f t="shared" si="261"/>
        <v>134.46127970818526</v>
      </c>
      <c r="AI78" s="13">
        <f t="shared" si="262"/>
        <v>122.94193466846617</v>
      </c>
      <c r="AJ78" s="13">
        <f t="shared" si="263"/>
        <v>111.46118968978165</v>
      </c>
      <c r="AK78" s="13">
        <f t="shared" si="141"/>
        <v>100</v>
      </c>
      <c r="AL78" s="47"/>
      <c r="AM78" s="26">
        <v>8.666666666666667E-2</v>
      </c>
      <c r="AN78" s="13">
        <f t="shared" si="142"/>
        <v>-1076400000</v>
      </c>
      <c r="AO78" s="13">
        <f t="shared" si="143"/>
        <v>-1424538837.2490196</v>
      </c>
      <c r="AP78" s="13">
        <f t="shared" si="144"/>
        <v>-1351345605.0112243</v>
      </c>
      <c r="AQ78" s="13">
        <f t="shared" si="145"/>
        <v>-1326886802.1545742</v>
      </c>
      <c r="AR78" s="13">
        <f t="shared" si="146"/>
        <v>-1318922302.0033267</v>
      </c>
      <c r="AS78" s="13">
        <f t="shared" si="147"/>
        <v>-1312819844.5937951</v>
      </c>
      <c r="AT78" s="13">
        <f t="shared" si="148"/>
        <v>-1302526847.0460808</v>
      </c>
      <c r="AU78" s="13">
        <f t="shared" si="149"/>
        <v>-1286090000.991529</v>
      </c>
      <c r="AV78" s="13">
        <f t="shared" si="150"/>
        <v>-1263431407.5295899</v>
      </c>
      <c r="AW78" s="13">
        <f t="shared" si="151"/>
        <v>-1235253159.2565339</v>
      </c>
      <c r="AX78" s="13">
        <f t="shared" si="152"/>
        <v>-1202508694.6233027</v>
      </c>
      <c r="AY78" s="13">
        <f t="shared" si="153"/>
        <v>-1166158555.3845928</v>
      </c>
      <c r="AZ78" s="13">
        <f t="shared" si="154"/>
        <v>-1127067585.2462511</v>
      </c>
      <c r="BA78" s="13">
        <f t="shared" si="155"/>
        <v>-1085970955.1022801</v>
      </c>
      <c r="BB78" s="13">
        <f t="shared" si="156"/>
        <v>-1043472217.6963532</v>
      </c>
      <c r="BC78" s="13">
        <f t="shared" si="157"/>
        <v>-1000054940.6164283</v>
      </c>
      <c r="BD78" s="13">
        <f t="shared" si="158"/>
        <v>-956098881.17582095</v>
      </c>
      <c r="BE78" s="13">
        <f t="shared" si="159"/>
        <v>-911896479.47656906</v>
      </c>
      <c r="BF78" s="13">
        <f t="shared" si="160"/>
        <v>-867667876.56087184</v>
      </c>
      <c r="BG78" s="13">
        <f t="shared" si="161"/>
        <v>-823573861.66418576</v>
      </c>
      <c r="BH78" s="13">
        <f t="shared" si="162"/>
        <v>-779726714.44749701</v>
      </c>
      <c r="BI78" s="13">
        <f t="shared" si="163"/>
        <v>-736199147.27580535</v>
      </c>
      <c r="BJ78" s="13">
        <f t="shared" si="164"/>
        <v>-693031632.22996259</v>
      </c>
      <c r="BK78" s="13">
        <f t="shared" si="165"/>
        <v>-650238402.1126188</v>
      </c>
      <c r="BL78" s="13">
        <f t="shared" si="166"/>
        <v>-607812387.38740373</v>
      </c>
      <c r="BM78" s="13">
        <f t="shared" si="167"/>
        <v>-565729313.21118879</v>
      </c>
      <c r="BN78" s="13">
        <f t="shared" si="168"/>
        <v>-523951142.62631375</v>
      </c>
      <c r="BO78" s="13">
        <f t="shared" si="169"/>
        <v>-482429017.94625247</v>
      </c>
      <c r="BP78" s="13">
        <f t="shared" si="170"/>
        <v>-441105823.91189569</v>
      </c>
      <c r="BQ78" s="13">
        <f t="shared" si="171"/>
        <v>-399918473.50293142</v>
      </c>
      <c r="BR78" s="13">
        <f t="shared" si="172"/>
        <v>-358800000</v>
      </c>
      <c r="BT78" s="47"/>
      <c r="BU78" s="26">
        <v>8.666666666666667E-2</v>
      </c>
      <c r="BV78" s="13">
        <f t="shared" si="173"/>
        <v>0.40647187995004247</v>
      </c>
      <c r="BW78" s="13">
        <f t="shared" si="174"/>
        <v>0.40647187995004247</v>
      </c>
      <c r="BX78" s="13">
        <f t="shared" si="175"/>
        <v>0.40647187995004247</v>
      </c>
      <c r="BY78" s="13">
        <f t="shared" si="176"/>
        <v>0.40647187995004247</v>
      </c>
      <c r="BZ78" s="13">
        <f t="shared" si="177"/>
        <v>0.40647187995004247</v>
      </c>
      <c r="CA78" s="13">
        <f t="shared" si="178"/>
        <v>0.40647187995004247</v>
      </c>
      <c r="CB78" s="13">
        <f t="shared" si="179"/>
        <v>0.40647187995004247</v>
      </c>
      <c r="CC78" s="13">
        <f t="shared" si="180"/>
        <v>0.40647187995004247</v>
      </c>
      <c r="CD78" s="13">
        <f t="shared" si="181"/>
        <v>0.40647187995004247</v>
      </c>
      <c r="CE78" s="13">
        <f t="shared" si="182"/>
        <v>0.40647187995004247</v>
      </c>
      <c r="CF78" s="13">
        <f t="shared" si="183"/>
        <v>0.40647187995004247</v>
      </c>
      <c r="CG78" s="13">
        <f t="shared" si="184"/>
        <v>0.40647187995004247</v>
      </c>
      <c r="CH78" s="13">
        <f t="shared" si="185"/>
        <v>0.40647187995004247</v>
      </c>
      <c r="CI78" s="13">
        <f t="shared" si="186"/>
        <v>0.40647187995004247</v>
      </c>
      <c r="CJ78" s="13">
        <f t="shared" si="187"/>
        <v>0.40647187995004247</v>
      </c>
      <c r="CK78" s="13">
        <f t="shared" si="188"/>
        <v>0.40647187995004247</v>
      </c>
      <c r="CL78" s="13">
        <f t="shared" si="189"/>
        <v>0.40647187995004247</v>
      </c>
      <c r="CM78" s="13">
        <f t="shared" si="190"/>
        <v>0.40647187995004247</v>
      </c>
      <c r="CN78" s="13">
        <f t="shared" si="191"/>
        <v>0.40647187995004247</v>
      </c>
      <c r="CO78" s="13">
        <f t="shared" si="192"/>
        <v>0.40647187995004247</v>
      </c>
      <c r="CP78" s="13">
        <f t="shared" si="193"/>
        <v>0.40647187995004247</v>
      </c>
      <c r="CQ78" s="13">
        <f t="shared" si="194"/>
        <v>0.40647187995004247</v>
      </c>
      <c r="CR78" s="13">
        <f t="shared" si="195"/>
        <v>0.40647187995004247</v>
      </c>
      <c r="CS78" s="13">
        <f t="shared" si="196"/>
        <v>0.40647187995004247</v>
      </c>
      <c r="CT78" s="13">
        <f t="shared" si="197"/>
        <v>0.40647187995004247</v>
      </c>
      <c r="CU78" s="13">
        <f t="shared" si="198"/>
        <v>0.40647187995004247</v>
      </c>
      <c r="CV78" s="13">
        <f t="shared" si="199"/>
        <v>0.40647187995004247</v>
      </c>
      <c r="CW78" s="13">
        <f t="shared" si="200"/>
        <v>0.40647187995004247</v>
      </c>
      <c r="CX78" s="13">
        <f t="shared" si="201"/>
        <v>0.40647187995004247</v>
      </c>
      <c r="CY78" s="13">
        <f t="shared" si="202"/>
        <v>0.40647187995004247</v>
      </c>
      <c r="CZ78" s="13">
        <f t="shared" si="203"/>
        <v>0.40647187995004247</v>
      </c>
      <c r="DB78" s="47"/>
      <c r="DC78" s="26">
        <v>8.666666666666667E-2</v>
      </c>
      <c r="DD78" s="13">
        <f t="shared" si="204"/>
        <v>178.05843601498725</v>
      </c>
      <c r="DE78" s="13">
        <f t="shared" si="205"/>
        <v>218.36753754785079</v>
      </c>
      <c r="DF78" s="13">
        <f t="shared" si="206"/>
        <v>218.01238722988796</v>
      </c>
      <c r="DG78" s="13">
        <f t="shared" si="207"/>
        <v>219.7515537753022</v>
      </c>
      <c r="DH78" s="13">
        <f t="shared" si="208"/>
        <v>221.07651649258355</v>
      </c>
      <c r="DI78" s="13">
        <f t="shared" si="209"/>
        <v>221.05960978860216</v>
      </c>
      <c r="DJ78" s="13">
        <f t="shared" si="210"/>
        <v>219.50227932992996</v>
      </c>
      <c r="DK78" s="13">
        <f t="shared" si="211"/>
        <v>216.51718139685713</v>
      </c>
      <c r="DL78" s="13">
        <f t="shared" si="212"/>
        <v>212.32774003220538</v>
      </c>
      <c r="DM78" s="13">
        <f t="shared" si="213"/>
        <v>207.17611789270319</v>
      </c>
      <c r="DN78" s="13">
        <f t="shared" si="214"/>
        <v>201.28450137655429</v>
      </c>
      <c r="DO78" s="13">
        <f t="shared" si="215"/>
        <v>194.84190846591707</v>
      </c>
      <c r="DP78" s="13">
        <f t="shared" si="216"/>
        <v>188.00261349893438</v>
      </c>
      <c r="DQ78" s="13">
        <f t="shared" si="217"/>
        <v>180.88934927934795</v>
      </c>
      <c r="DR78" s="13">
        <f t="shared" si="218"/>
        <v>173.59802788946729</v>
      </c>
      <c r="DS78" s="13">
        <f t="shared" si="219"/>
        <v>166.20251660689738</v>
      </c>
      <c r="DT78" s="13">
        <f t="shared" si="220"/>
        <v>158.75888649060184</v>
      </c>
      <c r="DU78" s="13">
        <f t="shared" si="221"/>
        <v>151.30896786414067</v>
      </c>
      <c r="DV78" s="13">
        <f t="shared" si="222"/>
        <v>143.88323078495213</v>
      </c>
      <c r="DW78" s="13">
        <f t="shared" si="223"/>
        <v>136.50307867057026</v>
      </c>
      <c r="DX78" s="13">
        <f t="shared" si="224"/>
        <v>129.18266011997</v>
      </c>
      <c r="DY78" s="13">
        <f t="shared" si="225"/>
        <v>121.93029790522343</v>
      </c>
      <c r="DZ78" s="13">
        <f t="shared" si="226"/>
        <v>114.74961981349294</v>
      </c>
      <c r="EA78" s="13">
        <f t="shared" si="227"/>
        <v>107.64046026679691</v>
      </c>
      <c r="EB78" s="13">
        <f t="shared" si="228"/>
        <v>100.59958726903609</v>
      </c>
      <c r="EC78" s="13">
        <f t="shared" si="229"/>
        <v>93.621297165731221</v>
      </c>
      <c r="ED78" s="13">
        <f t="shared" si="230"/>
        <v>86.697910037578453</v>
      </c>
      <c r="EE78" s="13">
        <f t="shared" si="231"/>
        <v>79.820191030419792</v>
      </c>
      <c r="EF78" s="13">
        <f t="shared" si="232"/>
        <v>72.977717201846559</v>
      </c>
      <c r="EG78" s="13">
        <f t="shared" si="233"/>
        <v>66.15920520062501</v>
      </c>
      <c r="EH78" s="13">
        <f t="shared" si="234"/>
        <v>59.352812004995762</v>
      </c>
    </row>
    <row r="79" spans="5:138" x14ac:dyDescent="0.25">
      <c r="E79" s="49"/>
      <c r="F79" s="26">
        <v>8.3333333333333343E-2</v>
      </c>
      <c r="G79" s="13">
        <f t="shared" si="139"/>
        <v>300</v>
      </c>
      <c r="H79" s="13">
        <f t="shared" si="235"/>
        <v>339.24924067407756</v>
      </c>
      <c r="I79" s="13">
        <f t="shared" si="236"/>
        <v>356.6786950622668</v>
      </c>
      <c r="J79" s="13">
        <f t="shared" si="237"/>
        <v>368.31791188334682</v>
      </c>
      <c r="K79" s="13">
        <f t="shared" si="238"/>
        <v>374.52063391891159</v>
      </c>
      <c r="L79" s="13">
        <f t="shared" si="239"/>
        <v>376.06137222303221</v>
      </c>
      <c r="M79" s="13">
        <f t="shared" si="240"/>
        <v>373.81350890912148</v>
      </c>
      <c r="N79" s="13">
        <f t="shared" si="241"/>
        <v>368.59533606165576</v>
      </c>
      <c r="O79" s="13">
        <f t="shared" si="242"/>
        <v>361.10961840241259</v>
      </c>
      <c r="P79" s="13">
        <f t="shared" si="243"/>
        <v>351.93110162384801</v>
      </c>
      <c r="Q79" s="13">
        <f t="shared" si="244"/>
        <v>341.51598079189853</v>
      </c>
      <c r="R79" s="13">
        <f t="shared" si="245"/>
        <v>330.21945948006999</v>
      </c>
      <c r="S79" s="13">
        <f t="shared" si="246"/>
        <v>318.31455209264692</v>
      </c>
      <c r="T79" s="13">
        <f t="shared" si="247"/>
        <v>306.00912972301757</v>
      </c>
      <c r="U79" s="13">
        <f t="shared" si="248"/>
        <v>293.46019602261322</v>
      </c>
      <c r="V79" s="13">
        <f t="shared" si="249"/>
        <v>280.78532633552658</v>
      </c>
      <c r="W79" s="13">
        <f t="shared" si="250"/>
        <v>268.07159774148442</v>
      </c>
      <c r="X79" s="13">
        <f t="shared" si="251"/>
        <v>255.38245528436411</v>
      </c>
      <c r="Y79" s="13">
        <f t="shared" si="252"/>
        <v>242.76295010667869</v>
      </c>
      <c r="Z79" s="13">
        <f t="shared" si="253"/>
        <v>230.24372588541141</v>
      </c>
      <c r="AA79" s="13">
        <f t="shared" si="254"/>
        <v>217.84405854080711</v>
      </c>
      <c r="AB79" s="13">
        <f t="shared" si="255"/>
        <v>205.57418727619324</v>
      </c>
      <c r="AC79" s="13">
        <f t="shared" si="256"/>
        <v>193.43711857878748</v>
      </c>
      <c r="AD79" s="13">
        <f t="shared" si="257"/>
        <v>181.43003983102608</v>
      </c>
      <c r="AE79" s="13">
        <f t="shared" si="258"/>
        <v>169.54544451251698</v>
      </c>
      <c r="AF79" s="13">
        <f t="shared" si="259"/>
        <v>157.77204481341695</v>
      </c>
      <c r="AG79" s="13">
        <f t="shared" si="260"/>
        <v>146.09552801891317</v>
      </c>
      <c r="AH79" s="13">
        <f t="shared" si="261"/>
        <v>134.49919869504214</v>
      </c>
      <c r="AI79" s="13">
        <f t="shared" si="262"/>
        <v>122.96453825403918</v>
      </c>
      <c r="AJ79" s="13">
        <f t="shared" si="263"/>
        <v>111.47170594524042</v>
      </c>
      <c r="AK79" s="13">
        <f t="shared" si="141"/>
        <v>100</v>
      </c>
      <c r="AL79" s="47"/>
      <c r="AM79" s="26">
        <v>8.3333333333333343E-2</v>
      </c>
      <c r="AN79" s="13">
        <f t="shared" si="142"/>
        <v>-1076400000</v>
      </c>
      <c r="AO79" s="13">
        <f t="shared" si="143"/>
        <v>-1179901802.9332645</v>
      </c>
      <c r="AP79" s="13">
        <f t="shared" si="144"/>
        <v>-1251128345.9679513</v>
      </c>
      <c r="AQ79" s="13">
        <f t="shared" si="145"/>
        <v>-1297682488.283566</v>
      </c>
      <c r="AR79" s="13">
        <f t="shared" si="146"/>
        <v>-1323788080.3825235</v>
      </c>
      <c r="AS79" s="13">
        <f t="shared" si="147"/>
        <v>-1332849865.7186418</v>
      </c>
      <c r="AT79" s="13">
        <f t="shared" si="148"/>
        <v>-1327995094.4294903</v>
      </c>
      <c r="AU79" s="13">
        <f t="shared" si="149"/>
        <v>-1312067227.4974728</v>
      </c>
      <c r="AV79" s="13">
        <f t="shared" si="150"/>
        <v>-1287545040.1497128</v>
      </c>
      <c r="AW79" s="13">
        <f t="shared" si="151"/>
        <v>-1256504957.3811188</v>
      </c>
      <c r="AX79" s="13">
        <f t="shared" si="152"/>
        <v>-1220632829.9318478</v>
      </c>
      <c r="AY79" s="13">
        <f t="shared" si="153"/>
        <v>-1181265919.7909129</v>
      </c>
      <c r="AZ79" s="13">
        <f t="shared" si="154"/>
        <v>-1139446886.2599316</v>
      </c>
      <c r="BA79" s="13">
        <f t="shared" si="155"/>
        <v>-1095978097.5268664</v>
      </c>
      <c r="BB79" s="13">
        <f t="shared" si="156"/>
        <v>-1051470335.9115118</v>
      </c>
      <c r="BC79" s="13">
        <f t="shared" si="157"/>
        <v>-1006383718.8436253</v>
      </c>
      <c r="BD79" s="13">
        <f t="shared" si="158"/>
        <v>-961060731.50386763</v>
      </c>
      <c r="BE79" s="13">
        <f t="shared" si="159"/>
        <v>-915752231.8726362</v>
      </c>
      <c r="BF79" s="13">
        <f t="shared" si="160"/>
        <v>-870637615.07899463</v>
      </c>
      <c r="BG79" s="13">
        <f t="shared" si="161"/>
        <v>-825840323.80986881</v>
      </c>
      <c r="BH79" s="13">
        <f t="shared" si="162"/>
        <v>-781439749.50118268</v>
      </c>
      <c r="BI79" s="13">
        <f t="shared" si="163"/>
        <v>-737480384.09688985</v>
      </c>
      <c r="BJ79" s="13">
        <f t="shared" si="164"/>
        <v>-693978902.13518047</v>
      </c>
      <c r="BK79" s="13">
        <f t="shared" si="165"/>
        <v>-650929697.25854003</v>
      </c>
      <c r="BL79" s="13">
        <f t="shared" si="166"/>
        <v>-608309270.91813576</v>
      </c>
      <c r="BM79" s="13">
        <f t="shared" si="167"/>
        <v>-566079772.38683093</v>
      </c>
      <c r="BN79" s="13">
        <f t="shared" si="168"/>
        <v>-524191914.05960059</v>
      </c>
      <c r="BO79" s="13">
        <f t="shared" si="169"/>
        <v>-482587429.81107289</v>
      </c>
      <c r="BP79" s="13">
        <f t="shared" si="170"/>
        <v>-441201202.74792475</v>
      </c>
      <c r="BQ79" s="13">
        <f t="shared" si="171"/>
        <v>-399963158.63832158</v>
      </c>
      <c r="BR79" s="13">
        <f t="shared" si="172"/>
        <v>-358800000</v>
      </c>
      <c r="BT79" s="47"/>
      <c r="BU79" s="26">
        <v>8.3333333333333343E-2</v>
      </c>
      <c r="BV79" s="13">
        <f t="shared" si="173"/>
        <v>0.40647187995004247</v>
      </c>
      <c r="BW79" s="13">
        <f t="shared" si="174"/>
        <v>0.40647187995004247</v>
      </c>
      <c r="BX79" s="13">
        <f t="shared" si="175"/>
        <v>0.40647187995004247</v>
      </c>
      <c r="BY79" s="13">
        <f t="shared" si="176"/>
        <v>0.40647187995004247</v>
      </c>
      <c r="BZ79" s="13">
        <f t="shared" si="177"/>
        <v>0.40647187995004247</v>
      </c>
      <c r="CA79" s="13">
        <f t="shared" si="178"/>
        <v>0.40647187995004247</v>
      </c>
      <c r="CB79" s="13">
        <f t="shared" si="179"/>
        <v>0.40647187995004247</v>
      </c>
      <c r="CC79" s="13">
        <f t="shared" si="180"/>
        <v>0.40647187995004247</v>
      </c>
      <c r="CD79" s="13">
        <f t="shared" si="181"/>
        <v>0.40647187995004247</v>
      </c>
      <c r="CE79" s="13">
        <f t="shared" si="182"/>
        <v>0.40647187995004247</v>
      </c>
      <c r="CF79" s="13">
        <f t="shared" si="183"/>
        <v>0.40647187995004247</v>
      </c>
      <c r="CG79" s="13">
        <f t="shared" si="184"/>
        <v>0.40647187995004247</v>
      </c>
      <c r="CH79" s="13">
        <f t="shared" si="185"/>
        <v>0.40647187995004247</v>
      </c>
      <c r="CI79" s="13">
        <f t="shared" si="186"/>
        <v>0.40647187995004247</v>
      </c>
      <c r="CJ79" s="13">
        <f t="shared" si="187"/>
        <v>0.40647187995004247</v>
      </c>
      <c r="CK79" s="13">
        <f t="shared" si="188"/>
        <v>0.40647187995004247</v>
      </c>
      <c r="CL79" s="13">
        <f t="shared" si="189"/>
        <v>0.40647187995004247</v>
      </c>
      <c r="CM79" s="13">
        <f t="shared" si="190"/>
        <v>0.40647187995004247</v>
      </c>
      <c r="CN79" s="13">
        <f t="shared" si="191"/>
        <v>0.40647187995004247</v>
      </c>
      <c r="CO79" s="13">
        <f t="shared" si="192"/>
        <v>0.40647187995004247</v>
      </c>
      <c r="CP79" s="13">
        <f t="shared" si="193"/>
        <v>0.40647187995004247</v>
      </c>
      <c r="CQ79" s="13">
        <f t="shared" si="194"/>
        <v>0.40647187995004247</v>
      </c>
      <c r="CR79" s="13">
        <f t="shared" si="195"/>
        <v>0.40647187995004247</v>
      </c>
      <c r="CS79" s="13">
        <f t="shared" si="196"/>
        <v>0.40647187995004247</v>
      </c>
      <c r="CT79" s="13">
        <f t="shared" si="197"/>
        <v>0.40647187995004247</v>
      </c>
      <c r="CU79" s="13">
        <f t="shared" si="198"/>
        <v>0.40647187995004247</v>
      </c>
      <c r="CV79" s="13">
        <f t="shared" si="199"/>
        <v>0.40647187995004247</v>
      </c>
      <c r="CW79" s="13">
        <f t="shared" si="200"/>
        <v>0.40647187995004247</v>
      </c>
      <c r="CX79" s="13">
        <f t="shared" si="201"/>
        <v>0.40647187995004247</v>
      </c>
      <c r="CY79" s="13">
        <f t="shared" si="202"/>
        <v>0.40647187995004247</v>
      </c>
      <c r="CZ79" s="13">
        <f t="shared" si="203"/>
        <v>0.40647187995004247</v>
      </c>
      <c r="DB79" s="47"/>
      <c r="DC79" s="26">
        <v>8.3333333333333343E-2</v>
      </c>
      <c r="DD79" s="13">
        <f t="shared" si="204"/>
        <v>178.05843601498725</v>
      </c>
      <c r="DE79" s="13">
        <f t="shared" si="205"/>
        <v>193.13517088148035</v>
      </c>
      <c r="DF79" s="13">
        <f t="shared" si="206"/>
        <v>209.94095661584709</v>
      </c>
      <c r="DG79" s="13">
        <f t="shared" si="207"/>
        <v>220.12756847943322</v>
      </c>
      <c r="DH79" s="13">
        <f t="shared" si="208"/>
        <v>225.31102715614739</v>
      </c>
      <c r="DI79" s="13">
        <f t="shared" si="209"/>
        <v>226.7434569000242</v>
      </c>
      <c r="DJ79" s="13">
        <f t="shared" si="210"/>
        <v>225.39835191612227</v>
      </c>
      <c r="DK79" s="13">
        <f t="shared" si="211"/>
        <v>222.02468221351938</v>
      </c>
      <c r="DL79" s="13">
        <f t="shared" si="212"/>
        <v>217.19093061714602</v>
      </c>
      <c r="DM79" s="13">
        <f t="shared" si="213"/>
        <v>211.32327684898277</v>
      </c>
      <c r="DN79" s="13">
        <f t="shared" si="214"/>
        <v>204.73804358483014</v>
      </c>
      <c r="DO79" s="13">
        <f t="shared" si="215"/>
        <v>197.66823696239658</v>
      </c>
      <c r="DP79" s="13">
        <f t="shared" si="216"/>
        <v>190.28450245824851</v>
      </c>
      <c r="DQ79" s="13">
        <f t="shared" si="217"/>
        <v>182.71120916568194</v>
      </c>
      <c r="DR79" s="13">
        <f t="shared" si="218"/>
        <v>175.03853380270013</v>
      </c>
      <c r="DS79" s="13">
        <f t="shared" si="219"/>
        <v>167.33140049536857</v>
      </c>
      <c r="DT79" s="13">
        <f t="shared" si="220"/>
        <v>159.6360261509939</v>
      </c>
      <c r="DU79" s="13">
        <f t="shared" si="221"/>
        <v>151.9846838077188</v>
      </c>
      <c r="DV79" s="13">
        <f t="shared" si="222"/>
        <v>144.39916157722132</v>
      </c>
      <c r="DW79" s="13">
        <f t="shared" si="223"/>
        <v>136.89327805615787</v>
      </c>
      <c r="DX79" s="13">
        <f t="shared" si="224"/>
        <v>129.47472086290648</v>
      </c>
      <c r="DY79" s="13">
        <f t="shared" si="225"/>
        <v>122.14640226474155</v>
      </c>
      <c r="DZ79" s="13">
        <f t="shared" si="226"/>
        <v>114.90747145978723</v>
      </c>
      <c r="EA79" s="13">
        <f t="shared" si="227"/>
        <v>107.75408321892004</v>
      </c>
      <c r="EB79" s="13">
        <f t="shared" si="228"/>
        <v>100.67999381966678</v>
      </c>
      <c r="EC79" s="13">
        <f t="shared" si="229"/>
        <v>93.677034649690697</v>
      </c>
      <c r="ED79" s="13">
        <f t="shared" si="230"/>
        <v>86.73549928249048</v>
      </c>
      <c r="EE79" s="13">
        <f t="shared" si="231"/>
        <v>79.84446955156757</v>
      </c>
      <c r="EF79" s="13">
        <f t="shared" si="232"/>
        <v>72.992098944652426</v>
      </c>
      <c r="EG79" s="13">
        <f t="shared" si="233"/>
        <v>66.165866630566569</v>
      </c>
      <c r="EH79" s="13">
        <f t="shared" si="234"/>
        <v>59.352812004995762</v>
      </c>
    </row>
    <row r="80" spans="5:138" x14ac:dyDescent="0.25">
      <c r="E80" s="49"/>
      <c r="F80" s="26">
        <v>0.08</v>
      </c>
      <c r="G80" s="13">
        <f t="shared" si="139"/>
        <v>300</v>
      </c>
      <c r="H80" s="13">
        <f t="shared" si="235"/>
        <v>328.04498167153235</v>
      </c>
      <c r="I80" s="13">
        <f t="shared" si="236"/>
        <v>359.27059221968307</v>
      </c>
      <c r="J80" s="13">
        <f t="shared" si="237"/>
        <v>377.81769405120963</v>
      </c>
      <c r="K80" s="13">
        <f t="shared" si="238"/>
        <v>386.78554557679911</v>
      </c>
      <c r="L80" s="13">
        <f t="shared" si="239"/>
        <v>388.74703152229995</v>
      </c>
      <c r="M80" s="13">
        <f t="shared" si="240"/>
        <v>385.69676809608507</v>
      </c>
      <c r="N80" s="13">
        <f t="shared" si="241"/>
        <v>379.12315380756837</v>
      </c>
      <c r="O80" s="13">
        <f t="shared" si="242"/>
        <v>370.11168325903884</v>
      </c>
      <c r="P80" s="13">
        <f t="shared" si="243"/>
        <v>359.44290761168611</v>
      </c>
      <c r="Q80" s="13">
        <f t="shared" si="244"/>
        <v>347.67326240580064</v>
      </c>
      <c r="R80" s="13">
        <f t="shared" si="245"/>
        <v>335.19735824865961</v>
      </c>
      <c r="S80" s="13">
        <f t="shared" si="246"/>
        <v>322.29413885739734</v>
      </c>
      <c r="T80" s="13">
        <f t="shared" si="247"/>
        <v>309.16026144003223</v>
      </c>
      <c r="U80" s="13">
        <f t="shared" si="248"/>
        <v>295.93386389613244</v>
      </c>
      <c r="V80" s="13">
        <f t="shared" si="249"/>
        <v>282.71132381753876</v>
      </c>
      <c r="W80" s="13">
        <f t="shared" si="250"/>
        <v>269.55901229391361</v>
      </c>
      <c r="X80" s="13">
        <f t="shared" si="251"/>
        <v>256.52152219663384</v>
      </c>
      <c r="Y80" s="13">
        <f t="shared" si="252"/>
        <v>243.62743639027445</v>
      </c>
      <c r="Z80" s="13">
        <f t="shared" si="253"/>
        <v>230.89339003314484</v>
      </c>
      <c r="AA80" s="13">
        <f t="shared" si="254"/>
        <v>218.32695460809651</v>
      </c>
      <c r="AB80" s="13">
        <f t="shared" si="255"/>
        <v>205.92870996175554</v>
      </c>
      <c r="AC80" s="13">
        <f t="shared" si="256"/>
        <v>193.69375734206434</v>
      </c>
      <c r="AD80" s="13">
        <f t="shared" si="257"/>
        <v>181.61284767906733</v>
      </c>
      <c r="AE80" s="13">
        <f t="shared" si="258"/>
        <v>169.67324498780937</v>
      </c>
      <c r="AF80" s="13">
        <f t="shared" si="259"/>
        <v>157.85940740123164</v>
      </c>
      <c r="AG80" s="13">
        <f t="shared" si="260"/>
        <v>146.15354272196592</v>
      </c>
      <c r="AH80" s="13">
        <f t="shared" si="261"/>
        <v>134.53607785260868</v>
      </c>
      <c r="AI80" s="13">
        <f t="shared" si="262"/>
        <v>122.98606949844499</v>
      </c>
      <c r="AJ80" s="13">
        <f t="shared" si="263"/>
        <v>111.48157541161726</v>
      </c>
      <c r="AK80" s="13">
        <f t="shared" si="141"/>
        <v>100</v>
      </c>
      <c r="AL80" s="47"/>
      <c r="AM80" s="26">
        <v>0.08</v>
      </c>
      <c r="AN80" s="13">
        <f t="shared" si="142"/>
        <v>-1076400000</v>
      </c>
      <c r="AO80" s="13">
        <f t="shared" si="143"/>
        <v>-1170792416.8701544</v>
      </c>
      <c r="AP80" s="13">
        <f t="shared" si="144"/>
        <v>-1259855515.2335494</v>
      </c>
      <c r="AQ80" s="13">
        <f t="shared" si="145"/>
        <v>-1323749954.1104934</v>
      </c>
      <c r="AR80" s="13">
        <f t="shared" si="146"/>
        <v>-1360247061.3405931</v>
      </c>
      <c r="AS80" s="13">
        <f t="shared" si="147"/>
        <v>-1373159093.7276757</v>
      </c>
      <c r="AT80" s="13">
        <f t="shared" si="148"/>
        <v>-1367641806.4559169</v>
      </c>
      <c r="AU80" s="13">
        <f t="shared" si="149"/>
        <v>-1348459605.623204</v>
      </c>
      <c r="AV80" s="13">
        <f t="shared" si="150"/>
        <v>-1319485707.9968114</v>
      </c>
      <c r="AW80" s="13">
        <f t="shared" si="151"/>
        <v>-1283682855.8818035</v>
      </c>
      <c r="AX80" s="13">
        <f t="shared" si="152"/>
        <v>-1243243262.2457047</v>
      </c>
      <c r="AY80" s="13">
        <f t="shared" si="153"/>
        <v>-1199757735.8526018</v>
      </c>
      <c r="AZ80" s="13">
        <f t="shared" si="154"/>
        <v>-1154366867.8791704</v>
      </c>
      <c r="BA80" s="13">
        <f t="shared" si="155"/>
        <v>-1107881780.0938766</v>
      </c>
      <c r="BB80" s="13">
        <f t="shared" si="156"/>
        <v>-1060875287.3195804</v>
      </c>
      <c r="BC80" s="13">
        <f t="shared" si="157"/>
        <v>-1013748578.2492329</v>
      </c>
      <c r="BD80" s="13">
        <f t="shared" si="158"/>
        <v>-966779093.08112335</v>
      </c>
      <c r="BE80" s="13">
        <f t="shared" si="159"/>
        <v>-920154543.60799825</v>
      </c>
      <c r="BF80" s="13">
        <f t="shared" si="160"/>
        <v>-873996973.57300222</v>
      </c>
      <c r="BG80" s="13">
        <f t="shared" si="161"/>
        <v>-828379774.26473463</v>
      </c>
      <c r="BH80" s="13">
        <f t="shared" si="162"/>
        <v>-783339768.65905416</v>
      </c>
      <c r="BI80" s="13">
        <f t="shared" si="163"/>
        <v>-738885866.54776311</v>
      </c>
      <c r="BJ80" s="13">
        <f t="shared" si="164"/>
        <v>-695005345.38964438</v>
      </c>
      <c r="BK80" s="13">
        <f t="shared" si="165"/>
        <v>-651668491.35724914</v>
      </c>
      <c r="BL80" s="13">
        <f t="shared" si="166"/>
        <v>-608832109.5469929</v>
      </c>
      <c r="BM80" s="13">
        <f t="shared" si="167"/>
        <v>-566442255.19708431</v>
      </c>
      <c r="BN80" s="13">
        <f t="shared" si="168"/>
        <v>-524436429.06077987</v>
      </c>
      <c r="BO80" s="13">
        <f t="shared" si="169"/>
        <v>-482745405.2791115</v>
      </c>
      <c r="BP80" s="13">
        <f t="shared" si="170"/>
        <v>-441294808.87340868</v>
      </c>
      <c r="BQ80" s="13">
        <f t="shared" si="171"/>
        <v>-400006525.15338314</v>
      </c>
      <c r="BR80" s="13">
        <f t="shared" si="172"/>
        <v>-358800000</v>
      </c>
      <c r="BT80" s="47"/>
      <c r="BU80" s="26">
        <v>0.08</v>
      </c>
      <c r="BV80" s="13">
        <f t="shared" si="173"/>
        <v>0.40647187995004247</v>
      </c>
      <c r="BW80" s="13">
        <f t="shared" si="174"/>
        <v>0.40647187995004247</v>
      </c>
      <c r="BX80" s="13">
        <f t="shared" si="175"/>
        <v>0.40647187995004247</v>
      </c>
      <c r="BY80" s="13">
        <f t="shared" si="176"/>
        <v>0.40647187995004247</v>
      </c>
      <c r="BZ80" s="13">
        <f t="shared" si="177"/>
        <v>0.40647187995004247</v>
      </c>
      <c r="CA80" s="13">
        <f t="shared" si="178"/>
        <v>0.40647187995004247</v>
      </c>
      <c r="CB80" s="13">
        <f t="shared" si="179"/>
        <v>0.40647187995004247</v>
      </c>
      <c r="CC80" s="13">
        <f t="shared" si="180"/>
        <v>0.40647187995004247</v>
      </c>
      <c r="CD80" s="13">
        <f t="shared" si="181"/>
        <v>0.40647187995004247</v>
      </c>
      <c r="CE80" s="13">
        <f t="shared" si="182"/>
        <v>0.40647187995004247</v>
      </c>
      <c r="CF80" s="13">
        <f t="shared" si="183"/>
        <v>0.40647187995004247</v>
      </c>
      <c r="CG80" s="13">
        <f t="shared" si="184"/>
        <v>0.40647187995004247</v>
      </c>
      <c r="CH80" s="13">
        <f t="shared" si="185"/>
        <v>0.40647187995004247</v>
      </c>
      <c r="CI80" s="13">
        <f t="shared" si="186"/>
        <v>0.40647187995004247</v>
      </c>
      <c r="CJ80" s="13">
        <f t="shared" si="187"/>
        <v>0.40647187995004247</v>
      </c>
      <c r="CK80" s="13">
        <f t="shared" si="188"/>
        <v>0.40647187995004247</v>
      </c>
      <c r="CL80" s="13">
        <f t="shared" si="189"/>
        <v>0.40647187995004247</v>
      </c>
      <c r="CM80" s="13">
        <f t="shared" si="190"/>
        <v>0.40647187995004247</v>
      </c>
      <c r="CN80" s="13">
        <f t="shared" si="191"/>
        <v>0.40647187995004247</v>
      </c>
      <c r="CO80" s="13">
        <f t="shared" si="192"/>
        <v>0.40647187995004247</v>
      </c>
      <c r="CP80" s="13">
        <f t="shared" si="193"/>
        <v>0.40647187995004247</v>
      </c>
      <c r="CQ80" s="13">
        <f t="shared" si="194"/>
        <v>0.40647187995004247</v>
      </c>
      <c r="CR80" s="13">
        <f t="shared" si="195"/>
        <v>0.40647187995004247</v>
      </c>
      <c r="CS80" s="13">
        <f t="shared" si="196"/>
        <v>0.40647187995004247</v>
      </c>
      <c r="CT80" s="13">
        <f t="shared" si="197"/>
        <v>0.40647187995004247</v>
      </c>
      <c r="CU80" s="13">
        <f t="shared" si="198"/>
        <v>0.40647187995004247</v>
      </c>
      <c r="CV80" s="13">
        <f t="shared" si="199"/>
        <v>0.40647187995004247</v>
      </c>
      <c r="CW80" s="13">
        <f t="shared" si="200"/>
        <v>0.40647187995004247</v>
      </c>
      <c r="CX80" s="13">
        <f t="shared" si="201"/>
        <v>0.40647187995004247</v>
      </c>
      <c r="CY80" s="13">
        <f t="shared" si="202"/>
        <v>0.40647187995004247</v>
      </c>
      <c r="CZ80" s="13">
        <f t="shared" si="203"/>
        <v>0.40647187995004247</v>
      </c>
      <c r="DB80" s="47"/>
      <c r="DC80" s="26">
        <v>0.08</v>
      </c>
      <c r="DD80" s="13">
        <f t="shared" si="204"/>
        <v>178.05843601498725</v>
      </c>
      <c r="DE80" s="13">
        <f t="shared" si="205"/>
        <v>190.1497050431156</v>
      </c>
      <c r="DF80" s="13">
        <f t="shared" si="206"/>
        <v>214.29073249959552</v>
      </c>
      <c r="DG80" s="13">
        <f t="shared" si="207"/>
        <v>228.10681998871158</v>
      </c>
      <c r="DH80" s="13">
        <f t="shared" si="208"/>
        <v>234.55343942769744</v>
      </c>
      <c r="DI80" s="13">
        <f t="shared" si="209"/>
        <v>235.88865857821133</v>
      </c>
      <c r="DJ80" s="13">
        <f t="shared" si="210"/>
        <v>233.75208837907255</v>
      </c>
      <c r="DK80" s="13">
        <f t="shared" si="211"/>
        <v>229.29951461776946</v>
      </c>
      <c r="DL80" s="13">
        <f t="shared" si="212"/>
        <v>223.33077779896774</v>
      </c>
      <c r="DM80" s="13">
        <f t="shared" si="213"/>
        <v>216.39281112175115</v>
      </c>
      <c r="DN80" s="13">
        <f t="shared" si="214"/>
        <v>208.85661966033501</v>
      </c>
      <c r="DO80" s="13">
        <f t="shared" si="215"/>
        <v>200.97243375770873</v>
      </c>
      <c r="DP80" s="13">
        <f t="shared" si="216"/>
        <v>192.90822445284346</v>
      </c>
      <c r="DQ80" s="13">
        <f t="shared" si="217"/>
        <v>184.77615519964084</v>
      </c>
      <c r="DR80" s="13">
        <f t="shared" si="218"/>
        <v>176.65054632831288</v>
      </c>
      <c r="DS80" s="13">
        <f t="shared" si="219"/>
        <v>168.57998435955108</v>
      </c>
      <c r="DT80" s="13">
        <f t="shared" si="220"/>
        <v>160.59544599872086</v>
      </c>
      <c r="DU80" s="13">
        <f t="shared" si="221"/>
        <v>152.71573549094069</v>
      </c>
      <c r="DV80" s="13">
        <f t="shared" si="222"/>
        <v>144.95112367819442</v>
      </c>
      <c r="DW80" s="13">
        <f t="shared" si="223"/>
        <v>137.30578992579942</v>
      </c>
      <c r="DX80" s="13">
        <f t="shared" si="224"/>
        <v>129.77947059706756</v>
      </c>
      <c r="DY80" s="13">
        <f t="shared" si="225"/>
        <v>122.36858359039918</v>
      </c>
      <c r="DZ80" s="13">
        <f t="shared" si="226"/>
        <v>115.06700810122531</v>
      </c>
      <c r="EA80" s="13">
        <f t="shared" si="227"/>
        <v>107.86663830953906</v>
      </c>
      <c r="EB80" s="13">
        <f t="shared" si="228"/>
        <v>100.75778941984096</v>
      </c>
      <c r="EC80" s="13">
        <f t="shared" si="229"/>
        <v>93.729507742359715</v>
      </c>
      <c r="ED80" s="13">
        <f t="shared" si="230"/>
        <v>86.769818795824179</v>
      </c>
      <c r="EE80" s="13">
        <f t="shared" si="231"/>
        <v>79.865935707260618</v>
      </c>
      <c r="EF80" s="13">
        <f t="shared" si="232"/>
        <v>73.004442467136769</v>
      </c>
      <c r="EG80" s="13">
        <f t="shared" si="233"/>
        <v>66.17146153481707</v>
      </c>
      <c r="EH80" s="13">
        <f t="shared" si="234"/>
        <v>59.352812004995762</v>
      </c>
    </row>
    <row r="81" spans="5:138" x14ac:dyDescent="0.25">
      <c r="E81" s="49"/>
      <c r="F81" s="26">
        <v>7.6666666666666675E-2</v>
      </c>
      <c r="G81" s="13">
        <f t="shared" si="139"/>
        <v>300</v>
      </c>
      <c r="H81" s="13">
        <f t="shared" si="235"/>
        <v>318.34627275770771</v>
      </c>
      <c r="I81" s="13">
        <f t="shared" si="236"/>
        <v>368.91740958257594</v>
      </c>
      <c r="J81" s="13">
        <f t="shared" si="237"/>
        <v>395.01311200294845</v>
      </c>
      <c r="K81" s="13">
        <f t="shared" si="238"/>
        <v>405.70250462332478</v>
      </c>
      <c r="L81" s="13">
        <f t="shared" si="239"/>
        <v>406.66584429362956</v>
      </c>
      <c r="M81" s="13">
        <f t="shared" si="240"/>
        <v>401.50229720402365</v>
      </c>
      <c r="N81" s="13">
        <f t="shared" si="241"/>
        <v>392.50949093472519</v>
      </c>
      <c r="O81" s="13">
        <f t="shared" si="242"/>
        <v>381.16085235156362</v>
      </c>
      <c r="P81" s="13">
        <f t="shared" si="243"/>
        <v>368.40357751955469</v>
      </c>
      <c r="Q81" s="13">
        <f t="shared" si="244"/>
        <v>354.84706654779632</v>
      </c>
      <c r="R81" s="13">
        <f t="shared" si="245"/>
        <v>340.88307961231902</v>
      </c>
      <c r="S81" s="13">
        <f t="shared" si="246"/>
        <v>326.76273584948387</v>
      </c>
      <c r="T81" s="13">
        <f t="shared" si="247"/>
        <v>312.64599169640888</v>
      </c>
      <c r="U81" s="13">
        <f t="shared" si="248"/>
        <v>298.63347774543496</v>
      </c>
      <c r="V81" s="13">
        <f t="shared" si="249"/>
        <v>284.78699560102336</v>
      </c>
      <c r="W81" s="13">
        <f t="shared" si="250"/>
        <v>271.14271743316363</v>
      </c>
      <c r="X81" s="13">
        <f t="shared" si="251"/>
        <v>257.71969008318467</v>
      </c>
      <c r="Y81" s="13">
        <f t="shared" si="252"/>
        <v>244.52532078867767</v>
      </c>
      <c r="Z81" s="13">
        <f t="shared" si="253"/>
        <v>231.55892596208341</v>
      </c>
      <c r="AA81" s="13">
        <f t="shared" si="254"/>
        <v>218.8140401620517</v>
      </c>
      <c r="AB81" s="13">
        <f t="shared" si="255"/>
        <v>206.27993428862601</v>
      </c>
      <c r="AC81" s="13">
        <f t="shared" si="256"/>
        <v>193.94263184294567</v>
      </c>
      <c r="AD81" s="13">
        <f t="shared" si="257"/>
        <v>181.78560869504193</v>
      </c>
      <c r="AE81" s="13">
        <f t="shared" si="258"/>
        <v>169.79029509335942</v>
      </c>
      <c r="AF81" s="13">
        <f t="shared" si="259"/>
        <v>157.9364556312045</v>
      </c>
      <c r="AG81" s="13">
        <f t="shared" si="260"/>
        <v>146.20249516067901</v>
      </c>
      <c r="AH81" s="13">
        <f t="shared" si="261"/>
        <v>134.56572079182948</v>
      </c>
      <c r="AI81" s="13">
        <f t="shared" si="262"/>
        <v>123.00257863826431</v>
      </c>
      <c r="AJ81" s="13">
        <f t="shared" si="263"/>
        <v>111.48887662280077</v>
      </c>
      <c r="AK81" s="13">
        <f t="shared" si="141"/>
        <v>100</v>
      </c>
      <c r="AL81" s="47"/>
      <c r="AM81" s="26">
        <v>7.6666666666666675E-2</v>
      </c>
      <c r="AN81" s="13">
        <f t="shared" si="142"/>
        <v>-1076400000</v>
      </c>
      <c r="AO81" s="13">
        <f t="shared" si="143"/>
        <v>-841496085.82862878</v>
      </c>
      <c r="AP81" s="13">
        <f t="shared" si="144"/>
        <v>-1153331779.9938405</v>
      </c>
      <c r="AQ81" s="13">
        <f t="shared" si="145"/>
        <v>-1317680451.4807734</v>
      </c>
      <c r="AR81" s="13">
        <f t="shared" si="146"/>
        <v>-1395900610.655149</v>
      </c>
      <c r="AS81" s="13">
        <f t="shared" si="147"/>
        <v>-1422611165.278002</v>
      </c>
      <c r="AT81" s="13">
        <f t="shared" si="148"/>
        <v>-1418030403.3156073</v>
      </c>
      <c r="AU81" s="13">
        <f t="shared" si="149"/>
        <v>-1394305832.1701922</v>
      </c>
      <c r="AV81" s="13">
        <f t="shared" si="150"/>
        <v>-1358896647.7426765</v>
      </c>
      <c r="AW81" s="13">
        <f t="shared" si="151"/>
        <v>-1316455983.9285424</v>
      </c>
      <c r="AX81" s="13">
        <f t="shared" si="152"/>
        <v>-1269917664.9870861</v>
      </c>
      <c r="AY81" s="13">
        <f t="shared" si="153"/>
        <v>-1221143362.0097535</v>
      </c>
      <c r="AZ81" s="13">
        <f t="shared" si="154"/>
        <v>-1171317390.7355721</v>
      </c>
      <c r="BA81" s="13">
        <f t="shared" si="155"/>
        <v>-1121191877.7906725</v>
      </c>
      <c r="BB81" s="13">
        <f t="shared" si="156"/>
        <v>-1071240918.8418459</v>
      </c>
      <c r="BC81" s="13">
        <f t="shared" si="157"/>
        <v>-1021758335.6028167</v>
      </c>
      <c r="BD81" s="13">
        <f t="shared" si="158"/>
        <v>-972920019.61987674</v>
      </c>
      <c r="BE81" s="13">
        <f t="shared" si="159"/>
        <v>-924823850.10354936</v>
      </c>
      <c r="BF81" s="13">
        <f t="shared" si="160"/>
        <v>-877515337.30014551</v>
      </c>
      <c r="BG81" s="13">
        <f t="shared" si="161"/>
        <v>-831004156.74275541</v>
      </c>
      <c r="BH81" s="13">
        <f t="shared" si="162"/>
        <v>-785274867.37279952</v>
      </c>
      <c r="BI81" s="13">
        <f t="shared" si="163"/>
        <v>-740293920.29370689</v>
      </c>
      <c r="BJ81" s="13">
        <f t="shared" si="164"/>
        <v>-696014308.26838911</v>
      </c>
      <c r="BK81" s="13">
        <f t="shared" si="165"/>
        <v>-652378721.37589669</v>
      </c>
      <c r="BL81" s="13">
        <f t="shared" si="166"/>
        <v>-609321762.96232736</v>
      </c>
      <c r="BM81" s="13">
        <f t="shared" si="167"/>
        <v>-566771579.82994187</v>
      </c>
      <c r="BN81" s="13">
        <f t="shared" si="168"/>
        <v>-524651131.78534448</v>
      </c>
      <c r="BO81" s="13">
        <f t="shared" si="169"/>
        <v>-482879242.78534603</v>
      </c>
      <c r="BP81" s="13">
        <f t="shared" si="170"/>
        <v>-441371522.66786671</v>
      </c>
      <c r="BQ81" s="13">
        <f t="shared" si="171"/>
        <v>-400041214.37657183</v>
      </c>
      <c r="BR81" s="13">
        <f t="shared" si="172"/>
        <v>-358800000</v>
      </c>
      <c r="BT81" s="47"/>
      <c r="BU81" s="26">
        <v>7.6666666666666675E-2</v>
      </c>
      <c r="BV81" s="13">
        <f t="shared" si="173"/>
        <v>0.40647187995004247</v>
      </c>
      <c r="BW81" s="13">
        <f t="shared" si="174"/>
        <v>0.40647187995004247</v>
      </c>
      <c r="BX81" s="13">
        <f t="shared" si="175"/>
        <v>0.40647187995004247</v>
      </c>
      <c r="BY81" s="13">
        <f t="shared" si="176"/>
        <v>0.40647187995004247</v>
      </c>
      <c r="BZ81" s="13">
        <f t="shared" si="177"/>
        <v>0.40647187995004247</v>
      </c>
      <c r="CA81" s="13">
        <f t="shared" si="178"/>
        <v>0.40647187995004247</v>
      </c>
      <c r="CB81" s="13">
        <f t="shared" si="179"/>
        <v>0.40647187995004247</v>
      </c>
      <c r="CC81" s="13">
        <f t="shared" si="180"/>
        <v>0.40647187995004247</v>
      </c>
      <c r="CD81" s="13">
        <f t="shared" si="181"/>
        <v>0.40647187995004247</v>
      </c>
      <c r="CE81" s="13">
        <f t="shared" si="182"/>
        <v>0.40647187995004247</v>
      </c>
      <c r="CF81" s="13">
        <f t="shared" si="183"/>
        <v>0.40647187995004247</v>
      </c>
      <c r="CG81" s="13">
        <f t="shared" si="184"/>
        <v>0.40647187995004247</v>
      </c>
      <c r="CH81" s="13">
        <f t="shared" si="185"/>
        <v>0.40647187995004247</v>
      </c>
      <c r="CI81" s="13">
        <f t="shared" si="186"/>
        <v>0.40647187995004247</v>
      </c>
      <c r="CJ81" s="13">
        <f t="shared" si="187"/>
        <v>0.40647187995004247</v>
      </c>
      <c r="CK81" s="13">
        <f t="shared" si="188"/>
        <v>0.40647187995004247</v>
      </c>
      <c r="CL81" s="13">
        <f t="shared" si="189"/>
        <v>0.40647187995004247</v>
      </c>
      <c r="CM81" s="13">
        <f t="shared" si="190"/>
        <v>0.40647187995004247</v>
      </c>
      <c r="CN81" s="13">
        <f t="shared" si="191"/>
        <v>0.40647187995004247</v>
      </c>
      <c r="CO81" s="13">
        <f t="shared" si="192"/>
        <v>0.40647187995004247</v>
      </c>
      <c r="CP81" s="13">
        <f t="shared" si="193"/>
        <v>0.40647187995004247</v>
      </c>
      <c r="CQ81" s="13">
        <f t="shared" si="194"/>
        <v>0.40647187995004247</v>
      </c>
      <c r="CR81" s="13">
        <f t="shared" si="195"/>
        <v>0.40647187995004247</v>
      </c>
      <c r="CS81" s="13">
        <f t="shared" si="196"/>
        <v>0.40647187995004247</v>
      </c>
      <c r="CT81" s="13">
        <f t="shared" si="197"/>
        <v>0.40647187995004247</v>
      </c>
      <c r="CU81" s="13">
        <f t="shared" si="198"/>
        <v>0.40647187995004247</v>
      </c>
      <c r="CV81" s="13">
        <f t="shared" si="199"/>
        <v>0.40647187995004247</v>
      </c>
      <c r="CW81" s="13">
        <f t="shared" si="200"/>
        <v>0.40647187995004247</v>
      </c>
      <c r="CX81" s="13">
        <f t="shared" si="201"/>
        <v>0.40647187995004247</v>
      </c>
      <c r="CY81" s="13">
        <f t="shared" si="202"/>
        <v>0.40647187995004247</v>
      </c>
      <c r="CZ81" s="13">
        <f t="shared" si="203"/>
        <v>0.40647187995004247</v>
      </c>
      <c r="DB81" s="47"/>
      <c r="DC81" s="26">
        <v>7.6666666666666675E-2</v>
      </c>
      <c r="DD81" s="13">
        <f t="shared" si="204"/>
        <v>178.05843601498725</v>
      </c>
      <c r="DE81" s="13">
        <f t="shared" si="205"/>
        <v>185.00521234950273</v>
      </c>
      <c r="DF81" s="13">
        <f t="shared" si="206"/>
        <v>222.88401655227625</v>
      </c>
      <c r="DG81" s="13">
        <f t="shared" si="207"/>
        <v>241.4408436235633</v>
      </c>
      <c r="DH81" s="13">
        <f t="shared" si="208"/>
        <v>248.48505677522039</v>
      </c>
      <c r="DI81" s="13">
        <f t="shared" si="209"/>
        <v>248.65110756576192</v>
      </c>
      <c r="DJ81" s="13">
        <f t="shared" si="210"/>
        <v>244.7274067853524</v>
      </c>
      <c r="DK81" s="13">
        <f t="shared" si="211"/>
        <v>238.40658987397379</v>
      </c>
      <c r="DL81" s="13">
        <f t="shared" si="212"/>
        <v>230.72086066578743</v>
      </c>
      <c r="DM81" s="13">
        <f t="shared" si="213"/>
        <v>222.30014312792318</v>
      </c>
      <c r="DN81" s="13">
        <f t="shared" si="214"/>
        <v>213.52766196934613</v>
      </c>
      <c r="DO81" s="13">
        <f t="shared" si="215"/>
        <v>204.63477925069847</v>
      </c>
      <c r="DP81" s="13">
        <f t="shared" si="216"/>
        <v>195.75923133123757</v>
      </c>
      <c r="DQ81" s="13">
        <f t="shared" si="217"/>
        <v>186.98103902303237</v>
      </c>
      <c r="DR81" s="13">
        <f t="shared" si="218"/>
        <v>178.34468374669399</v>
      </c>
      <c r="DS81" s="13">
        <f t="shared" si="219"/>
        <v>169.87279232574315</v>
      </c>
      <c r="DT81" s="13">
        <f t="shared" si="220"/>
        <v>161.57455894857998</v>
      </c>
      <c r="DU81" s="13">
        <f t="shared" si="221"/>
        <v>153.45090470827236</v>
      </c>
      <c r="DV81" s="13">
        <f t="shared" si="222"/>
        <v>145.49761871171341</v>
      </c>
      <c r="DW81" s="13">
        <f t="shared" si="223"/>
        <v>137.70725564727263</v>
      </c>
      <c r="DX81" s="13">
        <f t="shared" si="224"/>
        <v>130.07027247873111</v>
      </c>
      <c r="DY81" s="13">
        <f t="shared" si="225"/>
        <v>122.57570441478418</v>
      </c>
      <c r="DZ81" s="13">
        <f t="shared" si="226"/>
        <v>115.21156616152945</v>
      </c>
      <c r="EA81" s="13">
        <f t="shared" si="227"/>
        <v>107.96509307585073</v>
      </c>
      <c r="EB81" s="13">
        <f t="shared" si="228"/>
        <v>100.82289222594044</v>
      </c>
      <c r="EC81" s="13">
        <f t="shared" si="229"/>
        <v>93.771045537026225</v>
      </c>
      <c r="ED81" s="13">
        <f t="shared" si="230"/>
        <v>86.795189889122682</v>
      </c>
      <c r="EE81" s="13">
        <f t="shared" si="231"/>
        <v>79.880588305974356</v>
      </c>
      <c r="EF81" s="13">
        <f t="shared" si="232"/>
        <v>73.012199761564801</v>
      </c>
      <c r="EG81" s="13">
        <f t="shared" si="233"/>
        <v>66.174751085448278</v>
      </c>
      <c r="EH81" s="13">
        <f t="shared" si="234"/>
        <v>59.352812004995762</v>
      </c>
    </row>
    <row r="82" spans="5:138" x14ac:dyDescent="0.25">
      <c r="E82" s="49"/>
      <c r="F82" s="26">
        <v>7.3333333333333334E-2</v>
      </c>
      <c r="G82" s="13">
        <f t="shared" si="139"/>
        <v>300</v>
      </c>
      <c r="H82" s="13">
        <f t="shared" si="235"/>
        <v>381.28774278736773</v>
      </c>
      <c r="I82" s="13">
        <f t="shared" si="236"/>
        <v>419.71009302963353</v>
      </c>
      <c r="J82" s="13">
        <f t="shared" si="237"/>
        <v>436.27292473386728</v>
      </c>
      <c r="K82" s="13">
        <f t="shared" si="238"/>
        <v>439.05424046534313</v>
      </c>
      <c r="L82" s="13">
        <f t="shared" si="239"/>
        <v>433.4025034532541</v>
      </c>
      <c r="M82" s="13">
        <f t="shared" si="240"/>
        <v>422.75706279805627</v>
      </c>
      <c r="N82" s="13">
        <f t="shared" si="241"/>
        <v>409.28187185502247</v>
      </c>
      <c r="O82" s="13">
        <f t="shared" si="242"/>
        <v>394.31352156358935</v>
      </c>
      <c r="P82" s="13">
        <f t="shared" si="243"/>
        <v>378.6628107635633</v>
      </c>
      <c r="Q82" s="13">
        <f t="shared" si="244"/>
        <v>362.81159769133961</v>
      </c>
      <c r="R82" s="13">
        <f t="shared" si="245"/>
        <v>347.03863856999942</v>
      </c>
      <c r="S82" s="13">
        <f t="shared" si="246"/>
        <v>331.49879793634716</v>
      </c>
      <c r="T82" s="13">
        <f t="shared" si="247"/>
        <v>316.27228727067018</v>
      </c>
      <c r="U82" s="13">
        <f t="shared" si="248"/>
        <v>301.39492717656697</v>
      </c>
      <c r="V82" s="13">
        <f t="shared" si="249"/>
        <v>286.87653323321683</v>
      </c>
      <c r="W82" s="13">
        <f t="shared" si="250"/>
        <v>272.71194202418042</v>
      </c>
      <c r="X82" s="13">
        <f t="shared" si="251"/>
        <v>258.88751930184105</v>
      </c>
      <c r="Y82" s="13">
        <f t="shared" si="252"/>
        <v>245.38492346960021</v>
      </c>
      <c r="Z82" s="13">
        <f t="shared" si="253"/>
        <v>232.183222666191</v>
      </c>
      <c r="AA82" s="13">
        <f t="shared" si="254"/>
        <v>219.26004086785269</v>
      </c>
      <c r="AB82" s="13">
        <f t="shared" si="255"/>
        <v>206.59214507295616</v>
      </c>
      <c r="AC82" s="13">
        <f t="shared" si="256"/>
        <v>194.15572247525208</v>
      </c>
      <c r="AD82" s="13">
        <f t="shared" si="257"/>
        <v>181.92649594819375</v>
      </c>
      <c r="AE82" s="13">
        <f t="shared" si="258"/>
        <v>169.87976448215733</v>
      </c>
      <c r="AF82" s="13">
        <f t="shared" si="259"/>
        <v>157.9904176232111</v>
      </c>
      <c r="AG82" s="13">
        <f t="shared" si="260"/>
        <v>146.23295022044806</v>
      </c>
      <c r="AH82" s="13">
        <f t="shared" si="261"/>
        <v>134.5814901599725</v>
      </c>
      <c r="AI82" s="13">
        <f t="shared" si="262"/>
        <v>123.00984369263088</v>
      </c>
      <c r="AJ82" s="13">
        <f t="shared" si="263"/>
        <v>111.49155825573243</v>
      </c>
      <c r="AK82" s="13">
        <f t="shared" si="141"/>
        <v>100</v>
      </c>
      <c r="AL82" s="47"/>
      <c r="AM82" s="26">
        <v>7.3333333333333334E-2</v>
      </c>
      <c r="AN82" s="13">
        <f t="shared" si="142"/>
        <v>-1076400000</v>
      </c>
      <c r="AO82" s="13">
        <f t="shared" si="143"/>
        <v>-1288100401.8478317</v>
      </c>
      <c r="AP82" s="13">
        <f t="shared" si="144"/>
        <v>-1430574662.4978423</v>
      </c>
      <c r="AQ82" s="13">
        <f t="shared" si="145"/>
        <v>-1507894080.7420485</v>
      </c>
      <c r="AR82" s="13">
        <f t="shared" si="146"/>
        <v>-1535635201.626646</v>
      </c>
      <c r="AS82" s="13">
        <f t="shared" si="147"/>
        <v>-1529259362.5823994</v>
      </c>
      <c r="AT82" s="13">
        <f t="shared" si="148"/>
        <v>-1500880194.3473449</v>
      </c>
      <c r="AU82" s="13">
        <f t="shared" si="149"/>
        <v>-1459066391.4312186</v>
      </c>
      <c r="AV82" s="13">
        <f t="shared" si="150"/>
        <v>-1409538216.9676576</v>
      </c>
      <c r="AW82" s="13">
        <f t="shared" si="151"/>
        <v>-1355968182.3823709</v>
      </c>
      <c r="AX82" s="13">
        <f t="shared" si="152"/>
        <v>-1300642067.9855196</v>
      </c>
      <c r="AY82" s="13">
        <f t="shared" si="153"/>
        <v>-1244941045.7527134</v>
      </c>
      <c r="AZ82" s="13">
        <f t="shared" si="154"/>
        <v>-1189671441.8337018</v>
      </c>
      <c r="BA82" s="13">
        <f t="shared" si="155"/>
        <v>-1135281625.2573597</v>
      </c>
      <c r="BB82" s="13">
        <f t="shared" si="156"/>
        <v>-1082000884.5290914</v>
      </c>
      <c r="BC82" s="13">
        <f t="shared" si="157"/>
        <v>-1029926551.6510543</v>
      </c>
      <c r="BD82" s="13">
        <f t="shared" si="158"/>
        <v>-979077710.61641252</v>
      </c>
      <c r="BE82" s="13">
        <f t="shared" si="159"/>
        <v>-929427752.51671326</v>
      </c>
      <c r="BF82" s="13">
        <f t="shared" si="160"/>
        <v>-880923754.30765891</v>
      </c>
      <c r="BG82" s="13">
        <f t="shared" si="161"/>
        <v>-833497772.73400378</v>
      </c>
      <c r="BH82" s="13">
        <f t="shared" si="162"/>
        <v>-787073256.78582132</v>
      </c>
      <c r="BI82" s="13">
        <f t="shared" si="163"/>
        <v>-741568569.93004632</v>
      </c>
      <c r="BJ82" s="13">
        <f t="shared" si="164"/>
        <v>-696898845.64811921</v>
      </c>
      <c r="BK82" s="13">
        <f t="shared" si="165"/>
        <v>-652976918.5280571</v>
      </c>
      <c r="BL82" s="13">
        <f t="shared" si="166"/>
        <v>-609713773.97979307</v>
      </c>
      <c r="BM82" s="13">
        <f t="shared" si="167"/>
        <v>-567018775.08761382</v>
      </c>
      <c r="BN82" s="13">
        <f t="shared" si="168"/>
        <v>-524799812.14270031</v>
      </c>
      <c r="BO82" s="13">
        <f t="shared" si="169"/>
        <v>-482963451.82845891</v>
      </c>
      <c r="BP82" s="13">
        <f t="shared" si="170"/>
        <v>-441415121.82065159</v>
      </c>
      <c r="BQ82" s="13">
        <f t="shared" si="171"/>
        <v>-400059342.10041261</v>
      </c>
      <c r="BR82" s="13">
        <f t="shared" si="172"/>
        <v>-358800000</v>
      </c>
      <c r="BT82" s="47"/>
      <c r="BU82" s="26">
        <v>7.3333333333333334E-2</v>
      </c>
      <c r="BV82" s="13">
        <f t="shared" si="173"/>
        <v>0.40647187995004247</v>
      </c>
      <c r="BW82" s="13">
        <f t="shared" si="174"/>
        <v>0.40647187995004247</v>
      </c>
      <c r="BX82" s="13">
        <f t="shared" si="175"/>
        <v>0.40647187995004247</v>
      </c>
      <c r="BY82" s="13">
        <f t="shared" si="176"/>
        <v>0.40647187995004247</v>
      </c>
      <c r="BZ82" s="13">
        <f t="shared" si="177"/>
        <v>0.40647187995004247</v>
      </c>
      <c r="CA82" s="13">
        <f t="shared" si="178"/>
        <v>0.40647187995004247</v>
      </c>
      <c r="CB82" s="13">
        <f t="shared" si="179"/>
        <v>0.40647187995004247</v>
      </c>
      <c r="CC82" s="13">
        <f t="shared" si="180"/>
        <v>0.40647187995004247</v>
      </c>
      <c r="CD82" s="13">
        <f t="shared" si="181"/>
        <v>0.40647187995004247</v>
      </c>
      <c r="CE82" s="13">
        <f t="shared" si="182"/>
        <v>0.40647187995004247</v>
      </c>
      <c r="CF82" s="13">
        <f t="shared" si="183"/>
        <v>0.40647187995004247</v>
      </c>
      <c r="CG82" s="13">
        <f t="shared" si="184"/>
        <v>0.40647187995004247</v>
      </c>
      <c r="CH82" s="13">
        <f t="shared" si="185"/>
        <v>0.40647187995004247</v>
      </c>
      <c r="CI82" s="13">
        <f t="shared" si="186"/>
        <v>0.40647187995004247</v>
      </c>
      <c r="CJ82" s="13">
        <f t="shared" si="187"/>
        <v>0.40647187995004247</v>
      </c>
      <c r="CK82" s="13">
        <f t="shared" si="188"/>
        <v>0.40647187995004247</v>
      </c>
      <c r="CL82" s="13">
        <f t="shared" si="189"/>
        <v>0.40647187995004247</v>
      </c>
      <c r="CM82" s="13">
        <f t="shared" si="190"/>
        <v>0.40647187995004247</v>
      </c>
      <c r="CN82" s="13">
        <f t="shared" si="191"/>
        <v>0.40647187995004247</v>
      </c>
      <c r="CO82" s="13">
        <f t="shared" si="192"/>
        <v>0.40647187995004247</v>
      </c>
      <c r="CP82" s="13">
        <f t="shared" si="193"/>
        <v>0.40647187995004247</v>
      </c>
      <c r="CQ82" s="13">
        <f t="shared" si="194"/>
        <v>0.40647187995004247</v>
      </c>
      <c r="CR82" s="13">
        <f t="shared" si="195"/>
        <v>0.40647187995004247</v>
      </c>
      <c r="CS82" s="13">
        <f t="shared" si="196"/>
        <v>0.40647187995004247</v>
      </c>
      <c r="CT82" s="13">
        <f t="shared" si="197"/>
        <v>0.40647187995004247</v>
      </c>
      <c r="CU82" s="13">
        <f t="shared" si="198"/>
        <v>0.40647187995004247</v>
      </c>
      <c r="CV82" s="13">
        <f t="shared" si="199"/>
        <v>0.40647187995004247</v>
      </c>
      <c r="CW82" s="13">
        <f t="shared" si="200"/>
        <v>0.40647187995004247</v>
      </c>
      <c r="CX82" s="13">
        <f t="shared" si="201"/>
        <v>0.40647187995004247</v>
      </c>
      <c r="CY82" s="13">
        <f t="shared" si="202"/>
        <v>0.40647187995004247</v>
      </c>
      <c r="CZ82" s="13">
        <f t="shared" si="203"/>
        <v>0.40647187995004247</v>
      </c>
      <c r="DB82" s="47"/>
      <c r="DC82" s="26">
        <v>7.3333333333333334E-2</v>
      </c>
      <c r="DD82" s="13">
        <f t="shared" si="204"/>
        <v>178.05843601498725</v>
      </c>
      <c r="DE82" s="13">
        <f t="shared" si="205"/>
        <v>251.88893482445326</v>
      </c>
      <c r="DF82" s="13">
        <f t="shared" si="206"/>
        <v>269.75554001030406</v>
      </c>
      <c r="DG82" s="13">
        <f t="shared" si="207"/>
        <v>275.71120249311218</v>
      </c>
      <c r="DH82" s="13">
        <f t="shared" si="208"/>
        <v>274.1475807106595</v>
      </c>
      <c r="DI82" s="13">
        <f t="shared" si="209"/>
        <v>268.10427321175126</v>
      </c>
      <c r="DJ82" s="13">
        <f t="shared" si="210"/>
        <v>259.5576692492761</v>
      </c>
      <c r="DK82" s="13">
        <f t="shared" si="211"/>
        <v>249.73780117655059</v>
      </c>
      <c r="DL82" s="13">
        <f t="shared" si="212"/>
        <v>239.38235334488868</v>
      </c>
      <c r="DM82" s="13">
        <f>(DM83*$B$22-AW82)/($B$21-$B$22*CE83)</f>
        <v>228.91711602886869</v>
      </c>
      <c r="DN82" s="13">
        <f t="shared" si="214"/>
        <v>218.57624345689902</v>
      </c>
      <c r="DO82" s="13">
        <f t="shared" si="215"/>
        <v>208.4792523568201</v>
      </c>
      <c r="DP82" s="13">
        <f t="shared" si="216"/>
        <v>198.67893439798834</v>
      </c>
      <c r="DQ82" s="13">
        <f t="shared" si="217"/>
        <v>189.19048326698547</v>
      </c>
      <c r="DR82" s="13">
        <f t="shared" si="218"/>
        <v>180.00881606136087</v>
      </c>
      <c r="DS82" s="13">
        <f t="shared" si="219"/>
        <v>171.11862774594442</v>
      </c>
      <c r="DT82" s="13">
        <f t="shared" si="220"/>
        <v>162.50005193435928</v>
      </c>
      <c r="DU82" s="13">
        <f t="shared" si="221"/>
        <v>154.13171237358668</v>
      </c>
      <c r="DV82" s="13">
        <f t="shared" si="222"/>
        <v>145.99225663323918</v>
      </c>
      <c r="DW82" s="13">
        <f t="shared" si="223"/>
        <v>138.06103071117028</v>
      </c>
      <c r="DX82" s="13">
        <f t="shared" si="224"/>
        <v>130.31828660371946</v>
      </c>
      <c r="DY82" s="13">
        <f t="shared" si="225"/>
        <v>122.7451523866871</v>
      </c>
      <c r="DZ82" s="13">
        <f t="shared" si="226"/>
        <v>115.32349630759099</v>
      </c>
      <c r="EA82" s="13">
        <f t="shared" si="227"/>
        <v>108.03575783405725</v>
      </c>
      <c r="EB82" s="13">
        <f t="shared" si="228"/>
        <v>100.86478403828707</v>
      </c>
      <c r="EC82" s="13">
        <f t="shared" si="229"/>
        <v>93.793689590148958</v>
      </c>
      <c r="ED82" s="13">
        <f t="shared" si="230"/>
        <v>86.805747159099894</v>
      </c>
      <c r="EE82" s="13">
        <f t="shared" si="231"/>
        <v>79.884308652885068</v>
      </c>
      <c r="EF82" s="13">
        <f t="shared" si="232"/>
        <v>73.012754314832648</v>
      </c>
      <c r="EG82" s="13">
        <f t="shared" si="233"/>
        <v>66.174464981344258</v>
      </c>
      <c r="EH82" s="13">
        <f t="shared" si="234"/>
        <v>59.352812004995762</v>
      </c>
    </row>
    <row r="83" spans="5:138" x14ac:dyDescent="0.25">
      <c r="E83" s="49"/>
      <c r="F83" s="26">
        <v>7.0000000000000007E-2</v>
      </c>
      <c r="G83" s="13">
        <f t="shared" si="139"/>
        <v>300</v>
      </c>
      <c r="H83" s="13">
        <f t="shared" si="235"/>
        <v>463.5432271342363</v>
      </c>
      <c r="I83" s="13">
        <f t="shared" si="236"/>
        <v>488.70208838308781</v>
      </c>
      <c r="J83" s="13">
        <f t="shared" si="237"/>
        <v>491.41031553315997</v>
      </c>
      <c r="K83" s="13">
        <f t="shared" si="238"/>
        <v>481.9932741728216</v>
      </c>
      <c r="L83" s="13">
        <f t="shared" si="239"/>
        <v>466.36834614135125</v>
      </c>
      <c r="M83" s="13">
        <f t="shared" si="240"/>
        <v>447.86983490708417</v>
      </c>
      <c r="N83" s="13">
        <f t="shared" si="241"/>
        <v>428.33371286821875</v>
      </c>
      <c r="O83" s="13">
        <f t="shared" si="242"/>
        <v>408.73640778104993</v>
      </c>
      <c r="P83" s="13">
        <f t="shared" si="243"/>
        <v>389.56793353348837</v>
      </c>
      <c r="Q83" s="13">
        <f t="shared" si="244"/>
        <v>371.04809611290386</v>
      </c>
      <c r="R83" s="13">
        <f t="shared" si="245"/>
        <v>353.25062009686923</v>
      </c>
      <c r="S83" s="13">
        <f t="shared" si="246"/>
        <v>336.17356658405879</v>
      </c>
      <c r="T83" s="13">
        <f t="shared" si="247"/>
        <v>319.77861701638182</v>
      </c>
      <c r="U83" s="13">
        <f t="shared" si="248"/>
        <v>304.01244283485624</v>
      </c>
      <c r="V83" s="13">
        <f t="shared" si="249"/>
        <v>288.81787028321889</v>
      </c>
      <c r="W83" s="13">
        <f t="shared" si="250"/>
        <v>274.1393157375033</v>
      </c>
      <c r="X83" s="13">
        <f t="shared" si="251"/>
        <v>259.92507478578545</v>
      </c>
      <c r="Y83" s="13">
        <f t="shared" si="252"/>
        <v>246.12794429092517</v>
      </c>
      <c r="Z83" s="13">
        <f t="shared" si="253"/>
        <v>232.70501458582748</v>
      </c>
      <c r="AA83" s="13">
        <f t="shared" si="254"/>
        <v>219.61709709250255</v>
      </c>
      <c r="AB83" s="13">
        <f t="shared" si="255"/>
        <v>206.82803860890948</v>
      </c>
      <c r="AC83" s="13">
        <f t="shared" si="256"/>
        <v>194.30405141506697</v>
      </c>
      <c r="AD83" s="13">
        <f t="shared" si="257"/>
        <v>182.01311965884841</v>
      </c>
      <c r="AE83" s="13">
        <f t="shared" si="258"/>
        <v>169.92450463959955</v>
      </c>
      <c r="AF83" s="13">
        <f t="shared" si="259"/>
        <v>158.0083514375529</v>
      </c>
      <c r="AG83" s="13">
        <f t="shared" si="260"/>
        <v>146.23538915661021</v>
      </c>
      <c r="AH83" s="13">
        <f t="shared" si="261"/>
        <v>134.57671239418377</v>
      </c>
      <c r="AI83" s="13">
        <f t="shared" si="262"/>
        <v>123.00362984567087</v>
      </c>
      <c r="AJ83" s="13">
        <f t="shared" si="263"/>
        <v>111.4875657150301</v>
      </c>
      <c r="AK83" s="13">
        <f t="shared" si="141"/>
        <v>100</v>
      </c>
      <c r="AL83" s="47"/>
      <c r="AM83" s="26">
        <v>7.0000000000000007E-2</v>
      </c>
      <c r="AN83" s="13">
        <f t="shared" si="142"/>
        <v>-1076400000</v>
      </c>
      <c r="AO83" s="13">
        <f t="shared" si="143"/>
        <v>-1444319968.1986549</v>
      </c>
      <c r="AP83" s="13">
        <f t="shared" si="144"/>
        <v>-1622622400.6405768</v>
      </c>
      <c r="AQ83" s="13">
        <f t="shared" si="145"/>
        <v>-1687673792.7832582</v>
      </c>
      <c r="AR83" s="13">
        <f t="shared" si="146"/>
        <v>-1687500648.4609702</v>
      </c>
      <c r="AS83" s="13">
        <f t="shared" si="147"/>
        <v>-1651303923.9067297</v>
      </c>
      <c r="AT83" s="13">
        <f t="shared" si="148"/>
        <v>-1596365089.3143709</v>
      </c>
      <c r="AU83" s="13">
        <f t="shared" si="149"/>
        <v>-1532654343.7016046</v>
      </c>
      <c r="AV83" s="13">
        <f t="shared" si="150"/>
        <v>-1465761646.8744605</v>
      </c>
      <c r="AW83" s="13">
        <f t="shared" si="151"/>
        <v>-1398704433.2458026</v>
      </c>
      <c r="AX83" s="13">
        <f t="shared" si="152"/>
        <v>-1333018412.1454575</v>
      </c>
      <c r="AY83" s="13">
        <f t="shared" si="153"/>
        <v>-1269404506.9741316</v>
      </c>
      <c r="AZ83" s="13">
        <f t="shared" si="154"/>
        <v>-1208106635.5385146</v>
      </c>
      <c r="BA83" s="13">
        <f t="shared" si="155"/>
        <v>-1149128774.3187284</v>
      </c>
      <c r="BB83" s="13">
        <f t="shared" si="156"/>
        <v>-1092357275.9864867</v>
      </c>
      <c r="BC83" s="13">
        <f t="shared" si="157"/>
        <v>-1037628000.6935235</v>
      </c>
      <c r="BD83" s="13">
        <f t="shared" si="158"/>
        <v>-984761725.719244</v>
      </c>
      <c r="BE83" s="13">
        <f t="shared" si="159"/>
        <v>-933581621.45404589</v>
      </c>
      <c r="BF83" s="13">
        <f t="shared" si="160"/>
        <v>-883920821.85501075</v>
      </c>
      <c r="BG83" s="13">
        <f t="shared" si="161"/>
        <v>-835624715.56412137</v>
      </c>
      <c r="BH83" s="13">
        <f t="shared" si="162"/>
        <v>-788550588.10440469</v>
      </c>
      <c r="BI83" s="13">
        <f t="shared" si="163"/>
        <v>-742566082.6352334</v>
      </c>
      <c r="BJ83" s="13">
        <f t="shared" si="164"/>
        <v>-697547274.38917375</v>
      </c>
      <c r="BK83" s="13">
        <f t="shared" si="165"/>
        <v>-653376769.08638346</v>
      </c>
      <c r="BL83" s="13">
        <f t="shared" si="166"/>
        <v>-609942018.42292047</v>
      </c>
      <c r="BM83" s="13">
        <f t="shared" si="167"/>
        <v>-567133925.5993849</v>
      </c>
      <c r="BN83" s="13">
        <f t="shared" si="168"/>
        <v>-524845749.41222996</v>
      </c>
      <c r="BO83" s="13">
        <f t="shared" si="169"/>
        <v>-482972282.48429614</v>
      </c>
      <c r="BP83" s="13">
        <f t="shared" si="170"/>
        <v>-441409263.6885432</v>
      </c>
      <c r="BQ83" s="13">
        <f t="shared" si="171"/>
        <v>-400052978.57748699</v>
      </c>
      <c r="BR83" s="13">
        <f t="shared" si="172"/>
        <v>-358800000</v>
      </c>
      <c r="BT83" s="47"/>
      <c r="BU83" s="26">
        <v>7.0000000000000007E-2</v>
      </c>
      <c r="BV83" s="13">
        <f t="shared" si="173"/>
        <v>0.40647187995004247</v>
      </c>
      <c r="BW83" s="13">
        <f t="shared" si="174"/>
        <v>0.40647187995004247</v>
      </c>
      <c r="BX83" s="13">
        <f t="shared" si="175"/>
        <v>0.40647187995004247</v>
      </c>
      <c r="BY83" s="13">
        <f t="shared" si="176"/>
        <v>0.40647187995004247</v>
      </c>
      <c r="BZ83" s="13">
        <f t="shared" si="177"/>
        <v>0.40647187995004247</v>
      </c>
      <c r="CA83" s="13">
        <f t="shared" si="178"/>
        <v>0.40647187995004247</v>
      </c>
      <c r="CB83" s="13">
        <f t="shared" si="179"/>
        <v>0.40647187995004247</v>
      </c>
      <c r="CC83" s="13">
        <f t="shared" si="180"/>
        <v>0.40647187995004247</v>
      </c>
      <c r="CD83" s="13">
        <f t="shared" si="181"/>
        <v>0.40647187995004247</v>
      </c>
      <c r="CE83" s="13">
        <f t="shared" si="182"/>
        <v>0.40647187995004247</v>
      </c>
      <c r="CF83" s="13">
        <f t="shared" si="183"/>
        <v>0.40647187995004247</v>
      </c>
      <c r="CG83" s="13">
        <f t="shared" si="184"/>
        <v>0.40647187995004247</v>
      </c>
      <c r="CH83" s="13">
        <f t="shared" si="185"/>
        <v>0.40647187995004247</v>
      </c>
      <c r="CI83" s="13">
        <f t="shared" si="186"/>
        <v>0.40647187995004247</v>
      </c>
      <c r="CJ83" s="13">
        <f t="shared" si="187"/>
        <v>0.40647187995004247</v>
      </c>
      <c r="CK83" s="13">
        <f t="shared" si="188"/>
        <v>0.40647187995004247</v>
      </c>
      <c r="CL83" s="13">
        <f t="shared" si="189"/>
        <v>0.40647187995004247</v>
      </c>
      <c r="CM83" s="13">
        <f t="shared" si="190"/>
        <v>0.40647187995004247</v>
      </c>
      <c r="CN83" s="13">
        <f t="shared" si="191"/>
        <v>0.40647187995004247</v>
      </c>
      <c r="CO83" s="13">
        <f t="shared" si="192"/>
        <v>0.40647187995004247</v>
      </c>
      <c r="CP83" s="13">
        <f t="shared" si="193"/>
        <v>0.40647187995004247</v>
      </c>
      <c r="CQ83" s="13">
        <f t="shared" si="194"/>
        <v>0.40647187995004247</v>
      </c>
      <c r="CR83" s="13">
        <f t="shared" si="195"/>
        <v>0.40647187995004247</v>
      </c>
      <c r="CS83" s="13">
        <f t="shared" si="196"/>
        <v>0.40647187995004247</v>
      </c>
      <c r="CT83" s="13">
        <f t="shared" si="197"/>
        <v>0.40647187995004247</v>
      </c>
      <c r="CU83" s="13">
        <f t="shared" si="198"/>
        <v>0.40647187995004247</v>
      </c>
      <c r="CV83" s="13">
        <f t="shared" si="199"/>
        <v>0.40647187995004247</v>
      </c>
      <c r="CW83" s="13">
        <f t="shared" si="200"/>
        <v>0.40647187995004247</v>
      </c>
      <c r="CX83" s="13">
        <f t="shared" si="201"/>
        <v>0.40647187995004247</v>
      </c>
      <c r="CY83" s="13">
        <f t="shared" si="202"/>
        <v>0.40647187995004247</v>
      </c>
      <c r="CZ83" s="13">
        <f t="shared" si="203"/>
        <v>0.40647187995004247</v>
      </c>
      <c r="DB83" s="47"/>
      <c r="DC83" s="26">
        <v>7.0000000000000007E-2</v>
      </c>
      <c r="DD83" s="13">
        <f t="shared" si="204"/>
        <v>178.05843601498725</v>
      </c>
      <c r="DE83" s="13">
        <f t="shared" si="205"/>
        <v>308.56048152154671</v>
      </c>
      <c r="DF83" s="13">
        <f t="shared" si="206"/>
        <v>318.10173783532542</v>
      </c>
      <c r="DG83" s="13">
        <f t="shared" si="207"/>
        <v>314.07763964528152</v>
      </c>
      <c r="DH83" s="13">
        <f t="shared" si="208"/>
        <v>303.53007165083557</v>
      </c>
      <c r="DI83" s="13">
        <f t="shared" si="209"/>
        <v>290.20241578765228</v>
      </c>
      <c r="DJ83" s="13">
        <f t="shared" si="210"/>
        <v>276.03097682940012</v>
      </c>
      <c r="DK83" s="13">
        <f t="shared" si="211"/>
        <v>261.97214098583538</v>
      </c>
      <c r="DL83" s="13">
        <f t="shared" si="212"/>
        <v>248.45904938137613</v>
      </c>
      <c r="DM83" s="13">
        <f t="shared" si="213"/>
        <v>235.65214897525561</v>
      </c>
      <c r="DN83" s="13">
        <f t="shared" si="214"/>
        <v>223.57538393162653</v>
      </c>
      <c r="DO83" s="13">
        <f t="shared" si="215"/>
        <v>212.18917226201825</v>
      </c>
      <c r="DP83" s="13">
        <f t="shared" si="216"/>
        <v>201.42862698569246</v>
      </c>
      <c r="DQ83" s="13">
        <f t="shared" si="217"/>
        <v>191.22282583337261</v>
      </c>
      <c r="DR83" s="13">
        <f t="shared" si="218"/>
        <v>181.50388017799094</v>
      </c>
      <c r="DS83" s="13">
        <f t="shared" si="219"/>
        <v>172.21062650636244</v>
      </c>
      <c r="DT83" s="13">
        <f t="shared" si="220"/>
        <v>163.2895799781077</v>
      </c>
      <c r="DU83" s="13">
        <f t="shared" si="221"/>
        <v>154.69457811956323</v>
      </c>
      <c r="DV83" s="13">
        <f t="shared" si="222"/>
        <v>146.38587313683948</v>
      </c>
      <c r="DW83" s="13">
        <f t="shared" si="223"/>
        <v>138.3290635758415</v>
      </c>
      <c r="DX83" s="13">
        <f t="shared" si="224"/>
        <v>130.49405608302334</v>
      </c>
      <c r="DY83" s="13">
        <f t="shared" si="225"/>
        <v>122.8541410181931</v>
      </c>
      <c r="DZ83" s="13">
        <f t="shared" si="226"/>
        <v>115.38520989749253</v>
      </c>
      <c r="EA83" s="13">
        <f t="shared" si="227"/>
        <v>108.06511483806231</v>
      </c>
      <c r="EB83" s="13">
        <f t="shared" si="228"/>
        <v>100.87315740506659</v>
      </c>
      <c r="EC83" s="13">
        <f t="shared" si="229"/>
        <v>93.789689372153987</v>
      </c>
      <c r="ED83" s="13">
        <f t="shared" si="230"/>
        <v>86.795806969863705</v>
      </c>
      <c r="EE83" s="13">
        <f t="shared" si="231"/>
        <v>79.873121082381601</v>
      </c>
      <c r="EF83" s="13">
        <f t="shared" si="232"/>
        <v>73.003587427566316</v>
      </c>
      <c r="EG83" s="13">
        <f t="shared" si="233"/>
        <v>66.169382432262864</v>
      </c>
      <c r="EH83" s="13">
        <f t="shared" si="234"/>
        <v>59.352812004995748</v>
      </c>
    </row>
    <row r="84" spans="5:138" x14ac:dyDescent="0.25">
      <c r="E84" s="49"/>
      <c r="F84" s="26">
        <v>6.6666666666666666E-2</v>
      </c>
      <c r="G84" s="13">
        <f t="shared" si="139"/>
        <v>300</v>
      </c>
      <c r="H84" s="13">
        <f t="shared" si="235"/>
        <v>598.66661746153602</v>
      </c>
      <c r="I84" s="13">
        <f t="shared" si="236"/>
        <v>589.29811573604502</v>
      </c>
      <c r="J84" s="13">
        <f t="shared" si="237"/>
        <v>564.7859718758632</v>
      </c>
      <c r="K84" s="13">
        <f t="shared" si="238"/>
        <v>535.05095987815366</v>
      </c>
      <c r="L84" s="13">
        <f t="shared" si="239"/>
        <v>504.65440671554467</v>
      </c>
      <c r="M84" s="13">
        <f t="shared" si="240"/>
        <v>475.54103173404621</v>
      </c>
      <c r="N84" s="13">
        <f t="shared" si="241"/>
        <v>448.40174182092323</v>
      </c>
      <c r="O84" s="13">
        <f t="shared" si="242"/>
        <v>423.34880710091306</v>
      </c>
      <c r="P84" s="13">
        <f t="shared" si="243"/>
        <v>400.24728632089011</v>
      </c>
      <c r="Q84" s="13">
        <f t="shared" si="244"/>
        <v>378.87448745901906</v>
      </c>
      <c r="R84" s="13">
        <f t="shared" si="245"/>
        <v>358.99369291200838</v>
      </c>
      <c r="S84" s="13">
        <f t="shared" si="246"/>
        <v>340.38556261464191</v>
      </c>
      <c r="T84" s="13">
        <f t="shared" si="247"/>
        <v>322.8590780509943</v>
      </c>
      <c r="U84" s="13">
        <f t="shared" si="248"/>
        <v>306.25299446053134</v>
      </c>
      <c r="V84" s="13">
        <f t="shared" si="249"/>
        <v>290.43324546913067</v>
      </c>
      <c r="W84" s="13">
        <f t="shared" si="250"/>
        <v>275.28894528341505</v>
      </c>
      <c r="X84" s="13">
        <f t="shared" si="251"/>
        <v>260.72822130290683</v>
      </c>
      <c r="Y84" s="13">
        <f t="shared" si="252"/>
        <v>246.67440527187065</v>
      </c>
      <c r="Z84" s="13">
        <f t="shared" si="253"/>
        <v>233.06276707788612</v>
      </c>
      <c r="AA84" s="13">
        <f t="shared" si="254"/>
        <v>219.83781425036364</v>
      </c>
      <c r="AB84" s="13">
        <f t="shared" si="255"/>
        <v>206.95111086310771</v>
      </c>
      <c r="AC84" s="13">
        <f t="shared" si="256"/>
        <v>194.3595451104583</v>
      </c>
      <c r="AD84" s="13">
        <f t="shared" si="257"/>
        <v>182.02397144910805</v>
      </c>
      <c r="AE84" s="13">
        <f t="shared" si="258"/>
        <v>169.90815886080082</v>
      </c>
      <c r="AF84" s="13">
        <f t="shared" si="259"/>
        <v>157.97798558004808</v>
      </c>
      <c r="AG84" s="13">
        <f t="shared" si="260"/>
        <v>146.20082975501569</v>
      </c>
      <c r="AH84" s="13">
        <f t="shared" si="261"/>
        <v>134.54511375545667</v>
      </c>
      <c r="AI84" s="13">
        <f t="shared" si="262"/>
        <v>122.97996677110791</v>
      </c>
      <c r="AJ84" s="13">
        <f t="shared" si="263"/>
        <v>111.47497588158407</v>
      </c>
      <c r="AK84" s="13">
        <f t="shared" si="141"/>
        <v>100</v>
      </c>
      <c r="AL84" s="47"/>
      <c r="AM84" s="26">
        <v>6.6666666666666666E-2</v>
      </c>
      <c r="AN84" s="13">
        <f t="shared" si="142"/>
        <v>-1076400000</v>
      </c>
      <c r="AO84" s="13">
        <f t="shared" si="143"/>
        <v>-1688492627.0467391</v>
      </c>
      <c r="AP84" s="13">
        <f t="shared" si="144"/>
        <v>-1902404294.1467183</v>
      </c>
      <c r="AQ84" s="13">
        <f t="shared" si="145"/>
        <v>-1932729087.7755411</v>
      </c>
      <c r="AR84" s="13">
        <f t="shared" si="146"/>
        <v>-1882041559.2330372</v>
      </c>
      <c r="AS84" s="13">
        <f t="shared" si="147"/>
        <v>-1798944261.5078166</v>
      </c>
      <c r="AT84" s="13">
        <f t="shared" si="148"/>
        <v>-1706005316.5891397</v>
      </c>
      <c r="AU84" s="13">
        <f t="shared" si="149"/>
        <v>-1613269446.3384247</v>
      </c>
      <c r="AV84" s="13">
        <f t="shared" si="150"/>
        <v>-1524814286.9437037</v>
      </c>
      <c r="AW84" s="13">
        <f t="shared" si="151"/>
        <v>-1441934607.129884</v>
      </c>
      <c r="AX84" s="13">
        <f t="shared" si="152"/>
        <v>-1364683492.3092225</v>
      </c>
      <c r="AY84" s="13">
        <f t="shared" si="153"/>
        <v>-1292610335.0503097</v>
      </c>
      <c r="AZ84" s="13">
        <f t="shared" si="154"/>
        <v>-1225105973.2334638</v>
      </c>
      <c r="BA84" s="13">
        <f t="shared" si="155"/>
        <v>-1161556449.2098248</v>
      </c>
      <c r="BB84" s="13">
        <f t="shared" si="156"/>
        <v>-1101404620.3294821</v>
      </c>
      <c r="BC84" s="13">
        <f t="shared" si="157"/>
        <v>-1044168503.9338655</v>
      </c>
      <c r="BD84" s="13">
        <f t="shared" si="158"/>
        <v>-989440328.57645869</v>
      </c>
      <c r="BE84" s="13">
        <f t="shared" si="159"/>
        <v>-936877902.08834505</v>
      </c>
      <c r="BF84" s="13">
        <f t="shared" si="160"/>
        <v>-886193774.79466605</v>
      </c>
      <c r="BG84" s="13">
        <f t="shared" si="161"/>
        <v>-837144649.49224877</v>
      </c>
      <c r="BH84" s="13">
        <f t="shared" si="162"/>
        <v>-789522015.33964992</v>
      </c>
      <c r="BI84" s="13">
        <f t="shared" si="163"/>
        <v>-743144283.54694831</v>
      </c>
      <c r="BJ84" s="13">
        <f t="shared" si="164"/>
        <v>-697850388.31269217</v>
      </c>
      <c r="BK84" s="13">
        <f t="shared" si="165"/>
        <v>-653494690.31581211</v>
      </c>
      <c r="BL84" s="13">
        <f t="shared" si="166"/>
        <v>-609942983.42135859</v>
      </c>
      <c r="BM84" s="13">
        <f t="shared" si="167"/>
        <v>-567069408.73641253</v>
      </c>
      <c r="BN84" s="13">
        <f t="shared" si="168"/>
        <v>-524754099.44787681</v>
      </c>
      <c r="BO84" s="13">
        <f t="shared" si="169"/>
        <v>-482881403.34467971</v>
      </c>
      <c r="BP84" s="13">
        <f t="shared" si="170"/>
        <v>-441338552.27988952</v>
      </c>
      <c r="BQ84" s="13">
        <f t="shared" si="171"/>
        <v>-400014666.89329469</v>
      </c>
      <c r="BR84" s="13">
        <f t="shared" si="172"/>
        <v>-358800000</v>
      </c>
      <c r="BT84" s="47"/>
      <c r="BU84" s="26">
        <v>6.6666666666666666E-2</v>
      </c>
      <c r="BV84" s="13">
        <f t="shared" si="173"/>
        <v>0.40647187995004258</v>
      </c>
      <c r="BW84" s="13">
        <f t="shared" si="174"/>
        <v>0.40647187995004258</v>
      </c>
      <c r="BX84" s="13">
        <f t="shared" si="175"/>
        <v>0.40647187995004258</v>
      </c>
      <c r="BY84" s="13">
        <f t="shared" si="176"/>
        <v>0.40647187995004258</v>
      </c>
      <c r="BZ84" s="13">
        <f t="shared" si="177"/>
        <v>0.40647187995004258</v>
      </c>
      <c r="CA84" s="13">
        <f t="shared" si="178"/>
        <v>0.40647187995004258</v>
      </c>
      <c r="CB84" s="13">
        <f t="shared" si="179"/>
        <v>0.40647187995004258</v>
      </c>
      <c r="CC84" s="13">
        <f t="shared" si="180"/>
        <v>0.40647187995004258</v>
      </c>
      <c r="CD84" s="13">
        <f t="shared" si="181"/>
        <v>0.40647187995004258</v>
      </c>
      <c r="CE84" s="13">
        <f t="shared" si="182"/>
        <v>0.40647187995004258</v>
      </c>
      <c r="CF84" s="13">
        <f t="shared" si="183"/>
        <v>0.40647187995004258</v>
      </c>
      <c r="CG84" s="13">
        <f t="shared" si="184"/>
        <v>0.40647187995004258</v>
      </c>
      <c r="CH84" s="13">
        <f t="shared" si="185"/>
        <v>0.40647187995004258</v>
      </c>
      <c r="CI84" s="13">
        <f t="shared" si="186"/>
        <v>0.40647187995004258</v>
      </c>
      <c r="CJ84" s="13">
        <f t="shared" si="187"/>
        <v>0.40647187995004258</v>
      </c>
      <c r="CK84" s="13">
        <f t="shared" si="188"/>
        <v>0.40647187995004258</v>
      </c>
      <c r="CL84" s="13">
        <f t="shared" si="189"/>
        <v>0.40647187995004258</v>
      </c>
      <c r="CM84" s="13">
        <f t="shared" si="190"/>
        <v>0.40647187995004258</v>
      </c>
      <c r="CN84" s="13">
        <f t="shared" si="191"/>
        <v>0.40647187995004258</v>
      </c>
      <c r="CO84" s="13">
        <f t="shared" si="192"/>
        <v>0.40647187995004258</v>
      </c>
      <c r="CP84" s="13">
        <f t="shared" si="193"/>
        <v>0.40647187995004258</v>
      </c>
      <c r="CQ84" s="13">
        <f t="shared" si="194"/>
        <v>0.40647187995004258</v>
      </c>
      <c r="CR84" s="13">
        <f t="shared" si="195"/>
        <v>0.40647187995004258</v>
      </c>
      <c r="CS84" s="13">
        <f t="shared" si="196"/>
        <v>0.40647187995004258</v>
      </c>
      <c r="CT84" s="13">
        <f t="shared" si="197"/>
        <v>0.40647187995004258</v>
      </c>
      <c r="CU84" s="13">
        <f t="shared" si="198"/>
        <v>0.40647187995004258</v>
      </c>
      <c r="CV84" s="13">
        <f t="shared" si="199"/>
        <v>0.40647187995004258</v>
      </c>
      <c r="CW84" s="13">
        <f t="shared" si="200"/>
        <v>0.40647187995004258</v>
      </c>
      <c r="CX84" s="13">
        <f t="shared" si="201"/>
        <v>0.40647187995004258</v>
      </c>
      <c r="CY84" s="13">
        <f t="shared" si="202"/>
        <v>0.40647187995004258</v>
      </c>
      <c r="CZ84" s="13">
        <f t="shared" si="203"/>
        <v>0.40647187995004258</v>
      </c>
      <c r="DB84" s="47"/>
      <c r="DC84" s="26">
        <v>6.6666666666666666E-2</v>
      </c>
      <c r="DD84" s="13">
        <f t="shared" si="204"/>
        <v>178.05843601498719</v>
      </c>
      <c r="DE84" s="13">
        <f t="shared" si="205"/>
        <v>410.24933049017341</v>
      </c>
      <c r="DF84" s="13">
        <f t="shared" si="206"/>
        <v>390.65445913545943</v>
      </c>
      <c r="DG84" s="13">
        <f t="shared" si="207"/>
        <v>365.04149709425599</v>
      </c>
      <c r="DH84" s="13">
        <f t="shared" si="208"/>
        <v>339.13424760185057</v>
      </c>
      <c r="DI84" s="13">
        <f t="shared" si="209"/>
        <v>315.08878831027744</v>
      </c>
      <c r="DJ84" s="13">
        <f t="shared" si="210"/>
        <v>293.49453796644855</v>
      </c>
      <c r="DK84" s="13">
        <f t="shared" si="211"/>
        <v>274.29613230539661</v>
      </c>
      <c r="DL84" s="13">
        <f t="shared" si="212"/>
        <v>257.20895102612246</v>
      </c>
      <c r="DM84" s="13">
        <f t="shared" si="213"/>
        <v>241.89887600927986</v>
      </c>
      <c r="DN84" s="13">
        <f t="shared" si="214"/>
        <v>228.05387028012296</v>
      </c>
      <c r="DO84" s="13">
        <f t="shared" si="215"/>
        <v>215.40724926771566</v>
      </c>
      <c r="DP84" s="13">
        <f t="shared" si="216"/>
        <v>203.74046101570872</v>
      </c>
      <c r="DQ84" s="13">
        <f t="shared" si="217"/>
        <v>192.87806242452089</v>
      </c>
      <c r="DR84" s="13">
        <f t="shared" si="218"/>
        <v>182.6804852932425</v>
      </c>
      <c r="DS84" s="13">
        <f t="shared" si="219"/>
        <v>173.03690277194315</v>
      </c>
      <c r="DT84" s="13">
        <f t="shared" si="220"/>
        <v>163.85902224737376</v>
      </c>
      <c r="DU84" s="13">
        <f t="shared" si="221"/>
        <v>155.07598750857318</v>
      </c>
      <c r="DV84" s="13">
        <f t="shared" si="222"/>
        <v>146.63031704769895</v>
      </c>
      <c r="DW84" s="13">
        <f t="shared" si="223"/>
        <v>138.47472232538274</v>
      </c>
      <c r="DX84" s="13">
        <f t="shared" si="224"/>
        <v>130.56963992600308</v>
      </c>
      <c r="DY84" s="13">
        <f t="shared" si="225"/>
        <v>122.88132918336427</v>
      </c>
      <c r="DZ84" s="13">
        <f t="shared" si="226"/>
        <v>115.38041204986629</v>
      </c>
      <c r="EA84" s="13">
        <f t="shared" si="227"/>
        <v>108.04075652580387</v>
      </c>
      <c r="EB84" s="13">
        <f t="shared" si="228"/>
        <v>100.83862601036307</v>
      </c>
      <c r="EC84" s="13">
        <f t="shared" si="229"/>
        <v>93.752033923418949</v>
      </c>
      <c r="ED84" s="13">
        <f t="shared" si="230"/>
        <v>86.760256209302256</v>
      </c>
      <c r="EE84" s="13">
        <f t="shared" si="231"/>
        <v>79.84346447109661</v>
      </c>
      <c r="EF84" s="13">
        <f t="shared" si="232"/>
        <v>72.982450107058895</v>
      </c>
      <c r="EG84" s="13">
        <f t="shared" si="233"/>
        <v>66.158415454341863</v>
      </c>
      <c r="EH84" s="13">
        <f t="shared" si="234"/>
        <v>59.352812004995741</v>
      </c>
    </row>
    <row r="85" spans="5:138" x14ac:dyDescent="0.25">
      <c r="E85" s="49"/>
      <c r="F85" s="26">
        <v>6.3333333333333339E-2</v>
      </c>
      <c r="G85" s="13">
        <f t="shared" si="139"/>
        <v>300</v>
      </c>
      <c r="H85" s="13">
        <f t="shared" si="235"/>
        <v>844.78594894952471</v>
      </c>
      <c r="I85" s="13">
        <f t="shared" si="236"/>
        <v>741.10123128084069</v>
      </c>
      <c r="J85" s="13">
        <f t="shared" si="237"/>
        <v>660.80002901930447</v>
      </c>
      <c r="K85" s="13">
        <f t="shared" si="238"/>
        <v>597.22006703512307</v>
      </c>
      <c r="L85" s="13">
        <f t="shared" si="239"/>
        <v>545.78002037852025</v>
      </c>
      <c r="M85" s="13">
        <f t="shared" si="240"/>
        <v>503.26921051091625</v>
      </c>
      <c r="N85" s="13">
        <f t="shared" si="241"/>
        <v>467.40600345842199</v>
      </c>
      <c r="O85" s="13">
        <f t="shared" si="242"/>
        <v>436.55087621168741</v>
      </c>
      <c r="P85" s="13">
        <f t="shared" si="243"/>
        <v>409.51423722169039</v>
      </c>
      <c r="Q85" s="13">
        <f t="shared" si="244"/>
        <v>385.42507414178601</v>
      </c>
      <c r="R85" s="13">
        <f t="shared" si="245"/>
        <v>363.63991430636895</v>
      </c>
      <c r="S85" s="13">
        <f t="shared" si="246"/>
        <v>343.67906237176408</v>
      </c>
      <c r="T85" s="13">
        <f t="shared" si="247"/>
        <v>325.18154943274271</v>
      </c>
      <c r="U85" s="13">
        <f t="shared" si="248"/>
        <v>307.87304458739118</v>
      </c>
      <c r="V85" s="13">
        <f t="shared" si="249"/>
        <v>291.54281891817658</v>
      </c>
      <c r="W85" s="13">
        <f t="shared" si="250"/>
        <v>276.02707895986646</v>
      </c>
      <c r="X85" s="13">
        <f t="shared" si="251"/>
        <v>261.19681611628056</v>
      </c>
      <c r="Y85" s="13">
        <f t="shared" si="252"/>
        <v>246.94888348006396</v>
      </c>
      <c r="Z85" s="13">
        <f t="shared" si="253"/>
        <v>233.19939850308651</v>
      </c>
      <c r="AA85" s="13">
        <f t="shared" si="254"/>
        <v>219.8788362851945</v>
      </c>
      <c r="AB85" s="13">
        <f t="shared" si="255"/>
        <v>206.92836239988617</v>
      </c>
      <c r="AC85" s="13">
        <f t="shared" si="256"/>
        <v>194.29708217387679</v>
      </c>
      <c r="AD85" s="13">
        <f t="shared" si="257"/>
        <v>181.93997281511344</v>
      </c>
      <c r="AE85" s="13">
        <f t="shared" si="258"/>
        <v>169.81632771272552</v>
      </c>
      <c r="AF85" s="13">
        <f t="shared" si="259"/>
        <v>157.88858675751916</v>
      </c>
      <c r="AG85" s="13">
        <f t="shared" si="260"/>
        <v>146.12145820683168</v>
      </c>
      <c r="AH85" s="13">
        <f t="shared" si="261"/>
        <v>134.4812602398936</v>
      </c>
      <c r="AI85" s="13">
        <f t="shared" si="262"/>
        <v>122.93542652138689</v>
      </c>
      <c r="AJ85" s="13">
        <f t="shared" si="263"/>
        <v>111.45213159640592</v>
      </c>
      <c r="AK85" s="13">
        <f t="shared" si="141"/>
        <v>100</v>
      </c>
      <c r="AL85" s="47"/>
      <c r="AM85" s="26">
        <v>6.3333333333333339E-2</v>
      </c>
      <c r="AN85" s="13">
        <f t="shared" si="142"/>
        <v>-1076400000</v>
      </c>
      <c r="AO85" s="13">
        <f t="shared" si="143"/>
        <v>-3271594015.0209765</v>
      </c>
      <c r="AP85" s="13">
        <f t="shared" si="144"/>
        <v>-2804895563.553297</v>
      </c>
      <c r="AQ85" s="13">
        <f t="shared" si="145"/>
        <v>-2464722298.5509167</v>
      </c>
      <c r="AR85" s="13">
        <f t="shared" si="146"/>
        <v>-2206032074.7695627</v>
      </c>
      <c r="AS85" s="13">
        <f t="shared" si="147"/>
        <v>-2002402665.2430298</v>
      </c>
      <c r="AT85" s="13">
        <f t="shared" si="148"/>
        <v>-1837377843.4239206</v>
      </c>
      <c r="AU85" s="13">
        <f t="shared" si="149"/>
        <v>-1700188537.6067269</v>
      </c>
      <c r="AV85" s="13">
        <f t="shared" si="150"/>
        <v>-1583513937.6865768</v>
      </c>
      <c r="AW85" s="13">
        <f t="shared" si="151"/>
        <v>-1482234436.1545625</v>
      </c>
      <c r="AX85" s="13">
        <f t="shared" si="152"/>
        <v>-1392693227.0201578</v>
      </c>
      <c r="AY85" s="13">
        <f t="shared" si="153"/>
        <v>-1312235074.1965132</v>
      </c>
      <c r="AZ85" s="13">
        <f t="shared" si="154"/>
        <v>-1238905617.245759</v>
      </c>
      <c r="BA85" s="13">
        <f t="shared" si="155"/>
        <v>-1171248892.949564</v>
      </c>
      <c r="BB85" s="13">
        <f t="shared" si="156"/>
        <v>-1108167685.5494695</v>
      </c>
      <c r="BC85" s="13">
        <f t="shared" si="157"/>
        <v>-1048825461.1459365</v>
      </c>
      <c r="BD85" s="13">
        <f t="shared" si="158"/>
        <v>-992576531.08325136</v>
      </c>
      <c r="BE85" s="13">
        <f t="shared" si="159"/>
        <v>-938915746.81679344</v>
      </c>
      <c r="BF85" s="13">
        <f t="shared" si="160"/>
        <v>-887441912.34112489</v>
      </c>
      <c r="BG85" s="13">
        <f t="shared" si="161"/>
        <v>-837830951.96651495</v>
      </c>
      <c r="BH85" s="13">
        <f t="shared" si="162"/>
        <v>-789816092.49774027</v>
      </c>
      <c r="BI85" s="13">
        <f t="shared" si="163"/>
        <v>-743173139.98379111</v>
      </c>
      <c r="BJ85" s="13">
        <f t="shared" si="164"/>
        <v>-697709491.17742562</v>
      </c>
      <c r="BK85" s="13">
        <f t="shared" si="165"/>
        <v>-653255905.96234477</v>
      </c>
      <c r="BL85" s="13">
        <f t="shared" si="166"/>
        <v>-609660335.67871368</v>
      </c>
      <c r="BM85" s="13">
        <f t="shared" si="167"/>
        <v>-566783290.67916608</v>
      </c>
      <c r="BN85" s="13">
        <f t="shared" si="168"/>
        <v>-524494363.41086298</v>
      </c>
      <c r="BO85" s="13">
        <f t="shared" si="169"/>
        <v>-482669617.58935088</v>
      </c>
      <c r="BP85" s="13">
        <f t="shared" si="170"/>
        <v>-441189620.96751738</v>
      </c>
      <c r="BQ85" s="13">
        <f t="shared" si="171"/>
        <v>-399937946.53885698</v>
      </c>
      <c r="BR85" s="13">
        <f t="shared" si="172"/>
        <v>-358800000</v>
      </c>
      <c r="BT85" s="47"/>
      <c r="BU85" s="26">
        <v>6.3333333333333339E-2</v>
      </c>
      <c r="BV85" s="13">
        <f t="shared" si="173"/>
        <v>0.40647187995004358</v>
      </c>
      <c r="BW85" s="13">
        <f t="shared" si="174"/>
        <v>0.40647187995004358</v>
      </c>
      <c r="BX85" s="13">
        <f t="shared" si="175"/>
        <v>0.40647187995004358</v>
      </c>
      <c r="BY85" s="13">
        <f t="shared" si="176"/>
        <v>0.40647187995004358</v>
      </c>
      <c r="BZ85" s="13">
        <f t="shared" si="177"/>
        <v>0.40647187995004358</v>
      </c>
      <c r="CA85" s="13">
        <f t="shared" si="178"/>
        <v>0.40647187995004358</v>
      </c>
      <c r="CB85" s="13">
        <f t="shared" si="179"/>
        <v>0.40647187995004358</v>
      </c>
      <c r="CC85" s="13">
        <f t="shared" si="180"/>
        <v>0.40647187995004358</v>
      </c>
      <c r="CD85" s="13">
        <f t="shared" si="181"/>
        <v>0.40647187995004358</v>
      </c>
      <c r="CE85" s="13">
        <f t="shared" si="182"/>
        <v>0.40647187995004358</v>
      </c>
      <c r="CF85" s="13">
        <f t="shared" si="183"/>
        <v>0.40647187995004358</v>
      </c>
      <c r="CG85" s="13">
        <f t="shared" si="184"/>
        <v>0.40647187995004358</v>
      </c>
      <c r="CH85" s="13">
        <f t="shared" si="185"/>
        <v>0.40647187995004358</v>
      </c>
      <c r="CI85" s="13">
        <f t="shared" si="186"/>
        <v>0.40647187995004358</v>
      </c>
      <c r="CJ85" s="13">
        <f t="shared" si="187"/>
        <v>0.40647187995004358</v>
      </c>
      <c r="CK85" s="13">
        <f t="shared" si="188"/>
        <v>0.40647187995004358</v>
      </c>
      <c r="CL85" s="13">
        <f t="shared" si="189"/>
        <v>0.40647187995004358</v>
      </c>
      <c r="CM85" s="13">
        <f t="shared" si="190"/>
        <v>0.40647187995004358</v>
      </c>
      <c r="CN85" s="13">
        <f t="shared" si="191"/>
        <v>0.40647187995004358</v>
      </c>
      <c r="CO85" s="13">
        <f t="shared" si="192"/>
        <v>0.40647187995004358</v>
      </c>
      <c r="CP85" s="13">
        <f t="shared" si="193"/>
        <v>0.40647187995004358</v>
      </c>
      <c r="CQ85" s="13">
        <f t="shared" si="194"/>
        <v>0.40647187995004358</v>
      </c>
      <c r="CR85" s="13">
        <f t="shared" si="195"/>
        <v>0.40647187995004358</v>
      </c>
      <c r="CS85" s="13">
        <f t="shared" si="196"/>
        <v>0.40647187995004358</v>
      </c>
      <c r="CT85" s="13">
        <f t="shared" si="197"/>
        <v>0.40647187995004358</v>
      </c>
      <c r="CU85" s="13">
        <f t="shared" si="198"/>
        <v>0.40647187995004358</v>
      </c>
      <c r="CV85" s="13">
        <f t="shared" si="199"/>
        <v>0.40647187995004358</v>
      </c>
      <c r="CW85" s="13">
        <f t="shared" si="200"/>
        <v>0.40647187995004358</v>
      </c>
      <c r="CX85" s="13">
        <f t="shared" si="201"/>
        <v>0.40647187995004358</v>
      </c>
      <c r="CY85" s="13">
        <f t="shared" si="202"/>
        <v>0.40647187995004358</v>
      </c>
      <c r="CZ85" s="13">
        <f t="shared" si="203"/>
        <v>0.40647187995004358</v>
      </c>
      <c r="DB85" s="47"/>
      <c r="DC85" s="26">
        <v>6.3333333333333339E-2</v>
      </c>
      <c r="DD85" s="13">
        <f t="shared" si="204"/>
        <v>178.05843601498691</v>
      </c>
      <c r="DE85" s="13">
        <f t="shared" si="205"/>
        <v>601.44480348660056</v>
      </c>
      <c r="DF85" s="13">
        <f t="shared" si="206"/>
        <v>501.56811832659213</v>
      </c>
      <c r="DG85" s="13">
        <f t="shared" si="207"/>
        <v>431.23041326150997</v>
      </c>
      <c r="DH85" s="13">
        <f t="shared" si="208"/>
        <v>379.73689750437461</v>
      </c>
      <c r="DI85" s="13">
        <f t="shared" si="209"/>
        <v>340.6521949557789</v>
      </c>
      <c r="DJ85" s="13">
        <f t="shared" si="210"/>
        <v>309.97515334859514</v>
      </c>
      <c r="DK85" s="13">
        <f t="shared" si="211"/>
        <v>285.14330448759722</v>
      </c>
      <c r="DL85" s="13">
        <f t="shared" si="212"/>
        <v>264.47149071477088</v>
      </c>
      <c r="DM85" s="13">
        <f t="shared" si="213"/>
        <v>246.82497030593484</v>
      </c>
      <c r="DN85" s="13">
        <f t="shared" si="214"/>
        <v>231.42324895920933</v>
      </c>
      <c r="DO85" s="13">
        <f t="shared" si="215"/>
        <v>217.71907305821625</v>
      </c>
      <c r="DP85" s="13">
        <f t="shared" si="216"/>
        <v>205.32190282793727</v>
      </c>
      <c r="DQ85" s="13">
        <f t="shared" si="217"/>
        <v>193.9484130184172</v>
      </c>
      <c r="DR85" s="13">
        <f t="shared" si="218"/>
        <v>183.38981418868872</v>
      </c>
      <c r="DS85" s="13">
        <f t="shared" si="219"/>
        <v>173.48987163234656</v>
      </c>
      <c r="DT85" s="13">
        <f t="shared" si="220"/>
        <v>164.12986384105207</v>
      </c>
      <c r="DU85" s="13">
        <f t="shared" si="221"/>
        <v>155.218125847257</v>
      </c>
      <c r="DV85" s="13">
        <f t="shared" si="222"/>
        <v>146.68267423364773</v>
      </c>
      <c r="DW85" s="13">
        <f t="shared" si="223"/>
        <v>138.465937422579</v>
      </c>
      <c r="DX85" s="13">
        <f t="shared" si="224"/>
        <v>130.52094664274071</v>
      </c>
      <c r="DY85" s="13">
        <f t="shared" si="225"/>
        <v>122.80855530960888</v>
      </c>
      <c r="DZ85" s="13">
        <f t="shared" si="226"/>
        <v>115.29539248659349</v>
      </c>
      <c r="EA85" s="13">
        <f t="shared" si="227"/>
        <v>107.95234694422145</v>
      </c>
      <c r="EB85" s="13">
        <f t="shared" si="228"/>
        <v>100.75343896172517</v>
      </c>
      <c r="EC85" s="13">
        <f t="shared" si="229"/>
        <v>93.674977968076149</v>
      </c>
      <c r="ED85" s="13">
        <f t="shared" si="230"/>
        <v>86.694932086054166</v>
      </c>
      <c r="EE85" s="13">
        <f t="shared" si="231"/>
        <v>79.792454913620659</v>
      </c>
      <c r="EF85" s="13">
        <f t="shared" si="232"/>
        <v>72.947528231740762</v>
      </c>
      <c r="EG85" s="13">
        <f t="shared" si="233"/>
        <v>66.140688582432674</v>
      </c>
      <c r="EH85" s="13">
        <f t="shared" si="234"/>
        <v>59.352812004995634</v>
      </c>
    </row>
    <row r="86" spans="5:138" x14ac:dyDescent="0.25">
      <c r="E86" s="49"/>
      <c r="F86" s="26">
        <v>6.0000000000000005E-2</v>
      </c>
      <c r="G86" s="13">
        <f t="shared" si="139"/>
        <v>300</v>
      </c>
      <c r="H86" s="13">
        <f t="shared" si="235"/>
        <v>1032.8130026138224</v>
      </c>
      <c r="I86" s="13">
        <f t="shared" si="236"/>
        <v>857.68107491316289</v>
      </c>
      <c r="J86" s="13">
        <f t="shared" si="237"/>
        <v>734.16389427152558</v>
      </c>
      <c r="K86" s="13">
        <f t="shared" si="238"/>
        <v>644.12190988109228</v>
      </c>
      <c r="L86" s="13">
        <f t="shared" si="239"/>
        <v>576.24284367316272</v>
      </c>
      <c r="M86" s="13">
        <f t="shared" si="240"/>
        <v>523.35296510644491</v>
      </c>
      <c r="N86" s="13">
        <f t="shared" si="241"/>
        <v>480.82190828483169</v>
      </c>
      <c r="O86" s="13">
        <f t="shared" si="242"/>
        <v>445.60574874298283</v>
      </c>
      <c r="P86" s="13">
        <f t="shared" si="243"/>
        <v>415.66588546472809</v>
      </c>
      <c r="Q86" s="13">
        <f t="shared" si="244"/>
        <v>389.61139488266184</v>
      </c>
      <c r="R86" s="13">
        <f t="shared" si="245"/>
        <v>366.47573433230889</v>
      </c>
      <c r="S86" s="13">
        <f t="shared" si="246"/>
        <v>345.57518496563273</v>
      </c>
      <c r="T86" s="13">
        <f t="shared" si="247"/>
        <v>326.41766970703145</v>
      </c>
      <c r="U86" s="13">
        <f t="shared" si="248"/>
        <v>308.64304602586702</v>
      </c>
      <c r="V86" s="13">
        <f t="shared" si="249"/>
        <v>291.9833520610585</v>
      </c>
      <c r="W86" s="13">
        <f t="shared" si="250"/>
        <v>276.23589578239273</v>
      </c>
      <c r="X86" s="13">
        <f t="shared" si="251"/>
        <v>261.2447417046352</v>
      </c>
      <c r="Y86" s="13">
        <f t="shared" si="252"/>
        <v>246.88777753012792</v>
      </c>
      <c r="Z86" s="13">
        <f t="shared" si="253"/>
        <v>233.06754921876021</v>
      </c>
      <c r="AA86" s="13">
        <f t="shared" si="254"/>
        <v>219.70468249720844</v>
      </c>
      <c r="AB86" s="13">
        <f t="shared" si="255"/>
        <v>206.7331077306261</v>
      </c>
      <c r="AC86" s="13">
        <f t="shared" si="256"/>
        <v>194.09656118474552</v>
      </c>
      <c r="AD86" s="13">
        <f t="shared" si="257"/>
        <v>181.74600232080059</v>
      </c>
      <c r="AE86" s="13">
        <f t="shared" si="258"/>
        <v>169.63769660198011</v>
      </c>
      <c r="AF86" s="13">
        <f t="shared" si="259"/>
        <v>157.73178663228805</v>
      </c>
      <c r="AG86" s="13">
        <f t="shared" si="260"/>
        <v>145.99122401015708</v>
      </c>
      <c r="AH86" s="13">
        <f t="shared" si="261"/>
        <v>134.38096811355453</v>
      </c>
      <c r="AI86" s="13">
        <f t="shared" si="262"/>
        <v>122.86738129369942</v>
      </c>
      <c r="AJ86" s="13">
        <f t="shared" si="263"/>
        <v>111.41776596558709</v>
      </c>
      <c r="AK86" s="13">
        <f t="shared" si="141"/>
        <v>100</v>
      </c>
      <c r="AL86" s="47"/>
      <c r="AM86" s="26">
        <v>6.0000000000000005E-2</v>
      </c>
      <c r="AN86" s="13">
        <f t="shared" si="142"/>
        <v>-1076400000</v>
      </c>
      <c r="AO86" s="13">
        <f t="shared" si="143"/>
        <v>-4173256985.5473619</v>
      </c>
      <c r="AP86" s="13">
        <f t="shared" si="144"/>
        <v>-3369773781.5263844</v>
      </c>
      <c r="AQ86" s="13">
        <f t="shared" si="145"/>
        <v>-2819860128.6172881</v>
      </c>
      <c r="AR86" s="13">
        <f t="shared" si="146"/>
        <v>-2431083248.2166424</v>
      </c>
      <c r="AS86" s="13">
        <f t="shared" si="147"/>
        <v>-2146565413.5220656</v>
      </c>
      <c r="AT86" s="13">
        <f t="shared" si="148"/>
        <v>-1930865837.3578773</v>
      </c>
      <c r="AU86" s="13">
        <f t="shared" si="149"/>
        <v>-1761572047.6010106</v>
      </c>
      <c r="AV86" s="13">
        <f t="shared" si="150"/>
        <v>-1624273664.0475454</v>
      </c>
      <c r="AW86" s="13">
        <f t="shared" si="151"/>
        <v>-1509538172.4148424</v>
      </c>
      <c r="AX86" s="13">
        <f t="shared" si="152"/>
        <v>-1411074750.8614035</v>
      </c>
      <c r="AY86" s="13">
        <f t="shared" si="153"/>
        <v>-1324606940.8296576</v>
      </c>
      <c r="AZ86" s="13">
        <f t="shared" si="154"/>
        <v>-1247171512.0124652</v>
      </c>
      <c r="BA86" s="13">
        <f t="shared" si="155"/>
        <v>-1176676061.7154152</v>
      </c>
      <c r="BB86" s="13">
        <f t="shared" si="156"/>
        <v>-1111615478.3336434</v>
      </c>
      <c r="BC86" s="13">
        <f t="shared" si="157"/>
        <v>-1050887205.9654363</v>
      </c>
      <c r="BD86" s="13">
        <f t="shared" si="158"/>
        <v>-993668827.02105463</v>
      </c>
      <c r="BE86" s="13">
        <f t="shared" si="159"/>
        <v>-939335551.01249528</v>
      </c>
      <c r="BF86" s="13">
        <f t="shared" si="160"/>
        <v>-887403669.12874031</v>
      </c>
      <c r="BG86" s="13">
        <f t="shared" si="161"/>
        <v>-837491185.62554014</v>
      </c>
      <c r="BH86" s="13">
        <f t="shared" si="162"/>
        <v>-789290004.42610252</v>
      </c>
      <c r="BI86" s="13">
        <f t="shared" si="163"/>
        <v>-742546020.16708302</v>
      </c>
      <c r="BJ86" s="13">
        <f t="shared" si="164"/>
        <v>-697044704.84764671</v>
      </c>
      <c r="BK86" s="13">
        <f t="shared" si="165"/>
        <v>-652600574.20748866</v>
      </c>
      <c r="BL86" s="13">
        <f t="shared" si="166"/>
        <v>-609049431.11609924</v>
      </c>
      <c r="BM86" s="13">
        <f t="shared" si="167"/>
        <v>-566242619.79705441</v>
      </c>
      <c r="BN86" s="13">
        <f t="shared" si="168"/>
        <v>-524042748.24987239</v>
      </c>
      <c r="BO86" s="13">
        <f t="shared" si="169"/>
        <v>-482320486.39217156</v>
      </c>
      <c r="BP86" s="13">
        <f t="shared" si="170"/>
        <v>-440952149.16017652</v>
      </c>
      <c r="BQ86" s="13">
        <f t="shared" si="171"/>
        <v>-399817842.90423822</v>
      </c>
      <c r="BR86" s="13">
        <f t="shared" si="172"/>
        <v>-358800000</v>
      </c>
      <c r="BT86" s="47"/>
      <c r="BU86" s="26">
        <v>6.0000000000000005E-2</v>
      </c>
      <c r="BV86" s="13">
        <f t="shared" si="173"/>
        <v>0.40647187995004946</v>
      </c>
      <c r="BW86" s="13">
        <f t="shared" si="174"/>
        <v>0.40647187995004946</v>
      </c>
      <c r="BX86" s="13">
        <f t="shared" si="175"/>
        <v>0.40647187995004946</v>
      </c>
      <c r="BY86" s="13">
        <f t="shared" si="176"/>
        <v>0.40647187995004946</v>
      </c>
      <c r="BZ86" s="13">
        <f t="shared" si="177"/>
        <v>0.40647187995004946</v>
      </c>
      <c r="CA86" s="13">
        <f t="shared" si="178"/>
        <v>0.40647187995004946</v>
      </c>
      <c r="CB86" s="13">
        <f t="shared" si="179"/>
        <v>0.40647187995004946</v>
      </c>
      <c r="CC86" s="13">
        <f t="shared" si="180"/>
        <v>0.40647187995004946</v>
      </c>
      <c r="CD86" s="13">
        <f t="shared" si="181"/>
        <v>0.40647187995004946</v>
      </c>
      <c r="CE86" s="13">
        <f t="shared" si="182"/>
        <v>0.40647187995004946</v>
      </c>
      <c r="CF86" s="13">
        <f t="shared" si="183"/>
        <v>0.40647187995004946</v>
      </c>
      <c r="CG86" s="13">
        <f t="shared" si="184"/>
        <v>0.40647187995004946</v>
      </c>
      <c r="CH86" s="13">
        <f t="shared" si="185"/>
        <v>0.40647187995004946</v>
      </c>
      <c r="CI86" s="13">
        <f t="shared" si="186"/>
        <v>0.40647187995004946</v>
      </c>
      <c r="CJ86" s="13">
        <f t="shared" si="187"/>
        <v>0.40647187995004946</v>
      </c>
      <c r="CK86" s="13">
        <f t="shared" si="188"/>
        <v>0.40647187995004946</v>
      </c>
      <c r="CL86" s="13">
        <f t="shared" si="189"/>
        <v>0.40647187995004946</v>
      </c>
      <c r="CM86" s="13">
        <f t="shared" si="190"/>
        <v>0.40647187995004946</v>
      </c>
      <c r="CN86" s="13">
        <f t="shared" si="191"/>
        <v>0.40647187995004946</v>
      </c>
      <c r="CO86" s="13">
        <f t="shared" si="192"/>
        <v>0.40647187995004946</v>
      </c>
      <c r="CP86" s="13">
        <f t="shared" si="193"/>
        <v>0.40647187995004946</v>
      </c>
      <c r="CQ86" s="13">
        <f t="shared" si="194"/>
        <v>0.40647187995004946</v>
      </c>
      <c r="CR86" s="13">
        <f t="shared" si="195"/>
        <v>0.40647187995004946</v>
      </c>
      <c r="CS86" s="13">
        <f t="shared" si="196"/>
        <v>0.40647187995004946</v>
      </c>
      <c r="CT86" s="13">
        <f t="shared" si="197"/>
        <v>0.40647187995004946</v>
      </c>
      <c r="CU86" s="13">
        <f t="shared" si="198"/>
        <v>0.40647187995004946</v>
      </c>
      <c r="CV86" s="13">
        <f t="shared" si="199"/>
        <v>0.40647187995004946</v>
      </c>
      <c r="CW86" s="13">
        <f t="shared" si="200"/>
        <v>0.40647187995004946</v>
      </c>
      <c r="CX86" s="13">
        <f t="shared" si="201"/>
        <v>0.40647187995004946</v>
      </c>
      <c r="CY86" s="13">
        <f t="shared" si="202"/>
        <v>0.40647187995004946</v>
      </c>
      <c r="CZ86" s="13">
        <f t="shared" si="203"/>
        <v>0.40647187995004946</v>
      </c>
      <c r="DB86" s="47"/>
      <c r="DC86" s="26">
        <v>6.0000000000000005E-2</v>
      </c>
      <c r="DD86" s="13">
        <f t="shared" si="204"/>
        <v>178.05843601498518</v>
      </c>
      <c r="DE86" s="13">
        <f t="shared" si="205"/>
        <v>689.43126978892258</v>
      </c>
      <c r="DF86" s="13">
        <f t="shared" si="206"/>
        <v>556.44426420114314</v>
      </c>
      <c r="DG86" s="13">
        <f t="shared" si="207"/>
        <v>465.56726420500166</v>
      </c>
      <c r="DH86" s="13">
        <f t="shared" si="208"/>
        <v>401.36874648943126</v>
      </c>
      <c r="DI86" s="13">
        <f t="shared" si="209"/>
        <v>354.39861275072934</v>
      </c>
      <c r="DJ86" s="13">
        <f t="shared" si="210"/>
        <v>318.78818298909562</v>
      </c>
      <c r="DK86" s="13">
        <f t="shared" si="211"/>
        <v>290.8345113591476</v>
      </c>
      <c r="DL86" s="13">
        <f t="shared" si="212"/>
        <v>268.16009339537692</v>
      </c>
      <c r="DM86" s="13">
        <f t="shared" si="213"/>
        <v>249.20986359491707</v>
      </c>
      <c r="DN86" s="13">
        <f t="shared" si="214"/>
        <v>232.94694041636288</v>
      </c>
      <c r="DO86" s="13">
        <f t="shared" si="215"/>
        <v>218.66633473932421</v>
      </c>
      <c r="DP86" s="13">
        <f t="shared" si="216"/>
        <v>205.87931038391145</v>
      </c>
      <c r="DQ86" s="13">
        <f t="shared" si="217"/>
        <v>194.24051398403458</v>
      </c>
      <c r="DR86" s="13">
        <f t="shared" si="218"/>
        <v>183.50131080648472</v>
      </c>
      <c r="DS86" s="13">
        <f t="shared" si="219"/>
        <v>173.4793943694504</v>
      </c>
      <c r="DT86" s="13">
        <f t="shared" si="220"/>
        <v>164.03865008045506</v>
      </c>
      <c r="DU86" s="13">
        <f t="shared" si="221"/>
        <v>155.07558082088329</v>
      </c>
      <c r="DV86" s="13">
        <f t="shared" si="222"/>
        <v>146.5100006104206</v>
      </c>
      <c r="DW86" s="13">
        <f t="shared" si="223"/>
        <v>138.27855130598988</v>
      </c>
      <c r="DX86" s="13">
        <f t="shared" si="224"/>
        <v>130.33011855113628</v>
      </c>
      <c r="DY86" s="13">
        <f t="shared" si="225"/>
        <v>122.62254725095923</v>
      </c>
      <c r="DZ86" s="13">
        <f t="shared" si="226"/>
        <v>115.12026092472058</v>
      </c>
      <c r="EA86" s="13">
        <f t="shared" si="227"/>
        <v>107.79251953258053</v>
      </c>
      <c r="EB86" s="13">
        <f t="shared" si="228"/>
        <v>100.61213463037487</v>
      </c>
      <c r="EC86" s="13">
        <f t="shared" si="229"/>
        <v>93.554515950302729</v>
      </c>
      <c r="ED86" s="13">
        <f t="shared" si="230"/>
        <v>86.596960191783623</v>
      </c>
      <c r="EE86" s="13">
        <f t="shared" si="231"/>
        <v>79.718117445793141</v>
      </c>
      <c r="EF86" s="13">
        <f t="shared" si="232"/>
        <v>72.897587363090125</v>
      </c>
      <c r="EG86" s="13">
        <f t="shared" si="233"/>
        <v>66.115608511155671</v>
      </c>
      <c r="EH86" s="13">
        <f t="shared" si="234"/>
        <v>59.352812004995052</v>
      </c>
    </row>
    <row r="87" spans="5:138" x14ac:dyDescent="0.25">
      <c r="E87" s="49"/>
      <c r="F87" s="26">
        <v>5.6666666666666671E-2</v>
      </c>
      <c r="G87" s="13">
        <f t="shared" si="139"/>
        <v>300</v>
      </c>
      <c r="H87" s="13">
        <f t="shared" si="235"/>
        <v>1107.9115702469687</v>
      </c>
      <c r="I87" s="13">
        <f t="shared" si="236"/>
        <v>903.62949711119586</v>
      </c>
      <c r="J87" s="13">
        <f t="shared" si="237"/>
        <v>762.67749962735707</v>
      </c>
      <c r="K87" s="13">
        <f t="shared" si="238"/>
        <v>662.04456539293528</v>
      </c>
      <c r="L87" s="13">
        <f t="shared" si="239"/>
        <v>587.62207024733243</v>
      </c>
      <c r="M87" s="13">
        <f t="shared" si="240"/>
        <v>530.61657512324109</v>
      </c>
      <c r="N87" s="13">
        <f t="shared" si="241"/>
        <v>485.44963903514611</v>
      </c>
      <c r="O87" s="13">
        <f t="shared" si="242"/>
        <v>448.51563635695391</v>
      </c>
      <c r="P87" s="13">
        <f t="shared" si="243"/>
        <v>417.43855415042322</v>
      </c>
      <c r="Q87" s="13">
        <f t="shared" si="244"/>
        <v>390.62161271957325</v>
      </c>
      <c r="R87" s="13">
        <f t="shared" si="245"/>
        <v>366.97049009609111</v>
      </c>
      <c r="S87" s="13">
        <f t="shared" si="246"/>
        <v>345.72064370544939</v>
      </c>
      <c r="T87" s="13">
        <f t="shared" si="247"/>
        <v>326.32783278166164</v>
      </c>
      <c r="U87" s="13">
        <f t="shared" si="248"/>
        <v>308.39753316655725</v>
      </c>
      <c r="V87" s="13">
        <f t="shared" si="249"/>
        <v>291.63863429322578</v>
      </c>
      <c r="W87" s="13">
        <f t="shared" si="250"/>
        <v>275.83253073201331</v>
      </c>
      <c r="X87" s="13">
        <f t="shared" si="251"/>
        <v>260.81213159824017</v>
      </c>
      <c r="Y87" s="13">
        <f t="shared" si="252"/>
        <v>246.44736642303212</v>
      </c>
      <c r="Z87" s="13">
        <f t="shared" si="253"/>
        <v>232.63501900964442</v>
      </c>
      <c r="AA87" s="13">
        <f t="shared" si="254"/>
        <v>219.2914940169232</v>
      </c>
      <c r="AB87" s="13">
        <f t="shared" si="255"/>
        <v>206.34760435856492</v>
      </c>
      <c r="AC87" s="13">
        <f t="shared" si="256"/>
        <v>193.74477369397664</v>
      </c>
      <c r="AD87" s="13">
        <f t="shared" si="257"/>
        <v>181.4322448988413</v>
      </c>
      <c r="AE87" s="13">
        <f t="shared" si="258"/>
        <v>169.36501338780602</v>
      </c>
      <c r="AF87" s="13">
        <f t="shared" si="259"/>
        <v>157.50228859391564</v>
      </c>
      <c r="AG87" s="13">
        <f t="shared" si="260"/>
        <v>145.80634331555279</v>
      </c>
      <c r="AH87" s="13">
        <f t="shared" si="261"/>
        <v>134.24164874066042</v>
      </c>
      <c r="AI87" s="13">
        <f t="shared" si="262"/>
        <v>122.7742188973204</v>
      </c>
      <c r="AJ87" s="13">
        <f t="shared" si="263"/>
        <v>111.37110598218092</v>
      </c>
      <c r="AK87" s="13">
        <f t="shared" si="141"/>
        <v>100</v>
      </c>
      <c r="AL87" s="47"/>
      <c r="AM87" s="26">
        <v>5.6666666666666671E-2</v>
      </c>
      <c r="AN87" s="13">
        <f t="shared" si="142"/>
        <v>-1076400000</v>
      </c>
      <c r="AO87" s="13">
        <f t="shared" si="143"/>
        <v>-4591475589.4774666</v>
      </c>
      <c r="AP87" s="13">
        <f t="shared" si="144"/>
        <v>-3617540567.3288355</v>
      </c>
      <c r="AQ87" s="13">
        <f t="shared" si="145"/>
        <v>-2969025018.3176112</v>
      </c>
      <c r="AR87" s="13">
        <f t="shared" si="146"/>
        <v>-2522256455.4165311</v>
      </c>
      <c r="AS87" s="13">
        <f t="shared" si="147"/>
        <v>-2203031274.3195548</v>
      </c>
      <c r="AT87" s="13">
        <f t="shared" si="148"/>
        <v>-1966176398.977299</v>
      </c>
      <c r="AU87" s="13">
        <f t="shared" si="149"/>
        <v>-1783742652.6852157</v>
      </c>
      <c r="AV87" s="13">
        <f t="shared" si="150"/>
        <v>-1638128192.3083086</v>
      </c>
      <c r="AW87" s="13">
        <f t="shared" si="151"/>
        <v>-1518035014.0097244</v>
      </c>
      <c r="AX87" s="13">
        <f t="shared" si="152"/>
        <v>-1416065238.5765028</v>
      </c>
      <c r="AY87" s="13">
        <f t="shared" si="153"/>
        <v>-1327274463.030587</v>
      </c>
      <c r="AZ87" s="13">
        <f t="shared" si="154"/>
        <v>-1248289083.1899509</v>
      </c>
      <c r="BA87" s="13">
        <f t="shared" si="155"/>
        <v>-1176759565.3289027</v>
      </c>
      <c r="BB87" s="13">
        <f t="shared" si="156"/>
        <v>-1111016271.1274743</v>
      </c>
      <c r="BC87" s="13">
        <f t="shared" si="157"/>
        <v>-1049849045.6856849</v>
      </c>
      <c r="BD87" s="13">
        <f t="shared" si="158"/>
        <v>-992363530.94980419</v>
      </c>
      <c r="BE87" s="13">
        <f t="shared" si="159"/>
        <v>-937885790.42865551</v>
      </c>
      <c r="BF87" s="13">
        <f t="shared" si="160"/>
        <v>-885897859.37260211</v>
      </c>
      <c r="BG87" s="13">
        <f t="shared" si="161"/>
        <v>-835993434.34367383</v>
      </c>
      <c r="BH87" s="13">
        <f t="shared" si="162"/>
        <v>-787846911.03757381</v>
      </c>
      <c r="BI87" s="13">
        <f t="shared" si="163"/>
        <v>-741191427.20890498</v>
      </c>
      <c r="BJ87" s="13">
        <f t="shared" si="164"/>
        <v>-695803087.18539178</v>
      </c>
      <c r="BK87" s="13">
        <f t="shared" si="165"/>
        <v>-651489500.64135826</v>
      </c>
      <c r="BL87" s="13">
        <f t="shared" si="166"/>
        <v>-608081378.35163689</v>
      </c>
      <c r="BM87" s="13">
        <f t="shared" si="167"/>
        <v>-565426322.30343044</v>
      </c>
      <c r="BN87" s="13">
        <f t="shared" si="168"/>
        <v>-523384206.2982046</v>
      </c>
      <c r="BO87" s="13">
        <f t="shared" si="169"/>
        <v>-481823714.88882005</v>
      </c>
      <c r="BP87" s="13">
        <f t="shared" si="170"/>
        <v>-440619723.52040237</v>
      </c>
      <c r="BQ87" s="13">
        <f t="shared" si="171"/>
        <v>-399651280.10833806</v>
      </c>
      <c r="BR87" s="13">
        <f t="shared" si="172"/>
        <v>-358800000</v>
      </c>
      <c r="BT87" s="47"/>
      <c r="BU87" s="26">
        <v>5.6666666666666671E-2</v>
      </c>
      <c r="BV87" s="13">
        <f t="shared" si="173"/>
        <v>0.40647187995008499</v>
      </c>
      <c r="BW87" s="13">
        <f t="shared" si="174"/>
        <v>0.40647187995008499</v>
      </c>
      <c r="BX87" s="13">
        <f t="shared" si="175"/>
        <v>0.40647187995008499</v>
      </c>
      <c r="BY87" s="13">
        <f t="shared" si="176"/>
        <v>0.40647187995008499</v>
      </c>
      <c r="BZ87" s="13">
        <f t="shared" si="177"/>
        <v>0.40647187995008499</v>
      </c>
      <c r="CA87" s="13">
        <f t="shared" si="178"/>
        <v>0.40647187995008499</v>
      </c>
      <c r="CB87" s="13">
        <f t="shared" si="179"/>
        <v>0.40647187995008499</v>
      </c>
      <c r="CC87" s="13">
        <f t="shared" si="180"/>
        <v>0.40647187995008499</v>
      </c>
      <c r="CD87" s="13">
        <f t="shared" si="181"/>
        <v>0.40647187995008499</v>
      </c>
      <c r="CE87" s="13">
        <f t="shared" si="182"/>
        <v>0.40647187995008499</v>
      </c>
      <c r="CF87" s="13">
        <f t="shared" si="183"/>
        <v>0.40647187995008499</v>
      </c>
      <c r="CG87" s="13">
        <f t="shared" si="184"/>
        <v>0.40647187995008499</v>
      </c>
      <c r="CH87" s="13">
        <f t="shared" si="185"/>
        <v>0.40647187995008499</v>
      </c>
      <c r="CI87" s="13">
        <f t="shared" si="186"/>
        <v>0.40647187995008499</v>
      </c>
      <c r="CJ87" s="13">
        <f t="shared" si="187"/>
        <v>0.40647187995008499</v>
      </c>
      <c r="CK87" s="13">
        <f t="shared" si="188"/>
        <v>0.40647187995008499</v>
      </c>
      <c r="CL87" s="13">
        <f t="shared" si="189"/>
        <v>0.40647187995008499</v>
      </c>
      <c r="CM87" s="13">
        <f t="shared" si="190"/>
        <v>0.40647187995008499</v>
      </c>
      <c r="CN87" s="13">
        <f t="shared" si="191"/>
        <v>0.40647187995008499</v>
      </c>
      <c r="CO87" s="13">
        <f t="shared" si="192"/>
        <v>0.40647187995008499</v>
      </c>
      <c r="CP87" s="13">
        <f t="shared" si="193"/>
        <v>0.40647187995008499</v>
      </c>
      <c r="CQ87" s="13">
        <f t="shared" si="194"/>
        <v>0.40647187995008499</v>
      </c>
      <c r="CR87" s="13">
        <f t="shared" si="195"/>
        <v>0.40647187995008499</v>
      </c>
      <c r="CS87" s="13">
        <f t="shared" si="196"/>
        <v>0.40647187995008499</v>
      </c>
      <c r="CT87" s="13">
        <f t="shared" si="197"/>
        <v>0.40647187995008499</v>
      </c>
      <c r="CU87" s="13">
        <f t="shared" si="198"/>
        <v>0.40647187995008499</v>
      </c>
      <c r="CV87" s="13">
        <f t="shared" si="199"/>
        <v>0.40647187995008499</v>
      </c>
      <c r="CW87" s="13">
        <f t="shared" si="200"/>
        <v>0.40647187995008499</v>
      </c>
      <c r="CX87" s="13">
        <f t="shared" si="201"/>
        <v>0.40647187995008499</v>
      </c>
      <c r="CY87" s="13">
        <f t="shared" si="202"/>
        <v>0.40647187995008499</v>
      </c>
      <c r="CZ87" s="13">
        <f t="shared" si="203"/>
        <v>0.40647187995008499</v>
      </c>
      <c r="DB87" s="47"/>
      <c r="DC87" s="26">
        <v>5.6666666666666671E-2</v>
      </c>
      <c r="DD87" s="13">
        <f t="shared" si="204"/>
        <v>178.05843601497452</v>
      </c>
      <c r="DE87" s="13">
        <f t="shared" si="205"/>
        <v>688.10212743763634</v>
      </c>
      <c r="DF87" s="13">
        <f t="shared" si="206"/>
        <v>555.0062581936329</v>
      </c>
      <c r="DG87" s="13">
        <f t="shared" si="207"/>
        <v>464.26052133133459</v>
      </c>
      <c r="DH87" s="13">
        <f t="shared" si="208"/>
        <v>400.22712176652846</v>
      </c>
      <c r="DI87" s="13">
        <f t="shared" si="209"/>
        <v>353.39555827171898</v>
      </c>
      <c r="DJ87" s="13">
        <f t="shared" si="210"/>
        <v>317.88831151897313</v>
      </c>
      <c r="DK87" s="13">
        <f t="shared" si="211"/>
        <v>290.00905405342326</v>
      </c>
      <c r="DL87" s="13">
        <f t="shared" si="212"/>
        <v>267.38942994882848</v>
      </c>
      <c r="DM87" s="13">
        <f t="shared" si="213"/>
        <v>248.4820602544585</v>
      </c>
      <c r="DN87" s="13">
        <f t="shared" si="214"/>
        <v>232.25553659164279</v>
      </c>
      <c r="DO87" s="13">
        <f t="shared" si="215"/>
        <v>218.00840940594961</v>
      </c>
      <c r="DP87" s="13">
        <f t="shared" si="216"/>
        <v>205.25404860837031</v>
      </c>
      <c r="DQ87" s="13">
        <f t="shared" si="217"/>
        <v>193.64822892691868</v>
      </c>
      <c r="DR87" s="13">
        <f t="shared" si="218"/>
        <v>182.94281401490247</v>
      </c>
      <c r="DS87" s="13">
        <f t="shared" si="219"/>
        <v>172.95561226683981</v>
      </c>
      <c r="DT87" s="13">
        <f t="shared" si="220"/>
        <v>163.55040686364836</v>
      </c>
      <c r="DU87" s="13">
        <f t="shared" si="221"/>
        <v>154.62349031048271</v>
      </c>
      <c r="DV87" s="13">
        <f t="shared" si="222"/>
        <v>146.0944273536627</v>
      </c>
      <c r="DW87" s="13">
        <f t="shared" si="223"/>
        <v>137.89961412333599</v>
      </c>
      <c r="DX87" s="13">
        <f t="shared" si="224"/>
        <v>129.98771868844636</v>
      </c>
      <c r="DY87" s="13">
        <f t="shared" si="225"/>
        <v>122.31640941137388</v>
      </c>
      <c r="DZ87" s="13">
        <f t="shared" si="226"/>
        <v>114.84997957736644</v>
      </c>
      <c r="EA87" s="13">
        <f t="shared" si="227"/>
        <v>107.557605662093</v>
      </c>
      <c r="EB87" s="13">
        <f t="shared" si="228"/>
        <v>100.41205993959703</v>
      </c>
      <c r="EC87" s="13">
        <f t="shared" si="229"/>
        <v>93.388752753603811</v>
      </c>
      <c r="ED87" s="13">
        <f t="shared" si="230"/>
        <v>86.465016035930276</v>
      </c>
      <c r="EE87" s="13">
        <f t="shared" si="231"/>
        <v>79.619564002031495</v>
      </c>
      <c r="EF87" s="13">
        <f t="shared" si="232"/>
        <v>72.832083438326478</v>
      </c>
      <c r="EG87" s="13">
        <f t="shared" si="233"/>
        <v>66.082917190310141</v>
      </c>
      <c r="EH87" s="13">
        <f t="shared" si="234"/>
        <v>59.352812004991506</v>
      </c>
    </row>
    <row r="88" spans="5:138" x14ac:dyDescent="0.25">
      <c r="E88" s="49"/>
      <c r="F88" s="26">
        <v>5.3333333333333337E-2</v>
      </c>
      <c r="G88" s="13">
        <f t="shared" si="139"/>
        <v>300</v>
      </c>
      <c r="H88" s="13">
        <f t="shared" si="235"/>
        <v>1034.1480906744764</v>
      </c>
      <c r="I88" s="13">
        <f t="shared" si="236"/>
        <v>858.92141406916505</v>
      </c>
      <c r="J88" s="13">
        <f t="shared" si="237"/>
        <v>735.02246980090467</v>
      </c>
      <c r="K88" s="13">
        <f t="shared" si="238"/>
        <v>644.49848786451753</v>
      </c>
      <c r="L88" s="13">
        <f t="shared" si="239"/>
        <v>576.1405996543217</v>
      </c>
      <c r="M88" s="13">
        <f t="shared" si="240"/>
        <v>522.82604807841631</v>
      </c>
      <c r="N88" s="13">
        <f t="shared" si="241"/>
        <v>479.94467707359775</v>
      </c>
      <c r="O88" s="13">
        <f t="shared" si="242"/>
        <v>444.45593724156322</v>
      </c>
      <c r="P88" s="13">
        <f t="shared" si="243"/>
        <v>414.31617894288013</v>
      </c>
      <c r="Q88" s="13">
        <f t="shared" si="244"/>
        <v>388.12581796260213</v>
      </c>
      <c r="R88" s="13">
        <f t="shared" si="245"/>
        <v>364.9086408922858</v>
      </c>
      <c r="S88" s="13">
        <f t="shared" si="246"/>
        <v>343.97155810352729</v>
      </c>
      <c r="T88" s="13">
        <f t="shared" si="247"/>
        <v>324.8140100330308</v>
      </c>
      <c r="U88" s="13">
        <f t="shared" si="248"/>
        <v>307.06846423819746</v>
      </c>
      <c r="V88" s="13">
        <f t="shared" si="249"/>
        <v>290.46067356848698</v>
      </c>
      <c r="W88" s="13">
        <f t="shared" si="250"/>
        <v>274.78268967116509</v>
      </c>
      <c r="X88" s="13">
        <f t="shared" si="251"/>
        <v>259.87424075412287</v>
      </c>
      <c r="Y88" s="13">
        <f t="shared" si="252"/>
        <v>245.60968269594531</v>
      </c>
      <c r="Z88" s="13">
        <f t="shared" si="253"/>
        <v>231.88872403312047</v>
      </c>
      <c r="AA88" s="13">
        <f t="shared" si="254"/>
        <v>218.62974744367821</v>
      </c>
      <c r="AB88" s="13">
        <f t="shared" si="255"/>
        <v>205.76494572795929</v>
      </c>
      <c r="AC88" s="13">
        <f t="shared" si="256"/>
        <v>193.23674485745809</v>
      </c>
      <c r="AD88" s="13">
        <f t="shared" si="257"/>
        <v>180.99515270772366</v>
      </c>
      <c r="AE88" s="13">
        <f t="shared" si="258"/>
        <v>168.99578178807906</v>
      </c>
      <c r="AF88" s="13">
        <f t="shared" si="259"/>
        <v>157.19836765011775</v>
      </c>
      <c r="AG88" s="13">
        <f t="shared" si="260"/>
        <v>145.56565429196274</v>
      </c>
      <c r="AH88" s="13">
        <f t="shared" si="261"/>
        <v>134.0625517814546</v>
      </c>
      <c r="AI88" s="13">
        <f t="shared" si="262"/>
        <v>122.65549463697593</v>
      </c>
      <c r="AJ88" s="13">
        <f t="shared" si="263"/>
        <v>111.31194555329819</v>
      </c>
      <c r="AK88" s="13">
        <f t="shared" si="141"/>
        <v>100</v>
      </c>
      <c r="AL88" s="47"/>
      <c r="AM88" s="26">
        <v>5.3333333333333337E-2</v>
      </c>
      <c r="AN88" s="13">
        <f t="shared" si="142"/>
        <v>-1076400000</v>
      </c>
      <c r="AO88" s="13">
        <f t="shared" si="143"/>
        <v>-4175772252.8987803</v>
      </c>
      <c r="AP88" s="13">
        <f t="shared" si="144"/>
        <v>-3372832544.7029181</v>
      </c>
      <c r="AQ88" s="13">
        <f t="shared" si="145"/>
        <v>-2822256197.8161273</v>
      </c>
      <c r="AR88" s="13">
        <f t="shared" si="146"/>
        <v>-2432223153.5896764</v>
      </c>
      <c r="AS88" s="13">
        <f t="shared" si="147"/>
        <v>-2146265754.6335907</v>
      </c>
      <c r="AT88" s="13">
        <f t="shared" si="148"/>
        <v>-1929184464.8878803</v>
      </c>
      <c r="AU88" s="13">
        <f t="shared" si="149"/>
        <v>-1758689823.0938487</v>
      </c>
      <c r="AV88" s="13">
        <f t="shared" si="150"/>
        <v>-1620419985.3170762</v>
      </c>
      <c r="AW88" s="13">
        <f t="shared" si="151"/>
        <v>-1504948069.2906723</v>
      </c>
      <c r="AX88" s="13">
        <f t="shared" si="152"/>
        <v>-1405966561.8351398</v>
      </c>
      <c r="AY88" s="13">
        <f t="shared" si="153"/>
        <v>-1319172455.5765886</v>
      </c>
      <c r="AZ88" s="13">
        <f t="shared" si="154"/>
        <v>-1241573177.5619311</v>
      </c>
      <c r="BA88" s="13">
        <f t="shared" si="155"/>
        <v>-1171047898.1041105</v>
      </c>
      <c r="BB88" s="13">
        <f t="shared" si="156"/>
        <v>-1106065734.9889092</v>
      </c>
      <c r="BC88" s="13">
        <f t="shared" si="157"/>
        <v>-1045501663.4562665</v>
      </c>
      <c r="BD88" s="13">
        <f t="shared" si="158"/>
        <v>-988514170.67017519</v>
      </c>
      <c r="BE88" s="13">
        <f t="shared" si="159"/>
        <v>-934462540.39958763</v>
      </c>
      <c r="BF88" s="13">
        <f t="shared" si="160"/>
        <v>-882849989.41505277</v>
      </c>
      <c r="BG88" s="13">
        <f t="shared" si="161"/>
        <v>-833283950.13587403</v>
      </c>
      <c r="BH88" s="13">
        <f t="shared" si="162"/>
        <v>-785447917.99548817</v>
      </c>
      <c r="BI88" s="13">
        <f t="shared" si="163"/>
        <v>-739081229.79769611</v>
      </c>
      <c r="BJ88" s="13">
        <f t="shared" si="164"/>
        <v>-693964369.64244187</v>
      </c>
      <c r="BK88" s="13">
        <f t="shared" si="165"/>
        <v>-649908186.46987796</v>
      </c>
      <c r="BL88" s="13">
        <f t="shared" si="166"/>
        <v>-606745918.05464637</v>
      </c>
      <c r="BM88" s="13">
        <f t="shared" si="167"/>
        <v>-564327251.95251799</v>
      </c>
      <c r="BN88" s="13">
        <f t="shared" si="168"/>
        <v>-522513877.23177266</v>
      </c>
      <c r="BO88" s="13">
        <f t="shared" si="169"/>
        <v>-481176131.02668273</v>
      </c>
      <c r="BP88" s="13">
        <f t="shared" si="170"/>
        <v>-440190445.77942723</v>
      </c>
      <c r="BQ88" s="13">
        <f t="shared" si="171"/>
        <v>-399437372.24488091</v>
      </c>
      <c r="BR88" s="13">
        <f t="shared" si="172"/>
        <v>-358800000</v>
      </c>
      <c r="BT88" s="47"/>
      <c r="BU88" s="26">
        <v>5.3333333333333337E-2</v>
      </c>
      <c r="BV88" s="13">
        <f t="shared" si="173"/>
        <v>0.40647187995029982</v>
      </c>
      <c r="BW88" s="13">
        <f t="shared" si="174"/>
        <v>0.40647187995029982</v>
      </c>
      <c r="BX88" s="13">
        <f t="shared" si="175"/>
        <v>0.40647187995029982</v>
      </c>
      <c r="BY88" s="13">
        <f t="shared" si="176"/>
        <v>0.40647187995029982</v>
      </c>
      <c r="BZ88" s="13">
        <f t="shared" si="177"/>
        <v>0.40647187995029982</v>
      </c>
      <c r="CA88" s="13">
        <f t="shared" si="178"/>
        <v>0.40647187995029982</v>
      </c>
      <c r="CB88" s="13">
        <f t="shared" si="179"/>
        <v>0.40647187995029982</v>
      </c>
      <c r="CC88" s="13">
        <f t="shared" si="180"/>
        <v>0.40647187995029982</v>
      </c>
      <c r="CD88" s="13">
        <f t="shared" si="181"/>
        <v>0.40647187995029982</v>
      </c>
      <c r="CE88" s="13">
        <f t="shared" si="182"/>
        <v>0.40647187995029982</v>
      </c>
      <c r="CF88" s="13">
        <f t="shared" si="183"/>
        <v>0.40647187995029982</v>
      </c>
      <c r="CG88" s="13">
        <f t="shared" si="184"/>
        <v>0.40647187995029982</v>
      </c>
      <c r="CH88" s="13">
        <f t="shared" si="185"/>
        <v>0.40647187995029982</v>
      </c>
      <c r="CI88" s="13">
        <f t="shared" si="186"/>
        <v>0.40647187995029982</v>
      </c>
      <c r="CJ88" s="13">
        <f t="shared" si="187"/>
        <v>0.40647187995029982</v>
      </c>
      <c r="CK88" s="13">
        <f t="shared" si="188"/>
        <v>0.40647187995029982</v>
      </c>
      <c r="CL88" s="13">
        <f t="shared" si="189"/>
        <v>0.40647187995029982</v>
      </c>
      <c r="CM88" s="13">
        <f t="shared" si="190"/>
        <v>0.40647187995029982</v>
      </c>
      <c r="CN88" s="13">
        <f t="shared" si="191"/>
        <v>0.40647187995029982</v>
      </c>
      <c r="CO88" s="13">
        <f t="shared" si="192"/>
        <v>0.40647187995029982</v>
      </c>
      <c r="CP88" s="13">
        <f t="shared" si="193"/>
        <v>0.40647187995029982</v>
      </c>
      <c r="CQ88" s="13">
        <f t="shared" si="194"/>
        <v>0.40647187995029982</v>
      </c>
      <c r="CR88" s="13">
        <f t="shared" si="195"/>
        <v>0.40647187995029982</v>
      </c>
      <c r="CS88" s="13">
        <f t="shared" si="196"/>
        <v>0.40647187995029982</v>
      </c>
      <c r="CT88" s="13">
        <f t="shared" si="197"/>
        <v>0.40647187995029982</v>
      </c>
      <c r="CU88" s="13">
        <f t="shared" si="198"/>
        <v>0.40647187995029982</v>
      </c>
      <c r="CV88" s="13">
        <f t="shared" si="199"/>
        <v>0.40647187995029982</v>
      </c>
      <c r="CW88" s="13">
        <f t="shared" si="200"/>
        <v>0.40647187995029982</v>
      </c>
      <c r="CX88" s="13">
        <f t="shared" si="201"/>
        <v>0.40647187995029982</v>
      </c>
      <c r="CY88" s="13">
        <f t="shared" si="202"/>
        <v>0.40647187995029982</v>
      </c>
      <c r="CZ88" s="13">
        <f t="shared" si="203"/>
        <v>0.40647187995029982</v>
      </c>
      <c r="DB88" s="47"/>
      <c r="DC88" s="26">
        <v>5.3333333333333337E-2</v>
      </c>
      <c r="DD88" s="13">
        <f t="shared" si="204"/>
        <v>178.05843601491006</v>
      </c>
      <c r="DE88" s="13">
        <f t="shared" si="205"/>
        <v>583.81319189750241</v>
      </c>
      <c r="DF88" s="13">
        <f t="shared" si="206"/>
        <v>491.62143359983327</v>
      </c>
      <c r="DG88" s="13">
        <f t="shared" si="207"/>
        <v>425.01551273157884</v>
      </c>
      <c r="DH88" s="13">
        <f t="shared" si="208"/>
        <v>375.39598875837186</v>
      </c>
      <c r="DI88" s="13">
        <f t="shared" si="209"/>
        <v>337.28875206060138</v>
      </c>
      <c r="DJ88" s="13">
        <f t="shared" si="210"/>
        <v>307.14533125528294</v>
      </c>
      <c r="DK88" s="13">
        <f t="shared" si="211"/>
        <v>282.62304967378748</v>
      </c>
      <c r="DL88" s="13">
        <f t="shared" si="212"/>
        <v>262.1469433444471</v>
      </c>
      <c r="DM88" s="13">
        <f t="shared" si="213"/>
        <v>244.63914507362261</v>
      </c>
      <c r="DN88" s="13">
        <f t="shared" si="214"/>
        <v>229.34911669125921</v>
      </c>
      <c r="DO88" s="13">
        <f t="shared" si="215"/>
        <v>215.74545589664476</v>
      </c>
      <c r="DP88" s="13">
        <f t="shared" si="216"/>
        <v>203.44583811894546</v>
      </c>
      <c r="DQ88" s="13">
        <f t="shared" si="217"/>
        <v>192.17092236216172</v>
      </c>
      <c r="DR88" s="13">
        <f t="shared" si="218"/>
        <v>181.71353915995201</v>
      </c>
      <c r="DS88" s="13">
        <f t="shared" si="219"/>
        <v>171.91776962118152</v>
      </c>
      <c r="DT88" s="13">
        <f t="shared" si="220"/>
        <v>162.6645223530748</v>
      </c>
      <c r="DU88" s="13">
        <f t="shared" si="221"/>
        <v>153.86144330954122</v>
      </c>
      <c r="DV88" s="13">
        <f t="shared" si="222"/>
        <v>145.43575835717505</v>
      </c>
      <c r="DW88" s="13">
        <f t="shared" si="223"/>
        <v>137.32913051399655</v>
      </c>
      <c r="DX88" s="13">
        <f t="shared" si="224"/>
        <v>129.49392161350951</v>
      </c>
      <c r="DY88" s="13">
        <f t="shared" si="225"/>
        <v>121.89044706109271</v>
      </c>
      <c r="DZ88" s="13">
        <f t="shared" si="226"/>
        <v>114.48494246352202</v>
      </c>
      <c r="EA88" s="13">
        <f t="shared" si="227"/>
        <v>107.24804704008844</v>
      </c>
      <c r="EB88" s="13">
        <f t="shared" si="228"/>
        <v>100.15366639852984</v>
      </c>
      <c r="EC88" s="13">
        <f t="shared" si="229"/>
        <v>93.178116308874181</v>
      </c>
      <c r="ED88" s="13">
        <f t="shared" si="230"/>
        <v>86.299475815811164</v>
      </c>
      <c r="EE88" s="13">
        <f t="shared" si="231"/>
        <v>79.497096450210563</v>
      </c>
      <c r="EF88" s="13">
        <f t="shared" si="232"/>
        <v>72.751227072352492</v>
      </c>
      <c r="EG88" s="13">
        <f t="shared" si="233"/>
        <v>66.042722732577033</v>
      </c>
      <c r="EH88" s="13">
        <f t="shared" si="234"/>
        <v>59.352812004970019</v>
      </c>
    </row>
    <row r="89" spans="5:138" x14ac:dyDescent="0.25">
      <c r="E89" s="49"/>
      <c r="F89" s="26">
        <v>0.05</v>
      </c>
      <c r="G89" s="13">
        <f t="shared" si="139"/>
        <v>300</v>
      </c>
      <c r="H89" s="13">
        <f t="shared" si="235"/>
        <v>848.00564888972337</v>
      </c>
      <c r="I89" s="13">
        <f t="shared" si="236"/>
        <v>743.91803850956057</v>
      </c>
      <c r="J89" s="13">
        <f t="shared" si="237"/>
        <v>662.68251819414309</v>
      </c>
      <c r="K89" s="13">
        <f t="shared" si="238"/>
        <v>598.02425112552305</v>
      </c>
      <c r="L89" s="13">
        <f t="shared" si="239"/>
        <v>545.55930223187022</v>
      </c>
      <c r="M89" s="13">
        <f t="shared" si="240"/>
        <v>502.16484364650842</v>
      </c>
      <c r="N89" s="13">
        <f t="shared" si="241"/>
        <v>465.58746348070144</v>
      </c>
      <c r="O89" s="13">
        <f t="shared" si="242"/>
        <v>434.18559018067776</v>
      </c>
      <c r="P89" s="13">
        <f t="shared" si="243"/>
        <v>406.75379908712011</v>
      </c>
      <c r="Q89" s="13">
        <f t="shared" si="244"/>
        <v>382.40028238791996</v>
      </c>
      <c r="R89" s="13">
        <f t="shared" si="245"/>
        <v>360.46025737566231</v>
      </c>
      <c r="S89" s="13">
        <f t="shared" si="246"/>
        <v>340.43425339859169</v>
      </c>
      <c r="T89" s="13">
        <f t="shared" si="247"/>
        <v>321.94385151010141</v>
      </c>
      <c r="U89" s="13">
        <f t="shared" si="248"/>
        <v>304.69976117885778</v>
      </c>
      <c r="V89" s="13">
        <f t="shared" si="249"/>
        <v>288.47866291801506</v>
      </c>
      <c r="W89" s="13">
        <f t="shared" si="250"/>
        <v>273.10630751610552</v>
      </c>
      <c r="X89" s="13">
        <f t="shared" si="251"/>
        <v>258.44510242841261</v>
      </c>
      <c r="Y89" s="13">
        <f t="shared" si="252"/>
        <v>244.3849342582302</v>
      </c>
      <c r="Z89" s="13">
        <f t="shared" si="253"/>
        <v>230.83634009402692</v>
      </c>
      <c r="AA89" s="13">
        <f t="shared" si="254"/>
        <v>217.72539599903931</v>
      </c>
      <c r="AB89" s="13">
        <f t="shared" si="255"/>
        <v>204.98987054523326</v>
      </c>
      <c r="AC89" s="13">
        <f t="shared" si="256"/>
        <v>192.57631768908391</v>
      </c>
      <c r="AD89" s="13">
        <f t="shared" si="257"/>
        <v>180.43787245994767</v>
      </c>
      <c r="AE89" s="13">
        <f t="shared" si="258"/>
        <v>168.5325760339997</v>
      </c>
      <c r="AF89" s="13">
        <f t="shared" si="259"/>
        <v>156.82210157977499</v>
      </c>
      <c r="AG89" s="13">
        <f t="shared" si="260"/>
        <v>145.27078419779045</v>
      </c>
      <c r="AH89" s="13">
        <f t="shared" si="261"/>
        <v>133.84488109403054</v>
      </c>
      <c r="AI89" s="13">
        <f t="shared" si="262"/>
        <v>122.51200442929871</v>
      </c>
      <c r="AJ89" s="13">
        <f t="shared" si="263"/>
        <v>111.240680873293</v>
      </c>
      <c r="AK89" s="13">
        <f t="shared" si="141"/>
        <v>100</v>
      </c>
      <c r="AL89" s="47"/>
      <c r="AM89" s="26">
        <v>0.05</v>
      </c>
      <c r="AN89" s="13">
        <f t="shared" si="142"/>
        <v>-1076400000</v>
      </c>
      <c r="AO89" s="13">
        <f t="shared" si="143"/>
        <v>-3277528803.7515612</v>
      </c>
      <c r="AP89" s="13">
        <f t="shared" si="144"/>
        <v>-2811896486.4566631</v>
      </c>
      <c r="AQ89" s="13">
        <f t="shared" si="145"/>
        <v>-2470097361.7512712</v>
      </c>
      <c r="AR89" s="13">
        <f t="shared" si="146"/>
        <v>-2208585407.4334335</v>
      </c>
      <c r="AS89" s="13">
        <f t="shared" si="147"/>
        <v>-2001845845.4244187</v>
      </c>
      <c r="AT89" s="13">
        <f t="shared" si="148"/>
        <v>-1833913877.6799164</v>
      </c>
      <c r="AU89" s="13">
        <f t="shared" si="149"/>
        <v>-1694248566.4239671</v>
      </c>
      <c r="AV89" s="13">
        <f t="shared" si="150"/>
        <v>-1575603899.0494885</v>
      </c>
      <c r="AW89" s="13">
        <f t="shared" si="151"/>
        <v>-1472852925.1227698</v>
      </c>
      <c r="AX89" s="13">
        <f t="shared" si="152"/>
        <v>-1382292227.3118117</v>
      </c>
      <c r="AY89" s="13">
        <f t="shared" si="153"/>
        <v>-1301204959.9528241</v>
      </c>
      <c r="AZ89" s="13">
        <f t="shared" si="154"/>
        <v>-1227573026.4840398</v>
      </c>
      <c r="BA89" s="13">
        <f t="shared" si="155"/>
        <v>-1159880857.1304965</v>
      </c>
      <c r="BB89" s="13">
        <f t="shared" si="156"/>
        <v>-1096978363.4000556</v>
      </c>
      <c r="BC89" s="13">
        <f t="shared" si="157"/>
        <v>-1037983568.358766</v>
      </c>
      <c r="BD89" s="13">
        <f t="shared" si="158"/>
        <v>-982212537.95643628</v>
      </c>
      <c r="BE89" s="13">
        <f t="shared" si="159"/>
        <v>-929128443.16146362</v>
      </c>
      <c r="BF89" s="13">
        <f t="shared" si="160"/>
        <v>-878304208.51813948</v>
      </c>
      <c r="BG89" s="13">
        <f t="shared" si="161"/>
        <v>-829394913.78491414</v>
      </c>
      <c r="BH89" s="13">
        <f t="shared" si="162"/>
        <v>-782117263.07793617</v>
      </c>
      <c r="BI89" s="13">
        <f t="shared" si="163"/>
        <v>-736234220.57316983</v>
      </c>
      <c r="BJ89" s="13">
        <f t="shared" si="164"/>
        <v>-691543454.86393607</v>
      </c>
      <c r="BK89" s="13">
        <f t="shared" si="165"/>
        <v>-647868613.10523558</v>
      </c>
      <c r="BL89" s="13">
        <f t="shared" si="166"/>
        <v>-605052712.31363332</v>
      </c>
      <c r="BM89" s="13">
        <f t="shared" si="167"/>
        <v>-562953123.1565696</v>
      </c>
      <c r="BN89" s="13">
        <f t="shared" si="168"/>
        <v>-521437754.81770796</v>
      </c>
      <c r="BO89" s="13">
        <f t="shared" si="169"/>
        <v>-480382144.24844384</v>
      </c>
      <c r="BP89" s="13">
        <f t="shared" si="170"/>
        <v>-439667220.45722973</v>
      </c>
      <c r="BQ89" s="13">
        <f t="shared" si="171"/>
        <v>-399177562.12261754</v>
      </c>
      <c r="BR89" s="13">
        <f t="shared" si="172"/>
        <v>-358800000</v>
      </c>
      <c r="BT89" s="47"/>
      <c r="BU89" s="26">
        <v>0.05</v>
      </c>
      <c r="BV89" s="13">
        <f t="shared" si="173"/>
        <v>0.40647187995160011</v>
      </c>
      <c r="BW89" s="13">
        <f t="shared" si="174"/>
        <v>0.40647187995160011</v>
      </c>
      <c r="BX89" s="13">
        <f t="shared" si="175"/>
        <v>0.40647187995160011</v>
      </c>
      <c r="BY89" s="13">
        <f t="shared" si="176"/>
        <v>0.40647187995160011</v>
      </c>
      <c r="BZ89" s="13">
        <f t="shared" si="177"/>
        <v>0.40647187995160011</v>
      </c>
      <c r="CA89" s="13">
        <f t="shared" si="178"/>
        <v>0.40647187995160011</v>
      </c>
      <c r="CB89" s="13">
        <f t="shared" si="179"/>
        <v>0.40647187995160011</v>
      </c>
      <c r="CC89" s="13">
        <f t="shared" si="180"/>
        <v>0.40647187995160011</v>
      </c>
      <c r="CD89" s="13">
        <f t="shared" si="181"/>
        <v>0.40647187995160011</v>
      </c>
      <c r="CE89" s="13">
        <f t="shared" si="182"/>
        <v>0.40647187995160011</v>
      </c>
      <c r="CF89" s="13">
        <f t="shared" si="183"/>
        <v>0.40647187995160011</v>
      </c>
      <c r="CG89" s="13">
        <f t="shared" si="184"/>
        <v>0.40647187995160011</v>
      </c>
      <c r="CH89" s="13">
        <f t="shared" si="185"/>
        <v>0.40647187995160011</v>
      </c>
      <c r="CI89" s="13">
        <f t="shared" si="186"/>
        <v>0.40647187995160011</v>
      </c>
      <c r="CJ89" s="13">
        <f t="shared" si="187"/>
        <v>0.40647187995160011</v>
      </c>
      <c r="CK89" s="13">
        <f t="shared" si="188"/>
        <v>0.40647187995160011</v>
      </c>
      <c r="CL89" s="13">
        <f t="shared" si="189"/>
        <v>0.40647187995160011</v>
      </c>
      <c r="CM89" s="13">
        <f t="shared" si="190"/>
        <v>0.40647187995160011</v>
      </c>
      <c r="CN89" s="13">
        <f t="shared" si="191"/>
        <v>0.40647187995160011</v>
      </c>
      <c r="CO89" s="13">
        <f t="shared" si="192"/>
        <v>0.40647187995160011</v>
      </c>
      <c r="CP89" s="13">
        <f t="shared" si="193"/>
        <v>0.40647187995160011</v>
      </c>
      <c r="CQ89" s="13">
        <f t="shared" si="194"/>
        <v>0.40647187995160011</v>
      </c>
      <c r="CR89" s="13">
        <f t="shared" si="195"/>
        <v>0.40647187995160011</v>
      </c>
      <c r="CS89" s="13">
        <f t="shared" si="196"/>
        <v>0.40647187995160011</v>
      </c>
      <c r="CT89" s="13">
        <f t="shared" si="197"/>
        <v>0.40647187995160011</v>
      </c>
      <c r="CU89" s="13">
        <f t="shared" si="198"/>
        <v>0.40647187995160011</v>
      </c>
      <c r="CV89" s="13">
        <f t="shared" si="199"/>
        <v>0.40647187995160011</v>
      </c>
      <c r="CW89" s="13">
        <f t="shared" si="200"/>
        <v>0.40647187995160011</v>
      </c>
      <c r="CX89" s="13">
        <f t="shared" si="201"/>
        <v>0.40647187995160011</v>
      </c>
      <c r="CY89" s="13">
        <f t="shared" si="202"/>
        <v>0.40647187995160011</v>
      </c>
      <c r="CZ89" s="13">
        <f t="shared" si="203"/>
        <v>0.40647187995160011</v>
      </c>
      <c r="DB89" s="47"/>
      <c r="DC89" s="26">
        <v>0.05</v>
      </c>
      <c r="DD89" s="13">
        <f t="shared" si="204"/>
        <v>178.05843601451994</v>
      </c>
      <c r="DE89" s="13">
        <f t="shared" si="205"/>
        <v>427.65353032491112</v>
      </c>
      <c r="DF89" s="13">
        <f t="shared" si="206"/>
        <v>394.79063660218031</v>
      </c>
      <c r="DG89" s="13">
        <f t="shared" si="207"/>
        <v>363.91655308750109</v>
      </c>
      <c r="DH89" s="13">
        <f t="shared" si="208"/>
        <v>336.05373913726902</v>
      </c>
      <c r="DI89" s="13">
        <f t="shared" si="209"/>
        <v>311.37434957393589</v>
      </c>
      <c r="DJ89" s="13">
        <f t="shared" si="210"/>
        <v>289.65075699640892</v>
      </c>
      <c r="DK89" s="13">
        <f t="shared" si="211"/>
        <v>270.50344831783258</v>
      </c>
      <c r="DL89" s="13">
        <f t="shared" si="212"/>
        <v>253.5267498144492</v>
      </c>
      <c r="DM89" s="13">
        <f t="shared" si="213"/>
        <v>238.34592293784411</v>
      </c>
      <c r="DN89" s="13">
        <f t="shared" si="214"/>
        <v>224.63805150290855</v>
      </c>
      <c r="DO89" s="13">
        <f t="shared" si="215"/>
        <v>212.13515610159158</v>
      </c>
      <c r="DP89" s="13">
        <f t="shared" si="216"/>
        <v>200.61948752636991</v>
      </c>
      <c r="DQ89" s="13">
        <f t="shared" si="217"/>
        <v>189.91609021735749</v>
      </c>
      <c r="DR89" s="13">
        <f t="shared" si="218"/>
        <v>179.88506524610699</v>
      </c>
      <c r="DS89" s="13">
        <f t="shared" si="219"/>
        <v>170.41456688062408</v>
      </c>
      <c r="DT89" s="13">
        <f t="shared" si="220"/>
        <v>161.41487106730995</v>
      </c>
      <c r="DU89" s="13">
        <f t="shared" si="221"/>
        <v>152.81353123808958</v>
      </c>
      <c r="DV89" s="13">
        <f t="shared" si="222"/>
        <v>144.55150479849331</v>
      </c>
      <c r="DW89" s="13">
        <f t="shared" si="223"/>
        <v>136.58009449670666</v>
      </c>
      <c r="DX89" s="13">
        <f t="shared" si="224"/>
        <v>128.85855154226388</v>
      </c>
      <c r="DY89" s="13">
        <f t="shared" si="225"/>
        <v>121.35220622705069</v>
      </c>
      <c r="DZ89" s="13">
        <f t="shared" si="226"/>
        <v>114.03101473114523</v>
      </c>
      <c r="EA89" s="13">
        <f t="shared" si="227"/>
        <v>106.86843247671229</v>
      </c>
      <c r="EB89" s="13">
        <f t="shared" si="228"/>
        <v>99.840542906708819</v>
      </c>
      <c r="EC89" s="13">
        <f t="shared" si="229"/>
        <v>92.925385555708829</v>
      </c>
      <c r="ED89" s="13">
        <f t="shared" si="230"/>
        <v>86.102439041351644</v>
      </c>
      <c r="EE89" s="13">
        <f t="shared" si="231"/>
        <v>79.352223640313937</v>
      </c>
      <c r="EF89" s="13">
        <f t="shared" si="232"/>
        <v>72.655994937813702</v>
      </c>
      <c r="EG89" s="13">
        <f t="shared" si="233"/>
        <v>65.995505103173741</v>
      </c>
      <c r="EH89" s="13">
        <f t="shared" si="234"/>
        <v>59.352812004839983</v>
      </c>
    </row>
    <row r="90" spans="5:138" x14ac:dyDescent="0.25">
      <c r="E90" s="49"/>
      <c r="F90" s="26">
        <v>4.6666666666666669E-2</v>
      </c>
      <c r="G90" s="13">
        <f t="shared" si="139"/>
        <v>300</v>
      </c>
      <c r="H90" s="13">
        <f t="shared" si="235"/>
        <v>605.12781204815087</v>
      </c>
      <c r="I90" s="13">
        <f t="shared" si="236"/>
        <v>594.44157978948283</v>
      </c>
      <c r="J90" s="13">
        <f t="shared" si="237"/>
        <v>568.02554086982445</v>
      </c>
      <c r="K90" s="13">
        <f t="shared" si="238"/>
        <v>536.36296260028303</v>
      </c>
      <c r="L90" s="13">
        <f t="shared" si="239"/>
        <v>504.25842292138304</v>
      </c>
      <c r="M90" s="13">
        <f t="shared" si="240"/>
        <v>473.73880378555612</v>
      </c>
      <c r="N90" s="13">
        <f t="shared" si="241"/>
        <v>445.50060074403461</v>
      </c>
      <c r="O90" s="13">
        <f t="shared" si="242"/>
        <v>419.62876933205888</v>
      </c>
      <c r="P90" s="13">
        <f t="shared" si="243"/>
        <v>395.9498023235866</v>
      </c>
      <c r="Q90" s="13">
        <f t="shared" si="244"/>
        <v>374.20131345479467</v>
      </c>
      <c r="R90" s="13">
        <f t="shared" si="245"/>
        <v>354.11004862016262</v>
      </c>
      <c r="S90" s="13">
        <f t="shared" si="246"/>
        <v>335.42474451735359</v>
      </c>
      <c r="T90" s="13">
        <f t="shared" si="247"/>
        <v>317.92723938517872</v>
      </c>
      <c r="U90" s="13">
        <f t="shared" si="248"/>
        <v>301.43356529577085</v>
      </c>
      <c r="V90" s="13">
        <f t="shared" si="249"/>
        <v>285.79082477746391</v>
      </c>
      <c r="W90" s="13">
        <f t="shared" si="250"/>
        <v>270.87265323818383</v>
      </c>
      <c r="X90" s="13">
        <f t="shared" si="251"/>
        <v>256.5745593567317</v>
      </c>
      <c r="Y90" s="13">
        <f t="shared" si="252"/>
        <v>242.80968717326644</v>
      </c>
      <c r="Z90" s="13">
        <f t="shared" si="253"/>
        <v>229.50518187291763</v>
      </c>
      <c r="AA90" s="13">
        <f t="shared" si="254"/>
        <v>216.59917444971848</v>
      </c>
      <c r="AB90" s="13">
        <f t="shared" si="255"/>
        <v>204.03833037292446</v>
      </c>
      <c r="AC90" s="13">
        <f t="shared" si="256"/>
        <v>191.77588400005686</v>
      </c>
      <c r="AD90" s="13">
        <f t="shared" si="257"/>
        <v>179.77007851194378</v>
      </c>
      <c r="AE90" s="13">
        <f t="shared" si="258"/>
        <v>167.98293803266375</v>
      </c>
      <c r="AF90" s="13">
        <f t="shared" si="259"/>
        <v>156.37930829002721</v>
      </c>
      <c r="AG90" s="13">
        <f t="shared" si="260"/>
        <v>144.92611190167713</v>
      </c>
      <c r="AH90" s="13">
        <f t="shared" si="261"/>
        <v>133.59177299523876</v>
      </c>
      <c r="AI90" s="13">
        <f t="shared" si="262"/>
        <v>122.34577302236887</v>
      </c>
      <c r="AJ90" s="13">
        <f t="shared" si="263"/>
        <v>111.15830528767378</v>
      </c>
      <c r="AK90" s="13">
        <f t="shared" si="141"/>
        <v>100</v>
      </c>
      <c r="AL90" s="47"/>
      <c r="AM90" s="26">
        <v>4.6666666666666669E-2</v>
      </c>
      <c r="AN90" s="13">
        <f t="shared" si="142"/>
        <v>-1076400000</v>
      </c>
      <c r="AO90" s="13">
        <f t="shared" si="143"/>
        <v>-1700018834.961587</v>
      </c>
      <c r="AP90" s="13">
        <f t="shared" si="144"/>
        <v>-1915354123.0313063</v>
      </c>
      <c r="AQ90" s="13">
        <f t="shared" si="145"/>
        <v>-1942331136.5345087</v>
      </c>
      <c r="AR90" s="13">
        <f t="shared" si="146"/>
        <v>-1886543140.7100499</v>
      </c>
      <c r="AS90" s="13">
        <f t="shared" si="147"/>
        <v>-1798166022.6222258</v>
      </c>
      <c r="AT90" s="13">
        <f t="shared" si="148"/>
        <v>-1700503003.8865137</v>
      </c>
      <c r="AU90" s="13">
        <f t="shared" si="149"/>
        <v>-1603877267.3563354</v>
      </c>
      <c r="AV90" s="13">
        <f t="shared" si="150"/>
        <v>-1512412228.1045282</v>
      </c>
      <c r="AW90" s="13">
        <f t="shared" si="151"/>
        <v>-1427340366.1307297</v>
      </c>
      <c r="AX90" s="13">
        <f t="shared" si="152"/>
        <v>-1348610353.5327003</v>
      </c>
      <c r="AY90" s="13">
        <f t="shared" si="153"/>
        <v>-1275657988.2814829</v>
      </c>
      <c r="AZ90" s="13">
        <f t="shared" si="154"/>
        <v>-1207766499.0427706</v>
      </c>
      <c r="BA90" s="13">
        <f t="shared" si="155"/>
        <v>-1144226312.6886177</v>
      </c>
      <c r="BB90" s="13">
        <f t="shared" si="156"/>
        <v>-1084398203.6375082</v>
      </c>
      <c r="BC90" s="13">
        <f t="shared" si="157"/>
        <v>-1027731160.9333806</v>
      </c>
      <c r="BD90" s="13">
        <f t="shared" si="158"/>
        <v>-973760172.52305031</v>
      </c>
      <c r="BE90" s="13">
        <f t="shared" si="159"/>
        <v>-922096117.79854286</v>
      </c>
      <c r="BF90" s="13">
        <f t="shared" si="160"/>
        <v>-872413498.53239989</v>
      </c>
      <c r="BG90" s="13">
        <f t="shared" si="161"/>
        <v>-824438552.71682692</v>
      </c>
      <c r="BH90" s="13">
        <f t="shared" si="162"/>
        <v>-777938749.5219034</v>
      </c>
      <c r="BI90" s="13">
        <f t="shared" si="163"/>
        <v>-732713935.20311809</v>
      </c>
      <c r="BJ90" s="13">
        <f t="shared" si="164"/>
        <v>-688589075.93132997</v>
      </c>
      <c r="BK90" s="13">
        <f t="shared" si="165"/>
        <v>-645408416.21725821</v>
      </c>
      <c r="BL90" s="13">
        <f t="shared" si="166"/>
        <v>-603030836.66202021</v>
      </c>
      <c r="BM90" s="13">
        <f t="shared" si="167"/>
        <v>-561326200.49366093</v>
      </c>
      <c r="BN90" s="13">
        <f t="shared" si="168"/>
        <v>-520172499.57881987</v>
      </c>
      <c r="BO90" s="13">
        <f t="shared" si="169"/>
        <v>-479453635.47954595</v>
      </c>
      <c r="BP90" s="13">
        <f t="shared" si="170"/>
        <v>-439057694.41228038</v>
      </c>
      <c r="BQ90" s="13">
        <f t="shared" si="171"/>
        <v>-398875594.60862041</v>
      </c>
      <c r="BR90" s="13">
        <f t="shared" si="172"/>
        <v>-358800000</v>
      </c>
      <c r="BT90" s="47"/>
      <c r="BU90" s="26">
        <v>4.6666666666666669E-2</v>
      </c>
      <c r="BV90" s="13">
        <f t="shared" si="173"/>
        <v>0.40647187995947059</v>
      </c>
      <c r="BW90" s="13">
        <f t="shared" si="174"/>
        <v>0.40647187995947059</v>
      </c>
      <c r="BX90" s="13">
        <f t="shared" si="175"/>
        <v>0.40647187995947059</v>
      </c>
      <c r="BY90" s="13">
        <f t="shared" si="176"/>
        <v>0.40647187995947059</v>
      </c>
      <c r="BZ90" s="13">
        <f t="shared" si="177"/>
        <v>0.40647187995947059</v>
      </c>
      <c r="CA90" s="13">
        <f t="shared" si="178"/>
        <v>0.40647187995947059</v>
      </c>
      <c r="CB90" s="13">
        <f t="shared" si="179"/>
        <v>0.40647187995947059</v>
      </c>
      <c r="CC90" s="13">
        <f t="shared" si="180"/>
        <v>0.40647187995947059</v>
      </c>
      <c r="CD90" s="13">
        <f t="shared" si="181"/>
        <v>0.40647187995947059</v>
      </c>
      <c r="CE90" s="13">
        <f t="shared" si="182"/>
        <v>0.40647187995947059</v>
      </c>
      <c r="CF90" s="13">
        <f t="shared" si="183"/>
        <v>0.40647187995947059</v>
      </c>
      <c r="CG90" s="13">
        <f t="shared" si="184"/>
        <v>0.40647187995947059</v>
      </c>
      <c r="CH90" s="13">
        <f t="shared" si="185"/>
        <v>0.40647187995947059</v>
      </c>
      <c r="CI90" s="13">
        <f t="shared" si="186"/>
        <v>0.40647187995947059</v>
      </c>
      <c r="CJ90" s="13">
        <f t="shared" si="187"/>
        <v>0.40647187995947059</v>
      </c>
      <c r="CK90" s="13">
        <f t="shared" si="188"/>
        <v>0.40647187995947059</v>
      </c>
      <c r="CL90" s="13">
        <f t="shared" si="189"/>
        <v>0.40647187995947059</v>
      </c>
      <c r="CM90" s="13">
        <f t="shared" si="190"/>
        <v>0.40647187995947059</v>
      </c>
      <c r="CN90" s="13">
        <f t="shared" si="191"/>
        <v>0.40647187995947059</v>
      </c>
      <c r="CO90" s="13">
        <f t="shared" si="192"/>
        <v>0.40647187995947059</v>
      </c>
      <c r="CP90" s="13">
        <f t="shared" si="193"/>
        <v>0.40647187995947059</v>
      </c>
      <c r="CQ90" s="13">
        <f t="shared" si="194"/>
        <v>0.40647187995947059</v>
      </c>
      <c r="CR90" s="13">
        <f t="shared" si="195"/>
        <v>0.40647187995947059</v>
      </c>
      <c r="CS90" s="13">
        <f t="shared" si="196"/>
        <v>0.40647187995947059</v>
      </c>
      <c r="CT90" s="13">
        <f t="shared" si="197"/>
        <v>0.40647187995947059</v>
      </c>
      <c r="CU90" s="13">
        <f t="shared" si="198"/>
        <v>0.40647187995947059</v>
      </c>
      <c r="CV90" s="13">
        <f t="shared" si="199"/>
        <v>0.40647187995947059</v>
      </c>
      <c r="CW90" s="13">
        <f t="shared" si="200"/>
        <v>0.40647187995947059</v>
      </c>
      <c r="CX90" s="13">
        <f t="shared" si="201"/>
        <v>0.40647187995947059</v>
      </c>
      <c r="CY90" s="13">
        <f t="shared" si="202"/>
        <v>0.40647187995947059</v>
      </c>
      <c r="CZ90" s="13">
        <f t="shared" si="203"/>
        <v>0.40647187995947059</v>
      </c>
      <c r="DB90" s="47"/>
      <c r="DC90" s="26">
        <v>4.6666666666666669E-2</v>
      </c>
      <c r="DD90" s="13">
        <f t="shared" si="204"/>
        <v>178.05843601215884</v>
      </c>
      <c r="DE90" s="13">
        <f t="shared" si="205"/>
        <v>260.43736172769422</v>
      </c>
      <c r="DF90" s="13">
        <f t="shared" si="206"/>
        <v>292.05981614073988</v>
      </c>
      <c r="DG90" s="13">
        <f t="shared" si="207"/>
        <v>298.66373188317505</v>
      </c>
      <c r="DH90" s="13">
        <f t="shared" si="208"/>
        <v>293.28292098393706</v>
      </c>
      <c r="DI90" s="13">
        <f t="shared" si="209"/>
        <v>282.50390771381774</v>
      </c>
      <c r="DJ90" s="13">
        <f t="shared" si="210"/>
        <v>269.62291573900626</v>
      </c>
      <c r="DK90" s="13">
        <f t="shared" si="211"/>
        <v>256.25238917747254</v>
      </c>
      <c r="DL90" s="13">
        <f t="shared" si="212"/>
        <v>243.14453624000654</v>
      </c>
      <c r="DM90" s="13">
        <f t="shared" si="213"/>
        <v>230.61582092798807</v>
      </c>
      <c r="DN90" s="13">
        <f t="shared" si="214"/>
        <v>218.76635177554445</v>
      </c>
      <c r="DO90" s="13">
        <f t="shared" si="215"/>
        <v>207.59309015400254</v>
      </c>
      <c r="DP90" s="13">
        <f t="shared" si="216"/>
        <v>197.04779353582924</v>
      </c>
      <c r="DQ90" s="13">
        <f t="shared" si="217"/>
        <v>187.06611682047512</v>
      </c>
      <c r="DR90" s="13">
        <f t="shared" si="218"/>
        <v>177.58168054619881</v>
      </c>
      <c r="DS90" s="13">
        <f t="shared" si="219"/>
        <v>168.53236033298393</v>
      </c>
      <c r="DT90" s="13">
        <f t="shared" si="220"/>
        <v>159.86261899332314</v>
      </c>
      <c r="DU90" s="13">
        <f t="shared" si="221"/>
        <v>151.52389270633685</v>
      </c>
      <c r="DV90" s="13">
        <f t="shared" si="222"/>
        <v>143.47408351155198</v>
      </c>
      <c r="DW90" s="13">
        <f t="shared" si="223"/>
        <v>135.67670075193479</v>
      </c>
      <c r="DX90" s="13">
        <f t="shared" si="224"/>
        <v>128.09992342306876</v>
      </c>
      <c r="DY90" s="13">
        <f t="shared" si="225"/>
        <v>120.71571231975499</v>
      </c>
      <c r="DZ90" s="13">
        <f t="shared" si="226"/>
        <v>113.49902611330269</v>
      </c>
      <c r="EA90" s="13">
        <f t="shared" si="227"/>
        <v>106.42715727726168</v>
      </c>
      <c r="EB90" s="13">
        <f t="shared" si="228"/>
        <v>99.479185017711458</v>
      </c>
      <c r="EC90" s="13">
        <f t="shared" si="229"/>
        <v>92.63553384170099</v>
      </c>
      <c r="ED90" s="13">
        <f t="shared" si="230"/>
        <v>85.877623145614692</v>
      </c>
      <c r="EE90" s="13">
        <f t="shared" si="231"/>
        <v>79.187592553996353</v>
      </c>
      <c r="EF90" s="13">
        <f t="shared" si="232"/>
        <v>72.548088264388838</v>
      </c>
      <c r="EG90" s="13">
        <f t="shared" si="233"/>
        <v>65.94209660513485</v>
      </c>
      <c r="EH90" s="13">
        <f t="shared" si="234"/>
        <v>59.35281200405295</v>
      </c>
    </row>
    <row r="91" spans="5:138" x14ac:dyDescent="0.25">
      <c r="E91" s="49"/>
      <c r="F91" s="26">
        <v>4.3333333333333335E-2</v>
      </c>
      <c r="G91" s="13">
        <f t="shared" si="139"/>
        <v>300</v>
      </c>
      <c r="H91" s="13">
        <f t="shared" si="235"/>
        <v>476.06151015034106</v>
      </c>
      <c r="I91" s="13">
        <f t="shared" si="236"/>
        <v>497.50190011610971</v>
      </c>
      <c r="J91" s="13">
        <f t="shared" si="237"/>
        <v>496.49525535865109</v>
      </c>
      <c r="K91" s="13">
        <f t="shared" si="238"/>
        <v>483.86282603150801</v>
      </c>
      <c r="L91" s="13">
        <f t="shared" si="239"/>
        <v>465.64189115188532</v>
      </c>
      <c r="M91" s="13">
        <f t="shared" si="240"/>
        <v>445.13687602510174</v>
      </c>
      <c r="N91" s="13">
        <f t="shared" si="241"/>
        <v>424.10429069173028</v>
      </c>
      <c r="O91" s="13">
        <f t="shared" si="242"/>
        <v>403.43325192761853</v>
      </c>
      <c r="P91" s="13">
        <f t="shared" si="243"/>
        <v>383.53409652775804</v>
      </c>
      <c r="Q91" s="13">
        <f t="shared" si="244"/>
        <v>364.55885639198414</v>
      </c>
      <c r="R91" s="13">
        <f t="shared" si="245"/>
        <v>346.52526647520892</v>
      </c>
      <c r="S91" s="13">
        <f t="shared" si="246"/>
        <v>329.3856424683604</v>
      </c>
      <c r="T91" s="13">
        <f t="shared" si="247"/>
        <v>313.06440074465286</v>
      </c>
      <c r="U91" s="13">
        <f t="shared" si="248"/>
        <v>297.47785942324367</v>
      </c>
      <c r="V91" s="13">
        <f t="shared" si="249"/>
        <v>282.54412633936681</v>
      </c>
      <c r="W91" s="13">
        <f t="shared" si="250"/>
        <v>268.18752729252139</v>
      </c>
      <c r="X91" s="13">
        <f t="shared" si="251"/>
        <v>254.34010352500491</v>
      </c>
      <c r="Y91" s="13">
        <f t="shared" si="252"/>
        <v>240.94160410890174</v>
      </c>
      <c r="Z91" s="13">
        <f t="shared" si="253"/>
        <v>227.93876757528699</v>
      </c>
      <c r="AA91" s="13">
        <f t="shared" si="254"/>
        <v>215.28432691094986</v>
      </c>
      <c r="AB91" s="13">
        <f t="shared" si="255"/>
        <v>202.93596753755642</v>
      </c>
      <c r="AC91" s="13">
        <f t="shared" si="256"/>
        <v>190.85535269288351</v>
      </c>
      <c r="AD91" s="13">
        <f t="shared" si="257"/>
        <v>179.00726656480856</v>
      </c>
      <c r="AE91" s="13">
        <f t="shared" si="258"/>
        <v>167.35889061083918</v>
      </c>
      <c r="AF91" s="13">
        <f t="shared" si="259"/>
        <v>155.87921008505157</v>
      </c>
      <c r="AG91" s="13">
        <f t="shared" si="260"/>
        <v>144.53853862111879</v>
      </c>
      <c r="AH91" s="13">
        <f t="shared" si="261"/>
        <v>133.30814461320315</v>
      </c>
      <c r="AI91" s="13">
        <f t="shared" si="262"/>
        <v>122.15996171011996</v>
      </c>
      <c r="AJ91" s="13">
        <f t="shared" si="263"/>
        <v>111.06636563527994</v>
      </c>
      <c r="AK91" s="13">
        <f t="shared" si="141"/>
        <v>100</v>
      </c>
      <c r="AL91" s="47"/>
      <c r="AM91" s="26">
        <v>4.3333333333333335E-2</v>
      </c>
      <c r="AN91" s="13">
        <f t="shared" si="142"/>
        <v>-1076400000</v>
      </c>
      <c r="AO91" s="13">
        <f t="shared" si="143"/>
        <v>-1465774911.8442149</v>
      </c>
      <c r="AP91" s="13">
        <f t="shared" si="144"/>
        <v>-1645199408.6152217</v>
      </c>
      <c r="AQ91" s="13">
        <f t="shared" si="145"/>
        <v>-1703575092.2940724</v>
      </c>
      <c r="AR91" s="13">
        <f t="shared" si="146"/>
        <v>-1694694317.6533542</v>
      </c>
      <c r="AS91" s="13">
        <f t="shared" si="147"/>
        <v>-1650209707.7482758</v>
      </c>
      <c r="AT91" s="13">
        <f t="shared" si="148"/>
        <v>-1588292164.315413</v>
      </c>
      <c r="AU91" s="13">
        <f t="shared" si="149"/>
        <v>-1519102835.484148</v>
      </c>
      <c r="AV91" s="13">
        <f t="shared" si="150"/>
        <v>-1448136735.9810154</v>
      </c>
      <c r="AW91" s="13">
        <f t="shared" si="151"/>
        <v>-1378219680.0887282</v>
      </c>
      <c r="AX91" s="13">
        <f t="shared" si="152"/>
        <v>-1310680777.4759281</v>
      </c>
      <c r="AY91" s="13">
        <f t="shared" si="153"/>
        <v>-1246031071.7582045</v>
      </c>
      <c r="AZ91" s="13">
        <f t="shared" si="154"/>
        <v>-1184350865.5373924</v>
      </c>
      <c r="BA91" s="13">
        <f t="shared" si="155"/>
        <v>-1125507236.2883444</v>
      </c>
      <c r="BB91" s="13">
        <f t="shared" si="156"/>
        <v>-1069273588.7465625</v>
      </c>
      <c r="BC91" s="13">
        <f t="shared" si="157"/>
        <v>-1015393285.5510004</v>
      </c>
      <c r="BD91" s="13">
        <f t="shared" si="158"/>
        <v>-963611757.27010357</v>
      </c>
      <c r="BE91" s="13">
        <f t="shared" si="159"/>
        <v>-913691151.73022592</v>
      </c>
      <c r="BF91" s="13">
        <f t="shared" si="160"/>
        <v>-865415562.57702684</v>
      </c>
      <c r="BG91" s="13">
        <f t="shared" si="161"/>
        <v>-818591391.66028225</v>
      </c>
      <c r="BH91" s="13">
        <f t="shared" si="162"/>
        <v>-773045391.75091994</v>
      </c>
      <c r="BI91" s="13">
        <f t="shared" si="163"/>
        <v>-728621785.05264604</v>
      </c>
      <c r="BJ91" s="13">
        <f t="shared" si="164"/>
        <v>-685179197.34069586</v>
      </c>
      <c r="BK91" s="13">
        <f t="shared" si="165"/>
        <v>-642587777.35497797</v>
      </c>
      <c r="BL91" s="13">
        <f t="shared" si="166"/>
        <v>-600726664.68718719</v>
      </c>
      <c r="BM91" s="13">
        <f t="shared" si="167"/>
        <v>-559481856.55089891</v>
      </c>
      <c r="BN91" s="13">
        <f t="shared" si="168"/>
        <v>-518744463.96465451</v>
      </c>
      <c r="BO91" s="13">
        <f t="shared" si="169"/>
        <v>-478409317.66466147</v>
      </c>
      <c r="BP91" s="13">
        <f t="shared" si="170"/>
        <v>-438373870.08809006</v>
      </c>
      <c r="BQ91" s="13">
        <f t="shared" si="171"/>
        <v>-398537334.35867947</v>
      </c>
      <c r="BR91" s="13">
        <f t="shared" si="172"/>
        <v>-358800000</v>
      </c>
      <c r="BT91" s="47"/>
      <c r="BU91" s="26">
        <v>4.3333333333333335E-2</v>
      </c>
      <c r="BV91" s="13">
        <f t="shared" si="173"/>
        <v>0.40647188000710688</v>
      </c>
      <c r="BW91" s="13">
        <f t="shared" si="174"/>
        <v>0.40647188000710688</v>
      </c>
      <c r="BX91" s="13">
        <f t="shared" si="175"/>
        <v>0.40647188000710688</v>
      </c>
      <c r="BY91" s="13">
        <f t="shared" si="176"/>
        <v>0.40647188000710688</v>
      </c>
      <c r="BZ91" s="13">
        <f t="shared" si="177"/>
        <v>0.40647188000710688</v>
      </c>
      <c r="CA91" s="13">
        <f t="shared" si="178"/>
        <v>0.40647188000710688</v>
      </c>
      <c r="CB91" s="13">
        <f t="shared" si="179"/>
        <v>0.40647188000710688</v>
      </c>
      <c r="CC91" s="13">
        <f t="shared" si="180"/>
        <v>0.40647188000710688</v>
      </c>
      <c r="CD91" s="13">
        <f t="shared" si="181"/>
        <v>0.40647188000710688</v>
      </c>
      <c r="CE91" s="13">
        <f t="shared" si="182"/>
        <v>0.40647188000710688</v>
      </c>
      <c r="CF91" s="13">
        <f t="shared" si="183"/>
        <v>0.40647188000710688</v>
      </c>
      <c r="CG91" s="13">
        <f t="shared" si="184"/>
        <v>0.40647188000710688</v>
      </c>
      <c r="CH91" s="13">
        <f t="shared" si="185"/>
        <v>0.40647188000710688</v>
      </c>
      <c r="CI91" s="13">
        <f t="shared" si="186"/>
        <v>0.40647188000710688</v>
      </c>
      <c r="CJ91" s="13">
        <f t="shared" si="187"/>
        <v>0.40647188000710688</v>
      </c>
      <c r="CK91" s="13">
        <f t="shared" si="188"/>
        <v>0.40647188000710688</v>
      </c>
      <c r="CL91" s="13">
        <f t="shared" si="189"/>
        <v>0.40647188000710688</v>
      </c>
      <c r="CM91" s="13">
        <f t="shared" si="190"/>
        <v>0.40647188000710688</v>
      </c>
      <c r="CN91" s="13">
        <f t="shared" si="191"/>
        <v>0.40647188000710688</v>
      </c>
      <c r="CO91" s="13">
        <f t="shared" si="192"/>
        <v>0.40647188000710688</v>
      </c>
      <c r="CP91" s="13">
        <f t="shared" si="193"/>
        <v>0.40647188000710688</v>
      </c>
      <c r="CQ91" s="13">
        <f t="shared" si="194"/>
        <v>0.40647188000710688</v>
      </c>
      <c r="CR91" s="13">
        <f t="shared" si="195"/>
        <v>0.40647188000710688</v>
      </c>
      <c r="CS91" s="13">
        <f t="shared" si="196"/>
        <v>0.40647188000710688</v>
      </c>
      <c r="CT91" s="13">
        <f t="shared" si="197"/>
        <v>0.40647188000710688</v>
      </c>
      <c r="CU91" s="13">
        <f t="shared" si="198"/>
        <v>0.40647188000710688</v>
      </c>
      <c r="CV91" s="13">
        <f t="shared" si="199"/>
        <v>0.40647188000710688</v>
      </c>
      <c r="CW91" s="13">
        <f t="shared" si="200"/>
        <v>0.40647188000710688</v>
      </c>
      <c r="CX91" s="13">
        <f t="shared" si="201"/>
        <v>0.40647188000710688</v>
      </c>
      <c r="CY91" s="13">
        <f t="shared" si="202"/>
        <v>0.40647188000710688</v>
      </c>
      <c r="CZ91" s="13">
        <f t="shared" si="203"/>
        <v>0.40647188000710688</v>
      </c>
      <c r="DB91" s="47"/>
      <c r="DC91" s="26">
        <v>4.3333333333333335E-2</v>
      </c>
      <c r="DD91" s="13">
        <f t="shared" si="204"/>
        <v>178.05843599786795</v>
      </c>
      <c r="DE91" s="13">
        <f t="shared" si="205"/>
        <v>230.09407074254196</v>
      </c>
      <c r="DF91" s="13">
        <f t="shared" si="206"/>
        <v>255.878113624684</v>
      </c>
      <c r="DG91" s="13">
        <f t="shared" si="207"/>
        <v>265.60884586923981</v>
      </c>
      <c r="DH91" s="13">
        <f t="shared" si="208"/>
        <v>265.84636425718941</v>
      </c>
      <c r="DI91" s="13">
        <f t="shared" si="209"/>
        <v>260.67502197761195</v>
      </c>
      <c r="DJ91" s="13">
        <f t="shared" si="210"/>
        <v>252.57537381806884</v>
      </c>
      <c r="DK91" s="13">
        <f t="shared" si="211"/>
        <v>243.02082396300705</v>
      </c>
      <c r="DL91" s="13">
        <f t="shared" si="212"/>
        <v>232.86595715214796</v>
      </c>
      <c r="DM91" s="13">
        <f t="shared" si="213"/>
        <v>222.59163598884749</v>
      </c>
      <c r="DN91" s="13">
        <f t="shared" si="214"/>
        <v>212.45654501088507</v>
      </c>
      <c r="DO91" s="13">
        <f t="shared" si="215"/>
        <v>202.58948928316343</v>
      </c>
      <c r="DP91" s="13">
        <f t="shared" si="216"/>
        <v>193.04491596348819</v>
      </c>
      <c r="DQ91" s="13">
        <f t="shared" si="217"/>
        <v>183.83591804628975</v>
      </c>
      <c r="DR91" s="13">
        <f t="shared" si="218"/>
        <v>174.95359144022672</v>
      </c>
      <c r="DS91" s="13">
        <f t="shared" si="219"/>
        <v>166.37819250328943</v>
      </c>
      <c r="DT91" s="13">
        <f t="shared" si="220"/>
        <v>158.08541068828367</v>
      </c>
      <c r="DU91" s="13">
        <f t="shared" si="221"/>
        <v>150.04976002127913</v>
      </c>
      <c r="DV91" s="13">
        <f t="shared" si="222"/>
        <v>142.24629407964662</v>
      </c>
      <c r="DW91" s="13">
        <f t="shared" si="223"/>
        <v>134.65136482802916</v>
      </c>
      <c r="DX91" s="13">
        <f t="shared" si="224"/>
        <v>127.24285326438549</v>
      </c>
      <c r="DY91" s="13">
        <f t="shared" si="225"/>
        <v>120.00012379736263</v>
      </c>
      <c r="DZ91" s="13">
        <f t="shared" si="226"/>
        <v>112.90384858335554</v>
      </c>
      <c r="EA91" s="13">
        <f t="shared" si="227"/>
        <v>105.93578478303358</v>
      </c>
      <c r="EB91" s="13">
        <f t="shared" si="228"/>
        <v>99.078549979585006</v>
      </c>
      <c r="EC91" s="13">
        <f t="shared" si="229"/>
        <v>92.315418650193237</v>
      </c>
      <c r="ED91" s="13">
        <f t="shared" si="230"/>
        <v>85.630149454323728</v>
      </c>
      <c r="EE91" s="13">
        <f t="shared" si="231"/>
        <v>79.006845490345796</v>
      </c>
      <c r="EF91" s="13">
        <f t="shared" si="232"/>
        <v>72.429845338794905</v>
      </c>
      <c r="EG91" s="13">
        <f t="shared" si="233"/>
        <v>65.883640306595254</v>
      </c>
      <c r="EH91" s="13">
        <f t="shared" si="234"/>
        <v>59.352811999289315</v>
      </c>
    </row>
    <row r="92" spans="5:138" x14ac:dyDescent="0.25">
      <c r="E92" s="49"/>
      <c r="F92" s="26">
        <v>0.04</v>
      </c>
      <c r="G92" s="13">
        <f t="shared" si="139"/>
        <v>300</v>
      </c>
      <c r="H92" s="13">
        <f t="shared" si="235"/>
        <v>405.52993930934491</v>
      </c>
      <c r="I92" s="13">
        <f t="shared" si="236"/>
        <v>434.33937237543705</v>
      </c>
      <c r="J92" s="13">
        <f t="shared" si="237"/>
        <v>443.76928963800134</v>
      </c>
      <c r="K92" s="13">
        <f t="shared" si="238"/>
        <v>441.36401848391569</v>
      </c>
      <c r="L92" s="13">
        <f t="shared" si="239"/>
        <v>431.98028636419644</v>
      </c>
      <c r="M92" s="13">
        <f t="shared" si="240"/>
        <v>418.67479050200296</v>
      </c>
      <c r="N92" s="13">
        <f t="shared" si="241"/>
        <v>403.33198052294779</v>
      </c>
      <c r="O92" s="13">
        <f t="shared" si="242"/>
        <v>387.08840407276273</v>
      </c>
      <c r="P92" s="13">
        <f t="shared" si="243"/>
        <v>370.6113033533951</v>
      </c>
      <c r="Q92" s="13">
        <f t="shared" si="244"/>
        <v>354.27784842543235</v>
      </c>
      <c r="R92" s="13">
        <f t="shared" si="245"/>
        <v>338.28869311161884</v>
      </c>
      <c r="S92" s="13">
        <f t="shared" si="246"/>
        <v>322.73900893122345</v>
      </c>
      <c r="T92" s="13">
        <f t="shared" si="247"/>
        <v>307.6623914721149</v>
      </c>
      <c r="U92" s="13">
        <f t="shared" si="248"/>
        <v>293.05765375942087</v>
      </c>
      <c r="V92" s="13">
        <f t="shared" si="249"/>
        <v>278.90492542654704</v>
      </c>
      <c r="W92" s="13">
        <f t="shared" si="250"/>
        <v>265.17512855832348</v>
      </c>
      <c r="X92" s="13">
        <f t="shared" si="251"/>
        <v>251.83539158639201</v>
      </c>
      <c r="Y92" s="13">
        <f t="shared" si="252"/>
        <v>238.85200243722119</v>
      </c>
      <c r="Z92" s="13">
        <f t="shared" si="253"/>
        <v>226.19189588631511</v>
      </c>
      <c r="AA92" s="13">
        <f t="shared" si="254"/>
        <v>213.82328932521705</v>
      </c>
      <c r="AB92" s="13">
        <f t="shared" si="255"/>
        <v>201.71584298047489</v>
      </c>
      <c r="AC92" s="13">
        <f t="shared" si="256"/>
        <v>189.84057213966429</v>
      </c>
      <c r="AD92" s="13">
        <f t="shared" si="257"/>
        <v>178.16964666587506</v>
      </c>
      <c r="AE92" s="13">
        <f t="shared" si="258"/>
        <v>166.67615594855658</v>
      </c>
      <c r="AF92" s="13">
        <f t="shared" si="259"/>
        <v>155.33388222651698</v>
      </c>
      <c r="AG92" s="13">
        <f t="shared" si="260"/>
        <v>144.11710365165212</v>
      </c>
      <c r="AH92" s="13">
        <f t="shared" si="261"/>
        <v>133.00043536341667</v>
      </c>
      <c r="AI92" s="13">
        <f t="shared" si="262"/>
        <v>121.95870897947017</v>
      </c>
      <c r="AJ92" s="13">
        <f t="shared" si="263"/>
        <v>110.9668862584187</v>
      </c>
      <c r="AK92" s="13">
        <f t="shared" si="141"/>
        <v>100</v>
      </c>
      <c r="AL92" s="47"/>
      <c r="AM92" s="26">
        <v>0.04</v>
      </c>
      <c r="AN92" s="13">
        <f t="shared" si="142"/>
        <v>-1076400000</v>
      </c>
      <c r="AO92" s="13">
        <f t="shared" si="143"/>
        <v>-1327849582.9534395</v>
      </c>
      <c r="AP92" s="13">
        <f t="shared" si="144"/>
        <v>-1469138398.9054649</v>
      </c>
      <c r="AQ92" s="13">
        <f t="shared" si="145"/>
        <v>-1533202310.8935254</v>
      </c>
      <c r="AR92" s="13">
        <f t="shared" si="146"/>
        <v>-1546309900.0221667</v>
      </c>
      <c r="AS92" s="13">
        <f t="shared" si="147"/>
        <v>-1527367963.2303641</v>
      </c>
      <c r="AT92" s="13">
        <f t="shared" si="148"/>
        <v>-1489204184.6122632</v>
      </c>
      <c r="AU92" s="13">
        <f t="shared" si="149"/>
        <v>-1440178650.1366837</v>
      </c>
      <c r="AV92" s="13">
        <f t="shared" si="150"/>
        <v>-1385568706.7430129</v>
      </c>
      <c r="AW92" s="13">
        <f t="shared" si="151"/>
        <v>-1328607839.1891649</v>
      </c>
      <c r="AX92" s="13">
        <f t="shared" si="152"/>
        <v>-1271212607.5465693</v>
      </c>
      <c r="AY92" s="13">
        <f t="shared" si="153"/>
        <v>-1214470320.0918415</v>
      </c>
      <c r="AZ92" s="13">
        <f t="shared" si="154"/>
        <v>-1158956983.443538</v>
      </c>
      <c r="BA92" s="13">
        <f t="shared" si="155"/>
        <v>-1104940204.3094144</v>
      </c>
      <c r="BB92" s="13">
        <f t="shared" si="156"/>
        <v>-1052506363.6781739</v>
      </c>
      <c r="BC92" s="13">
        <f t="shared" si="157"/>
        <v>-1001638967.5002861</v>
      </c>
      <c r="BD92" s="13">
        <f t="shared" si="158"/>
        <v>-952266018.00074232</v>
      </c>
      <c r="BE92" s="13">
        <f t="shared" si="159"/>
        <v>-904287995.98939455</v>
      </c>
      <c r="BF92" s="13">
        <f t="shared" si="160"/>
        <v>-857593870.8604244</v>
      </c>
      <c r="BG92" s="13">
        <f t="shared" si="161"/>
        <v>-812069830.00216818</v>
      </c>
      <c r="BH92" s="13">
        <f t="shared" si="162"/>
        <v>-767603666.62609804</v>
      </c>
      <c r="BI92" s="13">
        <f t="shared" si="163"/>
        <v>-724086649.53234661</v>
      </c>
      <c r="BJ92" s="13">
        <f t="shared" si="164"/>
        <v>-681413993.91453004</v>
      </c>
      <c r="BK92" s="13">
        <f t="shared" si="165"/>
        <v>-639484610.2113651</v>
      </c>
      <c r="BL92" s="13">
        <f t="shared" si="166"/>
        <v>-598200532.03047073</v>
      </c>
      <c r="BM92" s="13">
        <f t="shared" si="167"/>
        <v>-557466252.7869004</v>
      </c>
      <c r="BN92" s="13">
        <f t="shared" si="168"/>
        <v>-517188094.88672167</v>
      </c>
      <c r="BO92" s="13">
        <f t="shared" si="169"/>
        <v>-477273670.41279304</v>
      </c>
      <c r="BP92" s="13">
        <f t="shared" si="170"/>
        <v>-437631452.84987634</v>
      </c>
      <c r="BQ92" s="13">
        <f t="shared" si="171"/>
        <v>-398170455.71645099</v>
      </c>
      <c r="BR92" s="13">
        <f t="shared" si="172"/>
        <v>-358800000</v>
      </c>
      <c r="BT92" s="47"/>
      <c r="BU92" s="26">
        <v>0.04</v>
      </c>
      <c r="BV92" s="13">
        <f t="shared" si="173"/>
        <v>0.40647188029542825</v>
      </c>
      <c r="BW92" s="13">
        <f t="shared" si="174"/>
        <v>0.40647188029542825</v>
      </c>
      <c r="BX92" s="13">
        <f t="shared" si="175"/>
        <v>0.40647188029542825</v>
      </c>
      <c r="BY92" s="13">
        <f t="shared" si="176"/>
        <v>0.40647188029542825</v>
      </c>
      <c r="BZ92" s="13">
        <f t="shared" si="177"/>
        <v>0.40647188029542825</v>
      </c>
      <c r="CA92" s="13">
        <f t="shared" si="178"/>
        <v>0.40647188029542825</v>
      </c>
      <c r="CB92" s="13">
        <f t="shared" si="179"/>
        <v>0.40647188029542825</v>
      </c>
      <c r="CC92" s="13">
        <f t="shared" si="180"/>
        <v>0.40647188029542825</v>
      </c>
      <c r="CD92" s="13">
        <f t="shared" si="181"/>
        <v>0.40647188029542825</v>
      </c>
      <c r="CE92" s="13">
        <f t="shared" si="182"/>
        <v>0.40647188029542825</v>
      </c>
      <c r="CF92" s="13">
        <f t="shared" si="183"/>
        <v>0.40647188029542825</v>
      </c>
      <c r="CG92" s="13">
        <f t="shared" si="184"/>
        <v>0.40647188029542825</v>
      </c>
      <c r="CH92" s="13">
        <f t="shared" si="185"/>
        <v>0.40647188029542825</v>
      </c>
      <c r="CI92" s="13">
        <f t="shared" si="186"/>
        <v>0.40647188029542825</v>
      </c>
      <c r="CJ92" s="13">
        <f t="shared" si="187"/>
        <v>0.40647188029542825</v>
      </c>
      <c r="CK92" s="13">
        <f t="shared" si="188"/>
        <v>0.40647188029542825</v>
      </c>
      <c r="CL92" s="13">
        <f t="shared" si="189"/>
        <v>0.40647188029542825</v>
      </c>
      <c r="CM92" s="13">
        <f t="shared" si="190"/>
        <v>0.40647188029542825</v>
      </c>
      <c r="CN92" s="13">
        <f t="shared" si="191"/>
        <v>0.40647188029542825</v>
      </c>
      <c r="CO92" s="13">
        <f t="shared" si="192"/>
        <v>0.40647188029542825</v>
      </c>
      <c r="CP92" s="13">
        <f t="shared" si="193"/>
        <v>0.40647188029542825</v>
      </c>
      <c r="CQ92" s="13">
        <f t="shared" si="194"/>
        <v>0.40647188029542825</v>
      </c>
      <c r="CR92" s="13">
        <f t="shared" si="195"/>
        <v>0.40647188029542825</v>
      </c>
      <c r="CS92" s="13">
        <f t="shared" si="196"/>
        <v>0.40647188029542825</v>
      </c>
      <c r="CT92" s="13">
        <f t="shared" si="197"/>
        <v>0.40647188029542825</v>
      </c>
      <c r="CU92" s="13">
        <f t="shared" si="198"/>
        <v>0.40647188029542825</v>
      </c>
      <c r="CV92" s="13">
        <f t="shared" si="199"/>
        <v>0.40647188029542825</v>
      </c>
      <c r="CW92" s="13">
        <f t="shared" si="200"/>
        <v>0.40647188029542825</v>
      </c>
      <c r="CX92" s="13">
        <f t="shared" si="201"/>
        <v>0.40647188029542825</v>
      </c>
      <c r="CY92" s="13">
        <f t="shared" si="202"/>
        <v>0.40647188029542825</v>
      </c>
      <c r="CZ92" s="13">
        <f t="shared" si="203"/>
        <v>0.40647188029542825</v>
      </c>
      <c r="DB92" s="47"/>
      <c r="DC92" s="26">
        <v>0.04</v>
      </c>
      <c r="DD92" s="13">
        <f t="shared" si="204"/>
        <v>178.05843591137156</v>
      </c>
      <c r="DE92" s="13">
        <f t="shared" si="205"/>
        <v>212.02432214225468</v>
      </c>
      <c r="DF92" s="13">
        <f t="shared" si="206"/>
        <v>232.1188395846936</v>
      </c>
      <c r="DG92" s="13">
        <f t="shared" si="207"/>
        <v>241.95792963461165</v>
      </c>
      <c r="DH92" s="13">
        <f t="shared" si="208"/>
        <v>244.68738578182894</v>
      </c>
      <c r="DI92" s="13">
        <f t="shared" si="209"/>
        <v>242.70995132337049</v>
      </c>
      <c r="DJ92" s="13">
        <f t="shared" si="210"/>
        <v>237.73916751524692</v>
      </c>
      <c r="DK92" s="13">
        <f t="shared" si="211"/>
        <v>230.9455120441213</v>
      </c>
      <c r="DL92" s="13">
        <f t="shared" si="212"/>
        <v>223.1041315880444</v>
      </c>
      <c r="DM92" s="13">
        <f t="shared" si="213"/>
        <v>214.71547798034902</v>
      </c>
      <c r="DN92" s="13">
        <f t="shared" si="214"/>
        <v>206.09492458943154</v>
      </c>
      <c r="DO92" s="13">
        <f t="shared" si="215"/>
        <v>197.43591647756637</v>
      </c>
      <c r="DP92" s="13">
        <f t="shared" si="216"/>
        <v>188.85300749479134</v>
      </c>
      <c r="DQ92" s="13">
        <f t="shared" si="217"/>
        <v>180.41051584787439</v>
      </c>
      <c r="DR92" s="13">
        <f t="shared" si="218"/>
        <v>172.14126889339593</v>
      </c>
      <c r="DS92" s="13">
        <f t="shared" si="219"/>
        <v>164.05868312695554</v>
      </c>
      <c r="DT92" s="13">
        <f t="shared" si="220"/>
        <v>156.16444006795084</v>
      </c>
      <c r="DU92" s="13">
        <f t="shared" si="221"/>
        <v>148.45329147204939</v>
      </c>
      <c r="DV92" s="13">
        <f t="shared" si="222"/>
        <v>140.9160155736792</v>
      </c>
      <c r="DW92" s="13">
        <f t="shared" si="223"/>
        <v>133.54119643776562</v>
      </c>
      <c r="DX92" s="13">
        <f t="shared" si="224"/>
        <v>126.3162641675876</v>
      </c>
      <c r="DY92" s="13">
        <f t="shared" si="225"/>
        <v>119.22807867591234</v>
      </c>
      <c r="DZ92" s="13">
        <f t="shared" si="226"/>
        <v>112.26323806614079</v>
      </c>
      <c r="EA92" s="13">
        <f t="shared" si="227"/>
        <v>105.4082264387324</v>
      </c>
      <c r="EB92" s="13">
        <f t="shared" si="228"/>
        <v>98.649472997811884</v>
      </c>
      <c r="EC92" s="13">
        <f t="shared" si="229"/>
        <v>91.973366604279974</v>
      </c>
      <c r="ED92" s="13">
        <f t="shared" si="230"/>
        <v>85.366252083172597</v>
      </c>
      <c r="EE92" s="13">
        <f t="shared" si="231"/>
        <v>78.814423163793109</v>
      </c>
      <c r="EF92" s="13">
        <f t="shared" si="232"/>
        <v>72.304119646340197</v>
      </c>
      <c r="EG92" s="13">
        <f t="shared" si="233"/>
        <v>65.821531781066923</v>
      </c>
      <c r="EH92" s="13">
        <f t="shared" si="234"/>
        <v>59.352811970457175</v>
      </c>
    </row>
    <row r="93" spans="5:138" x14ac:dyDescent="0.25">
      <c r="E93" s="49"/>
      <c r="F93" s="26">
        <v>3.6666666666666667E-2</v>
      </c>
      <c r="G93" s="13">
        <f t="shared" si="139"/>
        <v>300</v>
      </c>
      <c r="H93" s="13">
        <f t="shared" si="235"/>
        <v>365.7210349631531</v>
      </c>
      <c r="I93" s="13">
        <f t="shared" si="236"/>
        <v>392.73995313176999</v>
      </c>
      <c r="J93" s="13">
        <f t="shared" si="237"/>
        <v>405.30465249890312</v>
      </c>
      <c r="K93" s="13">
        <f t="shared" si="238"/>
        <v>407.8758868537443</v>
      </c>
      <c r="L93" s="13">
        <f t="shared" si="239"/>
        <v>403.77213670799858</v>
      </c>
      <c r="M93" s="13">
        <f t="shared" si="240"/>
        <v>395.35303437719483</v>
      </c>
      <c r="N93" s="13">
        <f t="shared" si="241"/>
        <v>384.24481431060315</v>
      </c>
      <c r="O93" s="13">
        <f t="shared" si="242"/>
        <v>371.54174150052995</v>
      </c>
      <c r="P93" s="13">
        <f t="shared" si="243"/>
        <v>357.9652051652198</v>
      </c>
      <c r="Q93" s="13">
        <f t="shared" si="244"/>
        <v>343.98145702986653</v>
      </c>
      <c r="R93" s="13">
        <f t="shared" si="245"/>
        <v>329.88533491533485</v>
      </c>
      <c r="S93" s="13">
        <f t="shared" si="246"/>
        <v>315.85821611913281</v>
      </c>
      <c r="T93" s="13">
        <f t="shared" si="247"/>
        <v>302.00735231854645</v>
      </c>
      <c r="U93" s="13">
        <f t="shared" si="248"/>
        <v>288.39215776000094</v>
      </c>
      <c r="V93" s="13">
        <f t="shared" si="249"/>
        <v>275.04154696062682</v>
      </c>
      <c r="W93" s="13">
        <f t="shared" si="250"/>
        <v>261.96522819768171</v>
      </c>
      <c r="X93" s="13">
        <f t="shared" si="251"/>
        <v>249.16096685130083</v>
      </c>
      <c r="Y93" s="13">
        <f t="shared" si="252"/>
        <v>236.61919155885585</v>
      </c>
      <c r="Z93" s="13">
        <f t="shared" si="253"/>
        <v>224.3258677813844</v>
      </c>
      <c r="AA93" s="13">
        <f t="shared" si="254"/>
        <v>212.26425547687089</v>
      </c>
      <c r="AB93" s="13">
        <f t="shared" si="255"/>
        <v>200.41595878126708</v>
      </c>
      <c r="AC93" s="13">
        <f t="shared" si="256"/>
        <v>188.76153528755265</v>
      </c>
      <c r="AD93" s="13">
        <f t="shared" si="257"/>
        <v>177.28083885046686</v>
      </c>
      <c r="AE93" s="13">
        <f t="shared" si="258"/>
        <v>165.95320764205906</v>
      </c>
      <c r="AF93" s="13">
        <f t="shared" si="259"/>
        <v>154.75756804958687</v>
      </c>
      <c r="AG93" s="13">
        <f t="shared" si="260"/>
        <v>143.6724979129599</v>
      </c>
      <c r="AH93" s="13">
        <f t="shared" si="261"/>
        <v>132.67627482646733</v>
      </c>
      <c r="AI93" s="13">
        <f t="shared" si="262"/>
        <v>121.74692363250702</v>
      </c>
      <c r="AJ93" s="13">
        <f t="shared" si="263"/>
        <v>110.86226972666742</v>
      </c>
      <c r="AK93" s="13">
        <f t="shared" si="141"/>
        <v>100</v>
      </c>
      <c r="AL93" s="47"/>
      <c r="AM93" s="26">
        <v>3.6666666666666667E-2</v>
      </c>
      <c r="AN93" s="13">
        <f t="shared" si="142"/>
        <v>-1076400000</v>
      </c>
      <c r="AO93" s="13">
        <f t="shared" si="143"/>
        <v>-1243821962.6641142</v>
      </c>
      <c r="AP93" s="13">
        <f t="shared" si="144"/>
        <v>-1352048951.5364122</v>
      </c>
      <c r="AQ93" s="13">
        <f t="shared" si="145"/>
        <v>-1410930993.5679727</v>
      </c>
      <c r="AR93" s="13">
        <f t="shared" si="146"/>
        <v>-1432497760.5591431</v>
      </c>
      <c r="AS93" s="13">
        <f t="shared" si="147"/>
        <v>-1427512359.7275717</v>
      </c>
      <c r="AT93" s="13">
        <f t="shared" si="148"/>
        <v>-1404479473.6776135</v>
      </c>
      <c r="AU93" s="13">
        <f t="shared" si="149"/>
        <v>-1369677867.2388194</v>
      </c>
      <c r="AV93" s="13">
        <f t="shared" si="150"/>
        <v>-1327544381.1714594</v>
      </c>
      <c r="AW93" s="13">
        <f t="shared" si="151"/>
        <v>-1281115852.7903941</v>
      </c>
      <c r="AX93" s="13">
        <f t="shared" si="152"/>
        <v>-1232417250.4100924</v>
      </c>
      <c r="AY93" s="13">
        <f t="shared" si="153"/>
        <v>-1182766291.9658284</v>
      </c>
      <c r="AZ93" s="13">
        <f t="shared" si="154"/>
        <v>-1132998209.1882591</v>
      </c>
      <c r="BA93" s="13">
        <f t="shared" si="155"/>
        <v>-1083625245.8159301</v>
      </c>
      <c r="BB93" s="13">
        <f t="shared" si="156"/>
        <v>-1034946809.7206807</v>
      </c>
      <c r="BC93" s="13">
        <f t="shared" si="157"/>
        <v>-987124001.43695509</v>
      </c>
      <c r="BD93" s="13">
        <f t="shared" si="158"/>
        <v>-940229199.37084115</v>
      </c>
      <c r="BE93" s="13">
        <f t="shared" si="159"/>
        <v>-894278558.61105549</v>
      </c>
      <c r="BF93" s="13">
        <f t="shared" si="160"/>
        <v>-849253003.29226303</v>
      </c>
      <c r="BG93" s="13">
        <f t="shared" si="161"/>
        <v>-805111582.09237838</v>
      </c>
      <c r="BH93" s="13">
        <f t="shared" si="162"/>
        <v>-761799824.58369565</v>
      </c>
      <c r="BI93" s="13">
        <f t="shared" si="163"/>
        <v>-719254872.66255653</v>
      </c>
      <c r="BJ93" s="13">
        <f t="shared" si="164"/>
        <v>-677408567.06636977</v>
      </c>
      <c r="BK93" s="13">
        <f t="shared" si="165"/>
        <v>-636189265.382025</v>
      </c>
      <c r="BL93" s="13">
        <f t="shared" si="166"/>
        <v>-595522896.42748427</v>
      </c>
      <c r="BM93" s="13">
        <f t="shared" si="167"/>
        <v>-555333574.56234956</v>
      </c>
      <c r="BN93" s="13">
        <f t="shared" si="168"/>
        <v>-515543977.12102079</v>
      </c>
      <c r="BO93" s="13">
        <f t="shared" si="169"/>
        <v>-476075608.70927268</v>
      </c>
      <c r="BP93" s="13">
        <f t="shared" si="170"/>
        <v>-436849023.97402781</v>
      </c>
      <c r="BQ93" s="13">
        <f t="shared" si="171"/>
        <v>-397784046.53407782</v>
      </c>
      <c r="BR93" s="13">
        <f t="shared" si="172"/>
        <v>-358800000</v>
      </c>
      <c r="BT93" s="47"/>
      <c r="BU93" s="26">
        <v>3.6666666666666667E-2</v>
      </c>
      <c r="BV93" s="13">
        <f t="shared" si="173"/>
        <v>0.40647188204051027</v>
      </c>
      <c r="BW93" s="13">
        <f t="shared" si="174"/>
        <v>0.40647188204051027</v>
      </c>
      <c r="BX93" s="13">
        <f t="shared" si="175"/>
        <v>0.40647188204051027</v>
      </c>
      <c r="BY93" s="13">
        <f t="shared" si="176"/>
        <v>0.40647188204051027</v>
      </c>
      <c r="BZ93" s="13">
        <f t="shared" si="177"/>
        <v>0.40647188204051027</v>
      </c>
      <c r="CA93" s="13">
        <f t="shared" si="178"/>
        <v>0.40647188204051027</v>
      </c>
      <c r="CB93" s="13">
        <f t="shared" si="179"/>
        <v>0.40647188204051027</v>
      </c>
      <c r="CC93" s="13">
        <f t="shared" si="180"/>
        <v>0.40647188204051027</v>
      </c>
      <c r="CD93" s="13">
        <f t="shared" si="181"/>
        <v>0.40647188204051027</v>
      </c>
      <c r="CE93" s="13">
        <f t="shared" si="182"/>
        <v>0.40647188204051027</v>
      </c>
      <c r="CF93" s="13">
        <f t="shared" si="183"/>
        <v>0.40647188204051027</v>
      </c>
      <c r="CG93" s="13">
        <f t="shared" si="184"/>
        <v>0.40647188204051027</v>
      </c>
      <c r="CH93" s="13">
        <f t="shared" si="185"/>
        <v>0.40647188204051027</v>
      </c>
      <c r="CI93" s="13">
        <f t="shared" si="186"/>
        <v>0.40647188204051027</v>
      </c>
      <c r="CJ93" s="13">
        <f t="shared" si="187"/>
        <v>0.40647188204051027</v>
      </c>
      <c r="CK93" s="13">
        <f t="shared" si="188"/>
        <v>0.40647188204051027</v>
      </c>
      <c r="CL93" s="13">
        <f t="shared" si="189"/>
        <v>0.40647188204051027</v>
      </c>
      <c r="CM93" s="13">
        <f t="shared" si="190"/>
        <v>0.40647188204051027</v>
      </c>
      <c r="CN93" s="13">
        <f t="shared" si="191"/>
        <v>0.40647188204051027</v>
      </c>
      <c r="CO93" s="13">
        <f t="shared" si="192"/>
        <v>0.40647188204051027</v>
      </c>
      <c r="CP93" s="13">
        <f t="shared" si="193"/>
        <v>0.40647188204051027</v>
      </c>
      <c r="CQ93" s="13">
        <f t="shared" si="194"/>
        <v>0.40647188204051027</v>
      </c>
      <c r="CR93" s="13">
        <f t="shared" si="195"/>
        <v>0.40647188204051027</v>
      </c>
      <c r="CS93" s="13">
        <f t="shared" si="196"/>
        <v>0.40647188204051027</v>
      </c>
      <c r="CT93" s="13">
        <f t="shared" si="197"/>
        <v>0.40647188204051027</v>
      </c>
      <c r="CU93" s="13">
        <f t="shared" si="198"/>
        <v>0.40647188204051027</v>
      </c>
      <c r="CV93" s="13">
        <f t="shared" si="199"/>
        <v>0.40647188204051027</v>
      </c>
      <c r="CW93" s="13">
        <f t="shared" si="200"/>
        <v>0.40647188204051027</v>
      </c>
      <c r="CX93" s="13">
        <f t="shared" si="201"/>
        <v>0.40647188204051027</v>
      </c>
      <c r="CY93" s="13">
        <f t="shared" si="202"/>
        <v>0.40647188204051027</v>
      </c>
      <c r="CZ93" s="13">
        <f t="shared" si="203"/>
        <v>0.40647188204051027</v>
      </c>
      <c r="DB93" s="47"/>
      <c r="DC93" s="26">
        <v>3.6666666666666667E-2</v>
      </c>
      <c r="DD93" s="13">
        <f t="shared" si="204"/>
        <v>178.05843538784694</v>
      </c>
      <c r="DE93" s="13">
        <f t="shared" si="205"/>
        <v>200.88451730830977</v>
      </c>
      <c r="DF93" s="13">
        <f t="shared" si="206"/>
        <v>216.19321099803204</v>
      </c>
      <c r="DG93" s="13">
        <f t="shared" si="207"/>
        <v>224.92491414796444</v>
      </c>
      <c r="DH93" s="13">
        <f t="shared" si="208"/>
        <v>228.47382359562451</v>
      </c>
      <c r="DI93" s="13">
        <f t="shared" si="209"/>
        <v>228.18429670514507</v>
      </c>
      <c r="DJ93" s="13">
        <f t="shared" si="210"/>
        <v>225.17350431892933</v>
      </c>
      <c r="DK93" s="13">
        <f t="shared" si="211"/>
        <v>220.30170510031417</v>
      </c>
      <c r="DL93" s="13">
        <f t="shared" si="212"/>
        <v>214.20118938101658</v>
      </c>
      <c r="DM93" s="13">
        <f t="shared" si="213"/>
        <v>207.32213118567881</v>
      </c>
      <c r="DN93" s="13">
        <f t="shared" si="214"/>
        <v>199.97747321511841</v>
      </c>
      <c r="DO93" s="13">
        <f t="shared" si="215"/>
        <v>192.3804931532305</v>
      </c>
      <c r="DP93" s="13">
        <f t="shared" si="216"/>
        <v>184.67388375096937</v>
      </c>
      <c r="DQ93" s="13">
        <f t="shared" si="217"/>
        <v>176.95124102379168</v>
      </c>
      <c r="DR93" s="13">
        <f t="shared" si="218"/>
        <v>169.27246169003294</v>
      </c>
      <c r="DS93" s="13">
        <f t="shared" si="219"/>
        <v>161.67453701213006</v>
      </c>
      <c r="DT93" s="13">
        <f t="shared" si="220"/>
        <v>154.17899462224571</v>
      </c>
      <c r="DU93" s="13">
        <f t="shared" si="221"/>
        <v>146.79696126877118</v>
      </c>
      <c r="DV93" s="13">
        <f t="shared" si="222"/>
        <v>139.532568599054</v>
      </c>
      <c r="DW93" s="13">
        <f t="shared" si="223"/>
        <v>132.38522215816275</v>
      </c>
      <c r="DX93" s="13">
        <f t="shared" si="224"/>
        <v>125.35110064075737</v>
      </c>
      <c r="DY93" s="13">
        <f t="shared" si="225"/>
        <v>118.42414044760541</v>
      </c>
      <c r="DZ93" s="13">
        <f t="shared" si="226"/>
        <v>111.59668064229604</v>
      </c>
      <c r="EA93" s="13">
        <f t="shared" si="227"/>
        <v>104.85988724769589</v>
      </c>
      <c r="EB93" s="13">
        <f t="shared" si="228"/>
        <v>98.204036842371664</v>
      </c>
      <c r="EC93" s="13">
        <f t="shared" si="229"/>
        <v>91.618712596315532</v>
      </c>
      <c r="ED93" s="13">
        <f t="shared" si="230"/>
        <v>85.092947557445555</v>
      </c>
      <c r="EE93" s="13">
        <f t="shared" si="231"/>
        <v>78.615337552092114</v>
      </c>
      <c r="EF93" s="13">
        <f t="shared" si="232"/>
        <v>72.174137662390905</v>
      </c>
      <c r="EG93" s="13">
        <f t="shared" si="233"/>
        <v>65.757350625032743</v>
      </c>
      <c r="EH93" s="13">
        <f t="shared" si="234"/>
        <v>59.35281179594898</v>
      </c>
    </row>
    <row r="94" spans="5:138" x14ac:dyDescent="0.25">
      <c r="E94" s="49"/>
      <c r="F94" s="26">
        <v>3.3333333333333333E-2</v>
      </c>
      <c r="G94" s="13">
        <f t="shared" si="139"/>
        <v>300</v>
      </c>
      <c r="H94" s="13">
        <f t="shared" si="235"/>
        <v>342.43027331833298</v>
      </c>
      <c r="I94" s="13">
        <f t="shared" si="236"/>
        <v>364.93328758384638</v>
      </c>
      <c r="J94" s="13">
        <f t="shared" si="237"/>
        <v>377.29945970717006</v>
      </c>
      <c r="K94" s="13">
        <f t="shared" si="238"/>
        <v>381.86623867093783</v>
      </c>
      <c r="L94" s="13">
        <f t="shared" si="239"/>
        <v>380.69009013893287</v>
      </c>
      <c r="M94" s="13">
        <f t="shared" si="240"/>
        <v>375.42432503203918</v>
      </c>
      <c r="N94" s="13">
        <f t="shared" si="241"/>
        <v>367.32975595034179</v>
      </c>
      <c r="O94" s="13">
        <f t="shared" si="242"/>
        <v>357.33502755932182</v>
      </c>
      <c r="P94" s="13">
        <f t="shared" si="243"/>
        <v>346.10734449936672</v>
      </c>
      <c r="Q94" s="13">
        <f t="shared" si="244"/>
        <v>334.11700220750561</v>
      </c>
      <c r="R94" s="13">
        <f t="shared" si="245"/>
        <v>321.69025925779295</v>
      </c>
      <c r="S94" s="13">
        <f t="shared" si="246"/>
        <v>309.05014558897193</v>
      </c>
      <c r="T94" s="13">
        <f t="shared" si="247"/>
        <v>296.34679004976408</v>
      </c>
      <c r="U94" s="13">
        <f t="shared" si="248"/>
        <v>283.67937971280389</v>
      </c>
      <c r="V94" s="13">
        <f t="shared" si="249"/>
        <v>271.11176005455525</v>
      </c>
      <c r="W94" s="13">
        <f t="shared" si="250"/>
        <v>258.68335667820918</v>
      </c>
      <c r="X94" s="13">
        <f t="shared" si="251"/>
        <v>246.41673304650232</v>
      </c>
      <c r="Y94" s="13">
        <f t="shared" si="252"/>
        <v>234.32277102370591</v>
      </c>
      <c r="Z94" s="13">
        <f t="shared" si="253"/>
        <v>222.40419511298239</v>
      </c>
      <c r="AA94" s="13">
        <f t="shared" si="254"/>
        <v>210.65795691048532</v>
      </c>
      <c r="AB94" s="13">
        <f t="shared" si="255"/>
        <v>199.07684449622104</v>
      </c>
      <c r="AC94" s="13">
        <f t="shared" si="256"/>
        <v>187.65057127248664</v>
      </c>
      <c r="AD94" s="13">
        <f t="shared" si="257"/>
        <v>176.36652002381467</v>
      </c>
      <c r="AE94" s="13">
        <f t="shared" si="258"/>
        <v>165.21026237716137</v>
      </c>
      <c r="AF94" s="13">
        <f t="shared" si="259"/>
        <v>154.16593493535436</v>
      </c>
      <c r="AG94" s="13">
        <f t="shared" si="260"/>
        <v>143.21652632660562</v>
      </c>
      <c r="AH94" s="13">
        <f t="shared" si="261"/>
        <v>132.34411075524068</v>
      </c>
      <c r="AI94" s="13">
        <f t="shared" si="262"/>
        <v>121.5300508506181</v>
      </c>
      <c r="AJ94" s="13">
        <f t="shared" si="263"/>
        <v>110.7551839304729</v>
      </c>
      <c r="AK94" s="13">
        <f t="shared" si="141"/>
        <v>100</v>
      </c>
      <c r="AL94" s="47"/>
      <c r="AM94" s="26">
        <v>3.3333333333333333E-2</v>
      </c>
      <c r="AN94" s="13">
        <f t="shared" si="142"/>
        <v>-1076400000</v>
      </c>
      <c r="AO94" s="13">
        <f t="shared" si="143"/>
        <v>-1190818893.4391577</v>
      </c>
      <c r="AP94" s="13">
        <f t="shared" si="144"/>
        <v>-1272531735.8711421</v>
      </c>
      <c r="AQ94" s="13">
        <f t="shared" si="145"/>
        <v>-1322452246.2097161</v>
      </c>
      <c r="AR94" s="13">
        <f t="shared" si="146"/>
        <v>-1345460740.6647785</v>
      </c>
      <c r="AS94" s="13">
        <f t="shared" si="147"/>
        <v>-1347364444.143683</v>
      </c>
      <c r="AT94" s="13">
        <f t="shared" si="148"/>
        <v>-1333534893.9617007</v>
      </c>
      <c r="AU94" s="13">
        <f t="shared" si="149"/>
        <v>-1308421431.4605694</v>
      </c>
      <c r="AV94" s="13">
        <f t="shared" si="150"/>
        <v>-1275486011.4742911</v>
      </c>
      <c r="AW94" s="13">
        <f t="shared" si="151"/>
        <v>-1237315235.0946953</v>
      </c>
      <c r="AX94" s="13">
        <f t="shared" si="152"/>
        <v>-1195786772.0345786</v>
      </c>
      <c r="AY94" s="13">
        <f t="shared" si="153"/>
        <v>-1152233746.3847625</v>
      </c>
      <c r="AZ94" s="13">
        <f t="shared" si="154"/>
        <v>-1107585147.0324538</v>
      </c>
      <c r="BA94" s="13">
        <f t="shared" si="155"/>
        <v>-1062477059.2031008</v>
      </c>
      <c r="BB94" s="13">
        <f t="shared" si="156"/>
        <v>-1017336815.1641525</v>
      </c>
      <c r="BC94" s="13">
        <f t="shared" si="157"/>
        <v>-972444713.08578563</v>
      </c>
      <c r="BD94" s="13">
        <f t="shared" si="158"/>
        <v>-927978285.61788511</v>
      </c>
      <c r="BE94" s="13">
        <f t="shared" si="159"/>
        <v>-884043523.40224099</v>
      </c>
      <c r="BF94" s="13">
        <f t="shared" si="160"/>
        <v>-840696612.77585733</v>
      </c>
      <c r="BG94" s="13">
        <f t="shared" si="161"/>
        <v>-797958917.09283352</v>
      </c>
      <c r="BH94" s="13">
        <f t="shared" si="162"/>
        <v>-755827225.1070379</v>
      </c>
      <c r="BI94" s="13">
        <f t="shared" si="163"/>
        <v>-714280731.36448312</v>
      </c>
      <c r="BJ94" s="13">
        <f t="shared" si="164"/>
        <v>-673285790.57642639</v>
      </c>
      <c r="BK94" s="13">
        <f t="shared" si="165"/>
        <v>-632799176.61667335</v>
      </c>
      <c r="BL94" s="13">
        <f t="shared" si="166"/>
        <v>-592770352.14108706</v>
      </c>
      <c r="BM94" s="13">
        <f t="shared" si="167"/>
        <v>-553143095.05818224</v>
      </c>
      <c r="BN94" s="13">
        <f t="shared" si="168"/>
        <v>-513856715.70919973</v>
      </c>
      <c r="BO94" s="13">
        <f t="shared" si="169"/>
        <v>-474847020.31651574</v>
      </c>
      <c r="BP94" s="13">
        <f t="shared" si="170"/>
        <v>-436047122.19510299</v>
      </c>
      <c r="BQ94" s="13">
        <f t="shared" si="171"/>
        <v>-397388165.3089506</v>
      </c>
      <c r="BR94" s="13">
        <f t="shared" si="172"/>
        <v>-358800000</v>
      </c>
      <c r="BT94" s="47"/>
      <c r="BU94" s="26">
        <v>3.3333333333333333E-2</v>
      </c>
      <c r="BV94" s="13">
        <f t="shared" si="173"/>
        <v>0.40647189260272093</v>
      </c>
      <c r="BW94" s="13">
        <f t="shared" si="174"/>
        <v>0.40647189260272093</v>
      </c>
      <c r="BX94" s="13">
        <f t="shared" si="175"/>
        <v>0.40647189260272093</v>
      </c>
      <c r="BY94" s="13">
        <f t="shared" si="176"/>
        <v>0.40647189260272093</v>
      </c>
      <c r="BZ94" s="13">
        <f t="shared" si="177"/>
        <v>0.40647189260272093</v>
      </c>
      <c r="CA94" s="13">
        <f t="shared" si="178"/>
        <v>0.40647189260272093</v>
      </c>
      <c r="CB94" s="13">
        <f t="shared" si="179"/>
        <v>0.40647189260272093</v>
      </c>
      <c r="CC94" s="13">
        <f t="shared" si="180"/>
        <v>0.40647189260272093</v>
      </c>
      <c r="CD94" s="13">
        <f t="shared" si="181"/>
        <v>0.40647189260272093</v>
      </c>
      <c r="CE94" s="13">
        <f t="shared" si="182"/>
        <v>0.40647189260272093</v>
      </c>
      <c r="CF94" s="13">
        <f t="shared" si="183"/>
        <v>0.40647189260272093</v>
      </c>
      <c r="CG94" s="13">
        <f t="shared" si="184"/>
        <v>0.40647189260272093</v>
      </c>
      <c r="CH94" s="13">
        <f t="shared" si="185"/>
        <v>0.40647189260272093</v>
      </c>
      <c r="CI94" s="13">
        <f t="shared" si="186"/>
        <v>0.40647189260272093</v>
      </c>
      <c r="CJ94" s="13">
        <f t="shared" si="187"/>
        <v>0.40647189260272093</v>
      </c>
      <c r="CK94" s="13">
        <f t="shared" si="188"/>
        <v>0.40647189260272093</v>
      </c>
      <c r="CL94" s="13">
        <f t="shared" si="189"/>
        <v>0.40647189260272093</v>
      </c>
      <c r="CM94" s="13">
        <f t="shared" si="190"/>
        <v>0.40647189260272093</v>
      </c>
      <c r="CN94" s="13">
        <f t="shared" si="191"/>
        <v>0.40647189260272093</v>
      </c>
      <c r="CO94" s="13">
        <f t="shared" si="192"/>
        <v>0.40647189260272093</v>
      </c>
      <c r="CP94" s="13">
        <f t="shared" si="193"/>
        <v>0.40647189260272093</v>
      </c>
      <c r="CQ94" s="13">
        <f t="shared" si="194"/>
        <v>0.40647189260272093</v>
      </c>
      <c r="CR94" s="13">
        <f t="shared" si="195"/>
        <v>0.40647189260272093</v>
      </c>
      <c r="CS94" s="13">
        <f t="shared" si="196"/>
        <v>0.40647189260272093</v>
      </c>
      <c r="CT94" s="13">
        <f t="shared" si="197"/>
        <v>0.40647189260272093</v>
      </c>
      <c r="CU94" s="13">
        <f t="shared" si="198"/>
        <v>0.40647189260272093</v>
      </c>
      <c r="CV94" s="13">
        <f t="shared" si="199"/>
        <v>0.40647189260272093</v>
      </c>
      <c r="CW94" s="13">
        <f t="shared" si="200"/>
        <v>0.40647189260272093</v>
      </c>
      <c r="CX94" s="13">
        <f t="shared" si="201"/>
        <v>0.40647189260272093</v>
      </c>
      <c r="CY94" s="13">
        <f t="shared" si="202"/>
        <v>0.40647189260272093</v>
      </c>
      <c r="CZ94" s="13">
        <f t="shared" si="203"/>
        <v>0.40647189260272093</v>
      </c>
      <c r="DB94" s="47"/>
      <c r="DC94" s="26">
        <v>3.3333333333333333E-2</v>
      </c>
      <c r="DD94" s="13">
        <f t="shared" si="204"/>
        <v>178.05843221918371</v>
      </c>
      <c r="DE94" s="13">
        <f t="shared" si="205"/>
        <v>193.7749520722343</v>
      </c>
      <c r="DF94" s="13">
        <f t="shared" si="206"/>
        <v>205.29553553367191</v>
      </c>
      <c r="DG94" s="13">
        <f t="shared" si="207"/>
        <v>212.55451052525277</v>
      </c>
      <c r="DH94" s="13">
        <f t="shared" si="208"/>
        <v>216.07615499448315</v>
      </c>
      <c r="DI94" s="13">
        <f t="shared" si="209"/>
        <v>216.56806555098811</v>
      </c>
      <c r="DJ94" s="13">
        <f t="shared" si="210"/>
        <v>214.72442890251222</v>
      </c>
      <c r="DK94" s="13">
        <f t="shared" si="211"/>
        <v>211.14503905472984</v>
      </c>
      <c r="DL94" s="13">
        <f t="shared" si="212"/>
        <v>206.31375271069049</v>
      </c>
      <c r="DM94" s="13">
        <f t="shared" si="213"/>
        <v>200.60455006993857</v>
      </c>
      <c r="DN94" s="13">
        <f t="shared" si="214"/>
        <v>194.29820834833427</v>
      </c>
      <c r="DO94" s="13">
        <f t="shared" si="215"/>
        <v>187.60114283287433</v>
      </c>
      <c r="DP94" s="13">
        <f t="shared" si="216"/>
        <v>180.66265868890875</v>
      </c>
      <c r="DQ94" s="13">
        <f t="shared" si="217"/>
        <v>173.58928997290775</v>
      </c>
      <c r="DR94" s="13">
        <f t="shared" si="218"/>
        <v>166.45607353631385</v>
      </c>
      <c r="DS94" s="13">
        <f t="shared" si="219"/>
        <v>159.31510191708912</v>
      </c>
      <c r="DT94" s="13">
        <f t="shared" si="220"/>
        <v>152.20185457659383</v>
      </c>
      <c r="DU94" s="13">
        <f t="shared" si="221"/>
        <v>145.13980328773025</v>
      </c>
      <c r="DV94" s="13">
        <f t="shared" si="222"/>
        <v>138.14372040465199</v>
      </c>
      <c r="DW94" s="13">
        <f t="shared" si="223"/>
        <v>131.22203507613534</v>
      </c>
      <c r="DX94" s="13">
        <f t="shared" si="224"/>
        <v>124.37850325489416</v>
      </c>
      <c r="DY94" s="13">
        <f t="shared" si="225"/>
        <v>117.61339042261049</v>
      </c>
      <c r="DZ94" s="13">
        <f t="shared" si="226"/>
        <v>110.92431277355983</v>
      </c>
      <c r="EA94" s="13">
        <f t="shared" si="227"/>
        <v>104.30684193406744</v>
      </c>
      <c r="EB94" s="13">
        <f t="shared" si="228"/>
        <v>97.754947983401308</v>
      </c>
      <c r="EC94" s="13">
        <f t="shared" si="229"/>
        <v>91.261333355644396</v>
      </c>
      <c r="ED94" s="13">
        <f t="shared" si="230"/>
        <v>84.817694184964338</v>
      </c>
      <c r="EE94" s="13">
        <f t="shared" si="231"/>
        <v>78.414934223047766</v>
      </c>
      <c r="EF94" s="13">
        <f t="shared" si="232"/>
        <v>72.04334838315404</v>
      </c>
      <c r="EG94" s="13">
        <f t="shared" si="233"/>
        <v>65.692787336441057</v>
      </c>
      <c r="EH94" s="13">
        <f t="shared" si="234"/>
        <v>59.352810739727914</v>
      </c>
    </row>
    <row r="95" spans="5:138" x14ac:dyDescent="0.25">
      <c r="E95" s="49"/>
      <c r="F95" s="26">
        <v>3.0000000000000002E-2</v>
      </c>
      <c r="G95" s="13">
        <f t="shared" si="139"/>
        <v>300</v>
      </c>
      <c r="H95" s="13">
        <f t="shared" si="235"/>
        <v>328.27500134187551</v>
      </c>
      <c r="I95" s="13">
        <f t="shared" si="236"/>
        <v>346.02732251411084</v>
      </c>
      <c r="J95" s="13">
        <f t="shared" si="237"/>
        <v>356.85422228249257</v>
      </c>
      <c r="K95" s="13">
        <f t="shared" si="238"/>
        <v>361.81681360082382</v>
      </c>
      <c r="L95" s="13">
        <f t="shared" si="239"/>
        <v>362.08910619663243</v>
      </c>
      <c r="M95" s="13">
        <f t="shared" si="240"/>
        <v>358.75348627945743</v>
      </c>
      <c r="N95" s="13">
        <f t="shared" si="241"/>
        <v>352.72332872275115</v>
      </c>
      <c r="O95" s="13">
        <f t="shared" si="242"/>
        <v>344.73026226752324</v>
      </c>
      <c r="P95" s="13">
        <f t="shared" si="243"/>
        <v>335.34076812555048</v>
      </c>
      <c r="Q95" s="13">
        <f t="shared" si="244"/>
        <v>324.98323141556784</v>
      </c>
      <c r="R95" s="13">
        <f t="shared" si="245"/>
        <v>313.97607824570963</v>
      </c>
      <c r="S95" s="13">
        <f t="shared" si="246"/>
        <v>302.5528903585157</v>
      </c>
      <c r="T95" s="13">
        <f t="shared" si="247"/>
        <v>290.88314166877217</v>
      </c>
      <c r="U95" s="13">
        <f t="shared" si="248"/>
        <v>279.08853385048315</v>
      </c>
      <c r="V95" s="13">
        <f t="shared" si="249"/>
        <v>267.25547121369112</v>
      </c>
      <c r="W95" s="13">
        <f t="shared" si="250"/>
        <v>255.44438326103844</v>
      </c>
      <c r="X95" s="13">
        <f t="shared" si="251"/>
        <v>243.69658493460463</v>
      </c>
      <c r="Y95" s="13">
        <f t="shared" si="252"/>
        <v>232.03927069560888</v>
      </c>
      <c r="Z95" s="13">
        <f t="shared" si="253"/>
        <v>220.48912509495415</v>
      </c>
      <c r="AA95" s="13">
        <f t="shared" si="254"/>
        <v>209.05492508027936</v>
      </c>
      <c r="AB95" s="13">
        <f t="shared" si="255"/>
        <v>197.73941781696192</v>
      </c>
      <c r="AC95" s="13">
        <f t="shared" si="256"/>
        <v>186.54068434661286</v>
      </c>
      <c r="AD95" s="13">
        <f t="shared" si="257"/>
        <v>175.45314255676968</v>
      </c>
      <c r="AE95" s="13">
        <f t="shared" si="258"/>
        <v>164.46830002728015</v>
      </c>
      <c r="AF95" s="13">
        <f t="shared" si="259"/>
        <v>153.57533551432692</v>
      </c>
      <c r="AG95" s="13">
        <f t="shared" si="260"/>
        <v>142.76156458340625</v>
      </c>
      <c r="AH95" s="13">
        <f t="shared" si="261"/>
        <v>132.01282810268256</v>
      </c>
      <c r="AI95" s="13">
        <f t="shared" si="262"/>
        <v>121.31383030469893</v>
      </c>
      <c r="AJ95" s="13">
        <f t="shared" si="263"/>
        <v>110.64844466413008</v>
      </c>
      <c r="AK95" s="13">
        <f t="shared" si="141"/>
        <v>100</v>
      </c>
      <c r="AL95" s="47"/>
      <c r="AM95" s="26">
        <v>3.0000000000000002E-2</v>
      </c>
      <c r="AN95" s="13">
        <f t="shared" si="142"/>
        <v>-1076400000</v>
      </c>
      <c r="AO95" s="13">
        <f t="shared" si="143"/>
        <v>-1156238906.3645082</v>
      </c>
      <c r="AP95" s="13">
        <f t="shared" si="144"/>
        <v>-1217419639.3203802</v>
      </c>
      <c r="AQ95" s="13">
        <f t="shared" si="145"/>
        <v>-1257834144.5100453</v>
      </c>
      <c r="AR95" s="13">
        <f t="shared" si="146"/>
        <v>-1278910688.7699988</v>
      </c>
      <c r="AS95" s="13">
        <f t="shared" si="147"/>
        <v>-1283551290.2846556</v>
      </c>
      <c r="AT95" s="13">
        <f t="shared" si="148"/>
        <v>-1274995361.7983844</v>
      </c>
      <c r="AU95" s="13">
        <f t="shared" si="149"/>
        <v>-1256260708.7544115</v>
      </c>
      <c r="AV95" s="13">
        <f t="shared" si="150"/>
        <v>-1229918066.9830549</v>
      </c>
      <c r="AW95" s="13">
        <f t="shared" si="151"/>
        <v>-1198043386.6728048</v>
      </c>
      <c r="AX95" s="13">
        <f t="shared" si="152"/>
        <v>-1162254900.4545302</v>
      </c>
      <c r="AY95" s="13">
        <f t="shared" si="153"/>
        <v>-1123782988.2478137</v>
      </c>
      <c r="AZ95" s="13">
        <f t="shared" si="154"/>
        <v>-1083545898.7697041</v>
      </c>
      <c r="BA95" s="13">
        <f t="shared" si="155"/>
        <v>-1042218861.2088424</v>
      </c>
      <c r="BB95" s="13">
        <f t="shared" si="156"/>
        <v>-1000292005.4129269</v>
      </c>
      <c r="BC95" s="13">
        <f t="shared" si="157"/>
        <v>-958116494.01039314</v>
      </c>
      <c r="BD95" s="13">
        <f t="shared" si="158"/>
        <v>-915940057.95989132</v>
      </c>
      <c r="BE95" s="13">
        <f t="shared" si="159"/>
        <v>-873933744.88973272</v>
      </c>
      <c r="BF95" s="13">
        <f t="shared" si="160"/>
        <v>-832211729.90236604</v>
      </c>
      <c r="BG95" s="13">
        <f t="shared" si="161"/>
        <v>-790845828.11574292</v>
      </c>
      <c r="BH95" s="13">
        <f t="shared" si="162"/>
        <v>-749876057.64633071</v>
      </c>
      <c r="BI95" s="13">
        <f t="shared" si="163"/>
        <v>-709318313.20185614</v>
      </c>
      <c r="BJ95" s="13">
        <f t="shared" si="164"/>
        <v>-669169958.3195858</v>
      </c>
      <c r="BK95" s="13">
        <f t="shared" si="165"/>
        <v>-629413938.46486533</v>
      </c>
      <c r="BL95" s="13">
        <f t="shared" si="166"/>
        <v>-590021856.10547864</v>
      </c>
      <c r="BM95" s="13">
        <f t="shared" si="167"/>
        <v>-550956326.31643963</v>
      </c>
      <c r="BN95" s="13">
        <f t="shared" si="168"/>
        <v>-512172840.13465601</v>
      </c>
      <c r="BO95" s="13">
        <f t="shared" si="169"/>
        <v>-473621295.92031538</v>
      </c>
      <c r="BP95" s="13">
        <f t="shared" si="170"/>
        <v>-435247310.60478222</v>
      </c>
      <c r="BQ95" s="13">
        <f t="shared" si="171"/>
        <v>-396993388.31775117</v>
      </c>
      <c r="BR95" s="13">
        <f t="shared" si="172"/>
        <v>-358800000</v>
      </c>
      <c r="BT95" s="47"/>
      <c r="BU95" s="26">
        <v>3.0000000000000002E-2</v>
      </c>
      <c r="BV95" s="13">
        <f t="shared" si="173"/>
        <v>0.40647195653111551</v>
      </c>
      <c r="BW95" s="13">
        <f t="shared" si="174"/>
        <v>0.40647195653111551</v>
      </c>
      <c r="BX95" s="13">
        <f t="shared" si="175"/>
        <v>0.40647195653111551</v>
      </c>
      <c r="BY95" s="13">
        <f t="shared" si="176"/>
        <v>0.40647195653111551</v>
      </c>
      <c r="BZ95" s="13">
        <f t="shared" si="177"/>
        <v>0.40647195653111551</v>
      </c>
      <c r="CA95" s="13">
        <f t="shared" si="178"/>
        <v>0.40647195653111551</v>
      </c>
      <c r="CB95" s="13">
        <f t="shared" si="179"/>
        <v>0.40647195653111551</v>
      </c>
      <c r="CC95" s="13">
        <f t="shared" si="180"/>
        <v>0.40647195653111551</v>
      </c>
      <c r="CD95" s="13">
        <f t="shared" si="181"/>
        <v>0.40647195653111551</v>
      </c>
      <c r="CE95" s="13">
        <f t="shared" si="182"/>
        <v>0.40647195653111551</v>
      </c>
      <c r="CF95" s="13">
        <f t="shared" si="183"/>
        <v>0.40647195653111551</v>
      </c>
      <c r="CG95" s="13">
        <f t="shared" si="184"/>
        <v>0.40647195653111551</v>
      </c>
      <c r="CH95" s="13">
        <f t="shared" si="185"/>
        <v>0.40647195653111551</v>
      </c>
      <c r="CI95" s="13">
        <f t="shared" si="186"/>
        <v>0.40647195653111551</v>
      </c>
      <c r="CJ95" s="13">
        <f t="shared" si="187"/>
        <v>0.40647195653111551</v>
      </c>
      <c r="CK95" s="13">
        <f t="shared" si="188"/>
        <v>0.40647195653111551</v>
      </c>
      <c r="CL95" s="13">
        <f t="shared" si="189"/>
        <v>0.40647195653111551</v>
      </c>
      <c r="CM95" s="13">
        <f t="shared" si="190"/>
        <v>0.40647195653111551</v>
      </c>
      <c r="CN95" s="13">
        <f t="shared" si="191"/>
        <v>0.40647195653111551</v>
      </c>
      <c r="CO95" s="13">
        <f t="shared" si="192"/>
        <v>0.40647195653111551</v>
      </c>
      <c r="CP95" s="13">
        <f t="shared" si="193"/>
        <v>0.40647195653111551</v>
      </c>
      <c r="CQ95" s="13">
        <f t="shared" si="194"/>
        <v>0.40647195653111551</v>
      </c>
      <c r="CR95" s="13">
        <f t="shared" si="195"/>
        <v>0.40647195653111551</v>
      </c>
      <c r="CS95" s="13">
        <f t="shared" si="196"/>
        <v>0.40647195653111551</v>
      </c>
      <c r="CT95" s="13">
        <f t="shared" si="197"/>
        <v>0.40647195653111551</v>
      </c>
      <c r="CU95" s="13">
        <f t="shared" si="198"/>
        <v>0.40647195653111551</v>
      </c>
      <c r="CV95" s="13">
        <f t="shared" si="199"/>
        <v>0.40647195653111551</v>
      </c>
      <c r="CW95" s="13">
        <f t="shared" si="200"/>
        <v>0.40647195653111551</v>
      </c>
      <c r="CX95" s="13">
        <f t="shared" si="201"/>
        <v>0.40647195653111551</v>
      </c>
      <c r="CY95" s="13">
        <f t="shared" si="202"/>
        <v>0.40647195653111551</v>
      </c>
      <c r="CZ95" s="13">
        <f t="shared" si="203"/>
        <v>0.40647195653111551</v>
      </c>
      <c r="DB95" s="47"/>
      <c r="DC95" s="26">
        <v>3.0000000000000002E-2</v>
      </c>
      <c r="DD95" s="13">
        <f t="shared" si="204"/>
        <v>178.05841304066536</v>
      </c>
      <c r="DE95" s="13">
        <f t="shared" si="205"/>
        <v>189.08669817068807</v>
      </c>
      <c r="DF95" s="13">
        <f t="shared" si="206"/>
        <v>197.69217510657256</v>
      </c>
      <c r="DG95" s="13">
        <f t="shared" si="207"/>
        <v>203.49257269718638</v>
      </c>
      <c r="DH95" s="13">
        <f t="shared" si="208"/>
        <v>206.59889643506978</v>
      </c>
      <c r="DI95" s="13">
        <f t="shared" si="209"/>
        <v>207.34926042585363</v>
      </c>
      <c r="DJ95" s="13">
        <f t="shared" si="210"/>
        <v>206.15402635431104</v>
      </c>
      <c r="DK95" s="13">
        <f t="shared" si="211"/>
        <v>203.41408412951853</v>
      </c>
      <c r="DL95" s="13">
        <f t="shared" si="212"/>
        <v>199.48359447838561</v>
      </c>
      <c r="DM95" s="13">
        <f t="shared" si="213"/>
        <v>194.65783863710408</v>
      </c>
      <c r="DN95" s="13">
        <f t="shared" si="214"/>
        <v>189.17403981797199</v>
      </c>
      <c r="DO95" s="13">
        <f t="shared" si="215"/>
        <v>183.21800916819274</v>
      </c>
      <c r="DP95" s="13">
        <f t="shared" si="216"/>
        <v>176.93267301474017</v>
      </c>
      <c r="DQ95" s="13">
        <f t="shared" si="217"/>
        <v>170.42648210552886</v>
      </c>
      <c r="DR95" s="13">
        <f t="shared" si="218"/>
        <v>163.7808213510865</v>
      </c>
      <c r="DS95" s="13">
        <f t="shared" si="219"/>
        <v>157.05614366572172</v>
      </c>
      <c r="DT95" s="13">
        <f t="shared" si="220"/>
        <v>150.29685315001035</v>
      </c>
      <c r="DU95" s="13">
        <f t="shared" si="221"/>
        <v>143.53509333118726</v>
      </c>
      <c r="DV95" s="13">
        <f t="shared" si="222"/>
        <v>136.79363549781056</v>
      </c>
      <c r="DW95" s="13">
        <f t="shared" si="223"/>
        <v>130.08805676665222</v>
      </c>
      <c r="DX95" s="13">
        <f t="shared" si="224"/>
        <v>123.42837317602697</v>
      </c>
      <c r="DY95" s="13">
        <f t="shared" si="225"/>
        <v>116.82026333454233</v>
      </c>
      <c r="DZ95" s="13">
        <f t="shared" si="226"/>
        <v>110.26598949730368</v>
      </c>
      <c r="EA95" s="13">
        <f t="shared" si="227"/>
        <v>103.76509809610556</v>
      </c>
      <c r="EB95" s="13">
        <f t="shared" si="228"/>
        <v>97.314961439816429</v>
      </c>
      <c r="EC95" s="13">
        <f t="shared" si="229"/>
        <v>90.911206310704799</v>
      </c>
      <c r="ED95" s="13">
        <f t="shared" si="230"/>
        <v>84.548062919840845</v>
      </c>
      <c r="EE95" s="13">
        <f t="shared" si="231"/>
        <v>78.218658468629243</v>
      </c>
      <c r="EF95" s="13">
        <f t="shared" si="232"/>
        <v>71.915272758122228</v>
      </c>
      <c r="EG95" s="13">
        <f t="shared" si="233"/>
        <v>65.6295683559472</v>
      </c>
      <c r="EH95" s="13">
        <f t="shared" si="234"/>
        <v>59.352804346888455</v>
      </c>
    </row>
    <row r="96" spans="5:138" x14ac:dyDescent="0.25">
      <c r="E96" s="49"/>
      <c r="F96" s="26">
        <v>2.6666666666666668E-2</v>
      </c>
      <c r="G96" s="13">
        <f t="shared" si="139"/>
        <v>300</v>
      </c>
      <c r="H96" s="13">
        <f t="shared" si="235"/>
        <v>319.33997053694964</v>
      </c>
      <c r="I96" s="13">
        <f t="shared" si="236"/>
        <v>332.94898881158531</v>
      </c>
      <c r="J96" s="13">
        <f t="shared" si="237"/>
        <v>341.85797158234118</v>
      </c>
      <c r="K96" s="13">
        <f t="shared" si="238"/>
        <v>346.42633501132741</v>
      </c>
      <c r="L96" s="13">
        <f t="shared" si="239"/>
        <v>347.26213741106176</v>
      </c>
      <c r="M96" s="13">
        <f t="shared" si="240"/>
        <v>345.03244148153971</v>
      </c>
      <c r="N96" s="13">
        <f t="shared" si="241"/>
        <v>340.36583741371601</v>
      </c>
      <c r="O96" s="13">
        <f t="shared" si="242"/>
        <v>333.81006558268564</v>
      </c>
      <c r="P96" s="13">
        <f t="shared" si="243"/>
        <v>325.82039691155796</v>
      </c>
      <c r="Q96" s="13">
        <f t="shared" si="244"/>
        <v>316.76369585660757</v>
      </c>
      <c r="R96" s="13">
        <f t="shared" si="245"/>
        <v>306.92933213647473</v>
      </c>
      <c r="S96" s="13">
        <f t="shared" si="246"/>
        <v>296.54207760068022</v>
      </c>
      <c r="T96" s="13">
        <f t="shared" si="247"/>
        <v>285.77452978505369</v>
      </c>
      <c r="U96" s="13">
        <f t="shared" si="248"/>
        <v>274.7579908970045</v>
      </c>
      <c r="V96" s="13">
        <f t="shared" si="249"/>
        <v>263.59148592459769</v>
      </c>
      <c r="W96" s="13">
        <f t="shared" si="250"/>
        <v>252.3489821097408</v>
      </c>
      <c r="X96" s="13">
        <f t="shared" si="251"/>
        <v>241.08503630474289</v>
      </c>
      <c r="Y96" s="13">
        <f t="shared" si="252"/>
        <v>229.83914557366609</v>
      </c>
      <c r="Z96" s="13">
        <f t="shared" si="253"/>
        <v>218.63906781242164</v>
      </c>
      <c r="AA96" s="13">
        <f t="shared" si="254"/>
        <v>207.50334579638059</v>
      </c>
      <c r="AB96" s="13">
        <f t="shared" si="255"/>
        <v>196.44322735156834</v>
      </c>
      <c r="AC96" s="13">
        <f t="shared" si="256"/>
        <v>185.46413488838667</v>
      </c>
      <c r="AD96" s="13">
        <f t="shared" si="257"/>
        <v>174.56680301939235</v>
      </c>
      <c r="AE96" s="13">
        <f t="shared" si="258"/>
        <v>163.74817448715805</v>
      </c>
      <c r="AF96" s="13">
        <f t="shared" si="259"/>
        <v>153.00212196503031</v>
      </c>
      <c r="AG96" s="13">
        <f t="shared" si="260"/>
        <v>142.32004573648842</v>
      </c>
      <c r="AH96" s="13">
        <f t="shared" si="261"/>
        <v>131.69138393131036</v>
      </c>
      <c r="AI96" s="13">
        <f t="shared" si="262"/>
        <v>121.10406206034438</v>
      </c>
      <c r="AJ96" s="13">
        <f t="shared" si="263"/>
        <v>110.54490132463448</v>
      </c>
      <c r="AK96" s="13">
        <f t="shared" si="141"/>
        <v>100</v>
      </c>
      <c r="AL96" s="47"/>
      <c r="AM96" s="26">
        <v>2.6666666666666668E-2</v>
      </c>
      <c r="AN96" s="13">
        <f t="shared" si="142"/>
        <v>-1076400000</v>
      </c>
      <c r="AO96" s="13">
        <f t="shared" si="143"/>
        <v>-1132974528.318681</v>
      </c>
      <c r="AP96" s="13">
        <f t="shared" si="144"/>
        <v>-1178512762.7277827</v>
      </c>
      <c r="AQ96" s="13">
        <f t="shared" si="145"/>
        <v>-1210233800.511039</v>
      </c>
      <c r="AR96" s="13">
        <f t="shared" si="146"/>
        <v>-1227995494.4902589</v>
      </c>
      <c r="AS96" s="13">
        <f t="shared" si="147"/>
        <v>-1233052854.3755937</v>
      </c>
      <c r="AT96" s="13">
        <f t="shared" si="148"/>
        <v>-1227254165.474489</v>
      </c>
      <c r="AU96" s="13">
        <f t="shared" si="149"/>
        <v>-1212567833.3436232</v>
      </c>
      <c r="AV96" s="13">
        <f t="shared" si="150"/>
        <v>-1190833008.3124833</v>
      </c>
      <c r="AW96" s="13">
        <f t="shared" si="151"/>
        <v>-1163649648.2167468</v>
      </c>
      <c r="AX96" s="13">
        <f t="shared" si="152"/>
        <v>-1132348879.533196</v>
      </c>
      <c r="AY96" s="13">
        <f t="shared" si="153"/>
        <v>-1098005341.7604659</v>
      </c>
      <c r="AZ96" s="13">
        <f t="shared" si="154"/>
        <v>-1061468287.8318205</v>
      </c>
      <c r="BA96" s="13">
        <f t="shared" si="155"/>
        <v>-1023398294.8421379</v>
      </c>
      <c r="BB96" s="13">
        <f t="shared" si="156"/>
        <v>-984302772.66463959</v>
      </c>
      <c r="BC96" s="13">
        <f t="shared" si="157"/>
        <v>-944567218.36425614</v>
      </c>
      <c r="BD96" s="13">
        <f t="shared" si="158"/>
        <v>-904481263.05137384</v>
      </c>
      <c r="BE96" s="13">
        <f t="shared" si="159"/>
        <v>-864259636.74933636</v>
      </c>
      <c r="BF96" s="13">
        <f t="shared" si="160"/>
        <v>-824058660.21185756</v>
      </c>
      <c r="BG96" s="13">
        <f t="shared" si="161"/>
        <v>-783989027.467255</v>
      </c>
      <c r="BH96" s="13">
        <f t="shared" si="162"/>
        <v>-744125630.09394956</v>
      </c>
      <c r="BI96" s="13">
        <f t="shared" si="163"/>
        <v>-704515086.53869939</v>
      </c>
      <c r="BJ96" s="13">
        <f t="shared" si="164"/>
        <v>-665181527.78467619</v>
      </c>
      <c r="BK96" s="13">
        <f t="shared" si="165"/>
        <v>-626131079.99538875</v>
      </c>
      <c r="BL96" s="13">
        <f t="shared" si="166"/>
        <v>-587355386.82305205</v>
      </c>
      <c r="BM96" s="13">
        <f t="shared" si="167"/>
        <v>-548834432.61504352</v>
      </c>
      <c r="BN96" s="13">
        <f t="shared" si="168"/>
        <v>-510538862.66639775</v>
      </c>
      <c r="BO96" s="13">
        <f t="shared" si="169"/>
        <v>-472431946.14481282</v>
      </c>
      <c r="BP96" s="13">
        <f t="shared" si="170"/>
        <v>-434471289.02145302</v>
      </c>
      <c r="BQ96" s="13">
        <f t="shared" si="171"/>
        <v>-396610375.99218231</v>
      </c>
      <c r="BR96" s="13">
        <f t="shared" si="172"/>
        <v>-358800000</v>
      </c>
      <c r="BT96" s="47"/>
      <c r="BU96" s="26">
        <v>2.6666666666666668E-2</v>
      </c>
      <c r="BV96" s="13">
        <f t="shared" si="173"/>
        <v>0.40647234346137129</v>
      </c>
      <c r="BW96" s="13">
        <f t="shared" si="174"/>
        <v>0.40647234346137129</v>
      </c>
      <c r="BX96" s="13">
        <f t="shared" si="175"/>
        <v>0.40647234346137129</v>
      </c>
      <c r="BY96" s="13">
        <f t="shared" si="176"/>
        <v>0.40647234346137129</v>
      </c>
      <c r="BZ96" s="13">
        <f t="shared" si="177"/>
        <v>0.40647234346137129</v>
      </c>
      <c r="CA96" s="13">
        <f t="shared" si="178"/>
        <v>0.40647234346137129</v>
      </c>
      <c r="CB96" s="13">
        <f t="shared" si="179"/>
        <v>0.40647234346137129</v>
      </c>
      <c r="CC96" s="13">
        <f t="shared" si="180"/>
        <v>0.40647234346137129</v>
      </c>
      <c r="CD96" s="13">
        <f t="shared" si="181"/>
        <v>0.40647234346137129</v>
      </c>
      <c r="CE96" s="13">
        <f t="shared" si="182"/>
        <v>0.40647234346137129</v>
      </c>
      <c r="CF96" s="13">
        <f t="shared" si="183"/>
        <v>0.40647234346137129</v>
      </c>
      <c r="CG96" s="13">
        <f t="shared" si="184"/>
        <v>0.40647234346137129</v>
      </c>
      <c r="CH96" s="13">
        <f t="shared" si="185"/>
        <v>0.40647234346137129</v>
      </c>
      <c r="CI96" s="13">
        <f t="shared" si="186"/>
        <v>0.40647234346137129</v>
      </c>
      <c r="CJ96" s="13">
        <f t="shared" si="187"/>
        <v>0.40647234346137129</v>
      </c>
      <c r="CK96" s="13">
        <f t="shared" si="188"/>
        <v>0.40647234346137129</v>
      </c>
      <c r="CL96" s="13">
        <f t="shared" si="189"/>
        <v>0.40647234346137129</v>
      </c>
      <c r="CM96" s="13">
        <f t="shared" si="190"/>
        <v>0.40647234346137129</v>
      </c>
      <c r="CN96" s="13">
        <f t="shared" si="191"/>
        <v>0.40647234346137129</v>
      </c>
      <c r="CO96" s="13">
        <f t="shared" si="192"/>
        <v>0.40647234346137129</v>
      </c>
      <c r="CP96" s="13">
        <f t="shared" si="193"/>
        <v>0.40647234346137129</v>
      </c>
      <c r="CQ96" s="13">
        <f t="shared" si="194"/>
        <v>0.40647234346137129</v>
      </c>
      <c r="CR96" s="13">
        <f t="shared" si="195"/>
        <v>0.40647234346137129</v>
      </c>
      <c r="CS96" s="13">
        <f t="shared" si="196"/>
        <v>0.40647234346137129</v>
      </c>
      <c r="CT96" s="13">
        <f t="shared" si="197"/>
        <v>0.40647234346137129</v>
      </c>
      <c r="CU96" s="13">
        <f t="shared" si="198"/>
        <v>0.40647234346137129</v>
      </c>
      <c r="CV96" s="13">
        <f t="shared" si="199"/>
        <v>0.40647234346137129</v>
      </c>
      <c r="CW96" s="13">
        <f t="shared" si="200"/>
        <v>0.40647234346137129</v>
      </c>
      <c r="CX96" s="13">
        <f t="shared" si="201"/>
        <v>0.40647234346137129</v>
      </c>
      <c r="CY96" s="13">
        <f t="shared" si="202"/>
        <v>0.40647234346137129</v>
      </c>
      <c r="CZ96" s="13">
        <f t="shared" si="203"/>
        <v>0.40647234346137129</v>
      </c>
      <c r="DB96" s="47"/>
      <c r="DC96" s="26">
        <v>2.6666666666666668E-2</v>
      </c>
      <c r="DD96" s="13">
        <f t="shared" si="204"/>
        <v>178.05829696158864</v>
      </c>
      <c r="DE96" s="13">
        <f t="shared" si="205"/>
        <v>185.90526144173273</v>
      </c>
      <c r="DF96" s="13">
        <f t="shared" si="206"/>
        <v>192.29845212761091</v>
      </c>
      <c r="DG96" s="13">
        <f t="shared" si="207"/>
        <v>196.80659957709133</v>
      </c>
      <c r="DH96" s="13">
        <f t="shared" si="208"/>
        <v>199.35780688327441</v>
      </c>
      <c r="DI96" s="13">
        <f t="shared" si="209"/>
        <v>200.08292987348324</v>
      </c>
      <c r="DJ96" s="13">
        <f t="shared" si="210"/>
        <v>199.20907118859174</v>
      </c>
      <c r="DK96" s="13">
        <f t="shared" si="211"/>
        <v>196.99355939428369</v>
      </c>
      <c r="DL96" s="13">
        <f t="shared" si="212"/>
        <v>193.68674801675229</v>
      </c>
      <c r="DM96" s="13">
        <f t="shared" si="213"/>
        <v>189.51364903342918</v>
      </c>
      <c r="DN96" s="13">
        <f t="shared" si="214"/>
        <v>184.66700019747256</v>
      </c>
      <c r="DO96" s="13">
        <f t="shared" si="215"/>
        <v>179.30673982113024</v>
      </c>
      <c r="DP96" s="13">
        <f t="shared" si="216"/>
        <v>173.56269523564302</v>
      </c>
      <c r="DQ96" s="13">
        <f t="shared" si="217"/>
        <v>167.5385775175418</v>
      </c>
      <c r="DR96" s="13">
        <f t="shared" si="218"/>
        <v>161.31622050960036</v>
      </c>
      <c r="DS96" s="13">
        <f t="shared" si="219"/>
        <v>154.95952823749562</v>
      </c>
      <c r="DT96" s="13">
        <f t="shared" si="220"/>
        <v>148.51790502158184</v>
      </c>
      <c r="DU96" s="13">
        <f t="shared" si="221"/>
        <v>142.02911433284103</v>
      </c>
      <c r="DV96" s="13">
        <f t="shared" si="222"/>
        <v>135.52159943895444</v>
      </c>
      <c r="DW96" s="13">
        <f t="shared" si="223"/>
        <v>129.01633642732818</v>
      </c>
      <c r="DX96" s="13">
        <f t="shared" si="224"/>
        <v>122.52830048685802</v>
      </c>
      <c r="DY96" s="13">
        <f t="shared" si="225"/>
        <v>116.0676227968206</v>
      </c>
      <c r="DZ96" s="13">
        <f t="shared" si="226"/>
        <v>109.64050577113099</v>
      </c>
      <c r="EA96" s="13">
        <f t="shared" si="227"/>
        <v>103.24995299668015</v>
      </c>
      <c r="EB96" s="13">
        <f t="shared" si="228"/>
        <v>96.896359149961555</v>
      </c>
      <c r="EC96" s="13">
        <f t="shared" si="229"/>
        <v>90.577995440655471</v>
      </c>
      <c r="ED96" s="13">
        <f t="shared" si="230"/>
        <v>84.291418024059382</v>
      </c>
      <c r="EE96" s="13">
        <f t="shared" si="231"/>
        <v>78.0318203254498</v>
      </c>
      <c r="EF96" s="13">
        <f t="shared" si="232"/>
        <v>71.793345162118285</v>
      </c>
      <c r="EG96" s="13">
        <f t="shared" si="233"/>
        <v>65.569368721649667</v>
      </c>
      <c r="EH96" s="13">
        <f t="shared" si="234"/>
        <v>59.352765653862882</v>
      </c>
    </row>
    <row r="97" spans="5:138" x14ac:dyDescent="0.25">
      <c r="E97" s="49"/>
      <c r="F97" s="26">
        <v>2.3333333333333334E-2</v>
      </c>
      <c r="G97" s="13">
        <f t="shared" si="139"/>
        <v>300</v>
      </c>
      <c r="H97" s="13">
        <f t="shared" si="235"/>
        <v>313.50090252620117</v>
      </c>
      <c r="I97" s="13">
        <f t="shared" si="236"/>
        <v>323.76152687915277</v>
      </c>
      <c r="J97" s="13">
        <f t="shared" si="237"/>
        <v>330.81162463252826</v>
      </c>
      <c r="K97" s="13">
        <f t="shared" si="238"/>
        <v>334.65474423110243</v>
      </c>
      <c r="L97" s="13">
        <f t="shared" si="239"/>
        <v>335.55683400116641</v>
      </c>
      <c r="M97" s="13">
        <f t="shared" si="240"/>
        <v>333.90130841339862</v>
      </c>
      <c r="N97" s="13">
        <f t="shared" si="241"/>
        <v>330.10129086235946</v>
      </c>
      <c r="O97" s="13">
        <f t="shared" si="242"/>
        <v>324.55110247229061</v>
      </c>
      <c r="P97" s="13">
        <f t="shared" si="243"/>
        <v>317.6029087656629</v>
      </c>
      <c r="Q97" s="13">
        <f t="shared" si="244"/>
        <v>309.55847459723952</v>
      </c>
      <c r="R97" s="13">
        <f t="shared" si="245"/>
        <v>300.66932562753095</v>
      </c>
      <c r="S97" s="13">
        <f t="shared" si="246"/>
        <v>291.14109252386413</v>
      </c>
      <c r="T97" s="13">
        <f t="shared" si="247"/>
        <v>281.13952128941122</v>
      </c>
      <c r="U97" s="13">
        <f t="shared" si="248"/>
        <v>270.79674714009889</v>
      </c>
      <c r="V97" s="13">
        <f t="shared" si="249"/>
        <v>260.21712216526282</v>
      </c>
      <c r="W97" s="13">
        <f t="shared" si="250"/>
        <v>249.48229708365483</v>
      </c>
      <c r="X97" s="13">
        <f t="shared" si="251"/>
        <v>238.65548610775096</v>
      </c>
      <c r="Y97" s="13">
        <f t="shared" si="252"/>
        <v>227.78496105714751</v>
      </c>
      <c r="Z97" s="13">
        <f t="shared" si="253"/>
        <v>216.90687232788764</v>
      </c>
      <c r="AA97" s="13">
        <f t="shared" si="254"/>
        <v>206.04750917515418</v>
      </c>
      <c r="AB97" s="13">
        <f t="shared" si="255"/>
        <v>195.2251077071235</v>
      </c>
      <c r="AC97" s="13">
        <f t="shared" si="256"/>
        <v>184.45130238543948</v>
      </c>
      <c r="AD97" s="13">
        <f t="shared" si="257"/>
        <v>173.73230146225444</v>
      </c>
      <c r="AE97" s="13">
        <f t="shared" si="258"/>
        <v>163.06985166125594</v>
      </c>
      <c r="AF97" s="13">
        <f t="shared" si="259"/>
        <v>152.46204392188955</v>
      </c>
      <c r="AG97" s="13">
        <f t="shared" si="260"/>
        <v>141.90400066641183</v>
      </c>
      <c r="AH97" s="13">
        <f t="shared" si="261"/>
        <v>131.38847584707071</v>
      </c>
      <c r="AI97" s="13">
        <f t="shared" si="262"/>
        <v>120.90639179933831</v>
      </c>
      <c r="AJ97" s="13">
        <f t="shared" si="263"/>
        <v>110.44733140557517</v>
      </c>
      <c r="AK97" s="13">
        <f t="shared" si="141"/>
        <v>100</v>
      </c>
      <c r="AL97" s="47"/>
      <c r="AM97" s="26">
        <v>2.3333333333333334E-2</v>
      </c>
      <c r="AN97" s="13">
        <f t="shared" si="142"/>
        <v>-1076400000</v>
      </c>
      <c r="AO97" s="13">
        <f t="shared" si="143"/>
        <v>-1116915987.9281526</v>
      </c>
      <c r="AP97" s="13">
        <f t="shared" si="144"/>
        <v>-1150635417.8994873</v>
      </c>
      <c r="AQ97" s="13">
        <f t="shared" si="145"/>
        <v>-1174946561.1390111</v>
      </c>
      <c r="AR97" s="13">
        <f t="shared" si="146"/>
        <v>-1189065723.3793371</v>
      </c>
      <c r="AS97" s="13">
        <f t="shared" si="147"/>
        <v>-1193346245.2873921</v>
      </c>
      <c r="AT97" s="13">
        <f t="shared" si="148"/>
        <v>-1188757000.1722257</v>
      </c>
      <c r="AU97" s="13">
        <f t="shared" si="149"/>
        <v>-1176529114.3820686</v>
      </c>
      <c r="AV97" s="13">
        <f t="shared" si="150"/>
        <v>-1157937632.3241639</v>
      </c>
      <c r="AW97" s="13">
        <f t="shared" si="151"/>
        <v>-1134179760.1423018</v>
      </c>
      <c r="AX97" s="13">
        <f t="shared" si="152"/>
        <v>-1106316792.158386</v>
      </c>
      <c r="AY97" s="13">
        <f t="shared" si="153"/>
        <v>-1075255034.6347013</v>
      </c>
      <c r="AZ97" s="13">
        <f t="shared" si="154"/>
        <v>-1041748697.4335253</v>
      </c>
      <c r="BA97" s="13">
        <f t="shared" si="155"/>
        <v>-1006413755.6430393</v>
      </c>
      <c r="BB97" s="13">
        <f t="shared" si="156"/>
        <v>-969746108.75810051</v>
      </c>
      <c r="BC97" s="13">
        <f t="shared" si="157"/>
        <v>-932140269.18870306</v>
      </c>
      <c r="BD97" s="13">
        <f t="shared" si="158"/>
        <v>-893906657.30651116</v>
      </c>
      <c r="BE97" s="13">
        <f t="shared" si="159"/>
        <v>-855286691.14809418</v>
      </c>
      <c r="BF97" s="13">
        <f t="shared" si="160"/>
        <v>-816465486.89974368</v>
      </c>
      <c r="BG97" s="13">
        <f t="shared" si="161"/>
        <v>-777582311.45435107</v>
      </c>
      <c r="BH97" s="13">
        <f t="shared" si="162"/>
        <v>-738739072.4370079</v>
      </c>
      <c r="BI97" s="13">
        <f t="shared" si="163"/>
        <v>-700007172.8651762</v>
      </c>
      <c r="BJ97" s="13">
        <f t="shared" si="164"/>
        <v>-661433045.87478232</v>
      </c>
      <c r="BK97" s="13">
        <f t="shared" si="165"/>
        <v>-623042648.73292983</v>
      </c>
      <c r="BL97" s="13">
        <f t="shared" si="166"/>
        <v>-584845151.07786727</v>
      </c>
      <c r="BM97" s="13">
        <f t="shared" si="167"/>
        <v>-546836008.63453281</v>
      </c>
      <c r="BN97" s="13">
        <f t="shared" si="168"/>
        <v>-508999574.6333093</v>
      </c>
      <c r="BO97" s="13">
        <f t="shared" si="169"/>
        <v>-471311368.32329291</v>
      </c>
      <c r="BP97" s="13">
        <f t="shared" si="170"/>
        <v>-433740093.48302531</v>
      </c>
      <c r="BQ97" s="13">
        <f t="shared" si="171"/>
        <v>-396249479.22678512</v>
      </c>
      <c r="BR97" s="13">
        <f t="shared" si="172"/>
        <v>-358800000</v>
      </c>
      <c r="BT97" s="47"/>
      <c r="BU97" s="26">
        <v>2.3333333333333334E-2</v>
      </c>
      <c r="BV97" s="13">
        <f t="shared" si="173"/>
        <v>0.40647468537622489</v>
      </c>
      <c r="BW97" s="13">
        <f t="shared" si="174"/>
        <v>0.40647468537622489</v>
      </c>
      <c r="BX97" s="13">
        <f t="shared" si="175"/>
        <v>0.40647468537622489</v>
      </c>
      <c r="BY97" s="13">
        <f t="shared" si="176"/>
        <v>0.40647468537622489</v>
      </c>
      <c r="BZ97" s="13">
        <f t="shared" si="177"/>
        <v>0.40647468537622489</v>
      </c>
      <c r="CA97" s="13">
        <f t="shared" si="178"/>
        <v>0.40647468537622489</v>
      </c>
      <c r="CB97" s="13">
        <f t="shared" si="179"/>
        <v>0.40647468537622489</v>
      </c>
      <c r="CC97" s="13">
        <f t="shared" si="180"/>
        <v>0.40647468537622489</v>
      </c>
      <c r="CD97" s="13">
        <f t="shared" si="181"/>
        <v>0.40647468537622489</v>
      </c>
      <c r="CE97" s="13">
        <f t="shared" si="182"/>
        <v>0.40647468537622489</v>
      </c>
      <c r="CF97" s="13">
        <f t="shared" si="183"/>
        <v>0.40647468537622489</v>
      </c>
      <c r="CG97" s="13">
        <f t="shared" si="184"/>
        <v>0.40647468537622489</v>
      </c>
      <c r="CH97" s="13">
        <f t="shared" si="185"/>
        <v>0.40647468537622489</v>
      </c>
      <c r="CI97" s="13">
        <f t="shared" si="186"/>
        <v>0.40647468537622489</v>
      </c>
      <c r="CJ97" s="13">
        <f t="shared" si="187"/>
        <v>0.40647468537622489</v>
      </c>
      <c r="CK97" s="13">
        <f t="shared" si="188"/>
        <v>0.40647468537622489</v>
      </c>
      <c r="CL97" s="13">
        <f t="shared" si="189"/>
        <v>0.40647468537622489</v>
      </c>
      <c r="CM97" s="13">
        <f t="shared" si="190"/>
        <v>0.40647468537622489</v>
      </c>
      <c r="CN97" s="13">
        <f t="shared" si="191"/>
        <v>0.40647468537622489</v>
      </c>
      <c r="CO97" s="13">
        <f t="shared" si="192"/>
        <v>0.40647468537622489</v>
      </c>
      <c r="CP97" s="13">
        <f t="shared" si="193"/>
        <v>0.40647468537622489</v>
      </c>
      <c r="CQ97" s="13">
        <f t="shared" si="194"/>
        <v>0.40647468537622489</v>
      </c>
      <c r="CR97" s="13">
        <f t="shared" si="195"/>
        <v>0.40647468537622489</v>
      </c>
      <c r="CS97" s="13">
        <f t="shared" si="196"/>
        <v>0.40647468537622489</v>
      </c>
      <c r="CT97" s="13">
        <f t="shared" si="197"/>
        <v>0.40647468537622489</v>
      </c>
      <c r="CU97" s="13">
        <f t="shared" si="198"/>
        <v>0.40647468537622489</v>
      </c>
      <c r="CV97" s="13">
        <f t="shared" si="199"/>
        <v>0.40647468537622489</v>
      </c>
      <c r="CW97" s="13">
        <f t="shared" si="200"/>
        <v>0.40647468537622489</v>
      </c>
      <c r="CX97" s="13">
        <f t="shared" si="201"/>
        <v>0.40647468537622489</v>
      </c>
      <c r="CY97" s="13">
        <f t="shared" si="202"/>
        <v>0.40647468537622489</v>
      </c>
      <c r="CZ97" s="13">
        <f t="shared" si="203"/>
        <v>0.40647468537622489</v>
      </c>
      <c r="DB97" s="47"/>
      <c r="DC97" s="26">
        <v>2.3333333333333334E-2</v>
      </c>
      <c r="DD97" s="13">
        <f t="shared" si="204"/>
        <v>178.05759438713258</v>
      </c>
      <c r="DE97" s="13">
        <f t="shared" si="205"/>
        <v>183.69728847414166</v>
      </c>
      <c r="DF97" s="13">
        <f t="shared" si="206"/>
        <v>188.42619140563141</v>
      </c>
      <c r="DG97" s="13">
        <f t="shared" si="207"/>
        <v>191.85501319024172</v>
      </c>
      <c r="DH97" s="13">
        <f t="shared" si="208"/>
        <v>193.84120870133444</v>
      </c>
      <c r="DI97" s="13">
        <f t="shared" si="209"/>
        <v>194.4035659539297</v>
      </c>
      <c r="DJ97" s="13">
        <f t="shared" si="210"/>
        <v>193.65435531759903</v>
      </c>
      <c r="DK97" s="13">
        <f t="shared" si="211"/>
        <v>191.75119418680393</v>
      </c>
      <c r="DL97" s="13">
        <f t="shared" si="212"/>
        <v>188.86576108915148</v>
      </c>
      <c r="DM97" s="13">
        <f t="shared" si="213"/>
        <v>185.16516544188067</v>
      </c>
      <c r="DN97" s="13">
        <f t="shared" si="214"/>
        <v>180.80205098531474</v>
      </c>
      <c r="DO97" s="13">
        <f t="shared" si="215"/>
        <v>175.91032191462256</v>
      </c>
      <c r="DP97" s="13">
        <f t="shared" si="216"/>
        <v>170.60424483031557</v>
      </c>
      <c r="DQ97" s="13">
        <f t="shared" si="217"/>
        <v>164.97940920649293</v>
      </c>
      <c r="DR97" s="13">
        <f t="shared" si="218"/>
        <v>159.11457923563535</v>
      </c>
      <c r="DS97" s="13">
        <f t="shared" si="219"/>
        <v>153.07385585621034</v>
      </c>
      <c r="DT97" s="13">
        <f t="shared" si="220"/>
        <v>146.90882397558732</v>
      </c>
      <c r="DU97" s="13">
        <f t="shared" si="221"/>
        <v>140.66052182686485</v>
      </c>
      <c r="DV97" s="13">
        <f t="shared" si="222"/>
        <v>134.36116667295124</v>
      </c>
      <c r="DW97" s="13">
        <f t="shared" si="223"/>
        <v>128.03562602788247</v>
      </c>
      <c r="DX97" s="13">
        <f t="shared" si="224"/>
        <v>121.70265197805639</v>
      </c>
      <c r="DY97" s="13">
        <f t="shared" si="225"/>
        <v>115.37590867510454</v>
      </c>
      <c r="DZ97" s="13">
        <f t="shared" si="226"/>
        <v>109.06482650810878</v>
      </c>
      <c r="EA97" s="13">
        <f t="shared" si="227"/>
        <v>102.77531512781353</v>
      </c>
      <c r="EB97" s="13">
        <f t="shared" si="228"/>
        <v>96.510363955657198</v>
      </c>
      <c r="EC97" s="13">
        <f t="shared" si="229"/>
        <v>90.270554534259063</v>
      </c>
      <c r="ED97" s="13">
        <f t="shared" si="230"/>
        <v>84.05450485294277</v>
      </c>
      <c r="EE97" s="13">
        <f t="shared" si="231"/>
        <v>77.859261996831677</v>
      </c>
      <c r="EF97" s="13">
        <f t="shared" si="232"/>
        <v>71.680656275577007</v>
      </c>
      <c r="EG97" s="13">
        <f t="shared" si="233"/>
        <v>65.513627419698537</v>
      </c>
      <c r="EH97" s="13">
        <f t="shared" si="234"/>
        <v>59.35253146237752</v>
      </c>
    </row>
    <row r="98" spans="5:138" x14ac:dyDescent="0.25">
      <c r="E98" s="49"/>
      <c r="F98" s="26">
        <v>0.02</v>
      </c>
      <c r="G98" s="13">
        <f t="shared" si="139"/>
        <v>300</v>
      </c>
      <c r="H98" s="13">
        <f t="shared" si="235"/>
        <v>309.57614619078055</v>
      </c>
      <c r="I98" s="13">
        <f t="shared" si="236"/>
        <v>317.23612787979084</v>
      </c>
      <c r="J98" s="13">
        <f t="shared" si="237"/>
        <v>322.66516851423717</v>
      </c>
      <c r="K98" s="13">
        <f t="shared" si="238"/>
        <v>325.70332227258228</v>
      </c>
      <c r="L98" s="13">
        <f t="shared" si="239"/>
        <v>326.41956805716302</v>
      </c>
      <c r="M98" s="13">
        <f t="shared" si="240"/>
        <v>325.01193728125952</v>
      </c>
      <c r="N98" s="13">
        <f t="shared" si="241"/>
        <v>321.73875330425824</v>
      </c>
      <c r="O98" s="13">
        <f t="shared" si="242"/>
        <v>316.87468123301022</v>
      </c>
      <c r="P98" s="13">
        <f t="shared" si="243"/>
        <v>310.68481108085393</v>
      </c>
      <c r="Q98" s="13">
        <f t="shared" si="244"/>
        <v>303.41098635635194</v>
      </c>
      <c r="R98" s="13">
        <f t="shared" si="245"/>
        <v>295.26596301155325</v>
      </c>
      <c r="S98" s="13">
        <f t="shared" si="246"/>
        <v>286.43226748137147</v>
      </c>
      <c r="T98" s="13">
        <f t="shared" si="247"/>
        <v>277.06365451922005</v>
      </c>
      <c r="U98" s="13">
        <f t="shared" si="248"/>
        <v>267.28782704999861</v>
      </c>
      <c r="V98" s="13">
        <f t="shared" si="249"/>
        <v>257.20960988908246</v>
      </c>
      <c r="W98" s="13">
        <f t="shared" si="250"/>
        <v>246.91412042221671</v>
      </c>
      <c r="X98" s="13">
        <f t="shared" si="251"/>
        <v>236.46970233745378</v>
      </c>
      <c r="Y98" s="13">
        <f t="shared" si="252"/>
        <v>225.93052373224765</v>
      </c>
      <c r="Z98" s="13">
        <f t="shared" si="253"/>
        <v>215.33881849990189</v>
      </c>
      <c r="AA98" s="13">
        <f t="shared" si="254"/>
        <v>204.72679102818989</v>
      </c>
      <c r="AB98" s="13">
        <f t="shared" si="255"/>
        <v>194.11822322885806</v>
      </c>
      <c r="AC98" s="13">
        <f t="shared" si="256"/>
        <v>183.52982908156821</v>
      </c>
      <c r="AD98" s="13">
        <f t="shared" si="257"/>
        <v>172.97240109198589</v>
      </c>
      <c r="AE98" s="13">
        <f t="shared" si="258"/>
        <v>162.45178890364343</v>
      </c>
      <c r="AF98" s="13">
        <f t="shared" si="259"/>
        <v>151.96974485391948</v>
      </c>
      <c r="AG98" s="13">
        <f t="shared" si="260"/>
        <v>141.52466568275463</v>
      </c>
      <c r="AH98" s="13">
        <f t="shared" si="261"/>
        <v>131.11225448167079</v>
      </c>
      <c r="AI98" s="13">
        <f t="shared" si="262"/>
        <v>120.72612257528884</v>
      </c>
      <c r="AJ98" s="13">
        <f t="shared" si="263"/>
        <v>110.35834744217246</v>
      </c>
      <c r="AK98" s="13">
        <f t="shared" si="141"/>
        <v>100</v>
      </c>
      <c r="AL98" s="47"/>
      <c r="AM98" s="26">
        <v>0.02</v>
      </c>
      <c r="AN98" s="13">
        <f t="shared" si="142"/>
        <v>-1076400000</v>
      </c>
      <c r="AO98" s="13">
        <f t="shared" si="143"/>
        <v>-1105626102.1379602</v>
      </c>
      <c r="AP98" s="13">
        <f t="shared" si="144"/>
        <v>-1130475476.0626292</v>
      </c>
      <c r="AQ98" s="13">
        <f t="shared" si="145"/>
        <v>-1148735944.9203765</v>
      </c>
      <c r="AR98" s="13">
        <f t="shared" si="146"/>
        <v>-1159420711.8068576</v>
      </c>
      <c r="AS98" s="13">
        <f t="shared" si="147"/>
        <v>-1162409739.9428294</v>
      </c>
      <c r="AT98" s="13">
        <f t="shared" si="148"/>
        <v>-1158130486.3043957</v>
      </c>
      <c r="AU98" s="13">
        <f t="shared" si="149"/>
        <v>-1147311861.9301531</v>
      </c>
      <c r="AV98" s="13">
        <f t="shared" si="150"/>
        <v>-1130812010.0910189</v>
      </c>
      <c r="AW98" s="13">
        <f t="shared" si="151"/>
        <v>-1109507318.213371</v>
      </c>
      <c r="AX98" s="13">
        <f t="shared" si="152"/>
        <v>-1084227071.6282406</v>
      </c>
      <c r="AY98" s="13">
        <f t="shared" si="153"/>
        <v>-1055719634.464483</v>
      </c>
      <c r="AZ98" s="13">
        <f t="shared" si="154"/>
        <v>-1024639016.5598166</v>
      </c>
      <c r="BA98" s="13">
        <f t="shared" si="155"/>
        <v>-991543740.11003399</v>
      </c>
      <c r="BB98" s="13">
        <f t="shared" si="156"/>
        <v>-956902494.43059063</v>
      </c>
      <c r="BC98" s="13">
        <f t="shared" si="157"/>
        <v>-921103025.0318377</v>
      </c>
      <c r="BD98" s="13">
        <f t="shared" si="158"/>
        <v>-884462094.07241488</v>
      </c>
      <c r="BE98" s="13">
        <f t="shared" si="159"/>
        <v>-847235286.34386802</v>
      </c>
      <c r="BF98" s="13">
        <f t="shared" si="160"/>
        <v>-809626036.97766924</v>
      </c>
      <c r="BG98" s="13">
        <f t="shared" si="161"/>
        <v>-771793625.3124007</v>
      </c>
      <c r="BH98" s="13">
        <f t="shared" si="162"/>
        <v>-733860091.7247752</v>
      </c>
      <c r="BI98" s="13">
        <f t="shared" si="163"/>
        <v>-695916146.88006473</v>
      </c>
      <c r="BJ98" s="13">
        <f t="shared" si="164"/>
        <v>-658026194.39801872</v>
      </c>
      <c r="BK98" s="13">
        <f t="shared" si="165"/>
        <v>-620232603.86688125</v>
      </c>
      <c r="BL98" s="13">
        <f t="shared" si="166"/>
        <v>-582559367.72853041</v>
      </c>
      <c r="BM98" s="13">
        <f t="shared" si="167"/>
        <v>-545015262.79143465</v>
      </c>
      <c r="BN98" s="13">
        <f t="shared" si="168"/>
        <v>-507596620.89362359</v>
      </c>
      <c r="BO98" s="13">
        <f t="shared" si="169"/>
        <v>-470289796.82915348</v>
      </c>
      <c r="BP98" s="13">
        <f t="shared" si="170"/>
        <v>-433073406.77832413</v>
      </c>
      <c r="BQ98" s="13">
        <f t="shared" si="171"/>
        <v>-395920397.92732143</v>
      </c>
      <c r="BR98" s="13">
        <f t="shared" si="172"/>
        <v>-358800000</v>
      </c>
      <c r="BT98" s="47"/>
      <c r="BU98" s="26">
        <v>0.02</v>
      </c>
      <c r="BV98" s="13">
        <f t="shared" si="173"/>
        <v>0.40648885983862293</v>
      </c>
      <c r="BW98" s="13">
        <f t="shared" si="174"/>
        <v>0.40648885983862293</v>
      </c>
      <c r="BX98" s="13">
        <f t="shared" si="175"/>
        <v>0.40648885983862293</v>
      </c>
      <c r="BY98" s="13">
        <f t="shared" si="176"/>
        <v>0.40648885983862293</v>
      </c>
      <c r="BZ98" s="13">
        <f t="shared" si="177"/>
        <v>0.40648885983862293</v>
      </c>
      <c r="CA98" s="13">
        <f t="shared" si="178"/>
        <v>0.40648885983862293</v>
      </c>
      <c r="CB98" s="13">
        <f t="shared" si="179"/>
        <v>0.40648885983862293</v>
      </c>
      <c r="CC98" s="13">
        <f t="shared" si="180"/>
        <v>0.40648885983862293</v>
      </c>
      <c r="CD98" s="13">
        <f t="shared" si="181"/>
        <v>0.40648885983862293</v>
      </c>
      <c r="CE98" s="13">
        <f t="shared" si="182"/>
        <v>0.40648885983862293</v>
      </c>
      <c r="CF98" s="13">
        <f t="shared" si="183"/>
        <v>0.40648885983862293</v>
      </c>
      <c r="CG98" s="13">
        <f t="shared" si="184"/>
        <v>0.40648885983862293</v>
      </c>
      <c r="CH98" s="13">
        <f t="shared" si="185"/>
        <v>0.40648885983862293</v>
      </c>
      <c r="CI98" s="13">
        <f t="shared" si="186"/>
        <v>0.40648885983862293</v>
      </c>
      <c r="CJ98" s="13">
        <f t="shared" si="187"/>
        <v>0.40648885983862293</v>
      </c>
      <c r="CK98" s="13">
        <f t="shared" si="188"/>
        <v>0.40648885983862293</v>
      </c>
      <c r="CL98" s="13">
        <f t="shared" si="189"/>
        <v>0.40648885983862293</v>
      </c>
      <c r="CM98" s="13">
        <f t="shared" si="190"/>
        <v>0.40648885983862293</v>
      </c>
      <c r="CN98" s="13">
        <f t="shared" si="191"/>
        <v>0.40648885983862293</v>
      </c>
      <c r="CO98" s="13">
        <f t="shared" si="192"/>
        <v>0.40648885983862293</v>
      </c>
      <c r="CP98" s="13">
        <f t="shared" si="193"/>
        <v>0.40648885983862293</v>
      </c>
      <c r="CQ98" s="13">
        <f t="shared" si="194"/>
        <v>0.40648885983862293</v>
      </c>
      <c r="CR98" s="13">
        <f t="shared" si="195"/>
        <v>0.40648885983862293</v>
      </c>
      <c r="CS98" s="13">
        <f t="shared" si="196"/>
        <v>0.40648885983862293</v>
      </c>
      <c r="CT98" s="13">
        <f t="shared" si="197"/>
        <v>0.40648885983862293</v>
      </c>
      <c r="CU98" s="13">
        <f t="shared" si="198"/>
        <v>0.40648885983862293</v>
      </c>
      <c r="CV98" s="13">
        <f t="shared" si="199"/>
        <v>0.40648885983862293</v>
      </c>
      <c r="CW98" s="13">
        <f t="shared" si="200"/>
        <v>0.40648885983862293</v>
      </c>
      <c r="CX98" s="13">
        <f t="shared" si="201"/>
        <v>0.40648885983862293</v>
      </c>
      <c r="CY98" s="13">
        <f t="shared" si="202"/>
        <v>0.40648885983862293</v>
      </c>
      <c r="CZ98" s="13">
        <f t="shared" si="203"/>
        <v>0.40648885983862293</v>
      </c>
      <c r="DB98" s="47"/>
      <c r="DC98" s="26">
        <v>0.02</v>
      </c>
      <c r="DD98" s="13">
        <f t="shared" si="204"/>
        <v>178.05334204841316</v>
      </c>
      <c r="DE98" s="13">
        <f t="shared" si="205"/>
        <v>182.14152176452578</v>
      </c>
      <c r="DF98" s="13">
        <f t="shared" si="206"/>
        <v>185.6306739590724</v>
      </c>
      <c r="DG98" s="13">
        <f t="shared" si="207"/>
        <v>188.19392839599823</v>
      </c>
      <c r="DH98" s="13">
        <f t="shared" si="208"/>
        <v>189.66989685049549</v>
      </c>
      <c r="DI98" s="13">
        <f t="shared" si="209"/>
        <v>190.01945319297079</v>
      </c>
      <c r="DJ98" s="13">
        <f t="shared" si="210"/>
        <v>189.28477512567272</v>
      </c>
      <c r="DK98" s="13">
        <f t="shared" si="211"/>
        <v>187.55625595036008</v>
      </c>
      <c r="DL98" s="13">
        <f t="shared" si="212"/>
        <v>184.94827362968073</v>
      </c>
      <c r="DM98" s="13">
        <f t="shared" si="213"/>
        <v>181.58276681526948</v>
      </c>
      <c r="DN98" s="13">
        <f t="shared" si="214"/>
        <v>177.57891496393671</v>
      </c>
      <c r="DO98" s="13">
        <f t="shared" si="215"/>
        <v>173.04723164877055</v>
      </c>
      <c r="DP98" s="13">
        <f t="shared" si="216"/>
        <v>168.08665672917488</v>
      </c>
      <c r="DQ98" s="13">
        <f t="shared" si="217"/>
        <v>162.78357105471102</v>
      </c>
      <c r="DR98" s="13">
        <f t="shared" si="218"/>
        <v>157.21196605701195</v>
      </c>
      <c r="DS98" s="13">
        <f t="shared" si="219"/>
        <v>151.43424858963709</v>
      </c>
      <c r="DT98" s="13">
        <f t="shared" si="220"/>
        <v>145.50234593076127</v>
      </c>
      <c r="DU98" s="13">
        <f t="shared" si="221"/>
        <v>139.45890589528179</v>
      </c>
      <c r="DV98" s="13">
        <f t="shared" si="222"/>
        <v>133.33847462374263</v>
      </c>
      <c r="DW98" s="13">
        <f t="shared" si="223"/>
        <v>127.16859127617708</v>
      </c>
      <c r="DX98" s="13">
        <f t="shared" si="224"/>
        <v>120.97077395099328</v>
      </c>
      <c r="DY98" s="13">
        <f t="shared" si="225"/>
        <v>114.76139178511707</v>
      </c>
      <c r="DZ98" s="13">
        <f t="shared" si="226"/>
        <v>108.55242947916183</v>
      </c>
      <c r="EA98" s="13">
        <f t="shared" si="227"/>
        <v>102.35215595345417</v>
      </c>
      <c r="EB98" s="13">
        <f t="shared" si="228"/>
        <v>96.165710827806137</v>
      </c>
      <c r="EC98" s="13">
        <f t="shared" si="229"/>
        <v>89.995622451444547</v>
      </c>
      <c r="ED98" s="13">
        <f t="shared" si="230"/>
        <v>83.842270245325707</v>
      </c>
      <c r="EE98" s="13">
        <f t="shared" si="231"/>
        <v>77.704302738660587</v>
      </c>
      <c r="EF98" s="13">
        <f t="shared" si="232"/>
        <v>71.579021225573982</v>
      </c>
      <c r="EG98" s="13">
        <f t="shared" si="233"/>
        <v>65.462737626901685</v>
      </c>
      <c r="EH98" s="13">
        <f t="shared" si="234"/>
        <v>59.351114016137714</v>
      </c>
    </row>
    <row r="99" spans="5:138" x14ac:dyDescent="0.25">
      <c r="E99" s="49"/>
      <c r="F99" s="26">
        <v>1.6666666666666666E-2</v>
      </c>
      <c r="G99" s="13">
        <f t="shared" si="139"/>
        <v>300</v>
      </c>
      <c r="H99" s="13">
        <f t="shared" si="235"/>
        <v>306.89127159317644</v>
      </c>
      <c r="I99" s="13">
        <f t="shared" si="236"/>
        <v>312.58699718237597</v>
      </c>
      <c r="J99" s="13">
        <f t="shared" si="237"/>
        <v>316.68940797775912</v>
      </c>
      <c r="K99" s="13">
        <f t="shared" si="238"/>
        <v>318.97480091965815</v>
      </c>
      <c r="L99" s="13">
        <f t="shared" si="239"/>
        <v>319.40396159293522</v>
      </c>
      <c r="M99" s="13">
        <f t="shared" si="240"/>
        <v>318.05791510099561</v>
      </c>
      <c r="N99" s="13">
        <f t="shared" si="241"/>
        <v>315.087999544593</v>
      </c>
      <c r="O99" s="13">
        <f t="shared" si="242"/>
        <v>310.67998612247902</v>
      </c>
      <c r="P99" s="13">
        <f t="shared" si="243"/>
        <v>305.02994623293705</v>
      </c>
      <c r="Q99" s="13">
        <f t="shared" si="244"/>
        <v>298.32908927931697</v>
      </c>
      <c r="R99" s="13">
        <f t="shared" si="245"/>
        <v>290.75502571465046</v>
      </c>
      <c r="S99" s="13">
        <f t="shared" si="246"/>
        <v>282.46739392760924</v>
      </c>
      <c r="T99" s="13">
        <f t="shared" si="247"/>
        <v>273.60630279852825</v>
      </c>
      <c r="U99" s="13">
        <f t="shared" si="248"/>
        <v>264.29248884994769</v>
      </c>
      <c r="V99" s="13">
        <f t="shared" si="249"/>
        <v>254.62843946077402</v>
      </c>
      <c r="W99" s="13">
        <f t="shared" si="250"/>
        <v>244.69999448601982</v>
      </c>
      <c r="X99" s="13">
        <f t="shared" si="251"/>
        <v>234.5781228287305</v>
      </c>
      <c r="Y99" s="13">
        <f t="shared" si="252"/>
        <v>224.32069562803252</v>
      </c>
      <c r="Z99" s="13">
        <f t="shared" si="253"/>
        <v>213.97415971183091</v>
      </c>
      <c r="AA99" s="13">
        <f t="shared" si="254"/>
        <v>203.57506671802997</v>
      </c>
      <c r="AB99" s="13">
        <f t="shared" si="255"/>
        <v>193.15144456341341</v>
      </c>
      <c r="AC99" s="13">
        <f t="shared" si="256"/>
        <v>182.72401576480996</v>
      </c>
      <c r="AD99" s="13">
        <f t="shared" si="257"/>
        <v>172.30727638624973</v>
      </c>
      <c r="AE99" s="13">
        <f t="shared" si="258"/>
        <v>161.91045340635515</v>
      </c>
      <c r="AF99" s="13">
        <f t="shared" si="259"/>
        <v>151.53835925078718</v>
      </c>
      <c r="AG99" s="13">
        <f t="shared" si="260"/>
        <v>141.19216151458053</v>
      </c>
      <c r="AH99" s="13">
        <f t="shared" si="261"/>
        <v>130.87008438464801</v>
      </c>
      <c r="AI99" s="13">
        <f t="shared" si="262"/>
        <v>120.56805649660461</v>
      </c>
      <c r="AJ99" s="13">
        <f t="shared" si="263"/>
        <v>110.28031823606284</v>
      </c>
      <c r="AK99" s="13">
        <f t="shared" si="141"/>
        <v>100</v>
      </c>
      <c r="AL99" s="47"/>
      <c r="AM99" s="26">
        <v>1.6666666666666666E-2</v>
      </c>
      <c r="AN99" s="13">
        <f t="shared" si="142"/>
        <v>-1076400000</v>
      </c>
      <c r="AO99" s="13">
        <f t="shared" si="143"/>
        <v>-1097624686.2226036</v>
      </c>
      <c r="AP99" s="13">
        <f t="shared" si="144"/>
        <v>-1115886948.6302135</v>
      </c>
      <c r="AQ99" s="13">
        <f t="shared" si="145"/>
        <v>-1129373810.1978219</v>
      </c>
      <c r="AR99" s="13">
        <f t="shared" si="146"/>
        <v>-1137086615.3551342</v>
      </c>
      <c r="AS99" s="13">
        <f t="shared" si="147"/>
        <v>-1138670392.3844614</v>
      </c>
      <c r="AT99" s="13">
        <f t="shared" si="148"/>
        <v>-1134227414.9282968</v>
      </c>
      <c r="AU99" s="13">
        <f t="shared" si="149"/>
        <v>-1124153179.769182</v>
      </c>
      <c r="AV99" s="13">
        <f t="shared" si="150"/>
        <v>-1109007907.5329432</v>
      </c>
      <c r="AW99" s="13">
        <f t="shared" si="151"/>
        <v>-1089423779.6633961</v>
      </c>
      <c r="AX99" s="13">
        <f t="shared" si="152"/>
        <v>-1066042567.4363247</v>
      </c>
      <c r="AY99" s="13">
        <f t="shared" si="153"/>
        <v>-1039476752.6311365</v>
      </c>
      <c r="AZ99" s="13">
        <f t="shared" si="154"/>
        <v>-1010287618.3091377</v>
      </c>
      <c r="BA99" s="13">
        <f t="shared" si="155"/>
        <v>-978974925.03031147</v>
      </c>
      <c r="BB99" s="13">
        <f t="shared" si="156"/>
        <v>-945974072.15369117</v>
      </c>
      <c r="BC99" s="13">
        <f t="shared" si="157"/>
        <v>-911657798.40151405</v>
      </c>
      <c r="BD99" s="13">
        <f t="shared" si="158"/>
        <v>-876340404.95789444</v>
      </c>
      <c r="BE99" s="13">
        <f t="shared" si="159"/>
        <v>-840283182.03008437</v>
      </c>
      <c r="BF99" s="13">
        <f t="shared" si="160"/>
        <v>-803700217.86790204</v>
      </c>
      <c r="BG99" s="13">
        <f t="shared" si="161"/>
        <v>-766764110.31827259</v>
      </c>
      <c r="BH99" s="13">
        <f t="shared" si="162"/>
        <v>-729611325.76147008</v>
      </c>
      <c r="BI99" s="13">
        <f t="shared" si="163"/>
        <v>-692347092.60531521</v>
      </c>
      <c r="BJ99" s="13">
        <f t="shared" si="164"/>
        <v>-655049802.51158869</v>
      </c>
      <c r="BK99" s="13">
        <f t="shared" si="165"/>
        <v>-617774941.30587661</v>
      </c>
      <c r="BL99" s="13">
        <f t="shared" si="166"/>
        <v>-580558596.53698492</v>
      </c>
      <c r="BM99" s="13">
        <f t="shared" si="167"/>
        <v>-543420599.09039795</v>
      </c>
      <c r="BN99" s="13">
        <f t="shared" si="168"/>
        <v>-506367358.22033501</v>
      </c>
      <c r="BO99" s="13">
        <f t="shared" si="169"/>
        <v>-469394446.79124105</v>
      </c>
      <c r="BP99" s="13">
        <f t="shared" si="170"/>
        <v>-432488988.8973738</v>
      </c>
      <c r="BQ99" s="13">
        <f t="shared" si="171"/>
        <v>-395631896.8810547</v>
      </c>
      <c r="BR99" s="13">
        <f t="shared" si="172"/>
        <v>-358800000</v>
      </c>
      <c r="BT99" s="47"/>
      <c r="BU99" s="26">
        <v>1.6666666666666666E-2</v>
      </c>
      <c r="BV99" s="13">
        <f t="shared" si="173"/>
        <v>0.40657464742411625</v>
      </c>
      <c r="BW99" s="13">
        <f t="shared" si="174"/>
        <v>0.40657464742411625</v>
      </c>
      <c r="BX99" s="13">
        <f t="shared" si="175"/>
        <v>0.40657464742411625</v>
      </c>
      <c r="BY99" s="13">
        <f t="shared" si="176"/>
        <v>0.40657464742411625</v>
      </c>
      <c r="BZ99" s="13">
        <f t="shared" si="177"/>
        <v>0.40657464742411625</v>
      </c>
      <c r="CA99" s="13">
        <f t="shared" si="178"/>
        <v>0.40657464742411625</v>
      </c>
      <c r="CB99" s="13">
        <f t="shared" si="179"/>
        <v>0.40657464742411625</v>
      </c>
      <c r="CC99" s="13">
        <f t="shared" si="180"/>
        <v>0.40657464742411625</v>
      </c>
      <c r="CD99" s="13">
        <f t="shared" si="181"/>
        <v>0.40657464742411625</v>
      </c>
      <c r="CE99" s="13">
        <f t="shared" si="182"/>
        <v>0.40657464742411625</v>
      </c>
      <c r="CF99" s="13">
        <f t="shared" si="183"/>
        <v>0.40657464742411625</v>
      </c>
      <c r="CG99" s="13">
        <f t="shared" si="184"/>
        <v>0.40657464742411625</v>
      </c>
      <c r="CH99" s="13">
        <f t="shared" si="185"/>
        <v>0.40657464742411625</v>
      </c>
      <c r="CI99" s="13">
        <f t="shared" si="186"/>
        <v>0.40657464742411625</v>
      </c>
      <c r="CJ99" s="13">
        <f t="shared" si="187"/>
        <v>0.40657464742411625</v>
      </c>
      <c r="CK99" s="13">
        <f t="shared" si="188"/>
        <v>0.40657464742411625</v>
      </c>
      <c r="CL99" s="13">
        <f t="shared" si="189"/>
        <v>0.40657464742411625</v>
      </c>
      <c r="CM99" s="13">
        <f t="shared" si="190"/>
        <v>0.40657464742411625</v>
      </c>
      <c r="CN99" s="13">
        <f t="shared" si="191"/>
        <v>0.40657464742411625</v>
      </c>
      <c r="CO99" s="13">
        <f t="shared" si="192"/>
        <v>0.40657464742411625</v>
      </c>
      <c r="CP99" s="13">
        <f t="shared" si="193"/>
        <v>0.40657464742411625</v>
      </c>
      <c r="CQ99" s="13">
        <f t="shared" si="194"/>
        <v>0.40657464742411625</v>
      </c>
      <c r="CR99" s="13">
        <f t="shared" si="195"/>
        <v>0.40657464742411625</v>
      </c>
      <c r="CS99" s="13">
        <f t="shared" si="196"/>
        <v>0.40657464742411625</v>
      </c>
      <c r="CT99" s="13">
        <f t="shared" si="197"/>
        <v>0.40657464742411625</v>
      </c>
      <c r="CU99" s="13">
        <f t="shared" si="198"/>
        <v>0.40657464742411625</v>
      </c>
      <c r="CV99" s="13">
        <f t="shared" si="199"/>
        <v>0.40657464742411625</v>
      </c>
      <c r="CW99" s="13">
        <f t="shared" si="200"/>
        <v>0.40657464742411625</v>
      </c>
      <c r="CX99" s="13">
        <f t="shared" si="201"/>
        <v>0.40657464742411625</v>
      </c>
      <c r="CY99" s="13">
        <f t="shared" si="202"/>
        <v>0.40657464742411625</v>
      </c>
      <c r="CZ99" s="13">
        <f t="shared" si="203"/>
        <v>0.40657464742411625</v>
      </c>
      <c r="DB99" s="47"/>
      <c r="DC99" s="26">
        <v>1.6666666666666666E-2</v>
      </c>
      <c r="DD99" s="13">
        <f t="shared" si="204"/>
        <v>178.02760577276516</v>
      </c>
      <c r="DE99" s="13">
        <f t="shared" si="205"/>
        <v>181.02545910474316</v>
      </c>
      <c r="DF99" s="13">
        <f t="shared" si="206"/>
        <v>183.60683033945813</v>
      </c>
      <c r="DG99" s="13">
        <f t="shared" si="207"/>
        <v>185.50193085304008</v>
      </c>
      <c r="DH99" s="13">
        <f t="shared" si="208"/>
        <v>186.5520875018197</v>
      </c>
      <c r="DI99" s="13">
        <f t="shared" si="209"/>
        <v>186.69004079776184</v>
      </c>
      <c r="DJ99" s="13">
        <f t="shared" si="210"/>
        <v>185.9163012922385</v>
      </c>
      <c r="DK99" s="13">
        <f t="shared" si="211"/>
        <v>184.2771793572395</v>
      </c>
      <c r="DL99" s="13">
        <f t="shared" si="212"/>
        <v>181.84677432253866</v>
      </c>
      <c r="DM99" s="13">
        <f t="shared" si="213"/>
        <v>178.71337870771069</v>
      </c>
      <c r="DN99" s="13">
        <f t="shared" si="214"/>
        <v>174.96987447687982</v>
      </c>
      <c r="DO99" s="13">
        <f t="shared" si="215"/>
        <v>170.70737090688604</v>
      </c>
      <c r="DP99" s="13">
        <f t="shared" si="216"/>
        <v>166.01129576548044</v>
      </c>
      <c r="DQ99" s="13">
        <f t="shared" si="217"/>
        <v>160.95924514833919</v>
      </c>
      <c r="DR99" s="13">
        <f t="shared" si="218"/>
        <v>155.62003480633632</v>
      </c>
      <c r="DS99" s="13">
        <f t="shared" si="219"/>
        <v>150.05353300602584</v>
      </c>
      <c r="DT99" s="13">
        <f t="shared" si="220"/>
        <v>144.31097303132128</v>
      </c>
      <c r="DU99" s="13">
        <f t="shared" si="221"/>
        <v>138.43553697439452</v>
      </c>
      <c r="DV99" s="13">
        <f t="shared" si="222"/>
        <v>132.46307259924802</v>
      </c>
      <c r="DW99" s="13">
        <f t="shared" si="223"/>
        <v>126.42285550350752</v>
      </c>
      <c r="DX99" s="13">
        <f t="shared" si="224"/>
        <v>120.33834383747292</v>
      </c>
      <c r="DY99" s="13">
        <f t="shared" si="225"/>
        <v>114.22789639554453</v>
      </c>
      <c r="DZ99" s="13">
        <f t="shared" si="226"/>
        <v>108.10544021416307</v>
      </c>
      <c r="EA99" s="13">
        <f t="shared" si="227"/>
        <v>101.98108339817274</v>
      </c>
      <c r="EB99" s="13">
        <f t="shared" si="228"/>
        <v>95.861674609439362</v>
      </c>
      <c r="EC99" s="13">
        <f t="shared" si="229"/>
        <v>89.751313817671956</v>
      </c>
      <c r="ED99" s="13">
        <f t="shared" si="230"/>
        <v>83.651820462798653</v>
      </c>
      <c r="EE99" s="13">
        <f t="shared" si="231"/>
        <v>77.563165745781717</v>
      </c>
      <c r="EF99" s="13">
        <f t="shared" si="232"/>
        <v>71.483875775675912</v>
      </c>
      <c r="EG99" s="13">
        <f t="shared" si="233"/>
        <v>65.411412034453448</v>
      </c>
      <c r="EH99" s="13">
        <f t="shared" si="234"/>
        <v>59.342535257588374</v>
      </c>
    </row>
    <row r="100" spans="5:138" x14ac:dyDescent="0.25">
      <c r="E100" s="49"/>
      <c r="F100" s="26">
        <v>1.3333333333333334E-2</v>
      </c>
      <c r="G100" s="13">
        <f t="shared" si="139"/>
        <v>300</v>
      </c>
      <c r="H100" s="13">
        <f t="shared" si="235"/>
        <v>305.05209657376395</v>
      </c>
      <c r="I100" s="13">
        <f t="shared" si="236"/>
        <v>309.30868707920052</v>
      </c>
      <c r="J100" s="13">
        <f t="shared" si="237"/>
        <v>312.38219469402929</v>
      </c>
      <c r="K100" s="13">
        <f t="shared" si="238"/>
        <v>314.03250428765159</v>
      </c>
      <c r="L100" s="13">
        <f t="shared" si="239"/>
        <v>314.16396426179676</v>
      </c>
      <c r="M100" s="13">
        <f t="shared" si="240"/>
        <v>312.78611138789961</v>
      </c>
      <c r="N100" s="13">
        <f t="shared" si="241"/>
        <v>309.97892757159872</v>
      </c>
      <c r="O100" s="13">
        <f t="shared" si="242"/>
        <v>305.86497281738536</v>
      </c>
      <c r="P100" s="13">
        <f t="shared" si="243"/>
        <v>300.58852762182738</v>
      </c>
      <c r="Q100" s="13">
        <f t="shared" si="244"/>
        <v>294.30086488292557</v>
      </c>
      <c r="R100" s="13">
        <f t="shared" si="245"/>
        <v>287.15043615519431</v>
      </c>
      <c r="S100" s="13">
        <f t="shared" si="246"/>
        <v>279.27676943257256</v>
      </c>
      <c r="T100" s="13">
        <f t="shared" si="247"/>
        <v>270.80704030750007</v>
      </c>
      <c r="U100" s="13">
        <f t="shared" si="248"/>
        <v>261.85448829238976</v>
      </c>
      <c r="V100" s="13">
        <f t="shared" si="249"/>
        <v>252.51805221694465</v>
      </c>
      <c r="W100" s="13">
        <f t="shared" si="250"/>
        <v>242.88277078604148</v>
      </c>
      <c r="X100" s="13">
        <f t="shared" si="251"/>
        <v>233.0206309237272</v>
      </c>
      <c r="Y100" s="13">
        <f t="shared" si="252"/>
        <v>222.99164966040644</v>
      </c>
      <c r="Z100" s="13">
        <f t="shared" si="253"/>
        <v>212.84505037491365</v>
      </c>
      <c r="AA100" s="13">
        <f t="shared" si="254"/>
        <v>202.62044714768194</v>
      </c>
      <c r="AB100" s="13">
        <f t="shared" si="255"/>
        <v>192.34898727193294</v>
      </c>
      <c r="AC100" s="13">
        <f t="shared" si="256"/>
        <v>182.05442613224244</v>
      </c>
      <c r="AD100" s="13">
        <f t="shared" si="257"/>
        <v>171.75412423316752</v>
      </c>
      <c r="AE100" s="13">
        <f t="shared" si="258"/>
        <v>161.45996580399856</v>
      </c>
      <c r="AF100" s="13">
        <f t="shared" si="259"/>
        <v>151.17920405862745</v>
      </c>
      <c r="AG100" s="13">
        <f t="shared" si="260"/>
        <v>140.91524123384121</v>
      </c>
      <c r="AH100" s="13">
        <f t="shared" si="261"/>
        <v>130.66835293034893</v>
      </c>
      <c r="AI100" s="13">
        <f t="shared" si="262"/>
        <v>120.43636670111931</v>
      </c>
      <c r="AJ100" s="13">
        <f t="shared" si="263"/>
        <v>110.21530471834421</v>
      </c>
      <c r="AK100" s="13">
        <f t="shared" si="141"/>
        <v>100</v>
      </c>
      <c r="AL100" s="47"/>
      <c r="AM100" s="26">
        <v>1.3333333333333334E-2</v>
      </c>
      <c r="AN100" s="13">
        <f t="shared" si="142"/>
        <v>-1076400000</v>
      </c>
      <c r="AO100" s="13">
        <f t="shared" si="143"/>
        <v>-1091995152.7249768</v>
      </c>
      <c r="AP100" s="13">
        <f t="shared" si="144"/>
        <v>-1105468033.9846232</v>
      </c>
      <c r="AQ100" s="13">
        <f t="shared" si="145"/>
        <v>-1115329987.1454756</v>
      </c>
      <c r="AR100" s="13">
        <f t="shared" si="146"/>
        <v>-1120640229.9883275</v>
      </c>
      <c r="AS100" s="13">
        <f t="shared" si="147"/>
        <v>-1120936409.1693251</v>
      </c>
      <c r="AT100" s="13">
        <f t="shared" si="148"/>
        <v>-1116130594.8931963</v>
      </c>
      <c r="AU100" s="13">
        <f t="shared" si="149"/>
        <v>-1106402715.9996786</v>
      </c>
      <c r="AV100" s="13">
        <f t="shared" si="150"/>
        <v>-1092107124.4995477</v>
      </c>
      <c r="AW100" s="13">
        <f t="shared" si="151"/>
        <v>-1073697974.7597761</v>
      </c>
      <c r="AX100" s="13">
        <f t="shared" si="152"/>
        <v>-1051673611.5060533</v>
      </c>
      <c r="AY100" s="13">
        <f t="shared" si="153"/>
        <v>-1026537574.1604047</v>
      </c>
      <c r="AZ100" s="13">
        <f t="shared" si="154"/>
        <v>-998772943.52347708</v>
      </c>
      <c r="BA100" s="13">
        <f t="shared" si="155"/>
        <v>-968826778.06788683</v>
      </c>
      <c r="BB100" s="13">
        <f t="shared" si="156"/>
        <v>-937101817.51576746</v>
      </c>
      <c r="BC100" s="13">
        <f t="shared" si="157"/>
        <v>-903953191.13559675</v>
      </c>
      <c r="BD100" s="13">
        <f t="shared" si="158"/>
        <v>-869688413.91210139</v>
      </c>
      <c r="BE100" s="13">
        <f t="shared" si="159"/>
        <v>-834569423.00067461</v>
      </c>
      <c r="BF100" s="13">
        <f t="shared" si="160"/>
        <v>-798815781.78677869</v>
      </c>
      <c r="BG100" s="13">
        <f t="shared" si="161"/>
        <v>-762608463.66452885</v>
      </c>
      <c r="BH100" s="13">
        <f t="shared" si="162"/>
        <v>-726093835.7683953</v>
      </c>
      <c r="BI100" s="13">
        <f t="shared" si="163"/>
        <v>-689387610.08162344</v>
      </c>
      <c r="BJ100" s="13">
        <f t="shared" si="164"/>
        <v>-652578630.32888281</v>
      </c>
      <c r="BK100" s="13">
        <f t="shared" si="165"/>
        <v>-615732430.23182976</v>
      </c>
      <c r="BL100" s="13">
        <f t="shared" si="166"/>
        <v>-578894541.8616643</v>
      </c>
      <c r="BM100" s="13">
        <f t="shared" si="167"/>
        <v>-542093559.38483119</v>
      </c>
      <c r="BN100" s="13">
        <f t="shared" si="168"/>
        <v>-505343978.91649592</v>
      </c>
      <c r="BO100" s="13">
        <f t="shared" si="169"/>
        <v>-468648843.37430841</v>
      </c>
      <c r="BP100" s="13">
        <f t="shared" si="170"/>
        <v>-432002224.89936918</v>
      </c>
      <c r="BQ100" s="13">
        <f t="shared" si="171"/>
        <v>-395391578.46529424</v>
      </c>
      <c r="BR100" s="13">
        <f t="shared" si="172"/>
        <v>-358800000</v>
      </c>
      <c r="BT100" s="47"/>
      <c r="BU100" s="26">
        <v>1.3333333333333334E-2</v>
      </c>
      <c r="BV100" s="13">
        <f t="shared" si="173"/>
        <v>0.40709372886650147</v>
      </c>
      <c r="BW100" s="13">
        <f t="shared" si="174"/>
        <v>0.40709372886650147</v>
      </c>
      <c r="BX100" s="13">
        <f t="shared" si="175"/>
        <v>0.40709372886650147</v>
      </c>
      <c r="BY100" s="13">
        <f t="shared" si="176"/>
        <v>0.40709372886650147</v>
      </c>
      <c r="BZ100" s="13">
        <f t="shared" si="177"/>
        <v>0.40709372886650147</v>
      </c>
      <c r="CA100" s="13">
        <f t="shared" si="178"/>
        <v>0.40709372886650147</v>
      </c>
      <c r="CB100" s="13">
        <f t="shared" si="179"/>
        <v>0.40709372886650147</v>
      </c>
      <c r="CC100" s="13">
        <f t="shared" si="180"/>
        <v>0.40709372886650147</v>
      </c>
      <c r="CD100" s="13">
        <f t="shared" si="181"/>
        <v>0.40709372886650147</v>
      </c>
      <c r="CE100" s="13">
        <f t="shared" si="182"/>
        <v>0.40709372886650147</v>
      </c>
      <c r="CF100" s="13">
        <f t="shared" si="183"/>
        <v>0.40709372886650147</v>
      </c>
      <c r="CG100" s="13">
        <f t="shared" si="184"/>
        <v>0.40709372886650147</v>
      </c>
      <c r="CH100" s="13">
        <f t="shared" si="185"/>
        <v>0.40709372886650147</v>
      </c>
      <c r="CI100" s="13">
        <f t="shared" si="186"/>
        <v>0.40709372886650147</v>
      </c>
      <c r="CJ100" s="13">
        <f t="shared" si="187"/>
        <v>0.40709372886650147</v>
      </c>
      <c r="CK100" s="13">
        <f t="shared" si="188"/>
        <v>0.40709372886650147</v>
      </c>
      <c r="CL100" s="13">
        <f t="shared" si="189"/>
        <v>0.40709372886650147</v>
      </c>
      <c r="CM100" s="13">
        <f t="shared" si="190"/>
        <v>0.40709372886650147</v>
      </c>
      <c r="CN100" s="13">
        <f t="shared" si="191"/>
        <v>0.40709372886650147</v>
      </c>
      <c r="CO100" s="13">
        <f t="shared" si="192"/>
        <v>0.40709372886650147</v>
      </c>
      <c r="CP100" s="13">
        <f t="shared" si="193"/>
        <v>0.40709372886650147</v>
      </c>
      <c r="CQ100" s="13">
        <f t="shared" si="194"/>
        <v>0.40709372886650147</v>
      </c>
      <c r="CR100" s="13">
        <f t="shared" si="195"/>
        <v>0.40709372886650147</v>
      </c>
      <c r="CS100" s="13">
        <f t="shared" si="196"/>
        <v>0.40709372886650147</v>
      </c>
      <c r="CT100" s="13">
        <f t="shared" si="197"/>
        <v>0.40709372886650147</v>
      </c>
      <c r="CU100" s="13">
        <f t="shared" si="198"/>
        <v>0.40709372886650147</v>
      </c>
      <c r="CV100" s="13">
        <f t="shared" si="199"/>
        <v>0.40709372886650147</v>
      </c>
      <c r="CW100" s="13">
        <f t="shared" si="200"/>
        <v>0.40709372886650147</v>
      </c>
      <c r="CX100" s="13">
        <f t="shared" si="201"/>
        <v>0.40709372886650147</v>
      </c>
      <c r="CY100" s="13">
        <f t="shared" si="202"/>
        <v>0.40709372886650147</v>
      </c>
      <c r="CZ100" s="13">
        <f t="shared" si="203"/>
        <v>0.40709372886650147</v>
      </c>
      <c r="DB100" s="47"/>
      <c r="DC100" s="26">
        <v>1.3333333333333334E-2</v>
      </c>
      <c r="DD100" s="13">
        <f t="shared" si="204"/>
        <v>177.87188134004958</v>
      </c>
      <c r="DE100" s="13">
        <f t="shared" si="205"/>
        <v>180.11858446431549</v>
      </c>
      <c r="DF100" s="13">
        <f t="shared" si="206"/>
        <v>182.0564808010445</v>
      </c>
      <c r="DG100" s="13">
        <f t="shared" si="207"/>
        <v>183.45992270783853</v>
      </c>
      <c r="DH100" s="13">
        <f t="shared" si="208"/>
        <v>184.17986316681802</v>
      </c>
      <c r="DI100" s="13">
        <f t="shared" si="209"/>
        <v>184.13661452219591</v>
      </c>
      <c r="DJ100" s="13">
        <f t="shared" si="210"/>
        <v>183.30672873393013</v>
      </c>
      <c r="DK100" s="13">
        <f t="shared" si="211"/>
        <v>181.70857891590384</v>
      </c>
      <c r="DL100" s="13">
        <f t="shared" si="212"/>
        <v>179.38909878259244</v>
      </c>
      <c r="DM100" s="13">
        <f t="shared" si="213"/>
        <v>176.41274939391261</v>
      </c>
      <c r="DN100" s="13">
        <f t="shared" si="214"/>
        <v>172.85296349886102</v>
      </c>
      <c r="DO100" s="13">
        <f t="shared" si="215"/>
        <v>168.78588855034175</v>
      </c>
      <c r="DP100" s="13">
        <f t="shared" si="216"/>
        <v>164.28606475537913</v>
      </c>
      <c r="DQ100" s="13">
        <f t="shared" si="217"/>
        <v>159.42363025987012</v>
      </c>
      <c r="DR100" s="13">
        <f t="shared" si="218"/>
        <v>154.26267349505628</v>
      </c>
      <c r="DS100" s="13">
        <f t="shared" si="219"/>
        <v>148.86041132139994</v>
      </c>
      <c r="DT100" s="13">
        <f t="shared" si="220"/>
        <v>143.2669375771153</v>
      </c>
      <c r="DU100" s="13">
        <f t="shared" si="221"/>
        <v>137.52534819087509</v>
      </c>
      <c r="DV100" s="13">
        <f t="shared" si="222"/>
        <v>131.67210121526318</v>
      </c>
      <c r="DW100" s="13">
        <f t="shared" si="223"/>
        <v>125.73751181674808</v>
      </c>
      <c r="DX100" s="13">
        <f t="shared" si="224"/>
        <v>119.7463141331923</v>
      </c>
      <c r="DY100" s="13">
        <f t="shared" si="225"/>
        <v>113.71824546866164</v>
      </c>
      <c r="DZ100" s="13">
        <f t="shared" si="226"/>
        <v>107.66862520108455</v>
      </c>
      <c r="EA100" s="13">
        <f t="shared" si="227"/>
        <v>101.60891257825824</v>
      </c>
      <c r="EB100" s="13">
        <f t="shared" si="228"/>
        <v>95.547235584339489</v>
      </c>
      <c r="EC100" s="13">
        <f t="shared" si="229"/>
        <v>89.488888324912992</v>
      </c>
      <c r="ED100" s="13">
        <f t="shared" si="230"/>
        <v>83.436797716149286</v>
      </c>
      <c r="EE100" s="13">
        <f t="shared" si="231"/>
        <v>77.391962281128855</v>
      </c>
      <c r="EF100" s="13">
        <f t="shared" si="232"/>
        <v>71.353866999729533</v>
      </c>
      <c r="EG100" s="13">
        <f t="shared" si="233"/>
        <v>65.32087874704095</v>
      </c>
      <c r="EH100" s="13">
        <f t="shared" si="234"/>
        <v>59.290627113349856</v>
      </c>
    </row>
    <row r="101" spans="5:138" x14ac:dyDescent="0.25">
      <c r="E101" s="49"/>
      <c r="F101" s="26">
        <v>0.01</v>
      </c>
      <c r="G101" s="13">
        <f t="shared" si="139"/>
        <v>300</v>
      </c>
      <c r="H101" s="13">
        <f t="shared" si="235"/>
        <v>303.82446014896203</v>
      </c>
      <c r="I101" s="13">
        <f t="shared" si="236"/>
        <v>307.0766415305053</v>
      </c>
      <c r="J101" s="13">
        <f t="shared" si="237"/>
        <v>309.40283827423684</v>
      </c>
      <c r="K101" s="13">
        <f t="shared" si="238"/>
        <v>310.56566548070941</v>
      </c>
      <c r="L101" s="13">
        <f t="shared" si="239"/>
        <v>310.44181586833975</v>
      </c>
      <c r="M101" s="13">
        <f t="shared" si="240"/>
        <v>308.99884215948646</v>
      </c>
      <c r="N101" s="13">
        <f t="shared" si="241"/>
        <v>306.27122664382608</v>
      </c>
      <c r="O101" s="13">
        <f t="shared" si="242"/>
        <v>302.33894452901404</v>
      </c>
      <c r="P101" s="13">
        <f t="shared" si="243"/>
        <v>297.30982938447147</v>
      </c>
      <c r="Q101" s="13">
        <f t="shared" si="244"/>
        <v>291.30594765896979</v>
      </c>
      <c r="R101" s="13">
        <f t="shared" si="245"/>
        <v>284.45362214270256</v>
      </c>
      <c r="S101" s="13">
        <f t="shared" si="246"/>
        <v>276.8765085125583</v>
      </c>
      <c r="T101" s="13">
        <f t="shared" si="247"/>
        <v>268.69108278154999</v>
      </c>
      <c r="U101" s="13">
        <f t="shared" si="248"/>
        <v>260.0039482366015</v>
      </c>
      <c r="V101" s="13">
        <f t="shared" si="249"/>
        <v>250.91046212741492</v>
      </c>
      <c r="W101" s="13">
        <f t="shared" si="250"/>
        <v>241.49428323780594</v>
      </c>
      <c r="X101" s="13">
        <f t="shared" si="251"/>
        <v>231.8275353360327</v>
      </c>
      <c r="Y101" s="13">
        <f t="shared" si="252"/>
        <v>221.97136146929233</v>
      </c>
      <c r="Z101" s="13">
        <f t="shared" si="253"/>
        <v>211.97670844878417</v>
      </c>
      <c r="AA101" s="13">
        <f t="shared" si="254"/>
        <v>201.88523062020525</v>
      </c>
      <c r="AB101" s="13">
        <f t="shared" si="255"/>
        <v>191.73023921960026</v>
      </c>
      <c r="AC101" s="13">
        <f t="shared" si="256"/>
        <v>181.53765066238094</v>
      </c>
      <c r="AD101" s="13">
        <f t="shared" si="257"/>
        <v>171.32690626288127</v>
      </c>
      <c r="AE101" s="13">
        <f t="shared" si="258"/>
        <v>161.11184908161357</v>
      </c>
      <c r="AF101" s="13">
        <f t="shared" si="259"/>
        <v>150.90155243591798</v>
      </c>
      <c r="AG101" s="13">
        <f t="shared" si="260"/>
        <v>140.70110033245606</v>
      </c>
      <c r="AH101" s="13">
        <f t="shared" si="261"/>
        <v>130.51232363541783</v>
      </c>
      <c r="AI101" s="13">
        <f t="shared" si="262"/>
        <v>120.33449787767432</v>
      </c>
      <c r="AJ101" s="13">
        <f t="shared" si="263"/>
        <v>110.16500976683932</v>
      </c>
      <c r="AK101" s="13">
        <f t="shared" si="141"/>
        <v>100</v>
      </c>
      <c r="AL101" s="47"/>
      <c r="AM101" s="26">
        <v>0.01</v>
      </c>
      <c r="AN101" s="13">
        <f t="shared" si="142"/>
        <v>-1076400000</v>
      </c>
      <c r="AO101" s="13">
        <f t="shared" si="143"/>
        <v>-1088164529.0632751</v>
      </c>
      <c r="AP101" s="13">
        <f t="shared" si="144"/>
        <v>-1098304357.9222238</v>
      </c>
      <c r="AQ101" s="13">
        <f t="shared" si="145"/>
        <v>-1105565482.1597197</v>
      </c>
      <c r="AR101" s="13">
        <f t="shared" si="146"/>
        <v>-1109076893.0128465</v>
      </c>
      <c r="AS101" s="13">
        <f t="shared" si="147"/>
        <v>-1108333112.3752775</v>
      </c>
      <c r="AT101" s="13">
        <f t="shared" si="148"/>
        <v>-1103138810.9237857</v>
      </c>
      <c r="AU101" s="13">
        <f t="shared" si="149"/>
        <v>-1093539717.3412073</v>
      </c>
      <c r="AV101" s="13">
        <f t="shared" si="150"/>
        <v>-1079754361.7764475</v>
      </c>
      <c r="AW101" s="13">
        <f t="shared" si="151"/>
        <v>-1062114164.5455089</v>
      </c>
      <c r="AX101" s="13">
        <f t="shared" si="152"/>
        <v>-1041014790.0895948</v>
      </c>
      <c r="AY101" s="13">
        <f t="shared" si="153"/>
        <v>-1016878982.1978757</v>
      </c>
      <c r="AZ101" s="13">
        <f t="shared" si="154"/>
        <v>-990129699.49175942</v>
      </c>
      <c r="BA101" s="13">
        <f t="shared" si="155"/>
        <v>-961171802.4518224</v>
      </c>
      <c r="BB101" s="13">
        <f t="shared" si="156"/>
        <v>-930380456.86579108</v>
      </c>
      <c r="BC101" s="13">
        <f t="shared" si="157"/>
        <v>-898094580.75931072</v>
      </c>
      <c r="BD101" s="13">
        <f t="shared" si="158"/>
        <v>-864613928.12545216</v>
      </c>
      <c r="BE101" s="13">
        <f t="shared" si="159"/>
        <v>-830198690.1961174</v>
      </c>
      <c r="BF101" s="13">
        <f t="shared" si="160"/>
        <v>-795070760.82914805</v>
      </c>
      <c r="BG101" s="13">
        <f t="shared" si="161"/>
        <v>-759416038.54501295</v>
      </c>
      <c r="BH101" s="13">
        <f t="shared" si="162"/>
        <v>-723387319.47854495</v>
      </c>
      <c r="BI101" s="13">
        <f t="shared" si="163"/>
        <v>-687107475.82700503</v>
      </c>
      <c r="BJ101" s="13">
        <f t="shared" si="164"/>
        <v>-650672719.19941854</v>
      </c>
      <c r="BK101" s="13">
        <f t="shared" si="165"/>
        <v>-614155824.35191214</v>
      </c>
      <c r="BL101" s="13">
        <f t="shared" si="166"/>
        <v>-577609242.52675676</v>
      </c>
      <c r="BM101" s="13">
        <f t="shared" si="167"/>
        <v>-541068070.52965879</v>
      </c>
      <c r="BN101" s="13">
        <f t="shared" si="168"/>
        <v>-504552866.29846162</v>
      </c>
      <c r="BO101" s="13">
        <f t="shared" si="169"/>
        <v>-468072317.58438081</v>
      </c>
      <c r="BP101" s="13">
        <f t="shared" si="170"/>
        <v>-431625780.1866864</v>
      </c>
      <c r="BQ101" s="13">
        <f t="shared" si="171"/>
        <v>-395205707.95974112</v>
      </c>
      <c r="BR101" s="13">
        <f t="shared" si="172"/>
        <v>-358800000</v>
      </c>
      <c r="BT101" s="47"/>
      <c r="BU101" s="26">
        <v>0.01</v>
      </c>
      <c r="BV101" s="13">
        <f t="shared" si="173"/>
        <v>0.41022990753415084</v>
      </c>
      <c r="BW101" s="13">
        <f t="shared" si="174"/>
        <v>0.41022990753415084</v>
      </c>
      <c r="BX101" s="13">
        <f t="shared" si="175"/>
        <v>0.41022990753415084</v>
      </c>
      <c r="BY101" s="13">
        <f t="shared" si="176"/>
        <v>0.41022990753415084</v>
      </c>
      <c r="BZ101" s="13">
        <f t="shared" si="177"/>
        <v>0.41022990753415084</v>
      </c>
      <c r="CA101" s="13">
        <f t="shared" si="178"/>
        <v>0.41022990753415084</v>
      </c>
      <c r="CB101" s="13">
        <f t="shared" si="179"/>
        <v>0.41022990753415084</v>
      </c>
      <c r="CC101" s="13">
        <f t="shared" si="180"/>
        <v>0.41022990753415084</v>
      </c>
      <c r="CD101" s="13">
        <f t="shared" si="181"/>
        <v>0.41022990753415084</v>
      </c>
      <c r="CE101" s="13">
        <f t="shared" si="182"/>
        <v>0.41022990753415084</v>
      </c>
      <c r="CF101" s="13">
        <f t="shared" si="183"/>
        <v>0.41022990753415084</v>
      </c>
      <c r="CG101" s="13">
        <f t="shared" si="184"/>
        <v>0.41022990753415084</v>
      </c>
      <c r="CH101" s="13">
        <f t="shared" si="185"/>
        <v>0.41022990753415084</v>
      </c>
      <c r="CI101" s="13">
        <f t="shared" si="186"/>
        <v>0.41022990753415084</v>
      </c>
      <c r="CJ101" s="13">
        <f t="shared" si="187"/>
        <v>0.41022990753415084</v>
      </c>
      <c r="CK101" s="13">
        <f t="shared" si="188"/>
        <v>0.41022990753415084</v>
      </c>
      <c r="CL101" s="13">
        <f t="shared" si="189"/>
        <v>0.41022990753415084</v>
      </c>
      <c r="CM101" s="13">
        <f t="shared" si="190"/>
        <v>0.41022990753415084</v>
      </c>
      <c r="CN101" s="13">
        <f t="shared" si="191"/>
        <v>0.41022990753415084</v>
      </c>
      <c r="CO101" s="13">
        <f t="shared" si="192"/>
        <v>0.41022990753415084</v>
      </c>
      <c r="CP101" s="13">
        <f t="shared" si="193"/>
        <v>0.41022990753415084</v>
      </c>
      <c r="CQ101" s="13">
        <f t="shared" si="194"/>
        <v>0.41022990753415084</v>
      </c>
      <c r="CR101" s="13">
        <f t="shared" si="195"/>
        <v>0.41022990753415084</v>
      </c>
      <c r="CS101" s="13">
        <f t="shared" si="196"/>
        <v>0.41022990753415084</v>
      </c>
      <c r="CT101" s="13">
        <f t="shared" si="197"/>
        <v>0.41022990753415084</v>
      </c>
      <c r="CU101" s="13">
        <f t="shared" si="198"/>
        <v>0.41022990753415084</v>
      </c>
      <c r="CV101" s="13">
        <f t="shared" si="199"/>
        <v>0.41022990753415084</v>
      </c>
      <c r="CW101" s="13">
        <f t="shared" si="200"/>
        <v>0.41022990753415084</v>
      </c>
      <c r="CX101" s="13">
        <f t="shared" si="201"/>
        <v>0.41022990753415084</v>
      </c>
      <c r="CY101" s="13">
        <f t="shared" si="202"/>
        <v>0.41022990753415084</v>
      </c>
      <c r="CZ101" s="13">
        <f t="shared" si="203"/>
        <v>0.41022990753415084</v>
      </c>
      <c r="DB101" s="47"/>
      <c r="DC101" s="26">
        <v>0.01</v>
      </c>
      <c r="DD101" s="13">
        <f t="shared" si="204"/>
        <v>176.93102773975474</v>
      </c>
      <c r="DE101" s="13">
        <f t="shared" si="205"/>
        <v>178.682966778408</v>
      </c>
      <c r="DF101" s="13">
        <f t="shared" si="206"/>
        <v>180.18896743049524</v>
      </c>
      <c r="DG101" s="13">
        <f t="shared" si="207"/>
        <v>181.25431942959011</v>
      </c>
      <c r="DH101" s="13">
        <f t="shared" si="208"/>
        <v>181.7401402840683</v>
      </c>
      <c r="DI101" s="13">
        <f t="shared" si="209"/>
        <v>181.56236185866055</v>
      </c>
      <c r="DJ101" s="13">
        <f t="shared" si="210"/>
        <v>180.68462460686183</v>
      </c>
      <c r="DK101" s="13">
        <f t="shared" si="211"/>
        <v>179.10859984859391</v>
      </c>
      <c r="DL101" s="13">
        <f t="shared" si="212"/>
        <v>176.86398501220251</v>
      </c>
      <c r="DM101" s="13">
        <f t="shared" si="213"/>
        <v>173.99942549234268</v>
      </c>
      <c r="DN101" s="13">
        <f t="shared" si="214"/>
        <v>170.57493107082664</v>
      </c>
      <c r="DO101" s="13">
        <f t="shared" si="215"/>
        <v>166.65592527036608</v>
      </c>
      <c r="DP101" s="13">
        <f t="shared" si="216"/>
        <v>162.30882521179771</v>
      </c>
      <c r="DQ101" s="13">
        <f t="shared" si="217"/>
        <v>157.59793567660716</v>
      </c>
      <c r="DR101" s="13">
        <f t="shared" si="218"/>
        <v>152.58340571701208</v>
      </c>
      <c r="DS101" s="13">
        <f t="shared" si="219"/>
        <v>147.32000491575386</v>
      </c>
      <c r="DT101" s="13">
        <f t="shared" si="220"/>
        <v>141.85650663660979</v>
      </c>
      <c r="DU101" s="13">
        <f t="shared" si="221"/>
        <v>136.2355034586426</v>
      </c>
      <c r="DV101" s="13">
        <f t="shared" si="222"/>
        <v>130.49351764821606</v>
      </c>
      <c r="DW101" s="13">
        <f t="shared" si="223"/>
        <v>124.66130311438167</v>
      </c>
      <c r="DX101" s="13">
        <f t="shared" si="224"/>
        <v>118.76426332228338</v>
      </c>
      <c r="DY101" s="13">
        <f t="shared" si="225"/>
        <v>112.82293195674767</v>
      </c>
      <c r="DZ101" s="13">
        <f t="shared" si="226"/>
        <v>106.85348026396824</v>
      </c>
      <c r="EA101" s="13">
        <f t="shared" si="227"/>
        <v>100.86822776009991</v>
      </c>
      <c r="EB101" s="13">
        <f t="shared" si="228"/>
        <v>94.876142239372086</v>
      </c>
      <c r="EC101" s="13">
        <f t="shared" si="229"/>
        <v>88.883321533860709</v>
      </c>
      <c r="ED101" s="13">
        <f t="shared" si="230"/>
        <v>82.893453950944817</v>
      </c>
      <c r="EE101" s="13">
        <f t="shared" si="231"/>
        <v>76.908257295161008</v>
      </c>
      <c r="EF101" s="13">
        <f t="shared" si="232"/>
        <v>70.927898302125072</v>
      </c>
      <c r="EG101" s="13">
        <f t="shared" si="233"/>
        <v>64.951395503384703</v>
      </c>
      <c r="EH101" s="13">
        <f t="shared" si="234"/>
        <v>58.977009246584913</v>
      </c>
    </row>
    <row r="102" spans="5:138" x14ac:dyDescent="0.25">
      <c r="E102" s="49"/>
      <c r="F102" s="26">
        <v>6.6666666666666671E-3</v>
      </c>
      <c r="G102" s="13">
        <f t="shared" si="139"/>
        <v>300</v>
      </c>
      <c r="H102" s="13">
        <f t="shared" si="235"/>
        <v>303.06968216647908</v>
      </c>
      <c r="I102" s="13">
        <f t="shared" si="236"/>
        <v>305.68677759756588</v>
      </c>
      <c r="J102" s="13">
        <f t="shared" si="237"/>
        <v>307.52780590474447</v>
      </c>
      <c r="K102" s="13">
        <f t="shared" si="238"/>
        <v>308.36276743027435</v>
      </c>
      <c r="L102" s="13">
        <f t="shared" si="239"/>
        <v>308.05592905950232</v>
      </c>
      <c r="M102" s="13">
        <f t="shared" si="240"/>
        <v>306.55191948770425</v>
      </c>
      <c r="N102" s="13">
        <f t="shared" si="241"/>
        <v>303.85856046408264</v>
      </c>
      <c r="O102" s="13">
        <f t="shared" si="242"/>
        <v>300.02976918597005</v>
      </c>
      <c r="P102" s="13">
        <f t="shared" si="243"/>
        <v>295.15033483938004</v>
      </c>
      <c r="Q102" s="13">
        <f t="shared" si="244"/>
        <v>289.32333722505962</v>
      </c>
      <c r="R102" s="13">
        <f t="shared" si="245"/>
        <v>282.66033809401296</v>
      </c>
      <c r="S102" s="13">
        <f t="shared" si="246"/>
        <v>275.27412514116719</v>
      </c>
      <c r="T102" s="13">
        <f t="shared" si="247"/>
        <v>267.27362829144016</v>
      </c>
      <c r="U102" s="13">
        <f t="shared" si="248"/>
        <v>258.76058436611157</v>
      </c>
      <c r="V102" s="13">
        <f t="shared" si="249"/>
        <v>249.827547727222</v>
      </c>
      <c r="W102" s="13">
        <f t="shared" si="250"/>
        <v>240.55689717068043</v>
      </c>
      <c r="X102" s="13">
        <f t="shared" si="251"/>
        <v>231.02055245113235</v>
      </c>
      <c r="Y102" s="13">
        <f t="shared" si="252"/>
        <v>221.28017572326837</v>
      </c>
      <c r="Z102" s="13">
        <f t="shared" si="253"/>
        <v>211.38768810942395</v>
      </c>
      <c r="AA102" s="13">
        <f t="shared" si="254"/>
        <v>201.38597737455262</v>
      </c>
      <c r="AB102" s="13">
        <f t="shared" si="255"/>
        <v>191.3097091607267</v>
      </c>
      <c r="AC102" s="13">
        <f t="shared" si="256"/>
        <v>181.18618228846253</v>
      </c>
      <c r="AD102" s="13">
        <f t="shared" si="257"/>
        <v>171.03618957745152</v>
      </c>
      <c r="AE102" s="13">
        <f t="shared" si="258"/>
        <v>160.8748608563476</v>
      </c>
      <c r="AF102" s="13">
        <f t="shared" si="259"/>
        <v>150.7124755983329</v>
      </c>
      <c r="AG102" s="13">
        <f t="shared" si="260"/>
        <v>140.55524003358073</v>
      </c>
      <c r="AH102" s="13">
        <f t="shared" si="261"/>
        <v>130.40602854809504</v>
      </c>
      <c r="AI102" s="13">
        <f t="shared" si="262"/>
        <v>120.2650923871784</v>
      </c>
      <c r="AJ102" s="13">
        <f t="shared" si="263"/>
        <v>110.13074068095722</v>
      </c>
      <c r="AK102" s="13">
        <f t="shared" si="141"/>
        <v>100</v>
      </c>
      <c r="AL102" s="47"/>
      <c r="AM102" s="26">
        <v>6.6666666666666671E-3</v>
      </c>
      <c r="AN102" s="13">
        <f t="shared" si="142"/>
        <v>-1076400000</v>
      </c>
      <c r="AO102" s="13">
        <f t="shared" si="143"/>
        <v>-1085778932.8990638</v>
      </c>
      <c r="AP102" s="13">
        <f t="shared" si="144"/>
        <v>-1093812697.6954629</v>
      </c>
      <c r="AQ102" s="13">
        <f t="shared" si="145"/>
        <v>-1099396888.9826941</v>
      </c>
      <c r="AR102" s="13">
        <f t="shared" si="146"/>
        <v>-1101715827.3307579</v>
      </c>
      <c r="AS102" s="13">
        <f t="shared" si="147"/>
        <v>-1100250081.3232365</v>
      </c>
      <c r="AT102" s="13">
        <f t="shared" si="148"/>
        <v>-1094747632.2761924</v>
      </c>
      <c r="AU102" s="13">
        <f t="shared" si="149"/>
        <v>-1085176937.322927</v>
      </c>
      <c r="AV102" s="13">
        <f t="shared" si="150"/>
        <v>-1071674607.8957359</v>
      </c>
      <c r="AW102" s="13">
        <f t="shared" si="151"/>
        <v>-1054495532.2701232</v>
      </c>
      <c r="AX102" s="13">
        <f t="shared" si="152"/>
        <v>-1033969560.6376379</v>
      </c>
      <c r="AY102" s="13">
        <f t="shared" si="153"/>
        <v>-1010466342.2539065</v>
      </c>
      <c r="AZ102" s="13">
        <f t="shared" si="154"/>
        <v>-984368346.64065504</v>
      </c>
      <c r="BA102" s="13">
        <f t="shared" si="155"/>
        <v>-956051255.18015754</v>
      </c>
      <c r="BB102" s="13">
        <f t="shared" si="156"/>
        <v>-925870541.36146677</v>
      </c>
      <c r="BC102" s="13">
        <f t="shared" si="157"/>
        <v>-894152983.83879972</v>
      </c>
      <c r="BD102" s="13">
        <f t="shared" si="158"/>
        <v>-861191945.24690461</v>
      </c>
      <c r="BE102" s="13">
        <f t="shared" si="159"/>
        <v>-827245414.55051208</v>
      </c>
      <c r="BF102" s="13">
        <f t="shared" si="160"/>
        <v>-792535998.195346</v>
      </c>
      <c r="BG102" s="13">
        <f t="shared" si="161"/>
        <v>-757252225.4889555</v>
      </c>
      <c r="BH102" s="13">
        <f t="shared" si="162"/>
        <v>-721550691.8247534</v>
      </c>
      <c r="BI102" s="13">
        <f t="shared" si="163"/>
        <v>-685558694.34544742</v>
      </c>
      <c r="BJ102" s="13">
        <f t="shared" si="164"/>
        <v>-649377118.53999817</v>
      </c>
      <c r="BK102" s="13">
        <f t="shared" si="165"/>
        <v>-613083413.89512646</v>
      </c>
      <c r="BL102" s="13">
        <f t="shared" si="166"/>
        <v>-576734555.96545279</v>
      </c>
      <c r="BM102" s="13">
        <f t="shared" si="167"/>
        <v>-540369935.11875868</v>
      </c>
      <c r="BN102" s="13">
        <f t="shared" si="168"/>
        <v>-504014142.45435184</v>
      </c>
      <c r="BO102" s="13">
        <f t="shared" si="169"/>
        <v>-467679644.14348823</v>
      </c>
      <c r="BP102" s="13">
        <f t="shared" si="170"/>
        <v>-431369349.27310675</v>
      </c>
      <c r="BQ102" s="13">
        <f t="shared" si="171"/>
        <v>-395079085.20316094</v>
      </c>
      <c r="BR102" s="13">
        <f t="shared" si="172"/>
        <v>-358800000</v>
      </c>
      <c r="BT102" s="47"/>
      <c r="BU102" s="26">
        <v>6.6666666666666671E-3</v>
      </c>
      <c r="BV102" s="13">
        <f t="shared" si="173"/>
        <v>0.42900919305413682</v>
      </c>
      <c r="BW102" s="13">
        <f t="shared" si="174"/>
        <v>0.42900919305413682</v>
      </c>
      <c r="BX102" s="13">
        <f t="shared" si="175"/>
        <v>0.42900919305413682</v>
      </c>
      <c r="BY102" s="13">
        <f t="shared" si="176"/>
        <v>0.42900919305413682</v>
      </c>
      <c r="BZ102" s="13">
        <f t="shared" si="177"/>
        <v>0.42900919305413682</v>
      </c>
      <c r="CA102" s="13">
        <f t="shared" si="178"/>
        <v>0.42900919305413682</v>
      </c>
      <c r="CB102" s="13">
        <f t="shared" si="179"/>
        <v>0.42900919305413682</v>
      </c>
      <c r="CC102" s="13">
        <f t="shared" si="180"/>
        <v>0.42900919305413682</v>
      </c>
      <c r="CD102" s="13">
        <f t="shared" si="181"/>
        <v>0.42900919305413682</v>
      </c>
      <c r="CE102" s="13">
        <f t="shared" si="182"/>
        <v>0.42900919305413682</v>
      </c>
      <c r="CF102" s="13">
        <f t="shared" si="183"/>
        <v>0.42900919305413682</v>
      </c>
      <c r="CG102" s="13">
        <f t="shared" si="184"/>
        <v>0.42900919305413682</v>
      </c>
      <c r="CH102" s="13">
        <f t="shared" si="185"/>
        <v>0.42900919305413682</v>
      </c>
      <c r="CI102" s="13">
        <f t="shared" si="186"/>
        <v>0.42900919305413682</v>
      </c>
      <c r="CJ102" s="13">
        <f t="shared" si="187"/>
        <v>0.42900919305413682</v>
      </c>
      <c r="CK102" s="13">
        <f t="shared" si="188"/>
        <v>0.42900919305413682</v>
      </c>
      <c r="CL102" s="13">
        <f t="shared" si="189"/>
        <v>0.42900919305413682</v>
      </c>
      <c r="CM102" s="13">
        <f t="shared" si="190"/>
        <v>0.42900919305413682</v>
      </c>
      <c r="CN102" s="13">
        <f t="shared" si="191"/>
        <v>0.42900919305413682</v>
      </c>
      <c r="CO102" s="13">
        <f t="shared" si="192"/>
        <v>0.42900919305413682</v>
      </c>
      <c r="CP102" s="13">
        <f t="shared" si="193"/>
        <v>0.42900919305413682</v>
      </c>
      <c r="CQ102" s="13">
        <f t="shared" si="194"/>
        <v>0.42900919305413682</v>
      </c>
      <c r="CR102" s="13">
        <f t="shared" si="195"/>
        <v>0.42900919305413682</v>
      </c>
      <c r="CS102" s="13">
        <f t="shared" si="196"/>
        <v>0.42900919305413682</v>
      </c>
      <c r="CT102" s="13">
        <f t="shared" si="197"/>
        <v>0.42900919305413682</v>
      </c>
      <c r="CU102" s="13">
        <f t="shared" si="198"/>
        <v>0.42900919305413682</v>
      </c>
      <c r="CV102" s="13">
        <f t="shared" si="199"/>
        <v>0.42900919305413682</v>
      </c>
      <c r="CW102" s="13">
        <f t="shared" si="200"/>
        <v>0.42900919305413682</v>
      </c>
      <c r="CX102" s="13">
        <f t="shared" si="201"/>
        <v>0.42900919305413682</v>
      </c>
      <c r="CY102" s="13">
        <f t="shared" si="202"/>
        <v>0.42900919305413682</v>
      </c>
      <c r="CZ102" s="13">
        <f t="shared" si="203"/>
        <v>0.42900919305413682</v>
      </c>
      <c r="DB102" s="47"/>
      <c r="DC102" s="26">
        <v>6.6666666666666671E-3</v>
      </c>
      <c r="DD102" s="13">
        <f t="shared" si="204"/>
        <v>171.29724208375893</v>
      </c>
      <c r="DE102" s="13">
        <f t="shared" si="205"/>
        <v>172.72619568786416</v>
      </c>
      <c r="DF102" s="13">
        <f t="shared" si="206"/>
        <v>173.94807540878932</v>
      </c>
      <c r="DG102" s="13">
        <f t="shared" si="207"/>
        <v>174.79114392805448</v>
      </c>
      <c r="DH102" s="13">
        <f t="shared" si="208"/>
        <v>175.12724189207421</v>
      </c>
      <c r="DI102" s="13">
        <f t="shared" si="209"/>
        <v>174.87353614356499</v>
      </c>
      <c r="DJ102" s="13">
        <f t="shared" si="210"/>
        <v>173.98857555820038</v>
      </c>
      <c r="DK102" s="13">
        <f t="shared" si="211"/>
        <v>172.46538866591413</v>
      </c>
      <c r="DL102" s="13">
        <f t="shared" si="212"/>
        <v>170.3235825647383</v>
      </c>
      <c r="DM102" s="13">
        <f t="shared" si="213"/>
        <v>167.60168484808483</v>
      </c>
      <c r="DN102" s="13">
        <f t="shared" si="214"/>
        <v>164.3504076880144</v>
      </c>
      <c r="DO102" s="13">
        <f t="shared" si="215"/>
        <v>160.62711919724578</v>
      </c>
      <c r="DP102" s="13">
        <f t="shared" si="216"/>
        <v>156.49155764854771</v>
      </c>
      <c r="DQ102" s="13">
        <f t="shared" si="217"/>
        <v>152.00268368648514</v>
      </c>
      <c r="DR102" s="13">
        <f t="shared" si="218"/>
        <v>147.21650034223762</v>
      </c>
      <c r="DS102" s="13">
        <f t="shared" si="219"/>
        <v>142.18465284109917</v>
      </c>
      <c r="DT102" s="13">
        <f t="shared" si="220"/>
        <v>136.95362959164214</v>
      </c>
      <c r="DU102" s="13">
        <f t="shared" si="221"/>
        <v>131.56440858889155</v>
      </c>
      <c r="DV102" s="13">
        <f t="shared" si="222"/>
        <v>126.05242105819913</v>
      </c>
      <c r="DW102" s="13">
        <f t="shared" si="223"/>
        <v>120.44773147153902</v>
      </c>
      <c r="DX102" s="13">
        <f t="shared" si="224"/>
        <v>114.77535749663004</v>
      </c>
      <c r="DY102" s="13">
        <f t="shared" si="225"/>
        <v>109.05567394904938</v>
      </c>
      <c r="DZ102" s="13">
        <f t="shared" si="226"/>
        <v>103.30486126885069</v>
      </c>
      <c r="EA102" s="13">
        <f t="shared" si="227"/>
        <v>97.535371773151113</v>
      </c>
      <c r="EB102" s="13">
        <f t="shared" si="228"/>
        <v>91.756396490384688</v>
      </c>
      <c r="EC102" s="13">
        <f t="shared" si="229"/>
        <v>85.974322357183198</v>
      </c>
      <c r="ED102" s="13">
        <f t="shared" si="230"/>
        <v>80.193174518124621</v>
      </c>
      <c r="EE102" s="13">
        <f t="shared" si="231"/>
        <v>74.415041901644102</v>
      </c>
      <c r="EF102" s="13">
        <f t="shared" si="232"/>
        <v>68.640486556102601</v>
      </c>
      <c r="EG102" s="13">
        <f t="shared" si="233"/>
        <v>62.868938738084381</v>
      </c>
      <c r="EH102" s="13">
        <f t="shared" si="234"/>
        <v>57.09908069458632</v>
      </c>
    </row>
    <row r="103" spans="5:138" x14ac:dyDescent="0.25">
      <c r="E103" s="49"/>
      <c r="F103" s="26">
        <v>3.3333333333333335E-3</v>
      </c>
      <c r="G103" s="13">
        <f t="shared" si="139"/>
        <v>300</v>
      </c>
      <c r="H103" s="13">
        <f t="shared" si="235"/>
        <v>302.70985266570221</v>
      </c>
      <c r="I103" s="13">
        <f t="shared" si="236"/>
        <v>305.01948862226004</v>
      </c>
      <c r="J103" s="13">
        <f t="shared" si="237"/>
        <v>306.62206788393053</v>
      </c>
      <c r="K103" s="13">
        <f t="shared" si="238"/>
        <v>307.2926670148795</v>
      </c>
      <c r="L103" s="13">
        <f t="shared" si="239"/>
        <v>306.89095822705576</v>
      </c>
      <c r="M103" s="13">
        <f t="shared" si="240"/>
        <v>305.35153180280383</v>
      </c>
      <c r="N103" s="13">
        <f t="shared" si="241"/>
        <v>302.66994685008831</v>
      </c>
      <c r="O103" s="13">
        <f t="shared" si="242"/>
        <v>298.88779286310114</v>
      </c>
      <c r="P103" s="13">
        <f t="shared" si="243"/>
        <v>294.0787313893544</v>
      </c>
      <c r="Q103" s="13">
        <f t="shared" si="244"/>
        <v>288.33651744957376</v>
      </c>
      <c r="R103" s="13">
        <f t="shared" si="245"/>
        <v>281.76535134663061</v>
      </c>
      <c r="S103" s="13">
        <f t="shared" si="246"/>
        <v>274.47251818664881</v>
      </c>
      <c r="T103" s="13">
        <f t="shared" si="247"/>
        <v>266.56306344614433</v>
      </c>
      <c r="U103" s="13">
        <f t="shared" si="248"/>
        <v>258.13616623092162</v>
      </c>
      <c r="V103" s="13">
        <f t="shared" si="249"/>
        <v>249.28285975371335</v>
      </c>
      <c r="W103" s="13">
        <f t="shared" si="250"/>
        <v>240.08477723918219</v>
      </c>
      <c r="X103" s="13">
        <f t="shared" si="251"/>
        <v>230.61364870733121</v>
      </c>
      <c r="Y103" s="13">
        <f t="shared" si="252"/>
        <v>220.93132628152961</v>
      </c>
      <c r="Z103" s="13">
        <f t="shared" si="253"/>
        <v>211.09016522118878</v>
      </c>
      <c r="AA103" s="13">
        <f t="shared" si="254"/>
        <v>201.1336311325573</v>
      </c>
      <c r="AB103" s="13">
        <f t="shared" si="255"/>
        <v>191.0970395180947</v>
      </c>
      <c r="AC103" s="13">
        <f t="shared" si="256"/>
        <v>181.00836210560823</v>
      </c>
      <c r="AD103" s="13">
        <f t="shared" si="257"/>
        <v>170.8890560583913</v>
      </c>
      <c r="AE103" s="13">
        <f t="shared" si="258"/>
        <v>160.75488828014502</v>
      </c>
      <c r="AF103" s="13">
        <f t="shared" si="259"/>
        <v>150.61673869506177</v>
      </c>
      <c r="AG103" s="13">
        <f t="shared" si="260"/>
        <v>140.48137461058363</v>
      </c>
      <c r="AH103" s="13">
        <f t="shared" si="261"/>
        <v>130.35219391658796</v>
      </c>
      <c r="AI103" s="13">
        <f t="shared" si="262"/>
        <v>120.22993863873307</v>
      </c>
      <c r="AJ103" s="13">
        <f t="shared" si="263"/>
        <v>110.11338279317017</v>
      </c>
      <c r="AK103" s="13">
        <f t="shared" si="141"/>
        <v>100</v>
      </c>
      <c r="AL103" s="47"/>
      <c r="AM103" s="26">
        <v>3.3333333333333335E-3</v>
      </c>
      <c r="AN103" s="13">
        <f t="shared" si="142"/>
        <v>-1076400000</v>
      </c>
      <c r="AO103" s="13">
        <f t="shared" si="143"/>
        <v>-1084633257.2313235</v>
      </c>
      <c r="AP103" s="13">
        <f t="shared" si="144"/>
        <v>-1091647348.8189027</v>
      </c>
      <c r="AQ103" s="13">
        <f t="shared" si="145"/>
        <v>-1096410224.1613731</v>
      </c>
      <c r="AR103" s="13">
        <f t="shared" si="146"/>
        <v>-1098135873.5296531</v>
      </c>
      <c r="AS103" s="13">
        <f t="shared" si="147"/>
        <v>-1096301778.8723476</v>
      </c>
      <c r="AT103" s="13">
        <f t="shared" si="148"/>
        <v>-1090631691.092972</v>
      </c>
      <c r="AU103" s="13">
        <f t="shared" si="149"/>
        <v>-1081058908.9361801</v>
      </c>
      <c r="AV103" s="13">
        <f t="shared" si="150"/>
        <v>-1067681618.8161293</v>
      </c>
      <c r="AW103" s="13">
        <f t="shared" si="151"/>
        <v>-1050718049.9418972</v>
      </c>
      <c r="AX103" s="13">
        <f t="shared" si="152"/>
        <v>-1030465990.7385589</v>
      </c>
      <c r="AY103" s="13">
        <f t="shared" si="153"/>
        <v>-1007268835.4975479</v>
      </c>
      <c r="AZ103" s="13">
        <f t="shared" si="154"/>
        <v>-981488742.46198964</v>
      </c>
      <c r="BA103" s="13">
        <f t="shared" si="155"/>
        <v>-953486533.1852411</v>
      </c>
      <c r="BB103" s="13">
        <f t="shared" si="156"/>
        <v>-923607473.35686028</v>
      </c>
      <c r="BC103" s="13">
        <f t="shared" si="157"/>
        <v>-892171892.58599758</v>
      </c>
      <c r="BD103" s="13">
        <f t="shared" si="158"/>
        <v>-859469604.21778286</v>
      </c>
      <c r="BE103" s="13">
        <f t="shared" si="159"/>
        <v>-825757190.06256759</v>
      </c>
      <c r="BF103" s="13">
        <f t="shared" si="160"/>
        <v>-791257362.0093298</v>
      </c>
      <c r="BG103" s="13">
        <f t="shared" si="161"/>
        <v>-756159768.05633187</v>
      </c>
      <c r="BH103" s="13">
        <f t="shared" si="162"/>
        <v>-720622755.06175494</v>
      </c>
      <c r="BI103" s="13">
        <f t="shared" si="163"/>
        <v>-684775725.47042727</v>
      </c>
      <c r="BJ103" s="13">
        <f t="shared" si="164"/>
        <v>-648721827.67790544</v>
      </c>
      <c r="BK103" s="13">
        <f t="shared" si="165"/>
        <v>-612540800.36859882</v>
      </c>
      <c r="BL103" s="13">
        <f t="shared" si="166"/>
        <v>-576291852.68368161</v>
      </c>
      <c r="BM103" s="13">
        <f t="shared" si="167"/>
        <v>-540016507.65833914</v>
      </c>
      <c r="BN103" s="13">
        <f t="shared" si="168"/>
        <v>-503741369.25156605</v>
      </c>
      <c r="BO103" s="13">
        <f t="shared" si="169"/>
        <v>-467480796.39827818</v>
      </c>
      <c r="BP103" s="13">
        <f t="shared" si="170"/>
        <v>-431239483.31721056</v>
      </c>
      <c r="BQ103" s="13">
        <f t="shared" si="171"/>
        <v>-395014955.80645621</v>
      </c>
      <c r="BR103" s="13">
        <f t="shared" si="172"/>
        <v>-358800000</v>
      </c>
      <c r="BT103" s="47"/>
      <c r="BU103" s="26">
        <v>3.3333333333333335E-3</v>
      </c>
      <c r="BV103" s="13">
        <f t="shared" si="173"/>
        <v>0.5357142857142857</v>
      </c>
      <c r="BW103" s="13">
        <f t="shared" si="174"/>
        <v>0.5357142857142857</v>
      </c>
      <c r="BX103" s="13">
        <f t="shared" si="175"/>
        <v>0.5357142857142857</v>
      </c>
      <c r="BY103" s="13">
        <f t="shared" si="176"/>
        <v>0.5357142857142857</v>
      </c>
      <c r="BZ103" s="13">
        <f t="shared" si="177"/>
        <v>0.5357142857142857</v>
      </c>
      <c r="CA103" s="13">
        <f t="shared" si="178"/>
        <v>0.5357142857142857</v>
      </c>
      <c r="CB103" s="13">
        <f t="shared" si="179"/>
        <v>0.5357142857142857</v>
      </c>
      <c r="CC103" s="13">
        <f t="shared" si="180"/>
        <v>0.5357142857142857</v>
      </c>
      <c r="CD103" s="13">
        <f t="shared" si="181"/>
        <v>0.5357142857142857</v>
      </c>
      <c r="CE103" s="13">
        <f t="shared" si="182"/>
        <v>0.5357142857142857</v>
      </c>
      <c r="CF103" s="13">
        <f t="shared" si="183"/>
        <v>0.5357142857142857</v>
      </c>
      <c r="CG103" s="13">
        <f t="shared" si="184"/>
        <v>0.5357142857142857</v>
      </c>
      <c r="CH103" s="13">
        <f t="shared" si="185"/>
        <v>0.5357142857142857</v>
      </c>
      <c r="CI103" s="13">
        <f t="shared" si="186"/>
        <v>0.5357142857142857</v>
      </c>
      <c r="CJ103" s="13">
        <f t="shared" si="187"/>
        <v>0.5357142857142857</v>
      </c>
      <c r="CK103" s="13">
        <f t="shared" si="188"/>
        <v>0.5357142857142857</v>
      </c>
      <c r="CL103" s="13">
        <f t="shared" si="189"/>
        <v>0.5357142857142857</v>
      </c>
      <c r="CM103" s="13">
        <f t="shared" si="190"/>
        <v>0.5357142857142857</v>
      </c>
      <c r="CN103" s="13">
        <f t="shared" si="191"/>
        <v>0.5357142857142857</v>
      </c>
      <c r="CO103" s="13">
        <f t="shared" si="192"/>
        <v>0.5357142857142857</v>
      </c>
      <c r="CP103" s="13">
        <f t="shared" si="193"/>
        <v>0.5357142857142857</v>
      </c>
      <c r="CQ103" s="13">
        <f t="shared" si="194"/>
        <v>0.5357142857142857</v>
      </c>
      <c r="CR103" s="13">
        <f t="shared" si="195"/>
        <v>0.5357142857142857</v>
      </c>
      <c r="CS103" s="13">
        <f t="shared" si="196"/>
        <v>0.5357142857142857</v>
      </c>
      <c r="CT103" s="13">
        <f t="shared" si="197"/>
        <v>0.5357142857142857</v>
      </c>
      <c r="CU103" s="13">
        <f t="shared" si="198"/>
        <v>0.5357142857142857</v>
      </c>
      <c r="CV103" s="13">
        <f t="shared" si="199"/>
        <v>0.5357142857142857</v>
      </c>
      <c r="CW103" s="13">
        <f t="shared" si="200"/>
        <v>0.5357142857142857</v>
      </c>
      <c r="CX103" s="13">
        <f t="shared" si="201"/>
        <v>0.5357142857142857</v>
      </c>
      <c r="CY103" s="13">
        <f t="shared" si="202"/>
        <v>0.5357142857142857</v>
      </c>
      <c r="CZ103" s="13">
        <f t="shared" si="203"/>
        <v>0.5357142857142857</v>
      </c>
      <c r="DB103" s="47"/>
      <c r="DC103" s="26">
        <v>3.3333333333333335E-3</v>
      </c>
      <c r="DD103" s="13">
        <f t="shared" si="204"/>
        <v>139.28571428571431</v>
      </c>
      <c r="DE103" s="13">
        <f t="shared" si="205"/>
        <v>140.35109436223132</v>
      </c>
      <c r="DF103" s="13">
        <f t="shared" si="206"/>
        <v>141.25871490927832</v>
      </c>
      <c r="DG103" s="13">
        <f t="shared" si="207"/>
        <v>141.87502900638887</v>
      </c>
      <c r="DH103" s="13">
        <f t="shared" si="208"/>
        <v>142.09832732008971</v>
      </c>
      <c r="DI103" s="13">
        <f t="shared" si="209"/>
        <v>141.86099623089385</v>
      </c>
      <c r="DJ103" s="13">
        <f t="shared" si="210"/>
        <v>141.1272892201051</v>
      </c>
      <c r="DK103" s="13">
        <f t="shared" si="211"/>
        <v>139.88857517290117</v>
      </c>
      <c r="DL103" s="13">
        <f t="shared" si="212"/>
        <v>138.15755937061718</v>
      </c>
      <c r="DM103" s="13">
        <f t="shared" si="213"/>
        <v>135.96248058254363</v>
      </c>
      <c r="DN103" s="13">
        <f t="shared" si="214"/>
        <v>133.34187250757751</v>
      </c>
      <c r="DO103" s="13">
        <f t="shared" si="215"/>
        <v>130.34017022483798</v>
      </c>
      <c r="DP103" s="13">
        <f t="shared" si="216"/>
        <v>127.00423686102351</v>
      </c>
      <c r="DQ103" s="13">
        <f t="shared" si="217"/>
        <v>123.38076257572997</v>
      </c>
      <c r="DR103" s="13">
        <f t="shared" si="218"/>
        <v>119.51442460621899</v>
      </c>
      <c r="DS103" s="13">
        <f t="shared" si="219"/>
        <v>115.44667347127299</v>
      </c>
      <c r="DT103" s="13">
        <f t="shared" si="220"/>
        <v>111.21501089774624</v>
      </c>
      <c r="DU103" s="13">
        <f t="shared" si="221"/>
        <v>106.85263846565317</v>
      </c>
      <c r="DV103" s="13">
        <f t="shared" si="222"/>
        <v>102.38837500120728</v>
      </c>
      <c r="DW103" s="13">
        <f t="shared" si="223"/>
        <v>97.846760876854546</v>
      </c>
      <c r="DX103" s="13">
        <f t="shared" si="224"/>
        <v>93.248286110475547</v>
      </c>
      <c r="DY103" s="13">
        <f t="shared" si="225"/>
        <v>88.609695324848261</v>
      </c>
      <c r="DZ103" s="13">
        <f t="shared" si="226"/>
        <v>83.944335879646161</v>
      </c>
      <c r="EA103" s="13">
        <f t="shared" si="227"/>
        <v>79.262525927613723</v>
      </c>
      <c r="EB103" s="13">
        <f t="shared" si="228"/>
        <v>74.571927107101672</v>
      </c>
      <c r="EC103" s="13">
        <f t="shared" si="229"/>
        <v>69.877912481669156</v>
      </c>
      <c r="ED103" s="13">
        <f t="shared" si="230"/>
        <v>65.183924592593954</v>
      </c>
      <c r="EE103" s="13">
        <f t="shared" si="231"/>
        <v>60.49182148010847</v>
      </c>
      <c r="EF103" s="13">
        <f t="shared" si="232"/>
        <v>55.802210574173216</v>
      </c>
      <c r="EG103" s="13">
        <f t="shared" si="233"/>
        <v>51.114771714085954</v>
      </c>
      <c r="EH103" s="13">
        <f t="shared" si="234"/>
        <v>46.428571428571438</v>
      </c>
    </row>
    <row r="104" spans="5:138" x14ac:dyDescent="0.25">
      <c r="E104" s="49"/>
      <c r="F104" s="26">
        <v>0</v>
      </c>
      <c r="G104" s="13">
        <f t="shared" si="139"/>
        <v>300</v>
      </c>
      <c r="H104" s="13">
        <f t="shared" si="235"/>
        <v>302.70985266570221</v>
      </c>
      <c r="I104" s="13">
        <f t="shared" si="236"/>
        <v>305.01948862226004</v>
      </c>
      <c r="J104" s="13">
        <f t="shared" si="237"/>
        <v>306.62206788393053</v>
      </c>
      <c r="K104" s="13">
        <f t="shared" si="238"/>
        <v>307.2926670148795</v>
      </c>
      <c r="L104" s="13">
        <f t="shared" si="239"/>
        <v>306.89095822705576</v>
      </c>
      <c r="M104" s="13">
        <f t="shared" si="240"/>
        <v>305.35153180280383</v>
      </c>
      <c r="N104" s="13">
        <f t="shared" si="241"/>
        <v>302.66994685008831</v>
      </c>
      <c r="O104" s="13">
        <f t="shared" si="242"/>
        <v>298.88779286310114</v>
      </c>
      <c r="P104" s="13">
        <f t="shared" si="243"/>
        <v>294.0787313893544</v>
      </c>
      <c r="Q104" s="13">
        <f t="shared" si="244"/>
        <v>288.33651744957376</v>
      </c>
      <c r="R104" s="13">
        <f t="shared" si="245"/>
        <v>281.76535134663061</v>
      </c>
      <c r="S104" s="13">
        <f t="shared" si="246"/>
        <v>274.47251818664881</v>
      </c>
      <c r="T104" s="13">
        <f t="shared" si="247"/>
        <v>266.56306344614433</v>
      </c>
      <c r="U104" s="13">
        <f t="shared" si="248"/>
        <v>258.13616623092162</v>
      </c>
      <c r="V104" s="13">
        <f t="shared" si="249"/>
        <v>249.28285975371335</v>
      </c>
      <c r="W104" s="13">
        <f t="shared" si="250"/>
        <v>240.08477723918219</v>
      </c>
      <c r="X104" s="13">
        <f t="shared" si="251"/>
        <v>230.61364870733121</v>
      </c>
      <c r="Y104" s="13">
        <f t="shared" si="252"/>
        <v>220.93132628152961</v>
      </c>
      <c r="Z104" s="13">
        <f t="shared" si="253"/>
        <v>211.09016522118878</v>
      </c>
      <c r="AA104" s="13">
        <f t="shared" si="254"/>
        <v>201.1336311325573</v>
      </c>
      <c r="AB104" s="13">
        <f t="shared" si="255"/>
        <v>191.0970395180947</v>
      </c>
      <c r="AC104" s="13">
        <f t="shared" si="256"/>
        <v>181.00836210560823</v>
      </c>
      <c r="AD104" s="13">
        <f t="shared" si="257"/>
        <v>170.8890560583913</v>
      </c>
      <c r="AE104" s="13">
        <f t="shared" si="258"/>
        <v>160.75488828014502</v>
      </c>
      <c r="AF104" s="13">
        <f t="shared" si="259"/>
        <v>150.61673869506177</v>
      </c>
      <c r="AG104" s="13">
        <f t="shared" si="260"/>
        <v>140.48137461058363</v>
      </c>
      <c r="AH104" s="13">
        <f t="shared" si="261"/>
        <v>130.35219391658796</v>
      </c>
      <c r="AI104" s="13">
        <f t="shared" si="262"/>
        <v>120.22993863873307</v>
      </c>
      <c r="AJ104" s="13">
        <f t="shared" si="263"/>
        <v>110.11338279317017</v>
      </c>
      <c r="AK104" s="13">
        <f t="shared" si="141"/>
        <v>100</v>
      </c>
      <c r="AL104" s="47"/>
      <c r="AM104" s="26">
        <v>0</v>
      </c>
      <c r="AN104" s="13">
        <f t="shared" si="142"/>
        <v>-1076400000</v>
      </c>
      <c r="AO104" s="13">
        <f t="shared" si="143"/>
        <v>-1084633257.2313235</v>
      </c>
      <c r="AP104" s="13">
        <f t="shared" si="144"/>
        <v>-1091647348.8189027</v>
      </c>
      <c r="AQ104" s="13">
        <f t="shared" si="145"/>
        <v>-1096410224.1613731</v>
      </c>
      <c r="AR104" s="13">
        <f t="shared" si="146"/>
        <v>-1098135873.5296531</v>
      </c>
      <c r="AS104" s="13">
        <f t="shared" si="147"/>
        <v>-1096301778.8723476</v>
      </c>
      <c r="AT104" s="13">
        <f t="shared" si="148"/>
        <v>-1090631691.092972</v>
      </c>
      <c r="AU104" s="13">
        <f t="shared" si="149"/>
        <v>-1081058908.9361801</v>
      </c>
      <c r="AV104" s="13">
        <f t="shared" si="150"/>
        <v>-1067681618.8161293</v>
      </c>
      <c r="AW104" s="13">
        <f t="shared" si="151"/>
        <v>-1050718049.9418972</v>
      </c>
      <c r="AX104" s="13">
        <f t="shared" si="152"/>
        <v>-1030465990.7385589</v>
      </c>
      <c r="AY104" s="13">
        <f t="shared" si="153"/>
        <v>-1007268835.4975479</v>
      </c>
      <c r="AZ104" s="13">
        <f t="shared" si="154"/>
        <v>-981488742.46198964</v>
      </c>
      <c r="BA104" s="13">
        <f t="shared" si="155"/>
        <v>-953486533.1852411</v>
      </c>
      <c r="BB104" s="13">
        <f t="shared" si="156"/>
        <v>-923607473.35686028</v>
      </c>
      <c r="BC104" s="13">
        <f t="shared" si="157"/>
        <v>-892171892.58599758</v>
      </c>
      <c r="BD104" s="13">
        <f t="shared" si="158"/>
        <v>-859469604.21778286</v>
      </c>
      <c r="BE104" s="13">
        <f t="shared" si="159"/>
        <v>-825757190.06256759</v>
      </c>
      <c r="BF104" s="13">
        <f t="shared" si="160"/>
        <v>-791257362.0093298</v>
      </c>
      <c r="BG104" s="13">
        <f t="shared" si="161"/>
        <v>-756159768.05633187</v>
      </c>
      <c r="BH104" s="13">
        <f t="shared" si="162"/>
        <v>-720622755.06175494</v>
      </c>
      <c r="BI104" s="13">
        <f t="shared" si="163"/>
        <v>-684775725.47042727</v>
      </c>
      <c r="BJ104" s="13">
        <f t="shared" si="164"/>
        <v>-648721827.67790544</v>
      </c>
      <c r="BK104" s="13">
        <f t="shared" si="165"/>
        <v>-612540800.36859882</v>
      </c>
      <c r="BL104" s="13">
        <f t="shared" si="166"/>
        <v>-576291852.68368161</v>
      </c>
      <c r="BM104" s="13">
        <f t="shared" si="167"/>
        <v>-540016507.65833914</v>
      </c>
      <c r="BN104" s="13">
        <f t="shared" si="168"/>
        <v>-503741369.25156605</v>
      </c>
      <c r="BO104" s="13">
        <f t="shared" si="169"/>
        <v>-467480796.39827818</v>
      </c>
      <c r="BP104" s="13">
        <f t="shared" si="170"/>
        <v>-431239483.31721056</v>
      </c>
      <c r="BQ104" s="13">
        <f t="shared" si="171"/>
        <v>-395014955.80645621</v>
      </c>
      <c r="BR104" s="13">
        <f t="shared" si="172"/>
        <v>-358800000</v>
      </c>
      <c r="BT104" s="47"/>
      <c r="BU104" s="26">
        <v>0</v>
      </c>
      <c r="BV104" s="13">
        <v>1</v>
      </c>
      <c r="BW104" s="13">
        <v>1</v>
      </c>
      <c r="BX104" s="13">
        <v>1</v>
      </c>
      <c r="BY104" s="13">
        <v>1</v>
      </c>
      <c r="BZ104" s="13">
        <v>1</v>
      </c>
      <c r="CA104" s="13">
        <v>1</v>
      </c>
      <c r="CB104" s="13">
        <v>1</v>
      </c>
      <c r="CC104" s="13">
        <v>1</v>
      </c>
      <c r="CD104" s="13">
        <v>1</v>
      </c>
      <c r="CE104" s="13">
        <v>1</v>
      </c>
      <c r="CF104" s="13">
        <v>1</v>
      </c>
      <c r="CG104" s="13">
        <v>1</v>
      </c>
      <c r="CH104" s="13">
        <v>1</v>
      </c>
      <c r="CI104" s="13">
        <v>1</v>
      </c>
      <c r="CJ104" s="13">
        <v>1</v>
      </c>
      <c r="CK104" s="13">
        <v>1</v>
      </c>
      <c r="CL104" s="13">
        <v>1</v>
      </c>
      <c r="CM104" s="13">
        <v>1</v>
      </c>
      <c r="CN104" s="13">
        <v>1</v>
      </c>
      <c r="CO104" s="13">
        <v>1</v>
      </c>
      <c r="CP104" s="13">
        <v>1</v>
      </c>
      <c r="CQ104" s="13">
        <v>1</v>
      </c>
      <c r="CR104" s="13">
        <v>1</v>
      </c>
      <c r="CS104" s="13">
        <v>1</v>
      </c>
      <c r="CT104" s="13">
        <v>1</v>
      </c>
      <c r="CU104" s="13">
        <v>1</v>
      </c>
      <c r="CV104" s="13">
        <v>1</v>
      </c>
      <c r="CW104" s="13">
        <v>1</v>
      </c>
      <c r="CX104" s="13">
        <v>1</v>
      </c>
      <c r="CY104" s="13">
        <v>1</v>
      </c>
      <c r="CZ104" s="13">
        <v>1</v>
      </c>
      <c r="DB104" s="47"/>
      <c r="DC104" s="26">
        <v>0</v>
      </c>
      <c r="DD104" s="13">
        <v>0</v>
      </c>
      <c r="DE104" s="13">
        <v>0</v>
      </c>
      <c r="DF104" s="13">
        <v>0</v>
      </c>
      <c r="DG104" s="13">
        <v>0</v>
      </c>
      <c r="DH104" s="13">
        <v>0</v>
      </c>
      <c r="DI104" s="13">
        <v>0</v>
      </c>
      <c r="DJ104" s="13">
        <v>0</v>
      </c>
      <c r="DK104" s="13">
        <v>0</v>
      </c>
      <c r="DL104" s="13">
        <v>0</v>
      </c>
      <c r="DM104" s="13">
        <v>0</v>
      </c>
      <c r="DN104" s="13">
        <v>0</v>
      </c>
      <c r="DO104" s="13">
        <v>0</v>
      </c>
      <c r="DP104" s="13">
        <v>0</v>
      </c>
      <c r="DQ104" s="13">
        <v>0</v>
      </c>
      <c r="DR104" s="13">
        <v>0</v>
      </c>
      <c r="DS104" s="13">
        <v>0</v>
      </c>
      <c r="DT104" s="13">
        <v>0</v>
      </c>
      <c r="DU104" s="13">
        <v>0</v>
      </c>
      <c r="DV104" s="13">
        <v>0</v>
      </c>
      <c r="DW104" s="13">
        <v>0</v>
      </c>
      <c r="DX104" s="13">
        <v>0</v>
      </c>
      <c r="DY104" s="13">
        <v>0</v>
      </c>
      <c r="DZ104" s="13">
        <v>0</v>
      </c>
      <c r="EA104" s="13">
        <v>0</v>
      </c>
      <c r="EB104" s="13">
        <v>0</v>
      </c>
      <c r="EC104" s="13">
        <v>0</v>
      </c>
      <c r="ED104" s="13">
        <v>0</v>
      </c>
      <c r="EE104" s="13">
        <v>0</v>
      </c>
      <c r="EF104" s="13">
        <v>0</v>
      </c>
      <c r="EG104" s="13">
        <v>0</v>
      </c>
      <c r="EH104" s="13">
        <v>0</v>
      </c>
    </row>
    <row r="105" spans="5:138" x14ac:dyDescent="0.25">
      <c r="AM105" s="28"/>
    </row>
    <row r="106" spans="5:138" x14ac:dyDescent="0.25">
      <c r="AM106" s="28"/>
    </row>
    <row r="107" spans="5:138" x14ac:dyDescent="0.25">
      <c r="AM107" s="28"/>
    </row>
    <row r="108" spans="5:138" x14ac:dyDescent="0.25">
      <c r="AM108" s="28"/>
    </row>
    <row r="109" spans="5:138" x14ac:dyDescent="0.25">
      <c r="AM109" s="28"/>
    </row>
    <row r="110" spans="5:138" x14ac:dyDescent="0.25">
      <c r="AM110" s="28"/>
    </row>
    <row r="111" spans="5:138" x14ac:dyDescent="0.25">
      <c r="AM111" s="28"/>
    </row>
    <row r="112" spans="5:138" x14ac:dyDescent="0.25">
      <c r="AM112" s="28"/>
    </row>
    <row r="113" spans="39:39" x14ac:dyDescent="0.25">
      <c r="AM113" s="28"/>
    </row>
    <row r="114" spans="39:39" x14ac:dyDescent="0.25">
      <c r="AM114" s="28"/>
    </row>
    <row r="115" spans="39:39" x14ac:dyDescent="0.25">
      <c r="AM115" s="28"/>
    </row>
    <row r="116" spans="39:39" x14ac:dyDescent="0.25">
      <c r="AM116" s="28"/>
    </row>
    <row r="117" spans="39:39" x14ac:dyDescent="0.25">
      <c r="AM117" s="28"/>
    </row>
    <row r="118" spans="39:39" x14ac:dyDescent="0.25">
      <c r="AM118" s="28"/>
    </row>
    <row r="119" spans="39:39" x14ac:dyDescent="0.25">
      <c r="AM119" s="28"/>
    </row>
    <row r="120" spans="39:39" x14ac:dyDescent="0.25">
      <c r="AM120" s="28"/>
    </row>
    <row r="121" spans="39:39" x14ac:dyDescent="0.25">
      <c r="AM121" s="28"/>
    </row>
    <row r="122" spans="39:39" x14ac:dyDescent="0.25">
      <c r="AM122" s="28"/>
    </row>
    <row r="123" spans="39:39" x14ac:dyDescent="0.25">
      <c r="AM123" s="28"/>
    </row>
    <row r="124" spans="39:39" x14ac:dyDescent="0.25">
      <c r="AM124" s="28"/>
    </row>
    <row r="125" spans="39:39" x14ac:dyDescent="0.25">
      <c r="AM125" s="28"/>
    </row>
    <row r="126" spans="39:39" x14ac:dyDescent="0.25">
      <c r="AM126" s="28"/>
    </row>
    <row r="127" spans="39:39" x14ac:dyDescent="0.25">
      <c r="AM127" s="28"/>
    </row>
    <row r="128" spans="39:39" x14ac:dyDescent="0.25">
      <c r="AM128" s="28"/>
    </row>
    <row r="129" spans="39:39" x14ac:dyDescent="0.25">
      <c r="AM129" s="28"/>
    </row>
    <row r="130" spans="39:39" x14ac:dyDescent="0.25">
      <c r="AM130" s="28"/>
    </row>
    <row r="131" spans="39:39" x14ac:dyDescent="0.25">
      <c r="AM131" s="28"/>
    </row>
    <row r="132" spans="39:39" x14ac:dyDescent="0.25">
      <c r="AM132" s="28"/>
    </row>
    <row r="133" spans="39:39" x14ac:dyDescent="0.25">
      <c r="AM133" s="28"/>
    </row>
    <row r="134" spans="39:39" x14ac:dyDescent="0.25">
      <c r="AM134" s="28"/>
    </row>
    <row r="135" spans="39:39" x14ac:dyDescent="0.25">
      <c r="AM135" s="28"/>
    </row>
    <row r="136" spans="39:39" x14ac:dyDescent="0.25">
      <c r="AM136" s="28"/>
    </row>
    <row r="137" spans="39:39" x14ac:dyDescent="0.25">
      <c r="AM137" s="28"/>
    </row>
    <row r="138" spans="39:39" x14ac:dyDescent="0.25">
      <c r="AM138" s="28"/>
    </row>
    <row r="139" spans="39:39" x14ac:dyDescent="0.25">
      <c r="AM139" s="28"/>
    </row>
    <row r="140" spans="39:39" x14ac:dyDescent="0.25">
      <c r="AM140" s="28"/>
    </row>
    <row r="141" spans="39:39" x14ac:dyDescent="0.25">
      <c r="AM141" s="28"/>
    </row>
    <row r="142" spans="39:39" x14ac:dyDescent="0.25">
      <c r="AM142" s="28"/>
    </row>
    <row r="143" spans="39:39" x14ac:dyDescent="0.25">
      <c r="AM143" s="28"/>
    </row>
    <row r="144" spans="39:39" x14ac:dyDescent="0.25">
      <c r="AM144" s="28"/>
    </row>
    <row r="145" spans="39:39" x14ac:dyDescent="0.25">
      <c r="AM145" s="28"/>
    </row>
    <row r="146" spans="39:39" x14ac:dyDescent="0.25">
      <c r="AM146" s="28"/>
    </row>
    <row r="147" spans="39:39" x14ac:dyDescent="0.25">
      <c r="AM147" s="28"/>
    </row>
    <row r="148" spans="39:39" x14ac:dyDescent="0.25">
      <c r="AM148" s="28"/>
    </row>
    <row r="149" spans="39:39" x14ac:dyDescent="0.25">
      <c r="AM149" s="28"/>
    </row>
    <row r="150" spans="39:39" x14ac:dyDescent="0.25">
      <c r="AM150" s="28"/>
    </row>
    <row r="151" spans="39:39" x14ac:dyDescent="0.25">
      <c r="AM151" s="28"/>
    </row>
    <row r="152" spans="39:39" x14ac:dyDescent="0.25">
      <c r="AM152" s="28"/>
    </row>
    <row r="153" spans="39:39" x14ac:dyDescent="0.25">
      <c r="AM153" s="28"/>
    </row>
    <row r="154" spans="39:39" x14ac:dyDescent="0.25">
      <c r="AM154" s="28"/>
    </row>
    <row r="155" spans="39:39" x14ac:dyDescent="0.25">
      <c r="AM155" s="28"/>
    </row>
    <row r="156" spans="39:39" x14ac:dyDescent="0.25">
      <c r="AM156" s="28"/>
    </row>
    <row r="157" spans="39:39" x14ac:dyDescent="0.25">
      <c r="AM157" s="28"/>
    </row>
    <row r="158" spans="39:39" x14ac:dyDescent="0.25">
      <c r="AM158" s="28"/>
    </row>
    <row r="159" spans="39:39" x14ac:dyDescent="0.25">
      <c r="AM159" s="28"/>
    </row>
    <row r="160" spans="39:39" x14ac:dyDescent="0.25">
      <c r="AM160" s="28"/>
    </row>
    <row r="161" spans="39:39" x14ac:dyDescent="0.25">
      <c r="AM161" s="28"/>
    </row>
    <row r="162" spans="39:39" x14ac:dyDescent="0.25">
      <c r="AM162" s="28"/>
    </row>
  </sheetData>
  <mergeCells count="13">
    <mergeCell ref="AL38:AL69"/>
    <mergeCell ref="BT38:BT69"/>
    <mergeCell ref="DB38:DB69"/>
    <mergeCell ref="E73:E104"/>
    <mergeCell ref="AL73:AL104"/>
    <mergeCell ref="BT73:BT104"/>
    <mergeCell ref="DB73:DB104"/>
    <mergeCell ref="E38:E69"/>
    <mergeCell ref="A1:B2"/>
    <mergeCell ref="A24:B24"/>
    <mergeCell ref="A19:B19"/>
    <mergeCell ref="A15:B15"/>
    <mergeCell ref="A10:B10"/>
  </mergeCells>
  <conditionalFormatting sqref="G3:AK3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eyacny_2D_0000000">
                <anchor moveWithCells="1">
                  <from>
                    <xdr:col>0</xdr:col>
                    <xdr:colOff>76200</xdr:colOff>
                    <xdr:row>31</xdr:row>
                    <xdr:rowOff>95250</xdr:rowOff>
                  </from>
                  <to>
                    <xdr:col>2</xdr:col>
                    <xdr:colOff>95250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Neyawny_2D">
                <anchor moveWithCells="1">
                  <from>
                    <xdr:col>0</xdr:col>
                    <xdr:colOff>57150</xdr:colOff>
                    <xdr:row>29</xdr:row>
                    <xdr:rowOff>123825</xdr:rowOff>
                  </from>
                  <to>
                    <xdr:col>2</xdr:col>
                    <xdr:colOff>76200</xdr:colOff>
                    <xdr:row>30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44"/>
  <sheetViews>
    <sheetView zoomScale="80" zoomScaleNormal="80" workbookViewId="0">
      <selection activeCell="F18" sqref="F18"/>
    </sheetView>
  </sheetViews>
  <sheetFormatPr defaultRowHeight="15" x14ac:dyDescent="0.25"/>
  <cols>
    <col min="3" max="3" width="14.28515625" customWidth="1"/>
    <col min="6" max="12" width="14.28515625" bestFit="1" customWidth="1"/>
    <col min="13" max="13" width="9.7109375" customWidth="1"/>
    <col min="14" max="35" width="14.28515625" bestFit="1" customWidth="1"/>
    <col min="36" max="36" width="11.7109375" customWidth="1"/>
  </cols>
  <sheetData>
    <row r="3" spans="2:36" x14ac:dyDescent="0.25">
      <c r="B3" s="2" t="s">
        <v>0</v>
      </c>
      <c r="C3" s="3">
        <v>0.1</v>
      </c>
    </row>
    <row r="4" spans="2:36" x14ac:dyDescent="0.25">
      <c r="B4" s="2" t="s">
        <v>1</v>
      </c>
      <c r="C4" s="3">
        <f>C3/30</f>
        <v>3.3333333333333335E-3</v>
      </c>
      <c r="I4" t="s">
        <v>17</v>
      </c>
      <c r="J4">
        <f>(C9*C8*(C4^2))/(2*C10)</f>
        <v>0.4333333333333334</v>
      </c>
      <c r="M4" t="s">
        <v>18</v>
      </c>
    </row>
    <row r="5" spans="2:36" x14ac:dyDescent="0.25">
      <c r="B5" s="2" t="s">
        <v>2</v>
      </c>
      <c r="C5" s="3">
        <v>10</v>
      </c>
    </row>
    <row r="6" spans="2:36" x14ac:dyDescent="0.25">
      <c r="B6" s="2" t="s">
        <v>3</v>
      </c>
      <c r="C6" s="3">
        <v>1000</v>
      </c>
      <c r="D6">
        <v>1010</v>
      </c>
    </row>
    <row r="7" spans="2:36" x14ac:dyDescent="0.25">
      <c r="C7" s="1"/>
      <c r="M7" t="s">
        <v>16</v>
      </c>
    </row>
    <row r="8" spans="2:36" x14ac:dyDescent="0.25">
      <c r="B8" s="2" t="s">
        <v>4</v>
      </c>
      <c r="C8" s="4">
        <v>460</v>
      </c>
    </row>
    <row r="9" spans="2:36" x14ac:dyDescent="0.25">
      <c r="B9" s="2" t="s">
        <v>5</v>
      </c>
      <c r="C9" s="4">
        <v>7800</v>
      </c>
    </row>
    <row r="10" spans="2:36" x14ac:dyDescent="0.25">
      <c r="B10" s="2" t="s">
        <v>6</v>
      </c>
      <c r="C10" s="4">
        <v>46</v>
      </c>
    </row>
    <row r="11" spans="2:36" x14ac:dyDescent="0.25">
      <c r="C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8</v>
      </c>
      <c r="C12" s="3">
        <v>300</v>
      </c>
      <c r="E12" t="s">
        <v>0</v>
      </c>
      <c r="F12" s="5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x14ac:dyDescent="0.25">
      <c r="B13" s="2" t="s">
        <v>9</v>
      </c>
      <c r="C13" s="3">
        <v>100</v>
      </c>
      <c r="E13" t="s">
        <v>7</v>
      </c>
      <c r="F13">
        <v>300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100</v>
      </c>
    </row>
    <row r="14" spans="2:36" x14ac:dyDescent="0.25">
      <c r="B14" s="8" t="s">
        <v>19</v>
      </c>
      <c r="C14" s="2">
        <f>$C$10/($C$4^2)</f>
        <v>4139999.9999999991</v>
      </c>
    </row>
    <row r="15" spans="2:36" x14ac:dyDescent="0.25">
      <c r="B15" s="8" t="s">
        <v>20</v>
      </c>
      <c r="C15" s="2">
        <f>(2*$C$10)/($C$4^2)+($C$9*$C$8)/$C$5</f>
        <v>8638799.9999999981</v>
      </c>
      <c r="E15" t="s">
        <v>10</v>
      </c>
      <c r="G15">
        <f>G17*H15+G18</f>
        <v>223.73970929894193</v>
      </c>
      <c r="H15">
        <f t="shared" ref="H15:AH15" si="1">H17*I15+H18</f>
        <v>166.87019340379214</v>
      </c>
      <c r="I15">
        <f t="shared" si="1"/>
        <v>124.46276093697104</v>
      </c>
      <c r="J15">
        <f t="shared" si="1"/>
        <v>92.842101084687428</v>
      </c>
      <c r="K15">
        <f t="shared" si="1"/>
        <v>69.267756659743384</v>
      </c>
      <c r="L15">
        <f t="shared" si="1"/>
        <v>51.696617811977106</v>
      </c>
      <c r="M15">
        <f t="shared" si="1"/>
        <v>38.605852507915522</v>
      </c>
      <c r="N15">
        <f t="shared" si="1"/>
        <v>28.860927754539947</v>
      </c>
      <c r="O15">
        <f t="shared" si="1"/>
        <v>21.617283406557839</v>
      </c>
      <c r="P15">
        <f t="shared" si="1"/>
        <v>16.247136953810745</v>
      </c>
      <c r="Q15">
        <f t="shared" si="1"/>
        <v>12.285075703727244</v>
      </c>
      <c r="R15">
        <f t="shared" si="1"/>
        <v>9.3877210146334402</v>
      </c>
      <c r="S15">
        <f t="shared" si="1"/>
        <v>7.3039688134745333</v>
      </c>
      <c r="T15">
        <f t="shared" si="1"/>
        <v>5.8532272428167511</v>
      </c>
      <c r="U15">
        <f t="shared" si="1"/>
        <v>4.9097653665364209</v>
      </c>
      <c r="V15">
        <f t="shared" si="1"/>
        <v>4.3918164886892477</v>
      </c>
      <c r="W15">
        <f t="shared" si="1"/>
        <v>4.2544917065284755</v>
      </c>
      <c r="X15">
        <f t="shared" si="1"/>
        <v>4.4858895389335052</v>
      </c>
      <c r="Y15">
        <f t="shared" si="1"/>
        <v>5.1060644647127722</v>
      </c>
      <c r="Z15">
        <f t="shared" si="1"/>
        <v>6.1687649774338125</v>
      </c>
      <c r="AA15">
        <f t="shared" si="1"/>
        <v>7.7660917881991161</v>
      </c>
      <c r="AB15">
        <f t="shared" si="1"/>
        <v>10.036479887275011</v>
      </c>
      <c r="AC15">
        <f t="shared" si="1"/>
        <v>13.176696243248072</v>
      </c>
      <c r="AD15">
        <f t="shared" si="1"/>
        <v>17.458892940302633</v>
      </c>
      <c r="AE15">
        <f t="shared" si="1"/>
        <v>23.254193692183424</v>
      </c>
      <c r="AF15">
        <f t="shared" si="1"/>
        <v>31.064857897386773</v>
      </c>
      <c r="AG15">
        <f t="shared" si="1"/>
        <v>41.567809787030313</v>
      </c>
      <c r="AH15">
        <f t="shared" si="1"/>
        <v>55.673305191549815</v>
      </c>
      <c r="AI15">
        <f>AI17*AJ15+AI18</f>
        <v>74.603820379336966</v>
      </c>
      <c r="AJ15">
        <v>100</v>
      </c>
    </row>
    <row r="16" spans="2:36" x14ac:dyDescent="0.25">
      <c r="B16" s="8" t="s">
        <v>21</v>
      </c>
      <c r="C16" s="2">
        <f>$C$10/($C$4^2)</f>
        <v>4139999.9999999991</v>
      </c>
      <c r="E16" t="s">
        <v>22</v>
      </c>
      <c r="F16">
        <f>-($C$9*$C$8)/$C$5*F13</f>
        <v>-107640000</v>
      </c>
      <c r="G16">
        <f>-($C$9*$C$8)/$C$5*G13</f>
        <v>0</v>
      </c>
      <c r="H16">
        <f t="shared" ref="H16:AH16" si="2">-($C$9*$C$8)/$C$5*H13</f>
        <v>0</v>
      </c>
      <c r="I16">
        <f t="shared" si="2"/>
        <v>0</v>
      </c>
      <c r="J16">
        <f t="shared" si="2"/>
        <v>0</v>
      </c>
      <c r="K16">
        <f t="shared" si="2"/>
        <v>0</v>
      </c>
      <c r="L16">
        <f t="shared" si="2"/>
        <v>0</v>
      </c>
      <c r="M16">
        <f t="shared" si="2"/>
        <v>0</v>
      </c>
      <c r="N16">
        <f t="shared" si="2"/>
        <v>0</v>
      </c>
      <c r="O16">
        <f t="shared" si="2"/>
        <v>0</v>
      </c>
      <c r="P16">
        <f t="shared" si="2"/>
        <v>0</v>
      </c>
      <c r="Q16">
        <f t="shared" si="2"/>
        <v>0</v>
      </c>
      <c r="R16">
        <f t="shared" si="2"/>
        <v>0</v>
      </c>
      <c r="S16">
        <f t="shared" si="2"/>
        <v>0</v>
      </c>
      <c r="T16">
        <f t="shared" si="2"/>
        <v>0</v>
      </c>
      <c r="U16">
        <f t="shared" si="2"/>
        <v>0</v>
      </c>
      <c r="V16">
        <f t="shared" si="2"/>
        <v>0</v>
      </c>
      <c r="W16">
        <f t="shared" si="2"/>
        <v>0</v>
      </c>
      <c r="X16">
        <f t="shared" si="2"/>
        <v>0</v>
      </c>
      <c r="Y16">
        <f t="shared" si="2"/>
        <v>0</v>
      </c>
      <c r="Z16">
        <f t="shared" si="2"/>
        <v>0</v>
      </c>
      <c r="AA16">
        <f t="shared" si="2"/>
        <v>0</v>
      </c>
      <c r="AB16">
        <f t="shared" si="2"/>
        <v>0</v>
      </c>
      <c r="AC16">
        <f t="shared" si="2"/>
        <v>0</v>
      </c>
      <c r="AD16">
        <f t="shared" si="2"/>
        <v>0</v>
      </c>
      <c r="AE16">
        <f t="shared" si="2"/>
        <v>0</v>
      </c>
      <c r="AF16">
        <f t="shared" si="2"/>
        <v>0</v>
      </c>
      <c r="AG16">
        <f t="shared" si="2"/>
        <v>0</v>
      </c>
      <c r="AH16">
        <f t="shared" si="2"/>
        <v>0</v>
      </c>
      <c r="AI16">
        <f>-($C$9*$C$8)/$C$5*AI13</f>
        <v>0</v>
      </c>
      <c r="AJ16">
        <f t="shared" ref="AJ16" si="3">-($C$9*$C$8)/$C$5*AJ13</f>
        <v>-35880000</v>
      </c>
    </row>
    <row r="17" spans="2:36" x14ac:dyDescent="0.25">
      <c r="B17" s="9"/>
      <c r="E17" t="s">
        <v>23</v>
      </c>
      <c r="F17">
        <v>0</v>
      </c>
      <c r="G17">
        <f>$C$14/($C$15-$C$16*F17)</f>
        <v>0.47923322683706071</v>
      </c>
      <c r="H17">
        <f t="shared" ref="H17:AJ17" si="4">$C$14/($C$15-$C$16*G17)</f>
        <v>0.62210974042322009</v>
      </c>
      <c r="I17">
        <f t="shared" si="4"/>
        <v>0.68280036240378583</v>
      </c>
      <c r="J17">
        <f t="shared" si="4"/>
        <v>0.71231854270130357</v>
      </c>
      <c r="K17">
        <f t="shared" si="4"/>
        <v>0.72761768474986643</v>
      </c>
      <c r="L17">
        <f t="shared" si="4"/>
        <v>0.73580865245165905</v>
      </c>
      <c r="M17">
        <f t="shared" si="4"/>
        <v>0.74027025007591674</v>
      </c>
      <c r="N17">
        <f t="shared" si="4"/>
        <v>0.74272330769575978</v>
      </c>
      <c r="O17">
        <f t="shared" si="4"/>
        <v>0.7440789772313966</v>
      </c>
      <c r="P17">
        <f t="shared" si="4"/>
        <v>0.74483030633226499</v>
      </c>
      <c r="Q17">
        <f t="shared" si="4"/>
        <v>0.74524735620578053</v>
      </c>
      <c r="R17">
        <f t="shared" si="4"/>
        <v>0.74547905505879375</v>
      </c>
      <c r="S17">
        <f t="shared" si="4"/>
        <v>0.74560784139748904</v>
      </c>
      <c r="T17">
        <f t="shared" si="4"/>
        <v>0.74567944459802482</v>
      </c>
      <c r="U17">
        <f t="shared" si="4"/>
        <v>0.74571926081247353</v>
      </c>
      <c r="V17">
        <f t="shared" si="4"/>
        <v>0.7457414031559223</v>
      </c>
      <c r="W17">
        <f t="shared" si="4"/>
        <v>0.74575371738604534</v>
      </c>
      <c r="X17">
        <f t="shared" si="4"/>
        <v>0.74576056599086782</v>
      </c>
      <c r="Y17">
        <f t="shared" si="4"/>
        <v>0.74576437492231062</v>
      </c>
      <c r="Z17">
        <f t="shared" si="4"/>
        <v>0.74576649332079048</v>
      </c>
      <c r="AA17">
        <f t="shared" si="4"/>
        <v>0.74576767150738277</v>
      </c>
      <c r="AB17">
        <f t="shared" si="4"/>
        <v>0.74576832677931204</v>
      </c>
      <c r="AC17">
        <f t="shared" si="4"/>
        <v>0.74576869122233935</v>
      </c>
      <c r="AD17">
        <f t="shared" si="4"/>
        <v>0.74576889391501577</v>
      </c>
      <c r="AE17">
        <f t="shared" si="4"/>
        <v>0.74576900664687074</v>
      </c>
      <c r="AF17">
        <f t="shared" si="4"/>
        <v>0.74576906934511078</v>
      </c>
      <c r="AG17">
        <f t="shared" si="4"/>
        <v>0.74576910421608689</v>
      </c>
      <c r="AH17">
        <f t="shared" si="4"/>
        <v>0.74576912361033254</v>
      </c>
      <c r="AI17">
        <f t="shared" si="4"/>
        <v>0.74576913439686099</v>
      </c>
      <c r="AJ17">
        <f t="shared" si="4"/>
        <v>0.74576914039602182</v>
      </c>
    </row>
    <row r="18" spans="2:36" x14ac:dyDescent="0.25">
      <c r="E18" t="s">
        <v>24</v>
      </c>
      <c r="F18">
        <f>F13</f>
        <v>300</v>
      </c>
      <c r="G18">
        <f>(F18*$C$16-G16)/($C$15-$C$16*F17)</f>
        <v>143.76996805111821</v>
      </c>
      <c r="H18">
        <f>(G18*$C$16-H16)/($C$15-$C$16*G17)</f>
        <v>89.440697504935798</v>
      </c>
      <c r="I18">
        <f t="shared" ref="I18:AJ18" si="5">(H18*$C$16-I16)/($C$15-$C$16*H17)</f>
        <v>61.070140670017544</v>
      </c>
      <c r="J18">
        <f t="shared" si="5"/>
        <v>43.501393604630508</v>
      </c>
      <c r="K18">
        <f t="shared" si="5"/>
        <v>31.652383297993897</v>
      </c>
      <c r="L18">
        <f t="shared" si="5"/>
        <v>23.290097501380288</v>
      </c>
      <c r="M18">
        <f t="shared" si="5"/>
        <v>17.240966301639268</v>
      </c>
      <c r="N18">
        <f t="shared" si="5"/>
        <v>12.805267519424646</v>
      </c>
      <c r="O18">
        <f t="shared" si="5"/>
        <v>9.5281303590279123</v>
      </c>
      <c r="P18">
        <f>(O18*$C$16-P16)/($C$15-$C$16*O17)</f>
        <v>7.0968402540885149</v>
      </c>
      <c r="Q18">
        <f t="shared" si="5"/>
        <v>5.2889014367742258</v>
      </c>
      <c r="R18">
        <f t="shared" si="5"/>
        <v>3.9427652453855466</v>
      </c>
      <c r="S18">
        <f t="shared" si="5"/>
        <v>2.9397566837489588</v>
      </c>
      <c r="T18">
        <f t="shared" si="5"/>
        <v>2.1921161311912551</v>
      </c>
      <c r="U18">
        <f t="shared" si="5"/>
        <v>1.6347032209670422</v>
      </c>
      <c r="V18">
        <f t="shared" si="5"/>
        <v>1.2190658737474678</v>
      </c>
      <c r="W18">
        <f t="shared" si="5"/>
        <v>0.90912290708564147</v>
      </c>
      <c r="X18">
        <f t="shared" si="5"/>
        <v>0.67798801374345108</v>
      </c>
      <c r="Y18">
        <f t="shared" si="5"/>
        <v>0.50561930727420379</v>
      </c>
      <c r="Z18">
        <f t="shared" si="5"/>
        <v>0.37707393774117021</v>
      </c>
      <c r="AA18">
        <f t="shared" si="5"/>
        <v>0.28120955253535229</v>
      </c>
      <c r="AB18">
        <f t="shared" si="5"/>
        <v>0.20971717746864871</v>
      </c>
      <c r="AC18">
        <f t="shared" si="5"/>
        <v>0.15640050496763722</v>
      </c>
      <c r="AD18">
        <f t="shared" si="5"/>
        <v>0.11663863159746472</v>
      </c>
      <c r="AE18">
        <f t="shared" si="5"/>
        <v>8.6985476423091568E-2</v>
      </c>
      <c r="AF18">
        <f t="shared" si="5"/>
        <v>6.4871077798590082E-2</v>
      </c>
      <c r="AG18">
        <f t="shared" si="5"/>
        <v>4.8378845579386605E-2</v>
      </c>
      <c r="AH18">
        <f t="shared" si="5"/>
        <v>3.6079449269018758E-2</v>
      </c>
      <c r="AI18">
        <f t="shared" si="5"/>
        <v>2.6906939650871577E-2</v>
      </c>
      <c r="AJ18">
        <f t="shared" si="5"/>
        <v>6.4833989153529767</v>
      </c>
    </row>
    <row r="20" spans="2:36" x14ac:dyDescent="0.25">
      <c r="C20" t="s">
        <v>26</v>
      </c>
      <c r="F20" s="2">
        <v>1</v>
      </c>
      <c r="G20" s="2">
        <v>2</v>
      </c>
      <c r="H20" s="2">
        <v>3</v>
      </c>
      <c r="I20" s="2">
        <v>4</v>
      </c>
      <c r="J20" s="2">
        <v>5</v>
      </c>
      <c r="K20" s="2">
        <v>6</v>
      </c>
      <c r="L20" s="2">
        <v>7</v>
      </c>
      <c r="M20" s="2">
        <v>8</v>
      </c>
      <c r="N20" s="2">
        <v>9</v>
      </c>
      <c r="O20" s="2">
        <v>10</v>
      </c>
      <c r="P20" s="2">
        <v>11</v>
      </c>
      <c r="Q20" s="2">
        <v>12</v>
      </c>
      <c r="R20" s="2">
        <v>13</v>
      </c>
      <c r="S20" s="2">
        <v>14</v>
      </c>
      <c r="T20" s="2">
        <v>15</v>
      </c>
      <c r="U20" s="2">
        <v>16</v>
      </c>
      <c r="V20" s="2">
        <v>17</v>
      </c>
      <c r="W20" s="2">
        <v>18</v>
      </c>
      <c r="X20" s="2">
        <v>19</v>
      </c>
      <c r="Y20" s="2">
        <v>20</v>
      </c>
      <c r="Z20" s="2">
        <v>21</v>
      </c>
      <c r="AA20" s="2">
        <v>22</v>
      </c>
      <c r="AB20" s="2">
        <v>23</v>
      </c>
      <c r="AC20" s="2">
        <v>24</v>
      </c>
      <c r="AD20" s="2">
        <v>25</v>
      </c>
      <c r="AE20" s="2">
        <v>26</v>
      </c>
      <c r="AF20" s="2">
        <v>27</v>
      </c>
      <c r="AG20" s="2">
        <v>28</v>
      </c>
      <c r="AH20" s="2">
        <v>29</v>
      </c>
      <c r="AI20" s="2">
        <v>30</v>
      </c>
      <c r="AJ20" s="2">
        <v>31</v>
      </c>
    </row>
    <row r="21" spans="2:36" x14ac:dyDescent="0.25">
      <c r="B21" s="2" t="s">
        <v>11</v>
      </c>
      <c r="C21" s="3">
        <v>92000</v>
      </c>
      <c r="E21" t="s">
        <v>0</v>
      </c>
      <c r="F21" s="5">
        <v>0</v>
      </c>
      <c r="G21" s="5">
        <f>F21+$C$4</f>
        <v>3.3333333333333335E-3</v>
      </c>
      <c r="H21" s="5">
        <f t="shared" ref="H21" si="6">G21+$C$4</f>
        <v>6.6666666666666671E-3</v>
      </c>
      <c r="I21" s="5">
        <f t="shared" ref="I21" si="7">H21+$C$4</f>
        <v>0.01</v>
      </c>
      <c r="J21" s="5">
        <f t="shared" ref="J21" si="8">I21+$C$4</f>
        <v>1.3333333333333334E-2</v>
      </c>
      <c r="K21" s="5">
        <f t="shared" ref="K21" si="9">J21+$C$4</f>
        <v>1.6666666666666666E-2</v>
      </c>
      <c r="L21" s="5">
        <f t="shared" ref="L21" si="10">K21+$C$4</f>
        <v>0.02</v>
      </c>
      <c r="M21" s="5">
        <f t="shared" ref="M21" si="11">L21+$C$4</f>
        <v>2.3333333333333334E-2</v>
      </c>
      <c r="N21" s="5">
        <f t="shared" ref="N21" si="12">M21+$C$4</f>
        <v>2.6666666666666668E-2</v>
      </c>
      <c r="O21" s="5">
        <f t="shared" ref="O21" si="13">N21+$C$4</f>
        <v>3.0000000000000002E-2</v>
      </c>
      <c r="P21" s="5">
        <f t="shared" ref="P21" si="14">O21+$C$4</f>
        <v>3.3333333333333333E-2</v>
      </c>
      <c r="Q21" s="5">
        <f t="shared" ref="Q21" si="15">P21+$C$4</f>
        <v>3.6666666666666667E-2</v>
      </c>
      <c r="R21" s="5">
        <f t="shared" ref="R21" si="16">Q21+$C$4</f>
        <v>0.04</v>
      </c>
      <c r="S21" s="5">
        <f t="shared" ref="S21" si="17">R21+$C$4</f>
        <v>4.3333333333333335E-2</v>
      </c>
      <c r="T21" s="5">
        <f t="shared" ref="T21" si="18">S21+$C$4</f>
        <v>4.6666666666666669E-2</v>
      </c>
      <c r="U21" s="5">
        <f t="shared" ref="U21" si="19">T21+$C$4</f>
        <v>0.05</v>
      </c>
      <c r="V21" s="5">
        <f t="shared" ref="V21" si="20">U21+$C$4</f>
        <v>5.3333333333333337E-2</v>
      </c>
      <c r="W21" s="5">
        <f t="shared" ref="W21" si="21">V21+$C$4</f>
        <v>5.6666666666666671E-2</v>
      </c>
      <c r="X21" s="5">
        <f t="shared" ref="X21" si="22">W21+$C$4</f>
        <v>6.0000000000000005E-2</v>
      </c>
      <c r="Y21" s="5">
        <f t="shared" ref="Y21" si="23">X21+$C$4</f>
        <v>6.3333333333333339E-2</v>
      </c>
      <c r="Z21" s="5">
        <f t="shared" ref="Z21" si="24">Y21+$C$4</f>
        <v>6.6666666666666666E-2</v>
      </c>
      <c r="AA21" s="5">
        <f t="shared" ref="AA21" si="25">Z21+$C$4</f>
        <v>6.9999999999999993E-2</v>
      </c>
      <c r="AB21" s="5">
        <f t="shared" ref="AB21" si="26">AA21+$C$4</f>
        <v>7.333333333333332E-2</v>
      </c>
      <c r="AC21" s="5">
        <f t="shared" ref="AC21" si="27">AB21+$C$4</f>
        <v>7.6666666666666647E-2</v>
      </c>
      <c r="AD21" s="5">
        <f t="shared" ref="AD21" si="28">AC21+$C$4</f>
        <v>7.9999999999999974E-2</v>
      </c>
      <c r="AE21" s="5">
        <f t="shared" ref="AE21" si="29">AD21+$C$4</f>
        <v>8.3333333333333301E-2</v>
      </c>
      <c r="AF21" s="5">
        <f t="shared" ref="AF21" si="30">AE21+$C$4</f>
        <v>8.6666666666666628E-2</v>
      </c>
      <c r="AG21" s="5">
        <f t="shared" ref="AG21" si="31">AF21+$C$4</f>
        <v>8.9999999999999955E-2</v>
      </c>
      <c r="AH21" s="5">
        <f t="shared" ref="AH21" si="32">AG21+$C$4</f>
        <v>9.3333333333333282E-2</v>
      </c>
      <c r="AI21" s="5">
        <f t="shared" ref="AI21" si="33">AH21+$C$4</f>
        <v>9.6666666666666609E-2</v>
      </c>
      <c r="AJ21" s="5">
        <f t="shared" ref="AJ21" si="34">AI21+$C$4</f>
        <v>9.9999999999999936E-2</v>
      </c>
    </row>
    <row r="22" spans="2:36" x14ac:dyDescent="0.25">
      <c r="B22" s="2" t="s">
        <v>9</v>
      </c>
      <c r="C22" s="3">
        <v>100</v>
      </c>
      <c r="E22" t="s">
        <v>7</v>
      </c>
      <c r="F22">
        <f>F25/C10*C4+G22</f>
        <v>247.64422507446139</v>
      </c>
      <c r="G22">
        <v>240.97755840779473</v>
      </c>
      <c r="H22">
        <v>235.31029114824543</v>
      </c>
      <c r="I22">
        <v>229.7212091003725</v>
      </c>
      <c r="J22">
        <v>224.20867174518264</v>
      </c>
      <c r="K22">
        <v>218.77092203170392</v>
      </c>
      <c r="L22">
        <v>213.40608905190356</v>
      </c>
      <c r="M22">
        <v>208.11219088894143</v>
      </c>
      <c r="N22">
        <v>202.88713763442394</v>
      </c>
      <c r="O22">
        <v>197.72873457006492</v>
      </c>
      <c r="P22">
        <v>192.63468550891042</v>
      </c>
      <c r="Q22">
        <v>187.6025962910411</v>
      </c>
      <c r="R22">
        <v>182.62997842843041</v>
      </c>
      <c r="S22">
        <v>177.71425289341039</v>
      </c>
      <c r="T22">
        <v>172.85275404497793</v>
      </c>
      <c r="U22">
        <v>168.0427336869638</v>
      </c>
      <c r="V22">
        <v>163.28136525188734</v>
      </c>
      <c r="W22">
        <v>158.56574810412664</v>
      </c>
      <c r="X22">
        <v>153.89291195585406</v>
      </c>
      <c r="Y22">
        <v>149.25982138901384</v>
      </c>
      <c r="Z22">
        <v>144.66338047645772</v>
      </c>
      <c r="AA22">
        <v>140.10043749520338</v>
      </c>
      <c r="AB22">
        <v>135.56778972464014</v>
      </c>
      <c r="AC22">
        <v>131.06218832237701</v>
      </c>
      <c r="AD22">
        <v>126.58034327030994</v>
      </c>
      <c r="AE22">
        <v>122.11892838337812</v>
      </c>
      <c r="AF22">
        <v>117.67458637338373</v>
      </c>
      <c r="AG22">
        <v>113.24393396016569</v>
      </c>
      <c r="AH22">
        <v>108.82356702234567</v>
      </c>
      <c r="AI22">
        <v>104.41006577980471</v>
      </c>
      <c r="AJ22">
        <v>100</v>
      </c>
    </row>
    <row r="24" spans="2:36" x14ac:dyDescent="0.25">
      <c r="E24" t="s">
        <v>12</v>
      </c>
      <c r="G24">
        <f>G27*H24+G28</f>
        <v>241.88137449892713</v>
      </c>
      <c r="H24">
        <f t="shared" ref="H24:AI24" si="35">H27*I24+H28</f>
        <v>236.19685465129095</v>
      </c>
      <c r="I24">
        <f t="shared" si="35"/>
        <v>230.58917030725206</v>
      </c>
      <c r="J24">
        <f t="shared" si="35"/>
        <v>225.05670926780942</v>
      </c>
      <c r="K24">
        <f t="shared" si="35"/>
        <v>219.59774481366105</v>
      </c>
      <c r="L24">
        <f t="shared" si="35"/>
        <v>214.21043833394899</v>
      </c>
      <c r="M24">
        <f t="shared" si="35"/>
        <v>208.89284212534753</v>
      </c>
      <c r="N24">
        <f t="shared" si="35"/>
        <v>203.64290235723462</v>
      </c>
      <c r="O24">
        <f t="shared" si="35"/>
        <v>198.45846219843196</v>
      </c>
      <c r="P24">
        <f t="shared" si="35"/>
        <v>193.33726510075445</v>
      </c>
      <c r="Q24">
        <f t="shared" si="35"/>
        <v>188.27695823437006</v>
      </c>
      <c r="R24">
        <f t="shared" si="35"/>
        <v>183.27509606974087</v>
      </c>
      <c r="S24">
        <f t="shared" si="35"/>
        <v>178.32914410069191</v>
      </c>
      <c r="T24">
        <f t="shared" si="35"/>
        <v>173.43648270294062</v>
      </c>
      <c r="U24">
        <f t="shared" si="35"/>
        <v>168.59441112221276</v>
      </c>
      <c r="V24">
        <f t="shared" si="35"/>
        <v>163.80015158587318</v>
      </c>
      <c r="W24">
        <f t="shared" si="35"/>
        <v>159.05085353181235</v>
      </c>
      <c r="X24">
        <f t="shared" si="35"/>
        <v>154.34359794815094</v>
      </c>
      <c r="Y24">
        <f t="shared" si="35"/>
        <v>149.67540181715526</v>
      </c>
      <c r="Z24">
        <f t="shared" si="35"/>
        <v>145.04322265659852</v>
      </c>
      <c r="AA24">
        <f t="shared" si="35"/>
        <v>140.44396315165395</v>
      </c>
      <c r="AB24">
        <f t="shared" si="35"/>
        <v>135.87447587026844</v>
      </c>
      <c r="AC24">
        <f t="shared" si="35"/>
        <v>131.33156805483736</v>
      </c>
      <c r="AD24">
        <f t="shared" si="35"/>
        <v>126.81200648288618</v>
      </c>
      <c r="AE24">
        <f t="shared" si="35"/>
        <v>122.31252238935826</v>
      </c>
      <c r="AF24">
        <f t="shared" si="35"/>
        <v>117.82981644301529</v>
      </c>
      <c r="AG24">
        <f t="shared" si="35"/>
        <v>113.3605637693737</v>
      </c>
      <c r="AH24">
        <f t="shared" si="35"/>
        <v>108.90141901253017</v>
      </c>
      <c r="AI24">
        <f t="shared" si="35"/>
        <v>104.44902142816927</v>
      </c>
      <c r="AJ24">
        <v>100</v>
      </c>
    </row>
    <row r="25" spans="2:36" x14ac:dyDescent="0.25">
      <c r="E25" t="s">
        <v>13</v>
      </c>
      <c r="F25">
        <v>92000</v>
      </c>
      <c r="G25" s="6">
        <f>-$C$10*(G22-F22)/$C$4</f>
        <v>91999.999999999869</v>
      </c>
      <c r="H25" s="6">
        <f t="shared" ref="H25:AI25" si="36">-$C$10*(H22-G22)/$C$4</f>
        <v>78208.288181780415</v>
      </c>
      <c r="I25" s="6">
        <f t="shared" si="36"/>
        <v>77129.332260646304</v>
      </c>
      <c r="J25" s="6">
        <f t="shared" si="36"/>
        <v>76073.015501620102</v>
      </c>
      <c r="K25" s="6">
        <f t="shared" si="36"/>
        <v>75040.946046006371</v>
      </c>
      <c r="L25" s="6">
        <f t="shared" si="36"/>
        <v>74034.695121244891</v>
      </c>
      <c r="M25" s="6">
        <f t="shared" si="36"/>
        <v>73055.794648877476</v>
      </c>
      <c r="N25" s="6">
        <f t="shared" si="36"/>
        <v>72105.734912341359</v>
      </c>
      <c r="O25" s="6">
        <f t="shared" si="36"/>
        <v>71185.962288154493</v>
      </c>
      <c r="P25" s="6">
        <f t="shared" si="36"/>
        <v>70297.877043932007</v>
      </c>
      <c r="Q25" s="6">
        <f t="shared" si="36"/>
        <v>69442.831206596704</v>
      </c>
      <c r="R25" s="6">
        <f t="shared" si="36"/>
        <v>68622.126504027518</v>
      </c>
      <c r="S25" s="6">
        <f t="shared" si="36"/>
        <v>67837.012383276218</v>
      </c>
      <c r="T25" s="6">
        <f t="shared" si="36"/>
        <v>67088.684108367961</v>
      </c>
      <c r="U25" s="6">
        <f t="shared" si="36"/>
        <v>66378.280940594967</v>
      </c>
      <c r="V25" s="6">
        <f t="shared" si="36"/>
        <v>65706.884404055178</v>
      </c>
      <c r="W25" s="6">
        <f t="shared" si="36"/>
        <v>65075.516639097601</v>
      </c>
      <c r="X25" s="6">
        <f t="shared" si="36"/>
        <v>64485.138846161601</v>
      </c>
      <c r="Y25" s="6">
        <f t="shared" si="36"/>
        <v>63936.649822395084</v>
      </c>
      <c r="Z25" s="6">
        <f t="shared" si="36"/>
        <v>63430.884593274437</v>
      </c>
      <c r="AA25" s="6">
        <f t="shared" si="36"/>
        <v>62968.613141309856</v>
      </c>
      <c r="AB25" s="6">
        <f t="shared" si="36"/>
        <v>62550.539233772768</v>
      </c>
      <c r="AC25" s="6">
        <f t="shared" si="36"/>
        <v>62177.299351231115</v>
      </c>
      <c r="AD25" s="6">
        <f t="shared" si="36"/>
        <v>61849.461718525592</v>
      </c>
      <c r="AE25" s="6">
        <f t="shared" si="36"/>
        <v>61567.525439659112</v>
      </c>
      <c r="AF25" s="6">
        <f t="shared" si="36"/>
        <v>61331.91973792253</v>
      </c>
      <c r="AG25" s="6">
        <f t="shared" si="36"/>
        <v>61143.003302408964</v>
      </c>
      <c r="AH25" s="6">
        <f t="shared" si="36"/>
        <v>61001.063741916274</v>
      </c>
      <c r="AI25" s="6">
        <f t="shared" si="36"/>
        <v>60906.317147065245</v>
      </c>
      <c r="AJ25" s="6">
        <f>-$C$10*(AJ22-AI22)/$C$4</f>
        <v>60858.90776130501</v>
      </c>
    </row>
    <row r="26" spans="2:36" x14ac:dyDescent="0.25">
      <c r="E26" t="s">
        <v>22</v>
      </c>
      <c r="F26">
        <f>-($C$9*$C$8)/$C$5*F22</f>
        <v>-88854747.956716746</v>
      </c>
      <c r="G26">
        <f t="shared" ref="G26:AJ26" si="37">-($C$9*$C$8)/$C$5*G22</f>
        <v>-86462747.956716746</v>
      </c>
      <c r="H26">
        <f t="shared" si="37"/>
        <v>-84429332.463990465</v>
      </c>
      <c r="I26">
        <f t="shared" si="37"/>
        <v>-82423969.825213656</v>
      </c>
      <c r="J26">
        <f t="shared" si="37"/>
        <v>-80446071.422171533</v>
      </c>
      <c r="K26">
        <f t="shared" si="37"/>
        <v>-78495006.824975371</v>
      </c>
      <c r="L26">
        <f t="shared" si="37"/>
        <v>-76570104.751822993</v>
      </c>
      <c r="M26">
        <f t="shared" si="37"/>
        <v>-74670654.090952188</v>
      </c>
      <c r="N26">
        <f t="shared" si="37"/>
        <v>-72795904.983231306</v>
      </c>
      <c r="O26">
        <f t="shared" si="37"/>
        <v>-70945069.963739291</v>
      </c>
      <c r="P26">
        <f t="shared" si="37"/>
        <v>-69117325.160597056</v>
      </c>
      <c r="Q26">
        <f t="shared" si="37"/>
        <v>-67311811.549225539</v>
      </c>
      <c r="R26">
        <f t="shared" si="37"/>
        <v>-65527636.260120831</v>
      </c>
      <c r="S26">
        <f t="shared" si="37"/>
        <v>-63763873.938155651</v>
      </c>
      <c r="T26">
        <f t="shared" si="37"/>
        <v>-62019568.151338078</v>
      </c>
      <c r="U26">
        <f t="shared" si="37"/>
        <v>-60293732.846882612</v>
      </c>
      <c r="V26">
        <f t="shared" si="37"/>
        <v>-58585353.852377176</v>
      </c>
      <c r="W26">
        <f t="shared" si="37"/>
        <v>-56893390.419760637</v>
      </c>
      <c r="X26">
        <f t="shared" si="37"/>
        <v>-55216776.809760436</v>
      </c>
      <c r="Y26">
        <f t="shared" si="37"/>
        <v>-53554423.914378166</v>
      </c>
      <c r="Z26">
        <f t="shared" si="37"/>
        <v>-51905220.914953031</v>
      </c>
      <c r="AA26">
        <f t="shared" si="37"/>
        <v>-50268036.97327897</v>
      </c>
      <c r="AB26">
        <f t="shared" si="37"/>
        <v>-48641722.953200884</v>
      </c>
      <c r="AC26">
        <f t="shared" si="37"/>
        <v>-47025113.170068875</v>
      </c>
      <c r="AD26">
        <f t="shared" si="37"/>
        <v>-45417027.165387206</v>
      </c>
      <c r="AE26">
        <f t="shared" si="37"/>
        <v>-43816271.503956072</v>
      </c>
      <c r="AF26">
        <f t="shared" si="37"/>
        <v>-42221641.590770081</v>
      </c>
      <c r="AG26">
        <f t="shared" si="37"/>
        <v>-40631923.504907452</v>
      </c>
      <c r="AH26">
        <f t="shared" si="37"/>
        <v>-39045895.847617626</v>
      </c>
      <c r="AI26">
        <f t="shared" si="37"/>
        <v>-37462331.60179393</v>
      </c>
      <c r="AJ26">
        <f t="shared" si="37"/>
        <v>-35880000</v>
      </c>
    </row>
    <row r="27" spans="2:36" x14ac:dyDescent="0.25">
      <c r="E27" t="s">
        <v>23</v>
      </c>
      <c r="F27">
        <v>0</v>
      </c>
      <c r="G27">
        <f>$C$14/($C$15-$C$16*F27)</f>
        <v>0.47923322683706071</v>
      </c>
      <c r="H27">
        <f t="shared" ref="H27" si="38">$C$14/($C$15-$C$16*G27)</f>
        <v>0.62210974042322009</v>
      </c>
      <c r="I27">
        <f t="shared" ref="I27" si="39">$C$14/($C$15-$C$16*H27)</f>
        <v>0.68280036240378583</v>
      </c>
      <c r="J27">
        <f t="shared" ref="J27" si="40">$C$14/($C$15-$C$16*I27)</f>
        <v>0.71231854270130357</v>
      </c>
      <c r="K27">
        <f t="shared" ref="K27" si="41">$C$14/($C$15-$C$16*J27)</f>
        <v>0.72761768474986643</v>
      </c>
      <c r="L27">
        <f t="shared" ref="L27" si="42">$C$14/($C$15-$C$16*K27)</f>
        <v>0.73580865245165905</v>
      </c>
      <c r="M27">
        <f t="shared" ref="M27" si="43">$C$14/($C$15-$C$16*L27)</f>
        <v>0.74027025007591674</v>
      </c>
      <c r="N27">
        <f t="shared" ref="N27" si="44">$C$14/($C$15-$C$16*M27)</f>
        <v>0.74272330769575978</v>
      </c>
      <c r="O27">
        <f t="shared" ref="O27" si="45">$C$14/($C$15-$C$16*N27)</f>
        <v>0.7440789772313966</v>
      </c>
      <c r="P27">
        <f t="shared" ref="P27" si="46">$C$14/($C$15-$C$16*O27)</f>
        <v>0.74483030633226499</v>
      </c>
      <c r="Q27">
        <f t="shared" ref="Q27" si="47">$C$14/($C$15-$C$16*P27)</f>
        <v>0.74524735620578053</v>
      </c>
      <c r="R27">
        <f t="shared" ref="R27" si="48">$C$14/($C$15-$C$16*Q27)</f>
        <v>0.74547905505879375</v>
      </c>
      <c r="S27">
        <f t="shared" ref="S27" si="49">$C$14/($C$15-$C$16*R27)</f>
        <v>0.74560784139748904</v>
      </c>
      <c r="T27">
        <f t="shared" ref="T27" si="50">$C$14/($C$15-$C$16*S27)</f>
        <v>0.74567944459802482</v>
      </c>
      <c r="U27">
        <f t="shared" ref="U27" si="51">$C$14/($C$15-$C$16*T27)</f>
        <v>0.74571926081247353</v>
      </c>
      <c r="V27">
        <f t="shared" ref="V27" si="52">$C$14/($C$15-$C$16*U27)</f>
        <v>0.7457414031559223</v>
      </c>
      <c r="W27">
        <f t="shared" ref="W27" si="53">$C$14/($C$15-$C$16*V27)</f>
        <v>0.74575371738604534</v>
      </c>
      <c r="X27">
        <f t="shared" ref="X27" si="54">$C$14/($C$15-$C$16*W27)</f>
        <v>0.74576056599086782</v>
      </c>
      <c r="Y27">
        <f t="shared" ref="Y27" si="55">$C$14/($C$15-$C$16*X27)</f>
        <v>0.74576437492231062</v>
      </c>
      <c r="Z27">
        <f t="shared" ref="Z27" si="56">$C$14/($C$15-$C$16*Y27)</f>
        <v>0.74576649332079048</v>
      </c>
      <c r="AA27">
        <f t="shared" ref="AA27" si="57">$C$14/($C$15-$C$16*Z27)</f>
        <v>0.74576767150738277</v>
      </c>
      <c r="AB27">
        <f t="shared" ref="AB27" si="58">$C$14/($C$15-$C$16*AA27)</f>
        <v>0.74576832677931204</v>
      </c>
      <c r="AC27">
        <f t="shared" ref="AC27" si="59">$C$14/($C$15-$C$16*AB27)</f>
        <v>0.74576869122233935</v>
      </c>
      <c r="AD27">
        <f t="shared" ref="AD27" si="60">$C$14/($C$15-$C$16*AC27)</f>
        <v>0.74576889391501577</v>
      </c>
      <c r="AE27">
        <f t="shared" ref="AE27" si="61">$C$14/($C$15-$C$16*AD27)</f>
        <v>0.74576900664687074</v>
      </c>
      <c r="AF27">
        <f t="shared" ref="AF27" si="62">$C$14/($C$15-$C$16*AE27)</f>
        <v>0.74576906934511078</v>
      </c>
      <c r="AG27">
        <f t="shared" ref="AG27" si="63">$C$14/($C$15-$C$16*AF27)</f>
        <v>0.74576910421608689</v>
      </c>
      <c r="AH27">
        <f t="shared" ref="AH27" si="64">$C$14/($C$15-$C$16*AG27)</f>
        <v>0.74576912361033254</v>
      </c>
      <c r="AI27">
        <f t="shared" ref="AI27" si="65">$C$14/($C$15-$C$16*AH27)</f>
        <v>0.74576913439686099</v>
      </c>
      <c r="AJ27">
        <f t="shared" ref="AJ27" si="66">$C$14/($C$15-$C$16*AI27)</f>
        <v>0.74576914039602182</v>
      </c>
    </row>
    <row r="28" spans="2:36" x14ac:dyDescent="0.25">
      <c r="E28" t="s">
        <v>24</v>
      </c>
      <c r="F28">
        <f>F22</f>
        <v>247.64422507446139</v>
      </c>
      <c r="G28">
        <f>(F28*$C$16-G26)/($C$15-$C$16*F27)</f>
        <v>128.68799367562474</v>
      </c>
      <c r="H28">
        <f>(G28*$C$16-H26)/($C$15-$C$16*G27)</f>
        <v>92.745085767040678</v>
      </c>
      <c r="I28">
        <f t="shared" ref="I28" si="67">(H28*$C$16-I26)/($C$15-$C$16*H27)</f>
        <v>76.920367657788333</v>
      </c>
      <c r="J28">
        <f t="shared" ref="J28" si="68">(I28*$C$16-J26)/($C$15-$C$16*I27)</f>
        <v>68.633163701649636</v>
      </c>
      <c r="K28">
        <f t="shared" ref="K28" si="69">(J28*$C$16-K26)/($C$15-$C$16*J27)</f>
        <v>63.734441623859055</v>
      </c>
      <c r="L28">
        <f t="shared" ref="L28" si="70">(K28*$C$16-L26)/($C$15-$C$16*K27)</f>
        <v>60.505277662899857</v>
      </c>
      <c r="M28">
        <f t="shared" ref="M28" si="71">(L28*$C$16-M26)/($C$15-$C$16*L27)</f>
        <v>58.142059871171966</v>
      </c>
      <c r="N28">
        <f t="shared" ref="N28" si="72">(M28*$C$16-N26)/($C$15-$C$16*M27)</f>
        <v>56.24317687300131</v>
      </c>
      <c r="O28">
        <f t="shared" ref="O28" si="73">(N28*$C$16-O26)/($C$15-$C$16*N27)</f>
        <v>54.600267721547205</v>
      </c>
      <c r="P28">
        <f t="shared" ref="P28" si="74">(O28*$C$16-P26)/($C$15-$C$16*O27)</f>
        <v>53.102880623741541</v>
      </c>
      <c r="Q28">
        <f t="shared" ref="Q28" si="75">(P28*$C$16-Q26)/($C$15-$C$16*P27)</f>
        <v>51.691677430035242</v>
      </c>
      <c r="R28">
        <f t="shared" ref="R28" si="76">(Q28*$C$16-R26)/($C$15-$C$16*Q27)</f>
        <v>50.334454236113615</v>
      </c>
      <c r="S28">
        <f t="shared" ref="S28" si="77">(R28*$C$16-S26)/($C$15-$C$16*R27)</f>
        <v>49.013542612979379</v>
      </c>
      <c r="T28">
        <f t="shared" ref="T28" si="78">(S28*$C$16-T26)/($C$15-$C$16*S27)</f>
        <v>47.719095854997931</v>
      </c>
      <c r="U28">
        <f t="shared" ref="U28" si="79">(T28*$C$16-U26)/($C$15-$C$16*T27)</f>
        <v>46.445483160624299</v>
      </c>
      <c r="V28">
        <f t="shared" ref="V28" si="80">(U28*$C$16-V26)/($C$15-$C$16*U27)</f>
        <v>45.189344899912349</v>
      </c>
      <c r="W28">
        <f t="shared" ref="W28" si="81">(V28*$C$16-W26)/($C$15-$C$16*V27)</f>
        <v>43.94854160724158</v>
      </c>
      <c r="X28">
        <f t="shared" ref="X28" si="82">(W28*$C$16-X26)/($C$15-$C$16*W27)</f>
        <v>42.721585574078667</v>
      </c>
      <c r="Y28">
        <f t="shared" ref="Y28" si="83">(X28*$C$16-Y26)/($C$15-$C$16*X27)</f>
        <v>41.507333535939566</v>
      </c>
      <c r="Z28">
        <f t="shared" ref="Z28" si="84">(Y28*$C$16-Z26)/($C$15-$C$16*Y27)</f>
        <v>40.304820748915226</v>
      </c>
      <c r="AA28">
        <f t="shared" ref="AA28" si="85">(Z28*$C$16-AA26)/($C$15-$C$16*Z27)</f>
        <v>39.113171664597793</v>
      </c>
      <c r="AB28">
        <f t="shared" ref="AB28" si="86">(AA28*$C$16-AB26)/($C$15-$C$16*AA27)</f>
        <v>37.93155210870902</v>
      </c>
      <c r="AC28">
        <f t="shared" ref="AC28" si="87">(AB28*$C$16-AC26)/($C$15-$C$16*AB27)</f>
        <v>36.759143948816515</v>
      </c>
      <c r="AD28">
        <f t="shared" ref="AD28" si="88">(AC28*$C$16-AD26)/($C$15-$C$16*AC27)</f>
        <v>35.59513194861885</v>
      </c>
      <c r="AE28">
        <f t="shared" ref="AE28" si="89">(AD28*$C$16-AE26)/($C$15-$C$16*AD27)</f>
        <v>34.438697227267639</v>
      </c>
      <c r="AF28">
        <f t="shared" ref="AF28" si="90">(AE28*$C$16-AF26)/($C$15-$C$16*AE27)</f>
        <v>33.289014300292372</v>
      </c>
      <c r="AG28">
        <f t="shared" ref="AG28" si="91">(AF28*$C$16-AG26)/($C$15-$C$16*AF27)</f>
        <v>32.145250064538352</v>
      </c>
      <c r="AH28">
        <f t="shared" ref="AH28" si="92">(AG28*$C$16-AH26)/($C$15-$C$16*AG27)</f>
        <v>31.006563840087516</v>
      </c>
      <c r="AI28">
        <f t="shared" ref="AI28" si="93">(AH28*$C$16-AI26)/($C$15-$C$16*AH27)</f>
        <v>29.872107988483183</v>
      </c>
      <c r="AJ28">
        <f t="shared" ref="AJ28" si="94">(AI28*$C$16-AJ26)/($C$15-$C$16*AI27)</f>
        <v>28.741028846487097</v>
      </c>
    </row>
    <row r="33" spans="2:36" x14ac:dyDescent="0.25">
      <c r="F33" s="2">
        <v>1</v>
      </c>
      <c r="G33" s="2">
        <v>2</v>
      </c>
      <c r="H33" s="2">
        <v>3</v>
      </c>
      <c r="I33" s="2">
        <v>4</v>
      </c>
      <c r="J33" s="2">
        <v>5</v>
      </c>
      <c r="K33" s="2">
        <v>6</v>
      </c>
      <c r="L33" s="2">
        <v>7</v>
      </c>
      <c r="M33" s="2">
        <v>8</v>
      </c>
      <c r="N33" s="2">
        <v>9</v>
      </c>
      <c r="O33" s="2">
        <v>10</v>
      </c>
      <c r="P33" s="2">
        <v>11</v>
      </c>
      <c r="Q33" s="2">
        <v>12</v>
      </c>
      <c r="R33" s="2">
        <v>13</v>
      </c>
      <c r="S33" s="2">
        <v>14</v>
      </c>
      <c r="T33" s="2">
        <v>15</v>
      </c>
      <c r="U33" s="2">
        <v>16</v>
      </c>
      <c r="V33" s="2">
        <v>17</v>
      </c>
      <c r="W33" s="2">
        <v>18</v>
      </c>
      <c r="X33" s="2">
        <v>19</v>
      </c>
      <c r="Y33" s="2">
        <v>20</v>
      </c>
      <c r="Z33" s="2">
        <v>21</v>
      </c>
      <c r="AA33" s="2">
        <v>22</v>
      </c>
      <c r="AB33" s="2">
        <v>23</v>
      </c>
      <c r="AC33" s="2">
        <v>24</v>
      </c>
      <c r="AD33" s="2">
        <v>25</v>
      </c>
      <c r="AE33" s="2">
        <v>26</v>
      </c>
      <c r="AF33" s="2">
        <v>27</v>
      </c>
      <c r="AG33" s="2">
        <v>28</v>
      </c>
      <c r="AH33" s="2">
        <v>29</v>
      </c>
      <c r="AI33" s="2">
        <v>30</v>
      </c>
      <c r="AJ33" s="2">
        <v>31</v>
      </c>
    </row>
    <row r="34" spans="2:36" x14ac:dyDescent="0.25">
      <c r="B34" s="2" t="s">
        <v>11</v>
      </c>
      <c r="C34" s="3">
        <v>92000</v>
      </c>
      <c r="E34" t="s">
        <v>0</v>
      </c>
      <c r="F34" s="5">
        <v>0</v>
      </c>
      <c r="G34" s="5">
        <f>F34+$C$4</f>
        <v>3.3333333333333335E-3</v>
      </c>
      <c r="H34" s="5">
        <f t="shared" ref="H34" si="95">G34+$C$4</f>
        <v>6.6666666666666671E-3</v>
      </c>
      <c r="I34" s="5">
        <f t="shared" ref="I34" si="96">H34+$C$4</f>
        <v>0.01</v>
      </c>
      <c r="J34" s="5">
        <f t="shared" ref="J34" si="97">I34+$C$4</f>
        <v>1.3333333333333334E-2</v>
      </c>
      <c r="K34" s="5">
        <f t="shared" ref="K34" si="98">J34+$C$4</f>
        <v>1.6666666666666666E-2</v>
      </c>
      <c r="L34" s="5">
        <f t="shared" ref="L34" si="99">K34+$C$4</f>
        <v>0.02</v>
      </c>
      <c r="M34" s="5">
        <f t="shared" ref="M34" si="100">L34+$C$4</f>
        <v>2.3333333333333334E-2</v>
      </c>
      <c r="N34" s="5">
        <f t="shared" ref="N34" si="101">M34+$C$4</f>
        <v>2.6666666666666668E-2</v>
      </c>
      <c r="O34" s="5">
        <f t="shared" ref="O34" si="102">N34+$C$4</f>
        <v>3.0000000000000002E-2</v>
      </c>
      <c r="P34" s="5">
        <f t="shared" ref="P34" si="103">O34+$C$4</f>
        <v>3.3333333333333333E-2</v>
      </c>
      <c r="Q34" s="5">
        <f t="shared" ref="Q34" si="104">P34+$C$4</f>
        <v>3.6666666666666667E-2</v>
      </c>
      <c r="R34" s="5">
        <f t="shared" ref="R34" si="105">Q34+$C$4</f>
        <v>0.04</v>
      </c>
      <c r="S34" s="5">
        <f t="shared" ref="S34" si="106">R34+$C$4</f>
        <v>4.3333333333333335E-2</v>
      </c>
      <c r="T34" s="5">
        <f t="shared" ref="T34" si="107">S34+$C$4</f>
        <v>4.6666666666666669E-2</v>
      </c>
      <c r="U34" s="5">
        <f t="shared" ref="U34" si="108">T34+$C$4</f>
        <v>0.05</v>
      </c>
      <c r="V34" s="5">
        <f t="shared" ref="V34" si="109">U34+$C$4</f>
        <v>5.3333333333333337E-2</v>
      </c>
      <c r="W34" s="5">
        <f t="shared" ref="W34" si="110">V34+$C$4</f>
        <v>5.6666666666666671E-2</v>
      </c>
      <c r="X34" s="5">
        <f t="shared" ref="X34" si="111">W34+$C$4</f>
        <v>6.0000000000000005E-2</v>
      </c>
      <c r="Y34" s="5">
        <f t="shared" ref="Y34" si="112">X34+$C$4</f>
        <v>6.3333333333333339E-2</v>
      </c>
      <c r="Z34" s="5">
        <f t="shared" ref="Z34" si="113">Y34+$C$4</f>
        <v>6.6666666666666666E-2</v>
      </c>
      <c r="AA34" s="5">
        <f t="shared" ref="AA34" si="114">Z34+$C$4</f>
        <v>6.9999999999999993E-2</v>
      </c>
      <c r="AB34" s="5">
        <f t="shared" ref="AB34" si="115">AA34+$C$4</f>
        <v>7.333333333333332E-2</v>
      </c>
      <c r="AC34" s="5">
        <f t="shared" ref="AC34" si="116">AB34+$C$4</f>
        <v>7.6666666666666647E-2</v>
      </c>
      <c r="AD34" s="5">
        <f t="shared" ref="AD34" si="117">AC34+$C$4</f>
        <v>7.9999999999999974E-2</v>
      </c>
      <c r="AE34" s="5">
        <f t="shared" ref="AE34" si="118">AD34+$C$4</f>
        <v>8.3333333333333301E-2</v>
      </c>
      <c r="AF34" s="5">
        <f t="shared" ref="AF34" si="119">AE34+$C$4</f>
        <v>8.6666666666666628E-2</v>
      </c>
      <c r="AG34" s="5">
        <f t="shared" ref="AG34" si="120">AF34+$C$4</f>
        <v>8.9999999999999955E-2</v>
      </c>
      <c r="AH34" s="5">
        <f t="shared" ref="AH34" si="121">AG34+$C$4</f>
        <v>9.3333333333333282E-2</v>
      </c>
      <c r="AI34" s="5">
        <f t="shared" ref="AI34" si="122">AH34+$C$4</f>
        <v>9.6666666666666609E-2</v>
      </c>
      <c r="AJ34" s="5">
        <f t="shared" ref="AJ34" si="123">AI34+$C$4</f>
        <v>9.9999999999999936E-2</v>
      </c>
    </row>
    <row r="35" spans="2:36" x14ac:dyDescent="0.25">
      <c r="B35" s="2" t="s">
        <v>9</v>
      </c>
      <c r="C35" s="3">
        <v>100</v>
      </c>
      <c r="E35" t="s">
        <v>7</v>
      </c>
      <c r="F35">
        <f>($C$37*$C$4*$C$36+$C$10*$G$35)/($C$10+$C$37*$C$4)</f>
        <v>299.99985163261891</v>
      </c>
      <c r="G35">
        <v>293.3331742146928</v>
      </c>
      <c r="H35">
        <v>286.66649776466045</v>
      </c>
      <c r="I35">
        <v>279.99982234203355</v>
      </c>
      <c r="J35">
        <v>273.33314800007156</v>
      </c>
      <c r="K35">
        <v>266.66647478546452</v>
      </c>
      <c r="L35">
        <v>259.99980273803936</v>
      </c>
      <c r="M35">
        <v>253.33313189053024</v>
      </c>
      <c r="N35">
        <v>246.66646226836411</v>
      </c>
      <c r="O35">
        <v>239.99979388952389</v>
      </c>
      <c r="P35">
        <v>233.33312676441892</v>
      </c>
      <c r="Q35">
        <v>226.66646089584373</v>
      </c>
      <c r="R35">
        <v>219.9997962789374</v>
      </c>
      <c r="S35">
        <v>213.33313290123812</v>
      </c>
      <c r="T35">
        <v>206.66647074273277</v>
      </c>
      <c r="U35">
        <v>199.99980977600597</v>
      </c>
      <c r="V35">
        <v>193.33314996637864</v>
      </c>
      <c r="W35">
        <v>186.66649127214777</v>
      </c>
      <c r="X35">
        <v>179.99983364481102</v>
      </c>
      <c r="Y35">
        <v>173.33317702939058</v>
      </c>
      <c r="Z35">
        <v>166.66652136473954</v>
      </c>
      <c r="AA35">
        <v>159.99986658394076</v>
      </c>
      <c r="AB35">
        <v>153.33321261468828</v>
      </c>
      <c r="AC35">
        <v>146.66655937975133</v>
      </c>
      <c r="AD35">
        <v>139.99990679742166</v>
      </c>
      <c r="AE35">
        <v>133.33325478203096</v>
      </c>
      <c r="AF35">
        <v>126.66660324445392</v>
      </c>
      <c r="AG35">
        <v>119.99995209266579</v>
      </c>
      <c r="AH35">
        <v>113.33330123228947</v>
      </c>
      <c r="AI35">
        <v>106.66665056717957</v>
      </c>
      <c r="AJ35">
        <v>100</v>
      </c>
    </row>
    <row r="36" spans="2:36" x14ac:dyDescent="0.25">
      <c r="B36" t="s">
        <v>14</v>
      </c>
      <c r="C36">
        <v>392</v>
      </c>
    </row>
    <row r="37" spans="2:36" x14ac:dyDescent="0.25">
      <c r="B37" t="s">
        <v>15</v>
      </c>
      <c r="C37">
        <v>1000</v>
      </c>
      <c r="E37" t="s">
        <v>12</v>
      </c>
      <c r="G37">
        <f>G35+(($C$10*$C$5)/($C$9*$C$8))*((H35-2*G35+F35)/($C$4^2))</f>
        <v>293.33318538269765</v>
      </c>
      <c r="H37">
        <f t="shared" ref="H37:AI37" si="124">H35+(($C$10*$C$5)/($C$9*$C$8))*((I35-2*H35+G35)/($C$4^2))</f>
        <v>286.66650961933885</v>
      </c>
      <c r="I37">
        <f t="shared" si="124"/>
        <v>279.99983481124394</v>
      </c>
      <c r="J37">
        <f t="shared" si="124"/>
        <v>273.33316100801329</v>
      </c>
      <c r="K37">
        <f t="shared" si="124"/>
        <v>266.66648825294789</v>
      </c>
      <c r="L37">
        <f t="shared" si="124"/>
        <v>259.99981658322429</v>
      </c>
      <c r="M37">
        <f t="shared" si="124"/>
        <v>253.33314602910329</v>
      </c>
      <c r="N37">
        <f t="shared" si="124"/>
        <v>246.66647661443216</v>
      </c>
      <c r="O37">
        <f t="shared" si="124"/>
        <v>239.9998083557</v>
      </c>
      <c r="P37">
        <f t="shared" si="124"/>
        <v>233.33314126283935</v>
      </c>
      <c r="Q37">
        <f t="shared" si="124"/>
        <v>226.66647533817675</v>
      </c>
      <c r="R37">
        <f t="shared" si="124"/>
        <v>219.9998105774803</v>
      </c>
      <c r="S37">
        <f t="shared" si="124"/>
        <v>213.33314696886043</v>
      </c>
      <c r="T37">
        <f t="shared" si="124"/>
        <v>206.66648449402373</v>
      </c>
      <c r="U37">
        <f t="shared" si="124"/>
        <v>199.9998231271536</v>
      </c>
      <c r="V37">
        <f t="shared" si="124"/>
        <v>193.33316283633778</v>
      </c>
      <c r="W37">
        <f t="shared" si="124"/>
        <v>186.66650358246463</v>
      </c>
      <c r="X37">
        <f t="shared" si="124"/>
        <v>179.99984532076846</v>
      </c>
      <c r="Y37">
        <f t="shared" si="124"/>
        <v>173.33318799980663</v>
      </c>
      <c r="Z37">
        <f t="shared" si="124"/>
        <v>166.66653156303491</v>
      </c>
      <c r="AA37">
        <f t="shared" si="124"/>
        <v>159.99987594793654</v>
      </c>
      <c r="AB37">
        <f t="shared" si="124"/>
        <v>153.33322108755982</v>
      </c>
      <c r="AC37">
        <f t="shared" si="124"/>
        <v>146.66656690983521</v>
      </c>
      <c r="AD37">
        <f t="shared" si="124"/>
        <v>139.99991333902526</v>
      </c>
      <c r="AE37">
        <f t="shared" si="124"/>
        <v>133.33326029526563</v>
      </c>
      <c r="AF37">
        <f t="shared" si="124"/>
        <v>126.66660769586424</v>
      </c>
      <c r="AG37">
        <f t="shared" si="124"/>
        <v>119.99995545510974</v>
      </c>
      <c r="AH37">
        <f t="shared" si="124"/>
        <v>113.33330348536359</v>
      </c>
      <c r="AI37">
        <f t="shared" si="124"/>
        <v>106.66665169714486</v>
      </c>
    </row>
    <row r="38" spans="2:36" x14ac:dyDescent="0.25">
      <c r="E38" t="s">
        <v>13</v>
      </c>
      <c r="F38">
        <v>92000</v>
      </c>
      <c r="G38" s="7">
        <f>-$C$10*(G35-F35)/$C$4</f>
        <v>92000.148367380301</v>
      </c>
      <c r="H38" s="7">
        <f t="shared" ref="H38:AI38" si="125">-$C$10*(H35-G35)/$C$4</f>
        <v>92000.135010446495</v>
      </c>
      <c r="I38" s="7">
        <f t="shared" si="125"/>
        <v>92000.120832251137</v>
      </c>
      <c r="J38" s="7">
        <f t="shared" si="125"/>
        <v>92000.105919075504</v>
      </c>
      <c r="K38" s="7">
        <f t="shared" si="125"/>
        <v>92000.090361577211</v>
      </c>
      <c r="L38" s="7">
        <f t="shared" si="125"/>
        <v>92000.074254467094</v>
      </c>
      <c r="M38" s="7">
        <f t="shared" si="125"/>
        <v>92000.057695625903</v>
      </c>
      <c r="N38" s="7">
        <f t="shared" si="125"/>
        <v>92000.040785892532</v>
      </c>
      <c r="O38" s="7">
        <f t="shared" si="125"/>
        <v>92000.023627995135</v>
      </c>
      <c r="P38" s="7">
        <f t="shared" si="125"/>
        <v>92000.006326448507</v>
      </c>
      <c r="Q38" s="7">
        <f t="shared" si="125"/>
        <v>91999.988986337674</v>
      </c>
      <c r="R38" s="7">
        <f t="shared" si="125"/>
        <v>91999.971713307372</v>
      </c>
      <c r="S38" s="7">
        <f t="shared" si="125"/>
        <v>91999.954612250047</v>
      </c>
      <c r="T38" s="7">
        <f t="shared" si="125"/>
        <v>91999.937787373769</v>
      </c>
      <c r="U38" s="7">
        <f t="shared" si="125"/>
        <v>91999.921340829766</v>
      </c>
      <c r="V38" s="7">
        <f t="shared" si="125"/>
        <v>91999.905372857189</v>
      </c>
      <c r="W38" s="7">
        <f t="shared" si="125"/>
        <v>91999.88998038607</v>
      </c>
      <c r="X38" s="7">
        <f t="shared" si="125"/>
        <v>91999.875257247098</v>
      </c>
      <c r="Y38" s="7">
        <f t="shared" si="125"/>
        <v>91999.861292802016</v>
      </c>
      <c r="Z38" s="7">
        <f t="shared" si="125"/>
        <v>91999.848172184429</v>
      </c>
      <c r="AA38" s="7">
        <f t="shared" si="125"/>
        <v>91999.835975023161</v>
      </c>
      <c r="AB38" s="7">
        <f t="shared" si="125"/>
        <v>91999.824775684203</v>
      </c>
      <c r="AC38" s="7">
        <f t="shared" si="125"/>
        <v>91999.81464212983</v>
      </c>
      <c r="AD38" s="7">
        <f t="shared" si="125"/>
        <v>91999.805636149511</v>
      </c>
      <c r="AE38" s="7">
        <f t="shared" si="125"/>
        <v>91999.797812391596</v>
      </c>
      <c r="AF38" s="7">
        <f t="shared" si="125"/>
        <v>91999.791218563143</v>
      </c>
      <c r="AG38" s="7">
        <f t="shared" si="125"/>
        <v>91999.785894676199</v>
      </c>
      <c r="AH38" s="7">
        <f t="shared" si="125"/>
        <v>91999.781873193249</v>
      </c>
      <c r="AI38" s="7">
        <f t="shared" si="125"/>
        <v>91999.77917851659</v>
      </c>
    </row>
    <row r="41" spans="2:36" x14ac:dyDescent="0.25">
      <c r="F41">
        <f>F38/C10*C4+G35</f>
        <v>299.99984088135949</v>
      </c>
    </row>
    <row r="43" spans="2:36" x14ac:dyDescent="0.25">
      <c r="J43" t="s">
        <v>26</v>
      </c>
    </row>
    <row r="44" spans="2:36" x14ac:dyDescent="0.25">
      <c r="F44" t="s">
        <v>25</v>
      </c>
    </row>
  </sheetData>
  <conditionalFormatting sqref="F35:AJ3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:AJ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:AJ1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0:BR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J35"/>
  <sheetViews>
    <sheetView workbookViewId="0">
      <selection activeCell="F22" sqref="F22"/>
    </sheetView>
  </sheetViews>
  <sheetFormatPr defaultRowHeight="15" x14ac:dyDescent="0.25"/>
  <sheetData>
    <row r="2" spans="1:36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</row>
    <row r="3" spans="1:36" x14ac:dyDescent="0.25">
      <c r="A3" s="10"/>
      <c r="B3" s="11" t="s">
        <v>0</v>
      </c>
      <c r="C3" s="11">
        <v>0.1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</row>
    <row r="4" spans="1:36" x14ac:dyDescent="0.25">
      <c r="A4" s="10"/>
      <c r="B4" s="11" t="s">
        <v>1</v>
      </c>
      <c r="C4" s="5">
        <f>C3/30</f>
        <v>3.3333333333333335E-3</v>
      </c>
      <c r="D4" s="10"/>
      <c r="E4" s="10"/>
      <c r="F4" s="10">
        <f>(C9*C8*(C4^2))/(2*C10)</f>
        <v>0.4333333333333334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</row>
    <row r="5" spans="1:36" x14ac:dyDescent="0.25">
      <c r="A5" s="10"/>
      <c r="B5" s="11" t="s">
        <v>2</v>
      </c>
      <c r="C5" s="11">
        <v>0.4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</row>
    <row r="6" spans="1:36" x14ac:dyDescent="0.25">
      <c r="A6" s="10"/>
      <c r="B6" s="11" t="s">
        <v>3</v>
      </c>
      <c r="C6" s="11">
        <v>60</v>
      </c>
      <c r="D6" s="10">
        <v>60.400000000000006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</row>
    <row r="7" spans="1:36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 t="s">
        <v>16</v>
      </c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</row>
    <row r="8" spans="1:36" x14ac:dyDescent="0.25">
      <c r="A8" s="10"/>
      <c r="B8" s="11" t="s">
        <v>4</v>
      </c>
      <c r="C8" s="11">
        <v>460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</row>
    <row r="9" spans="1:36" x14ac:dyDescent="0.25">
      <c r="A9" s="10"/>
      <c r="B9" s="11" t="s">
        <v>5</v>
      </c>
      <c r="C9" s="11">
        <v>7800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</row>
    <row r="10" spans="1:36" x14ac:dyDescent="0.25">
      <c r="A10" s="10"/>
      <c r="B10" s="11" t="s">
        <v>6</v>
      </c>
      <c r="C10" s="11">
        <v>46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</row>
    <row r="11" spans="1:36" x14ac:dyDescent="0.25">
      <c r="A11" s="10"/>
      <c r="B11" s="10"/>
      <c r="C11" s="10"/>
      <c r="D11" s="10"/>
      <c r="E11" s="10"/>
      <c r="F11" s="11">
        <v>1</v>
      </c>
      <c r="G11" s="11">
        <v>2</v>
      </c>
      <c r="H11" s="11">
        <v>3</v>
      </c>
      <c r="I11" s="11">
        <v>4</v>
      </c>
      <c r="J11" s="11">
        <v>5</v>
      </c>
      <c r="K11" s="11">
        <v>6</v>
      </c>
      <c r="L11" s="11">
        <v>7</v>
      </c>
      <c r="M11" s="11">
        <v>8</v>
      </c>
      <c r="N11" s="11">
        <v>9</v>
      </c>
      <c r="O11" s="11">
        <v>10</v>
      </c>
      <c r="P11" s="11">
        <v>11</v>
      </c>
      <c r="Q11" s="11">
        <v>12</v>
      </c>
      <c r="R11" s="11">
        <v>13</v>
      </c>
      <c r="S11" s="11">
        <v>14</v>
      </c>
      <c r="T11" s="11">
        <v>15</v>
      </c>
      <c r="U11" s="11">
        <v>16</v>
      </c>
      <c r="V11" s="11">
        <v>17</v>
      </c>
      <c r="W11" s="11">
        <v>18</v>
      </c>
      <c r="X11" s="11">
        <v>19</v>
      </c>
      <c r="Y11" s="11">
        <v>20</v>
      </c>
      <c r="Z11" s="11">
        <v>21</v>
      </c>
      <c r="AA11" s="11">
        <v>22</v>
      </c>
      <c r="AB11" s="11">
        <v>23</v>
      </c>
      <c r="AC11" s="11">
        <v>24</v>
      </c>
      <c r="AD11" s="11">
        <v>25</v>
      </c>
      <c r="AE11" s="11">
        <v>26</v>
      </c>
      <c r="AF11" s="11">
        <v>27</v>
      </c>
      <c r="AG11" s="11">
        <v>28</v>
      </c>
      <c r="AH11" s="11">
        <v>29</v>
      </c>
      <c r="AI11" s="11">
        <v>30</v>
      </c>
      <c r="AJ11" s="11">
        <v>31</v>
      </c>
    </row>
    <row r="12" spans="1:36" x14ac:dyDescent="0.25">
      <c r="A12" s="10"/>
      <c r="B12" s="11" t="s">
        <v>8</v>
      </c>
      <c r="C12" s="11">
        <v>300</v>
      </c>
      <c r="D12" s="10"/>
      <c r="E12" s="10" t="s">
        <v>0</v>
      </c>
      <c r="F12" s="11">
        <v>0</v>
      </c>
      <c r="G12" s="11">
        <f>F12+$C$4</f>
        <v>3.3333333333333335E-3</v>
      </c>
      <c r="H12" s="11">
        <f t="shared" ref="H12:AJ12" si="0">G12+$C$4</f>
        <v>6.6666666666666671E-3</v>
      </c>
      <c r="I12" s="11">
        <f t="shared" si="0"/>
        <v>0.01</v>
      </c>
      <c r="J12" s="11">
        <f t="shared" si="0"/>
        <v>1.3333333333333334E-2</v>
      </c>
      <c r="K12" s="11">
        <f t="shared" si="0"/>
        <v>1.6666666666666666E-2</v>
      </c>
      <c r="L12" s="11">
        <f t="shared" si="0"/>
        <v>0.02</v>
      </c>
      <c r="M12" s="11">
        <f t="shared" si="0"/>
        <v>2.3333333333333334E-2</v>
      </c>
      <c r="N12" s="11">
        <f t="shared" si="0"/>
        <v>2.6666666666666668E-2</v>
      </c>
      <c r="O12" s="11">
        <f t="shared" si="0"/>
        <v>3.0000000000000002E-2</v>
      </c>
      <c r="P12" s="11">
        <f t="shared" si="0"/>
        <v>3.3333333333333333E-2</v>
      </c>
      <c r="Q12" s="11">
        <f t="shared" si="0"/>
        <v>3.6666666666666667E-2</v>
      </c>
      <c r="R12" s="11">
        <f t="shared" si="0"/>
        <v>0.04</v>
      </c>
      <c r="S12" s="11">
        <f t="shared" si="0"/>
        <v>4.3333333333333335E-2</v>
      </c>
      <c r="T12" s="11">
        <f t="shared" si="0"/>
        <v>4.6666666666666669E-2</v>
      </c>
      <c r="U12" s="11">
        <f t="shared" si="0"/>
        <v>0.05</v>
      </c>
      <c r="V12" s="11">
        <f t="shared" si="0"/>
        <v>5.3333333333333337E-2</v>
      </c>
      <c r="W12" s="11">
        <f t="shared" si="0"/>
        <v>5.6666666666666671E-2</v>
      </c>
      <c r="X12" s="11">
        <f t="shared" si="0"/>
        <v>6.0000000000000005E-2</v>
      </c>
      <c r="Y12" s="11">
        <f t="shared" si="0"/>
        <v>6.3333333333333339E-2</v>
      </c>
      <c r="Z12" s="11">
        <f t="shared" si="0"/>
        <v>6.6666666666666666E-2</v>
      </c>
      <c r="AA12" s="11">
        <f t="shared" si="0"/>
        <v>6.9999999999999993E-2</v>
      </c>
      <c r="AB12" s="11">
        <f t="shared" si="0"/>
        <v>7.333333333333332E-2</v>
      </c>
      <c r="AC12" s="11">
        <f t="shared" si="0"/>
        <v>7.6666666666666647E-2</v>
      </c>
      <c r="AD12" s="11">
        <f t="shared" si="0"/>
        <v>7.9999999999999974E-2</v>
      </c>
      <c r="AE12" s="11">
        <f t="shared" si="0"/>
        <v>8.3333333333333301E-2</v>
      </c>
      <c r="AF12" s="11">
        <f t="shared" si="0"/>
        <v>8.6666666666666628E-2</v>
      </c>
      <c r="AG12" s="11">
        <f t="shared" si="0"/>
        <v>8.9999999999999955E-2</v>
      </c>
      <c r="AH12" s="11">
        <f t="shared" si="0"/>
        <v>9.3333333333333282E-2</v>
      </c>
      <c r="AI12" s="11">
        <f t="shared" si="0"/>
        <v>9.6666666666666609E-2</v>
      </c>
      <c r="AJ12" s="11">
        <f t="shared" si="0"/>
        <v>9.9999999999999936E-2</v>
      </c>
    </row>
    <row r="13" spans="1:36" x14ac:dyDescent="0.25">
      <c r="A13" s="10"/>
      <c r="B13" s="11" t="s">
        <v>9</v>
      </c>
      <c r="C13" s="11">
        <v>100</v>
      </c>
      <c r="D13" s="10"/>
      <c r="E13" s="10" t="s">
        <v>7</v>
      </c>
      <c r="F13" s="10">
        <v>300</v>
      </c>
      <c r="G13" s="10">
        <v>280.33248702411498</v>
      </c>
      <c r="H13" s="10">
        <v>260.82943111125104</v>
      </c>
      <c r="I13" s="10">
        <v>241.65241041627974</v>
      </c>
      <c r="J13" s="10">
        <v>222.95733520467056</v>
      </c>
      <c r="K13" s="10">
        <v>204.89183406861548</v>
      </c>
      <c r="L13" s="10">
        <v>187.59289162100396</v>
      </c>
      <c r="M13" s="10">
        <v>171.18480124452063</v>
      </c>
      <c r="N13" s="10">
        <v>155.77748092073821</v>
      </c>
      <c r="O13" s="10">
        <v>141.46518280387318</v>
      </c>
      <c r="P13" s="10">
        <v>128.32560916526384</v>
      </c>
      <c r="Q13" s="10">
        <v>116.41942975288697</v>
      </c>
      <c r="R13" s="10">
        <v>105.79017953158954</v>
      </c>
      <c r="S13" s="10">
        <v>96.464502083957584</v>
      </c>
      <c r="T13" s="10">
        <v>88.452693321787663</v>
      </c>
      <c r="U13" s="10">
        <v>81.749492991935327</v>
      </c>
      <c r="V13" s="10">
        <v>76.335067884064244</v>
      </c>
      <c r="W13" s="10">
        <v>72.176130526888727</v>
      </c>
      <c r="X13" s="10">
        <v>69.227140117118267</v>
      </c>
      <c r="Y13" s="10">
        <v>67.431537904562404</v>
      </c>
      <c r="Z13" s="10">
        <v>66.722976570188905</v>
      </c>
      <c r="AA13" s="10">
        <v>67.026511544344075</v>
      </c>
      <c r="AB13" s="10">
        <v>68.259730989291498</v>
      </c>
      <c r="AC13" s="10">
        <v>70.333809663175956</v>
      </c>
      <c r="AD13" s="10">
        <v>73.154479558885129</v>
      </c>
      <c r="AE13" s="10">
        <v>76.622916700669137</v>
      </c>
      <c r="AF13" s="10">
        <v>80.636548580288988</v>
      </c>
      <c r="AG13" s="10">
        <v>85.089790392026359</v>
      </c>
      <c r="AH13" s="10">
        <v>89.874720594298054</v>
      </c>
      <c r="AI13" s="10">
        <v>94.881707612924288</v>
      </c>
      <c r="AJ13" s="10">
        <v>100</v>
      </c>
    </row>
    <row r="14" spans="1:36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</row>
    <row r="15" spans="1:36" x14ac:dyDescent="0.25">
      <c r="A15" s="10"/>
      <c r="B15" s="10"/>
      <c r="C15" s="10"/>
      <c r="D15" s="10"/>
      <c r="E15" s="10" t="s">
        <v>10</v>
      </c>
      <c r="F15" s="10"/>
      <c r="G15" s="10">
        <f>G13+(($C$10*$C$5)/($C$9*$C$8))*((H13-2*G13+F13)/($C$4^2))</f>
        <v>280.40839028397085</v>
      </c>
      <c r="H15" s="10">
        <f t="shared" ref="H15:AI15" si="1">H13+(($C$10*$C$5)/($C$9*$C$8))*((I13-2*H13+G13)/($C$4^2))</f>
        <v>260.97990890412456</v>
      </c>
      <c r="I15" s="10">
        <f t="shared" si="1"/>
        <v>241.87484679321611</v>
      </c>
      <c r="J15" s="10">
        <f t="shared" si="1"/>
        <v>223.2479078549263</v>
      </c>
      <c r="K15" s="10">
        <f t="shared" si="1"/>
        <v>205.24563038635867</v>
      </c>
      <c r="L15" s="10">
        <f t="shared" si="1"/>
        <v>188.00405411537082</v>
      </c>
      <c r="M15" s="10">
        <f t="shared" si="1"/>
        <v>171.64669511499798</v>
      </c>
      <c r="N15" s="10">
        <f t="shared" si="1"/>
        <v>156.28287578546932</v>
      </c>
      <c r="O15" s="10">
        <f t="shared" si="1"/>
        <v>142.00644025537582</v>
      </c>
      <c r="P15" s="10">
        <f t="shared" si="1"/>
        <v>128.89486803890961</v>
      </c>
      <c r="Q15" s="10">
        <f t="shared" si="1"/>
        <v>117.00878168723133</v>
      </c>
      <c r="R15" s="10">
        <f t="shared" si="1"/>
        <v>106.39182850405052</v>
      </c>
      <c r="S15" s="10">
        <f t="shared" si="1"/>
        <v>97.070903015709291</v>
      </c>
      <c r="T15" s="10">
        <f t="shared" si="1"/>
        <v>89.056666444395773</v>
      </c>
      <c r="U15" s="10">
        <f t="shared" si="1"/>
        <v>82.344312325157446</v>
      </c>
      <c r="V15" s="10">
        <f t="shared" si="1"/>
        <v>76.914523769000652</v>
      </c>
      <c r="W15" s="10">
        <f t="shared" si="1"/>
        <v>72.734567579537213</v>
      </c>
      <c r="X15" s="10">
        <f t="shared" si="1"/>
        <v>69.759473131217305</v>
      </c>
      <c r="Y15" s="10">
        <f t="shared" si="1"/>
        <v>67.933249079108109</v>
      </c>
      <c r="Z15" s="10">
        <f t="shared" si="1"/>
        <v>67.19009794335598</v>
      </c>
      <c r="AA15" s="10">
        <f t="shared" si="1"/>
        <v>67.455596684709732</v>
      </c>
      <c r="AB15" s="10">
        <f t="shared" si="1"/>
        <v>68.647819864185507</v>
      </c>
      <c r="AC15" s="10">
        <f t="shared" si="1"/>
        <v>70.678390227095051</v>
      </c>
      <c r="AD15" s="10">
        <f t="shared" si="1"/>
        <v>73.453449057073513</v>
      </c>
      <c r="AE15" s="10">
        <f t="shared" si="1"/>
        <v>76.874545041208762</v>
      </c>
      <c r="AF15" s="10">
        <f t="shared" si="1"/>
        <v>80.839445472035536</v>
      </c>
      <c r="AG15" s="10">
        <f t="shared" si="1"/>
        <v>85.242877341503743</v>
      </c>
      <c r="AH15" s="10">
        <f t="shared" si="1"/>
        <v>89.977208355692454</v>
      </c>
      <c r="AI15" s="10">
        <f t="shared" si="1"/>
        <v>94.933079321439436</v>
      </c>
      <c r="AJ15" s="10"/>
    </row>
    <row r="16" spans="1:36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</row>
    <row r="17" spans="1:36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</row>
    <row r="18" spans="1:36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</row>
    <row r="19" spans="1:36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</row>
    <row r="20" spans="1:36" x14ac:dyDescent="0.25">
      <c r="A20" s="10"/>
      <c r="B20" s="10"/>
      <c r="C20" s="10"/>
      <c r="D20" s="10"/>
      <c r="E20" s="10"/>
      <c r="F20" s="11">
        <v>1</v>
      </c>
      <c r="G20" s="11">
        <v>2</v>
      </c>
      <c r="H20" s="11">
        <v>3</v>
      </c>
      <c r="I20" s="11">
        <v>4</v>
      </c>
      <c r="J20" s="11">
        <v>5</v>
      </c>
      <c r="K20" s="11">
        <v>6</v>
      </c>
      <c r="L20" s="11">
        <v>7</v>
      </c>
      <c r="M20" s="11">
        <v>8</v>
      </c>
      <c r="N20" s="11">
        <v>9</v>
      </c>
      <c r="O20" s="11">
        <v>10</v>
      </c>
      <c r="P20" s="11">
        <v>11</v>
      </c>
      <c r="Q20" s="11">
        <v>12</v>
      </c>
      <c r="R20" s="11">
        <v>13</v>
      </c>
      <c r="S20" s="11">
        <v>14</v>
      </c>
      <c r="T20" s="11">
        <v>15</v>
      </c>
      <c r="U20" s="11">
        <v>16</v>
      </c>
      <c r="V20" s="11">
        <v>17</v>
      </c>
      <c r="W20" s="11">
        <v>18</v>
      </c>
      <c r="X20" s="11">
        <v>19</v>
      </c>
      <c r="Y20" s="11">
        <v>20</v>
      </c>
      <c r="Z20" s="11">
        <v>21</v>
      </c>
      <c r="AA20" s="11">
        <v>22</v>
      </c>
      <c r="AB20" s="11">
        <v>23</v>
      </c>
      <c r="AC20" s="11">
        <v>24</v>
      </c>
      <c r="AD20" s="11">
        <v>25</v>
      </c>
      <c r="AE20" s="11">
        <v>26</v>
      </c>
      <c r="AF20" s="11">
        <v>27</v>
      </c>
      <c r="AG20" s="11">
        <v>28</v>
      </c>
      <c r="AH20" s="11">
        <v>29</v>
      </c>
      <c r="AI20" s="11">
        <v>30</v>
      </c>
      <c r="AJ20" s="11">
        <v>31</v>
      </c>
    </row>
    <row r="21" spans="1:36" x14ac:dyDescent="0.25">
      <c r="A21" s="10"/>
      <c r="B21" s="11" t="s">
        <v>11</v>
      </c>
      <c r="C21" s="11">
        <v>92000</v>
      </c>
      <c r="D21" s="10"/>
      <c r="E21" s="10" t="s">
        <v>0</v>
      </c>
      <c r="F21" s="11">
        <v>0</v>
      </c>
      <c r="G21" s="11">
        <f>F21+$C$4</f>
        <v>3.3333333333333335E-3</v>
      </c>
      <c r="H21" s="11">
        <f t="shared" ref="H21:AJ21" si="2">G21+$C$4</f>
        <v>6.6666666666666671E-3</v>
      </c>
      <c r="I21" s="11">
        <f t="shared" si="2"/>
        <v>0.01</v>
      </c>
      <c r="J21" s="11">
        <f t="shared" si="2"/>
        <v>1.3333333333333334E-2</v>
      </c>
      <c r="K21" s="11">
        <f t="shared" si="2"/>
        <v>1.6666666666666666E-2</v>
      </c>
      <c r="L21" s="11">
        <f t="shared" si="2"/>
        <v>0.02</v>
      </c>
      <c r="M21" s="11">
        <f t="shared" si="2"/>
        <v>2.3333333333333334E-2</v>
      </c>
      <c r="N21" s="11">
        <f t="shared" si="2"/>
        <v>2.6666666666666668E-2</v>
      </c>
      <c r="O21" s="11">
        <f t="shared" si="2"/>
        <v>3.0000000000000002E-2</v>
      </c>
      <c r="P21" s="11">
        <f t="shared" si="2"/>
        <v>3.3333333333333333E-2</v>
      </c>
      <c r="Q21" s="11">
        <f t="shared" si="2"/>
        <v>3.6666666666666667E-2</v>
      </c>
      <c r="R21" s="11">
        <f t="shared" si="2"/>
        <v>0.04</v>
      </c>
      <c r="S21" s="11">
        <f t="shared" si="2"/>
        <v>4.3333333333333335E-2</v>
      </c>
      <c r="T21" s="11">
        <f t="shared" si="2"/>
        <v>4.6666666666666669E-2</v>
      </c>
      <c r="U21" s="11">
        <f t="shared" si="2"/>
        <v>0.05</v>
      </c>
      <c r="V21" s="11">
        <f t="shared" si="2"/>
        <v>5.3333333333333337E-2</v>
      </c>
      <c r="W21" s="11">
        <f t="shared" si="2"/>
        <v>5.6666666666666671E-2</v>
      </c>
      <c r="X21" s="11">
        <f t="shared" si="2"/>
        <v>6.0000000000000005E-2</v>
      </c>
      <c r="Y21" s="11">
        <f t="shared" si="2"/>
        <v>6.3333333333333339E-2</v>
      </c>
      <c r="Z21" s="11">
        <f t="shared" si="2"/>
        <v>6.6666666666666666E-2</v>
      </c>
      <c r="AA21" s="11">
        <f t="shared" si="2"/>
        <v>6.9999999999999993E-2</v>
      </c>
      <c r="AB21" s="11">
        <f t="shared" si="2"/>
        <v>7.333333333333332E-2</v>
      </c>
      <c r="AC21" s="11">
        <f t="shared" si="2"/>
        <v>7.6666666666666647E-2</v>
      </c>
      <c r="AD21" s="11">
        <f t="shared" si="2"/>
        <v>7.9999999999999974E-2</v>
      </c>
      <c r="AE21" s="11">
        <f t="shared" si="2"/>
        <v>8.3333333333333301E-2</v>
      </c>
      <c r="AF21" s="11">
        <f t="shared" si="2"/>
        <v>8.6666666666666628E-2</v>
      </c>
      <c r="AG21" s="11">
        <f t="shared" si="2"/>
        <v>8.9999999999999955E-2</v>
      </c>
      <c r="AH21" s="11">
        <f t="shared" si="2"/>
        <v>9.3333333333333282E-2</v>
      </c>
      <c r="AI21" s="11">
        <f t="shared" si="2"/>
        <v>9.6666666666666609E-2</v>
      </c>
      <c r="AJ21" s="11">
        <f t="shared" si="2"/>
        <v>9.9999999999999936E-2</v>
      </c>
    </row>
    <row r="22" spans="1:36" x14ac:dyDescent="0.25">
      <c r="A22" s="10"/>
      <c r="B22" s="11" t="s">
        <v>9</v>
      </c>
      <c r="C22" s="11">
        <v>100</v>
      </c>
      <c r="D22" s="10"/>
      <c r="E22" s="10" t="s">
        <v>7</v>
      </c>
      <c r="F22" s="10">
        <f>F25/C10*C4+G22</f>
        <v>289.14551881260553</v>
      </c>
      <c r="G22" s="10">
        <v>282.47885214593884</v>
      </c>
      <c r="H22" s="10">
        <v>275.84295376549903</v>
      </c>
      <c r="I22" s="10">
        <v>269.23773613614185</v>
      </c>
      <c r="J22" s="10">
        <v>262.66302570846733</v>
      </c>
      <c r="K22" s="10">
        <v>256.11856087966436</v>
      </c>
      <c r="L22" s="10">
        <v>249.60399649581322</v>
      </c>
      <c r="M22" s="10">
        <v>243.11889988245093</v>
      </c>
      <c r="N22" s="10">
        <v>236.66275814983416</v>
      </c>
      <c r="O22" s="10">
        <v>230.23497250586695</v>
      </c>
      <c r="P22" s="10">
        <v>223.83486807556034</v>
      </c>
      <c r="Q22" s="10">
        <v>217.46168680274295</v>
      </c>
      <c r="R22" s="10">
        <v>211.11459939722539</v>
      </c>
      <c r="S22" s="10">
        <v>204.79269721108508</v>
      </c>
      <c r="T22" s="10">
        <v>198.49500584613287</v>
      </c>
      <c r="U22" s="10">
        <v>192.22047645176292</v>
      </c>
      <c r="V22" s="10">
        <v>185.96800046470983</v>
      </c>
      <c r="W22" s="10">
        <v>179.73640081554817</v>
      </c>
      <c r="X22" s="10">
        <v>173.52444723499667</v>
      </c>
      <c r="Y22" s="10">
        <v>167.33084787316977</v>
      </c>
      <c r="Z22" s="10">
        <v>161.15426459338431</v>
      </c>
      <c r="AA22" s="10">
        <v>154.9933055012923</v>
      </c>
      <c r="AB22" s="10">
        <v>148.84653965873562</v>
      </c>
      <c r="AC22" s="10">
        <v>142.71249098910911</v>
      </c>
      <c r="AD22" s="10">
        <v>136.58965187964165</v>
      </c>
      <c r="AE22" s="10">
        <v>130.47647887602361</v>
      </c>
      <c r="AF22" s="10">
        <v>124.37140469984179</v>
      </c>
      <c r="AG22" s="10">
        <v>118.27283607196378</v>
      </c>
      <c r="AH22" s="10">
        <v>112.17916374998953</v>
      </c>
      <c r="AI22" s="10">
        <v>106.08876272935932</v>
      </c>
      <c r="AJ22" s="10">
        <v>100</v>
      </c>
    </row>
    <row r="23" spans="1:36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</row>
    <row r="24" spans="1:36" x14ac:dyDescent="0.25">
      <c r="A24" s="10"/>
      <c r="B24" s="10"/>
      <c r="C24" s="10"/>
      <c r="D24" s="10"/>
      <c r="E24" s="10" t="s">
        <v>12</v>
      </c>
      <c r="F24" s="10"/>
      <c r="G24" s="10">
        <f>G22+(($C$10*$C$5)/($C$9*$C$8))*((H22-2*G22+F22)/($C$4^2))</f>
        <v>282.49305289342817</v>
      </c>
      <c r="H24" s="10">
        <f>H22+(($C$10*$C$5)/($C$9*$C$8))*((I22-2*H22+G22)/($C$4^2))</f>
        <v>275.85711411215254</v>
      </c>
      <c r="I24" s="10">
        <f>I22+(($C$10*$C$5)/($C$9*$C$8))*((J22-2*I22+H22)/($C$4^2))</f>
        <v>269.25181638307231</v>
      </c>
      <c r="J24" s="10">
        <f t="shared" ref="J24:AI24" si="3">J22+(($C$10*$C$5)/($C$9*$C$8))*((K22-2*J22+I22)/($C$4^2))</f>
        <v>262.67698521563881</v>
      </c>
      <c r="K24" s="10">
        <f t="shared" si="3"/>
        <v>256.13236108502673</v>
      </c>
      <c r="L24" s="10">
        <f t="shared" si="3"/>
        <v>249.6175970052696</v>
      </c>
      <c r="M24" s="10">
        <f t="shared" si="3"/>
        <v>243.13226367356424</v>
      </c>
      <c r="N24" s="10">
        <f>N22+(($C$10*$C$5)/($C$9*$C$8))*((O22-2*N22+M22)/($C$4^2))</f>
        <v>236.67584557536472</v>
      </c>
      <c r="O24" s="10">
        <f t="shared" si="3"/>
        <v>230.24774845063337</v>
      </c>
      <c r="P24" s="10">
        <f t="shared" si="3"/>
        <v>223.84729414824767</v>
      </c>
      <c r="Q24" s="10">
        <f t="shared" si="3"/>
        <v>217.47373012611209</v>
      </c>
      <c r="R24" s="10">
        <f t="shared" si="3"/>
        <v>211.12622334463026</v>
      </c>
      <c r="S24" s="10">
        <f t="shared" si="3"/>
        <v>204.80387143624881</v>
      </c>
      <c r="T24" s="10">
        <f t="shared" si="3"/>
        <v>198.50569598640161</v>
      </c>
      <c r="U24" s="10">
        <f t="shared" si="3"/>
        <v>192.23065494744762</v>
      </c>
      <c r="V24" s="10">
        <f t="shared" si="3"/>
        <v>185.9776356975828</v>
      </c>
      <c r="W24" s="10">
        <f t="shared" si="3"/>
        <v>179.74546823182979</v>
      </c>
      <c r="X24" s="10">
        <f t="shared" si="3"/>
        <v>173.53291841286955</v>
      </c>
      <c r="Y24" s="10">
        <f t="shared" si="3"/>
        <v>167.3387014494966</v>
      </c>
      <c r="Z24" s="10">
        <f t="shared" si="3"/>
        <v>161.16147575693515</v>
      </c>
      <c r="AA24" s="10">
        <f t="shared" si="3"/>
        <v>154.99985623184708</v>
      </c>
      <c r="AB24" s="10">
        <f t="shared" si="3"/>
        <v>148.85240912316493</v>
      </c>
      <c r="AC24" s="10">
        <f t="shared" si="3"/>
        <v>142.71766463225944</v>
      </c>
      <c r="AD24" s="10">
        <f t="shared" si="3"/>
        <v>136.59411315926445</v>
      </c>
      <c r="AE24" s="10">
        <f t="shared" si="3"/>
        <v>130.48021679637878</v>
      </c>
      <c r="AF24" s="10">
        <f t="shared" si="3"/>
        <v>124.37440726059739</v>
      </c>
      <c r="AG24" s="10">
        <f t="shared" si="3"/>
        <v>118.27509590545782</v>
      </c>
      <c r="AH24" s="10">
        <f t="shared" si="3"/>
        <v>112.18067358137908</v>
      </c>
      <c r="AI24" s="10">
        <f t="shared" si="3"/>
        <v>106.08951886379204</v>
      </c>
      <c r="AJ24" s="10"/>
    </row>
    <row r="25" spans="1:36" x14ac:dyDescent="0.25">
      <c r="A25" s="10"/>
      <c r="B25" s="10"/>
      <c r="C25" s="10"/>
      <c r="D25" s="10"/>
      <c r="E25" s="10" t="s">
        <v>13</v>
      </c>
      <c r="F25" s="10">
        <v>92000</v>
      </c>
      <c r="G25" s="10">
        <f>-$C$10*(G22-F22)/$C$4</f>
        <v>92000.000000000262</v>
      </c>
      <c r="H25" s="10">
        <f>-$C$10*(H22-G22)/$C$4</f>
        <v>91575.397650069397</v>
      </c>
      <c r="I25" s="10">
        <f>-$C$10*(I22-H22)/$C$4</f>
        <v>91152.003285129147</v>
      </c>
      <c r="J25" s="10">
        <f>-$C$10*(J22-I22)/$C$4</f>
        <v>90731.003901908334</v>
      </c>
      <c r="K25" s="10">
        <f t="shared" ref="K25:AI25" si="4">-$C$10*(K22-J22)/$C$4</f>
        <v>90313.61463748102</v>
      </c>
      <c r="L25" s="10">
        <f t="shared" si="4"/>
        <v>89900.988497145692</v>
      </c>
      <c r="M25" s="10">
        <f t="shared" si="4"/>
        <v>89494.333264399567</v>
      </c>
      <c r="N25" s="10">
        <f>-$C$10*(N22-M22)/$C$4</f>
        <v>89094.755910111446</v>
      </c>
      <c r="O25" s="10">
        <f t="shared" si="4"/>
        <v>88703.441886747518</v>
      </c>
      <c r="P25" s="10">
        <f t="shared" si="4"/>
        <v>88321.441138231239</v>
      </c>
      <c r="Q25" s="10">
        <f t="shared" si="4"/>
        <v>87949.901564879983</v>
      </c>
      <c r="R25" s="10">
        <f t="shared" si="4"/>
        <v>87589.806196142265</v>
      </c>
      <c r="S25" s="10">
        <f t="shared" si="4"/>
        <v>87242.250168736224</v>
      </c>
      <c r="T25" s="10">
        <f t="shared" si="4"/>
        <v>86908.14083634055</v>
      </c>
      <c r="U25" s="10">
        <f t="shared" si="4"/>
        <v>86588.505642305303</v>
      </c>
      <c r="V25" s="10">
        <f t="shared" si="4"/>
        <v>86284.168621332617</v>
      </c>
      <c r="W25" s="10">
        <f t="shared" si="4"/>
        <v>85996.075158430976</v>
      </c>
      <c r="X25" s="10">
        <f t="shared" si="4"/>
        <v>85724.959411610616</v>
      </c>
      <c r="Y25" s="10">
        <f t="shared" si="4"/>
        <v>85471.671193211194</v>
      </c>
      <c r="Z25" s="10">
        <f t="shared" si="4"/>
        <v>85236.849261039359</v>
      </c>
      <c r="AA25" s="10">
        <f t="shared" si="4"/>
        <v>85021.235470869782</v>
      </c>
      <c r="AB25" s="10">
        <f t="shared" si="4"/>
        <v>84825.368627282121</v>
      </c>
      <c r="AC25" s="10">
        <f t="shared" si="4"/>
        <v>84649.871640845813</v>
      </c>
      <c r="AD25" s="10">
        <f t="shared" si="4"/>
        <v>84495.179710650991</v>
      </c>
      <c r="AE25" s="10">
        <f t="shared" si="4"/>
        <v>84361.787449929005</v>
      </c>
      <c r="AF25" s="10">
        <f t="shared" si="4"/>
        <v>84250.023631309057</v>
      </c>
      <c r="AG25" s="10">
        <f t="shared" si="4"/>
        <v>84160.247064716517</v>
      </c>
      <c r="AH25" s="10">
        <f t="shared" si="4"/>
        <v>84092.678043244683</v>
      </c>
      <c r="AI25" s="10">
        <f t="shared" si="4"/>
        <v>84047.53408469689</v>
      </c>
      <c r="AJ25" s="10"/>
    </row>
    <row r="26" spans="1:36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</row>
    <row r="27" spans="1:36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</row>
    <row r="28" spans="1:36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</row>
    <row r="29" spans="1:36" x14ac:dyDescent="0.25">
      <c r="A29" s="10"/>
      <c r="B29" s="10"/>
      <c r="C29" s="10"/>
      <c r="D29" s="10"/>
      <c r="E29" s="10"/>
      <c r="F29" s="11">
        <v>1</v>
      </c>
      <c r="G29" s="11">
        <v>2</v>
      </c>
      <c r="H29" s="11">
        <v>3</v>
      </c>
      <c r="I29" s="11">
        <v>4</v>
      </c>
      <c r="J29" s="11">
        <v>5</v>
      </c>
      <c r="K29" s="11">
        <v>6</v>
      </c>
      <c r="L29" s="11">
        <v>7</v>
      </c>
      <c r="M29" s="11">
        <v>8</v>
      </c>
      <c r="N29" s="11">
        <v>9</v>
      </c>
      <c r="O29" s="11">
        <v>10</v>
      </c>
      <c r="P29" s="11">
        <v>11</v>
      </c>
      <c r="Q29" s="11">
        <v>12</v>
      </c>
      <c r="R29" s="11">
        <v>13</v>
      </c>
      <c r="S29" s="11">
        <v>14</v>
      </c>
      <c r="T29" s="11">
        <v>15</v>
      </c>
      <c r="U29" s="11">
        <v>16</v>
      </c>
      <c r="V29" s="11">
        <v>17</v>
      </c>
      <c r="W29" s="11">
        <v>18</v>
      </c>
      <c r="X29" s="11">
        <v>19</v>
      </c>
      <c r="Y29" s="11">
        <v>20</v>
      </c>
      <c r="Z29" s="11">
        <v>21</v>
      </c>
      <c r="AA29" s="11">
        <v>22</v>
      </c>
      <c r="AB29" s="11">
        <v>23</v>
      </c>
      <c r="AC29" s="11">
        <v>24</v>
      </c>
      <c r="AD29" s="11">
        <v>25</v>
      </c>
      <c r="AE29" s="11">
        <v>26</v>
      </c>
      <c r="AF29" s="11">
        <v>27</v>
      </c>
      <c r="AG29" s="11">
        <v>28</v>
      </c>
      <c r="AH29" s="11">
        <v>29</v>
      </c>
      <c r="AI29" s="11">
        <v>30</v>
      </c>
      <c r="AJ29" s="11">
        <v>31</v>
      </c>
    </row>
    <row r="30" spans="1:36" x14ac:dyDescent="0.25">
      <c r="A30" s="10"/>
      <c r="B30" s="11" t="s">
        <v>11</v>
      </c>
      <c r="C30" s="11">
        <v>92000</v>
      </c>
      <c r="D30" s="10"/>
      <c r="E30" s="10" t="s">
        <v>0</v>
      </c>
      <c r="F30" s="11">
        <v>0</v>
      </c>
      <c r="G30" s="11">
        <f>F30+$C$4</f>
        <v>3.3333333333333335E-3</v>
      </c>
      <c r="H30" s="11">
        <f t="shared" ref="H30:AJ30" si="5">G30+$C$4</f>
        <v>6.6666666666666671E-3</v>
      </c>
      <c r="I30" s="11">
        <f t="shared" si="5"/>
        <v>0.01</v>
      </c>
      <c r="J30" s="11">
        <f t="shared" si="5"/>
        <v>1.3333333333333334E-2</v>
      </c>
      <c r="K30" s="11">
        <f t="shared" si="5"/>
        <v>1.6666666666666666E-2</v>
      </c>
      <c r="L30" s="11">
        <f t="shared" si="5"/>
        <v>0.02</v>
      </c>
      <c r="M30" s="11">
        <f t="shared" si="5"/>
        <v>2.3333333333333334E-2</v>
      </c>
      <c r="N30" s="11">
        <f t="shared" si="5"/>
        <v>2.6666666666666668E-2</v>
      </c>
      <c r="O30" s="11">
        <f t="shared" si="5"/>
        <v>3.0000000000000002E-2</v>
      </c>
      <c r="P30" s="11">
        <f t="shared" si="5"/>
        <v>3.3333333333333333E-2</v>
      </c>
      <c r="Q30" s="11">
        <f t="shared" si="5"/>
        <v>3.6666666666666667E-2</v>
      </c>
      <c r="R30" s="11">
        <f t="shared" si="5"/>
        <v>0.04</v>
      </c>
      <c r="S30" s="11">
        <f t="shared" si="5"/>
        <v>4.3333333333333335E-2</v>
      </c>
      <c r="T30" s="11">
        <f t="shared" si="5"/>
        <v>4.6666666666666669E-2</v>
      </c>
      <c r="U30" s="11">
        <f t="shared" si="5"/>
        <v>0.05</v>
      </c>
      <c r="V30" s="11">
        <f t="shared" si="5"/>
        <v>5.3333333333333337E-2</v>
      </c>
      <c r="W30" s="11">
        <f t="shared" si="5"/>
        <v>5.6666666666666671E-2</v>
      </c>
      <c r="X30" s="11">
        <f t="shared" si="5"/>
        <v>6.0000000000000005E-2</v>
      </c>
      <c r="Y30" s="11">
        <f t="shared" si="5"/>
        <v>6.3333333333333339E-2</v>
      </c>
      <c r="Z30" s="11">
        <f t="shared" si="5"/>
        <v>6.6666666666666666E-2</v>
      </c>
      <c r="AA30" s="11">
        <f t="shared" si="5"/>
        <v>6.9999999999999993E-2</v>
      </c>
      <c r="AB30" s="11">
        <f t="shared" si="5"/>
        <v>7.333333333333332E-2</v>
      </c>
      <c r="AC30" s="11">
        <f t="shared" si="5"/>
        <v>7.6666666666666647E-2</v>
      </c>
      <c r="AD30" s="11">
        <f t="shared" si="5"/>
        <v>7.9999999999999974E-2</v>
      </c>
      <c r="AE30" s="11">
        <f t="shared" si="5"/>
        <v>8.3333333333333301E-2</v>
      </c>
      <c r="AF30" s="11">
        <f t="shared" si="5"/>
        <v>8.6666666666666628E-2</v>
      </c>
      <c r="AG30" s="11">
        <f t="shared" si="5"/>
        <v>8.9999999999999955E-2</v>
      </c>
      <c r="AH30" s="11">
        <f t="shared" si="5"/>
        <v>9.3333333333333282E-2</v>
      </c>
      <c r="AI30" s="11">
        <f t="shared" si="5"/>
        <v>9.6666666666666609E-2</v>
      </c>
      <c r="AJ30" s="11">
        <f t="shared" si="5"/>
        <v>9.9999999999999936E-2</v>
      </c>
    </row>
    <row r="31" spans="1:36" x14ac:dyDescent="0.25">
      <c r="A31" s="10"/>
      <c r="B31" s="11" t="s">
        <v>9</v>
      </c>
      <c r="C31" s="11">
        <v>100</v>
      </c>
      <c r="D31" s="10"/>
      <c r="E31" s="10" t="s">
        <v>7</v>
      </c>
      <c r="F31" s="10">
        <f>($C$33*$C$4*$C$32+$C$10*$G$31)/($C$10+$C$33*$C$4)</f>
        <v>299.99985163261891</v>
      </c>
      <c r="G31" s="10">
        <v>293.3331742146928</v>
      </c>
      <c r="H31" s="10">
        <v>286.66649776466045</v>
      </c>
      <c r="I31" s="10">
        <v>279.99982234203355</v>
      </c>
      <c r="J31" s="10">
        <v>273.33314800007156</v>
      </c>
      <c r="K31" s="10">
        <v>266.66647478546452</v>
      </c>
      <c r="L31" s="10">
        <v>259.99980273803936</v>
      </c>
      <c r="M31" s="10">
        <v>253.33313189053024</v>
      </c>
      <c r="N31" s="10">
        <v>246.66646226836411</v>
      </c>
      <c r="O31" s="10">
        <v>239.99979388952389</v>
      </c>
      <c r="P31" s="10">
        <v>233.33312676441892</v>
      </c>
      <c r="Q31" s="10">
        <v>226.66646089584373</v>
      </c>
      <c r="R31" s="10">
        <v>219.9997962789374</v>
      </c>
      <c r="S31" s="10">
        <v>213.33313290123812</v>
      </c>
      <c r="T31" s="10">
        <v>206.66647074273277</v>
      </c>
      <c r="U31" s="10">
        <v>199.99980977600597</v>
      </c>
      <c r="V31" s="10">
        <v>193.33314996637864</v>
      </c>
      <c r="W31" s="10">
        <v>186.66649127214777</v>
      </c>
      <c r="X31" s="10">
        <v>179.99983364481102</v>
      </c>
      <c r="Y31" s="10">
        <v>173.33317702939058</v>
      </c>
      <c r="Z31" s="10">
        <v>166.66652136473954</v>
      </c>
      <c r="AA31" s="10">
        <v>159.99986658394076</v>
      </c>
      <c r="AB31" s="10">
        <v>153.33321261468828</v>
      </c>
      <c r="AC31" s="10">
        <v>146.66655937975133</v>
      </c>
      <c r="AD31" s="10">
        <v>139.99990679742166</v>
      </c>
      <c r="AE31" s="10">
        <v>133.33325478203096</v>
      </c>
      <c r="AF31" s="10">
        <v>126.66660324445392</v>
      </c>
      <c r="AG31" s="10">
        <v>119.99995209266579</v>
      </c>
      <c r="AH31" s="10">
        <v>113.33330123228947</v>
      </c>
      <c r="AI31" s="10">
        <v>106.66665056717957</v>
      </c>
      <c r="AJ31" s="10">
        <v>100</v>
      </c>
    </row>
    <row r="32" spans="1:36" x14ac:dyDescent="0.25">
      <c r="A32" s="10"/>
      <c r="B32" s="10" t="s">
        <v>14</v>
      </c>
      <c r="C32" s="10">
        <v>392</v>
      </c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</row>
    <row r="33" spans="1:36" x14ac:dyDescent="0.25">
      <c r="A33" s="10"/>
      <c r="B33" s="10" t="s">
        <v>15</v>
      </c>
      <c r="C33" s="10">
        <v>1000</v>
      </c>
      <c r="D33" s="10"/>
      <c r="E33" s="10" t="s">
        <v>12</v>
      </c>
      <c r="F33" s="10"/>
      <c r="G33" s="10">
        <f>G31+(($C$10*$C$5)/($C$9*$C$8))*((H31-2*G31+F31)/($C$4^2))</f>
        <v>293.33317466141301</v>
      </c>
      <c r="H33" s="10">
        <f t="shared" ref="H33:AI33" si="6">H31+(($C$10*$C$5)/($C$9*$C$8))*((I31-2*H31+G31)/($C$4^2))</f>
        <v>286.66649823884757</v>
      </c>
      <c r="I33" s="10">
        <f t="shared" si="6"/>
        <v>279.99982284080198</v>
      </c>
      <c r="J33" s="10">
        <f t="shared" si="6"/>
        <v>273.33314852038922</v>
      </c>
      <c r="K33" s="10">
        <f t="shared" si="6"/>
        <v>266.66647532416386</v>
      </c>
      <c r="L33" s="10">
        <f t="shared" si="6"/>
        <v>259.99980329184677</v>
      </c>
      <c r="M33" s="10">
        <f t="shared" si="6"/>
        <v>253.33313245607317</v>
      </c>
      <c r="N33" s="10">
        <f t="shared" si="6"/>
        <v>246.66646284220684</v>
      </c>
      <c r="O33" s="10">
        <f t="shared" si="6"/>
        <v>239.99979446817093</v>
      </c>
      <c r="P33" s="10">
        <f t="shared" si="6"/>
        <v>233.33312734435574</v>
      </c>
      <c r="Q33" s="10">
        <f t="shared" si="6"/>
        <v>226.66646147353705</v>
      </c>
      <c r="R33" s="10">
        <f t="shared" si="6"/>
        <v>219.99979685087911</v>
      </c>
      <c r="S33" s="10">
        <f t="shared" si="6"/>
        <v>213.333133463943</v>
      </c>
      <c r="T33" s="10">
        <f t="shared" si="6"/>
        <v>206.66647129278442</v>
      </c>
      <c r="U33" s="10">
        <f t="shared" si="6"/>
        <v>199.99981031005188</v>
      </c>
      <c r="V33" s="10">
        <f t="shared" si="6"/>
        <v>193.333150481177</v>
      </c>
      <c r="W33" s="10">
        <f t="shared" si="6"/>
        <v>186.66649176456045</v>
      </c>
      <c r="X33" s="10">
        <f t="shared" si="6"/>
        <v>179.99983411184931</v>
      </c>
      <c r="Y33" s="10">
        <f t="shared" si="6"/>
        <v>173.33317746820723</v>
      </c>
      <c r="Z33" s="10">
        <f t="shared" si="6"/>
        <v>166.66652177267136</v>
      </c>
      <c r="AA33" s="10">
        <f t="shared" si="6"/>
        <v>159.99986695850058</v>
      </c>
      <c r="AB33" s="10">
        <f t="shared" si="6"/>
        <v>153.33321295360315</v>
      </c>
      <c r="AC33" s="10">
        <f t="shared" si="6"/>
        <v>146.66655968095469</v>
      </c>
      <c r="AD33" s="10">
        <f t="shared" si="6"/>
        <v>139.99990705908581</v>
      </c>
      <c r="AE33" s="10">
        <f t="shared" si="6"/>
        <v>133.33325500256035</v>
      </c>
      <c r="AF33" s="10">
        <f t="shared" si="6"/>
        <v>126.66660342251033</v>
      </c>
      <c r="AG33" s="10">
        <f t="shared" si="6"/>
        <v>119.99995222716355</v>
      </c>
      <c r="AH33" s="10">
        <f t="shared" si="6"/>
        <v>113.33330132241244</v>
      </c>
      <c r="AI33" s="10">
        <f t="shared" si="6"/>
        <v>106.66665061237819</v>
      </c>
      <c r="AJ33" s="10"/>
    </row>
    <row r="34" spans="1:36" x14ac:dyDescent="0.25">
      <c r="A34" s="10"/>
      <c r="B34" s="10"/>
      <c r="C34" s="10"/>
      <c r="D34" s="10"/>
      <c r="E34" s="10" t="s">
        <v>13</v>
      </c>
      <c r="F34" s="10">
        <v>92000</v>
      </c>
      <c r="G34" s="10">
        <f>-$C$10*(G31-F31)/$C$4</f>
        <v>92000.148367380301</v>
      </c>
      <c r="H34" s="10">
        <f t="shared" ref="H34:AI34" si="7">-$C$10*(H31-G31)/$C$4</f>
        <v>92000.135010446495</v>
      </c>
      <c r="I34" s="10">
        <f t="shared" si="7"/>
        <v>92000.120832251137</v>
      </c>
      <c r="J34" s="10">
        <f t="shared" si="7"/>
        <v>92000.105919075504</v>
      </c>
      <c r="K34" s="10">
        <f t="shared" si="7"/>
        <v>92000.090361577211</v>
      </c>
      <c r="L34" s="10">
        <f t="shared" si="7"/>
        <v>92000.074254467094</v>
      </c>
      <c r="M34" s="10">
        <f t="shared" si="7"/>
        <v>92000.057695625903</v>
      </c>
      <c r="N34" s="10">
        <f t="shared" si="7"/>
        <v>92000.040785892532</v>
      </c>
      <c r="O34" s="10">
        <f t="shared" si="7"/>
        <v>92000.023627995135</v>
      </c>
      <c r="P34" s="10">
        <f t="shared" si="7"/>
        <v>92000.006326448507</v>
      </c>
      <c r="Q34" s="10">
        <f t="shared" si="7"/>
        <v>91999.988986337674</v>
      </c>
      <c r="R34" s="10">
        <f t="shared" si="7"/>
        <v>91999.971713307372</v>
      </c>
      <c r="S34" s="10">
        <f t="shared" si="7"/>
        <v>91999.954612250047</v>
      </c>
      <c r="T34" s="10">
        <f t="shared" si="7"/>
        <v>91999.937787373769</v>
      </c>
      <c r="U34" s="10">
        <f t="shared" si="7"/>
        <v>91999.921340829766</v>
      </c>
      <c r="V34" s="10">
        <f t="shared" si="7"/>
        <v>91999.905372857189</v>
      </c>
      <c r="W34" s="10">
        <f t="shared" si="7"/>
        <v>91999.88998038607</v>
      </c>
      <c r="X34" s="10">
        <f t="shared" si="7"/>
        <v>91999.875257247098</v>
      </c>
      <c r="Y34" s="10">
        <f t="shared" si="7"/>
        <v>91999.861292802016</v>
      </c>
      <c r="Z34" s="10">
        <f t="shared" si="7"/>
        <v>91999.848172184429</v>
      </c>
      <c r="AA34" s="10">
        <f t="shared" si="7"/>
        <v>91999.835975023161</v>
      </c>
      <c r="AB34" s="10">
        <f t="shared" si="7"/>
        <v>91999.824775684203</v>
      </c>
      <c r="AC34" s="10">
        <f t="shared" si="7"/>
        <v>91999.81464212983</v>
      </c>
      <c r="AD34" s="10">
        <f t="shared" si="7"/>
        <v>91999.805636149511</v>
      </c>
      <c r="AE34" s="10">
        <f t="shared" si="7"/>
        <v>91999.797812391596</v>
      </c>
      <c r="AF34" s="10">
        <f t="shared" si="7"/>
        <v>91999.791218563143</v>
      </c>
      <c r="AG34" s="10">
        <f t="shared" si="7"/>
        <v>91999.785894676199</v>
      </c>
      <c r="AH34" s="10">
        <f t="shared" si="7"/>
        <v>91999.781873193249</v>
      </c>
      <c r="AI34" s="10">
        <f t="shared" si="7"/>
        <v>91999.77917851659</v>
      </c>
      <c r="AJ34" s="10"/>
    </row>
    <row r="35" spans="1:36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</row>
  </sheetData>
  <conditionalFormatting sqref="F31:AJ3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:AJ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:AJ1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2Д Неявный</vt:lpstr>
      <vt:lpstr>Неявный</vt:lpstr>
      <vt:lpstr>Явный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Шаронов</dc:creator>
  <cp:lastModifiedBy>RePack by Diakov</cp:lastModifiedBy>
  <dcterms:created xsi:type="dcterms:W3CDTF">2021-02-19T10:02:37Z</dcterms:created>
  <dcterms:modified xsi:type="dcterms:W3CDTF">2021-04-01T14:09:34Z</dcterms:modified>
</cp:coreProperties>
</file>